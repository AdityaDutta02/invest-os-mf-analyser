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97.xml" ContentType="application/vnd.openxmlformats-officedocument.spreadsheetml.worksheet+xml"/>
  <Override PartName="/xl/worksheets/sheet96.xml" ContentType="application/vnd.openxmlformats-officedocument.spreadsheetml.worksheet+xml"/>
  <Override PartName="/xl/worksheets/sheet95.xml" ContentType="application/vnd.openxmlformats-officedocument.spreadsheetml.worksheet+xml"/>
  <Override PartName="/xl/worksheets/sheet94.xml" ContentType="application/vnd.openxmlformats-officedocument.spreadsheetml.worksheet+xml"/>
  <Override PartName="/xl/worksheets/sheet93.xml" ContentType="application/vnd.openxmlformats-officedocument.spreadsheetml.worksheet+xml"/>
  <Override PartName="/xl/worksheets/sheet92.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6.xml" ContentType="application/vnd.openxmlformats-officedocument.spreadsheetml.worksheet+xml"/>
  <Override PartName="/xl/worksheets/sheet105.xml" ContentType="application/vnd.openxmlformats-officedocument.spreadsheetml.worksheet+xml"/>
  <Override PartName="/xl/worksheets/sheet104.xml" ContentType="application/vnd.openxmlformats-officedocument.spreadsheetml.worksheet+xml"/>
  <Override PartName="/xl/worksheets/sheet103.xml" ContentType="application/vnd.openxmlformats-officedocument.spreadsheetml.worksheet+xml"/>
  <Override PartName="/xl/worksheets/sheet102.xml" ContentType="application/vnd.openxmlformats-officedocument.spreadsheetml.worksheet+xml"/>
  <Override PartName="/xl/worksheets/sheet101.xml" ContentType="application/vnd.openxmlformats-officedocument.spreadsheetml.worksheet+xml"/>
  <Override PartName="/xl/worksheets/sheet91.xml" ContentType="application/vnd.openxmlformats-officedocument.spreadsheetml.worksheet+xml"/>
  <Override PartName="/xl/worksheets/sheet90.xml" ContentType="application/vnd.openxmlformats-officedocument.spreadsheetml.worksheet+xml"/>
  <Override PartName="/xl/worksheets/sheet89.xml" ContentType="application/vnd.openxmlformats-officedocument.spreadsheetml.worksheet+xml"/>
  <Override PartName="/xl/worksheets/sheet79.xml" ContentType="application/vnd.openxmlformats-officedocument.spreadsheetml.worksheet+xml"/>
  <Override PartName="/xl/worksheets/sheet78.xml" ContentType="application/vnd.openxmlformats-officedocument.spreadsheetml.worksheet+xml"/>
  <Override PartName="/xl/worksheets/sheet77.xml" ContentType="application/vnd.openxmlformats-officedocument.spreadsheetml.worksheet+xml"/>
  <Override PartName="/xl/worksheets/sheet76.xml" ContentType="application/vnd.openxmlformats-officedocument.spreadsheetml.worksheet+xml"/>
  <Override PartName="/xl/worksheets/sheet75.xml" ContentType="application/vnd.openxmlformats-officedocument.spreadsheetml.worksheet+xml"/>
  <Override PartName="/xl/worksheets/sheet74.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86.xml" ContentType="application/vnd.openxmlformats-officedocument.spreadsheetml.worksheet+xml"/>
  <Override PartName="/xl/worksheets/sheet85.xml" ContentType="application/vnd.openxmlformats-officedocument.spreadsheetml.worksheet+xml"/>
  <Override PartName="/xl/worksheets/sheet84.xml" ContentType="application/vnd.openxmlformats-officedocument.spreadsheetml.worksheet+xml"/>
  <Override PartName="/xl/worksheets/sheet83.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32.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9.xml" ContentType="application/vnd.openxmlformats-officedocument.spreadsheetml.worksheet+xml"/>
  <Override PartName="/xl/worksheets/sheet128.xml" ContentType="application/vnd.openxmlformats-officedocument.spreadsheetml.worksheet+xml"/>
  <Override PartName="/xl/worksheets/sheet127.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theme/theme1.xml" ContentType="application/vnd.openxmlformats-officedocument.theme+xml"/>
  <Override PartName="/xl/worksheets/sheet140.xml" ContentType="application/vnd.openxmlformats-officedocument.spreadsheetml.worksheet+xml"/>
  <Override PartName="/xl/worksheets/sheet139.xml" ContentType="application/vnd.openxmlformats-officedocument.spreadsheetml.worksheet+xml"/>
  <Override PartName="/xl/worksheets/sheet138.xml" ContentType="application/vnd.openxmlformats-officedocument.spreadsheetml.worksheet+xml"/>
  <Override PartName="/xl/worksheets/sheet137.xml" ContentType="application/vnd.openxmlformats-officedocument.spreadsheetml.worksheet+xml"/>
  <Override PartName="/xl/worksheets/sheet136.xml" ContentType="application/vnd.openxmlformats-officedocument.spreadsheetml.worksheet+xml"/>
  <Override PartName="/xl/worksheets/sheet126.xml" ContentType="application/vnd.openxmlformats-officedocument.spreadsheetml.worksheet+xml"/>
  <Override PartName="/xl/worksheets/sheet125.xml" ContentType="application/vnd.openxmlformats-officedocument.spreadsheetml.worksheet+xml"/>
  <Override PartName="/xl/worksheets/sheet124.xml" ContentType="application/vnd.openxmlformats-officedocument.spreadsheetml.worksheet+xml"/>
  <Override PartName="/xl/worksheets/sheet115.xml" ContentType="application/vnd.openxmlformats-officedocument.spreadsheetml.worksheet+xml"/>
  <Override PartName="/xl/worksheets/sheet114.xml" ContentType="application/vnd.openxmlformats-officedocument.spreadsheetml.worksheet+xml"/>
  <Override PartName="/xl/worksheets/sheet113.xml" ContentType="application/vnd.openxmlformats-officedocument.spreadsheetml.worksheet+xml"/>
  <Override PartName="/xl/worksheets/sheet112.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23.xml" ContentType="application/vnd.openxmlformats-officedocument.spreadsheetml.worksheet+xml"/>
  <Override PartName="/xl/worksheets/sheet122.xml" ContentType="application/vnd.openxmlformats-officedocument.spreadsheetml.worksheet+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9.xml" ContentType="application/vnd.openxmlformats-officedocument.spreadsheetml.worksheet+xml"/>
  <Override PartName="/xl/sharedStrings.xml" ContentType="application/vnd.openxmlformats-officedocument.spreadsheetml.sharedStrings+xml"/>
  <Override PartName="/xl/worksheets/sheet73.xml" ContentType="application/vnd.openxmlformats-officedocument.spreadsheetml.worksheet+xml"/>
  <Override PartName="/xl/worksheets/sheet71.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72.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9.xml" ContentType="application/vnd.openxmlformats-officedocument.spreadsheetml.worksheet+xml"/>
  <Override PartName="/xl/worksheets/sheet62.xml" ContentType="application/vnd.openxmlformats-officedocument.spreadsheetml.worksheet+xml"/>
  <Override PartName="/xl/worksheets/sheet61.xml" ContentType="application/vnd.openxmlformats-officedocument.spreadsheetml.worksheet+xml"/>
  <Override PartName="/xl/worksheets/sheet60.xml" ContentType="application/vnd.openxmlformats-officedocument.spreadsheetml.worksheet+xml"/>
  <Override PartName="/xl/worksheets/sheet59.xml" ContentType="application/vnd.openxmlformats-officedocument.spreadsheetml.worksheet+xml"/>
  <Override PartName="/xl/worksheets/sheet58.xml" ContentType="application/vnd.openxmlformats-officedocument.spreadsheetml.worksheet+xml"/>
  <Override PartName="/xl/worksheets/sheet57.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70.xml" ContentType="application/vnd.openxmlformats-officedocument.spreadsheetml.worksheet+xml"/>
  <Override PartName="/xl/worksheets/sheet69.xml" ContentType="application/vnd.openxmlformats-officedocument.spreadsheetml.worksheet+xml"/>
  <Override PartName="/xl/worksheets/sheet68.xml" ContentType="application/vnd.openxmlformats-officedocument.spreadsheetml.worksheet+xml"/>
  <Override PartName="/xl/worksheets/sheet67.xml" ContentType="application/vnd.openxmlformats-officedocument.spreadsheetml.worksheet+xml"/>
  <Override PartName="/xl/worksheets/sheet66.xml" ContentType="application/vnd.openxmlformats-officedocument.spreadsheetml.worksheet+xml"/>
  <Override PartName="/xl/worksheets/sheet38.xml" ContentType="application/vnd.openxmlformats-officedocument.spreadsheetml.worksheet+xml"/>
  <Override PartName="/xl/worksheets/sheet56.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8.xml" ContentType="application/vnd.openxmlformats-officedocument.spreadsheetml.worksheet+xml"/>
  <Override PartName="/xl/worksheets/sheet53.xml" ContentType="application/vnd.openxmlformats-officedocument.spreadsheetml.worksheet+xml"/>
  <Override PartName="/xl/worksheets/sheet47.xml" ContentType="application/vnd.openxmlformats-officedocument.spreadsheetml.worksheet+xml"/>
  <Override PartName="/xl/worksheets/sheet52.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1618\Desktop\Content upload\Fund Accounting\oct\"/>
    </mc:Choice>
  </mc:AlternateContent>
  <bookViews>
    <workbookView xWindow="-120" yWindow="-120" windowWidth="20730" windowHeight="11160"/>
  </bookViews>
  <sheets>
    <sheet name="Index" sheetId="166" r:id="rId1"/>
    <sheet name="SMEEF" sheetId="8" r:id="rId2"/>
    <sheet name="SLMF" sheetId="15" r:id="rId3"/>
    <sheet name="SLTEF" sheetId="16" r:id="rId4"/>
    <sheet name="SMGLF" sheetId="19" r:id="rId5"/>
    <sheet name="SEHF" sheetId="22" r:id="rId6"/>
    <sheet name="SMIF" sheetId="26" r:id="rId7"/>
    <sheet name="SCOF" sheetId="29" r:id="rId8"/>
    <sheet name="STOF" sheetId="30" r:id="rId9"/>
    <sheet name="SHOF" sheetId="31" r:id="rId10"/>
    <sheet name="SCF" sheetId="32" r:id="rId11"/>
    <sheet name="SNIF" sheetId="33" r:id="rId12"/>
    <sheet name="SMCBF" sheetId="34" r:id="rId13"/>
    <sheet name="SOF" sheetId="35" r:id="rId14"/>
    <sheet name="SMMDF" sheetId="36" r:id="rId15"/>
    <sheet name="SLF" sheetId="37" r:id="rId16"/>
    <sheet name="SDBF" sheetId="38" r:id="rId17"/>
    <sheet name="SSF" sheetId="39" r:id="rId18"/>
    <sheet name="SCRF" sheetId="40" r:id="rId19"/>
    <sheet name="SFEF" sheetId="41" r:id="rId20"/>
    <sheet name="SDHF" sheetId="42" r:id="rId21"/>
    <sheet name="SMUSD" sheetId="43" r:id="rId22"/>
    <sheet name="SMIDCAP" sheetId="44" r:id="rId23"/>
    <sheet name="SMCMF" sheetId="45" r:id="rId24"/>
    <sheet name="SMCOMMA" sheetId="46" r:id="rId25"/>
    <sheet name="SMGF" sheetId="47" r:id="rId26"/>
    <sheet name="SMMULTI" sheetId="48" r:id="rId27"/>
    <sheet name="SMAAF" sheetId="49" r:id="rId28"/>
    <sheet name="SBLUECHIP" sheetId="50" r:id="rId29"/>
    <sheet name="SAOF" sheetId="51" r:id="rId30"/>
    <sheet name="SIF" sheetId="52" r:id="rId31"/>
    <sheet name="SMLDF" sheetId="53" r:id="rId32"/>
    <sheet name="SSTDF" sheetId="54" r:id="rId33"/>
    <sheet name="SETF-Gold" sheetId="55" r:id="rId34"/>
    <sheet name="SPSU" sheetId="56" r:id="rId35"/>
    <sheet name="SGF" sheetId="57" r:id="rId36"/>
    <sheet name="STAF-II" sheetId="58" r:id="rId37"/>
    <sheet name="SETF-SENSEX" sheetId="59" r:id="rId38"/>
    <sheet name="SSCF" sheetId="60" r:id="rId39"/>
    <sheet name="SBPF" sheetId="61" r:id="rId40"/>
    <sheet name="STAF-III" sheetId="62" r:id="rId41"/>
    <sheet name="SEOF-I" sheetId="63" r:id="rId42"/>
    <sheet name="SLTAF-I" sheetId="64" r:id="rId43"/>
    <sheet name="SLTAF-II" sheetId="65" r:id="rId44"/>
    <sheet name="SBFS" sheetId="66" r:id="rId45"/>
    <sheet name="SDAAF" sheetId="67" r:id="rId46"/>
    <sheet name="SETF-NN50" sheetId="68" r:id="rId47"/>
    <sheet name="SETF-NBank" sheetId="69" r:id="rId48"/>
    <sheet name="SETF-BSE 100" sheetId="70" r:id="rId49"/>
    <sheet name="SESF" sheetId="71" r:id="rId50"/>
    <sheet name="SETF-Nifty 50" sheetId="72" r:id="rId51"/>
    <sheet name="SEOF-IV" sheetId="73" r:id="rId52"/>
    <sheet name="SLTAF-III" sheetId="74" r:id="rId53"/>
    <sheet name="SETF-10 Yr Gilt" sheetId="75" r:id="rId54"/>
    <sheet name="SLTAF-IV" sheetId="76" r:id="rId55"/>
    <sheet name="SDAFS-XXIV" sheetId="77" r:id="rId56"/>
    <sheet name="SDAFS-XXV" sheetId="78" r:id="rId57"/>
    <sheet name="SLTAF-V" sheetId="79" r:id="rId58"/>
    <sheet name="SDFS-C-7" sheetId="80" r:id="rId59"/>
    <sheet name="SDAFS-XXVI" sheetId="81" r:id="rId60"/>
    <sheet name="SDFS-C-8" sheetId="82" r:id="rId61"/>
    <sheet name="SDFS-C-9" sheetId="83" r:id="rId62"/>
    <sheet name="SDFS-C-10" sheetId="84" r:id="rId63"/>
    <sheet name="SDAFS-XXVII" sheetId="85" r:id="rId64"/>
    <sheet name="SDFS-C-12" sheetId="86" r:id="rId65"/>
    <sheet name="SDFS-C-14" sheetId="87" r:id="rId66"/>
    <sheet name="SLTAF-VI" sheetId="88" r:id="rId67"/>
    <sheet name="SDAFS-XXVIII" sheetId="89" r:id="rId68"/>
    <sheet name="SDFS-C-16" sheetId="90" r:id="rId69"/>
    <sheet name="SDFS-C-18" sheetId="91" r:id="rId70"/>
    <sheet name="SDFS-C-19" sheetId="92" r:id="rId71"/>
    <sheet name="SDAFS-XXIX" sheetId="93" r:id="rId72"/>
    <sheet name="SDFS-C-20" sheetId="94" r:id="rId73"/>
    <sheet name="SDFS-C-21" sheetId="95" r:id="rId74"/>
    <sheet name="SDFS-C-22" sheetId="96" r:id="rId75"/>
    <sheet name="SDFS-C-23" sheetId="97" r:id="rId76"/>
    <sheet name="SETF-SN50" sheetId="98" r:id="rId77"/>
    <sheet name="SDFS-C-24" sheetId="99" r:id="rId78"/>
    <sheet name="SDFS-C-25" sheetId="100" r:id="rId79"/>
    <sheet name="SDAFS-XXX" sheetId="101" r:id="rId80"/>
    <sheet name="SDFS-C-26" sheetId="102" r:id="rId81"/>
    <sheet name="SDFS-C-27" sheetId="103" r:id="rId82"/>
    <sheet name="SDFS-C-28" sheetId="104" r:id="rId83"/>
    <sheet name="SDFS-C-30" sheetId="105" r:id="rId84"/>
    <sheet name="SETF-Quality" sheetId="106" r:id="rId85"/>
    <sheet name="SDFS-C-32" sheetId="107" r:id="rId86"/>
    <sheet name="SDFS-C-33" sheetId="108" r:id="rId87"/>
    <sheet name="SDFS-C-34" sheetId="109" r:id="rId88"/>
    <sheet name="SDFS-C-35" sheetId="110" r:id="rId89"/>
    <sheet name="SDFS-C-38" sheetId="111" r:id="rId90"/>
    <sheet name="SCBF" sheetId="112" r:id="rId91"/>
    <sheet name="SDFS-C-40" sheetId="113" r:id="rId92"/>
    <sheet name="SDFS-C-41" sheetId="114" r:id="rId93"/>
    <sheet name="SDFS-C-43" sheetId="115" r:id="rId94"/>
    <sheet name="SDFS-C-44" sheetId="116" r:id="rId95"/>
    <sheet name="SCPOF-A1" sheetId="117" r:id="rId96"/>
    <sheet name="SDFS-C-46" sheetId="118" r:id="rId97"/>
    <sheet name="SEMVF" sheetId="119" r:id="rId98"/>
    <sheet name="SDFS-C-48" sheetId="120" r:id="rId99"/>
    <sheet name="SDFS-C-49" sheetId="121" r:id="rId100"/>
    <sheet name="SCPOF-Series A (Plan 2)" sheetId="122" r:id="rId101"/>
    <sheet name="SDFS-C-50" sheetId="123" r:id="rId102"/>
    <sheet name="SFMP- Series 1" sheetId="124" r:id="rId103"/>
    <sheet name="SFMP- Series 2" sheetId="125" r:id="rId104"/>
    <sheet name="SFMP- Series 3" sheetId="126" r:id="rId105"/>
    <sheet name="SCPOF-Series A (Plan 3)" sheetId="127" r:id="rId106"/>
    <sheet name="SFMP- Series 6" sheetId="128" r:id="rId107"/>
    <sheet name="SFMP- Series 7" sheetId="129" r:id="rId108"/>
    <sheet name="SFMP- Series 8" sheetId="130" r:id="rId109"/>
    <sheet name="SCPOF-Series A (Plan 4)" sheetId="131" r:id="rId110"/>
    <sheet name="SFMP- Series 9" sheetId="132" r:id="rId111"/>
    <sheet name="SFMP- Series 10" sheetId="133" r:id="rId112"/>
    <sheet name="SFMP- Series 11" sheetId="134" r:id="rId113"/>
    <sheet name="SFMP- Series 12" sheetId="135" r:id="rId114"/>
    <sheet name="SFMP- Series 13" sheetId="136" r:id="rId115"/>
    <sheet name="SFMP- Series 14" sheetId="137" r:id="rId116"/>
    <sheet name="SFMP- Series 15" sheetId="138" r:id="rId117"/>
    <sheet name="SFMP- Series 16" sheetId="139" r:id="rId118"/>
    <sheet name="SFMP- Series 17" sheetId="140" r:id="rId119"/>
    <sheet name="SCPOF-Series A (Plan 5)" sheetId="141" r:id="rId120"/>
    <sheet name="SFMP- Series 18" sheetId="142" r:id="rId121"/>
    <sheet name="SCPOF-Series A (Plan 6)" sheetId="143" r:id="rId122"/>
    <sheet name="SFMP- Series 19" sheetId="144" r:id="rId123"/>
    <sheet name="SFMP- Series 20" sheetId="145" r:id="rId124"/>
    <sheet name="SFMP- Series 21" sheetId="146" r:id="rId125"/>
    <sheet name="SFMP- Series 22" sheetId="147" r:id="rId126"/>
    <sheet name="SFMP- Series 23" sheetId="148" r:id="rId127"/>
    <sheet name="SFMP- Series 24" sheetId="149" r:id="rId128"/>
    <sheet name="SFMP- Series 25" sheetId="150" r:id="rId129"/>
    <sheet name="SFMP- Series 26" sheetId="151" r:id="rId130"/>
    <sheet name="SFMP- Series 27" sheetId="152" r:id="rId131"/>
    <sheet name="SCPOF-Series A (Plan 7)" sheetId="153" r:id="rId132"/>
    <sheet name="SFMP- Series 28" sheetId="154" r:id="rId133"/>
    <sheet name="SCPOF-Series A (Plan 8)" sheetId="155" r:id="rId134"/>
    <sheet name="SFMP- Series 31" sheetId="156" r:id="rId135"/>
    <sheet name="SFMP- Series 32" sheetId="157" r:id="rId136"/>
    <sheet name="SFMP- Series 33" sheetId="158" r:id="rId137"/>
    <sheet name="SFMP- Series 34" sheetId="159" r:id="rId138"/>
    <sheet name="SMCBF-Investment Plan" sheetId="160" r:id="rId139"/>
    <sheet name="SBIRIOS" sheetId="161" r:id="rId140"/>
  </sheets>
  <externalReferences>
    <externalReference r:id="rId141"/>
  </externalReferences>
  <definedNames>
    <definedName name="_xlnm._FilterDatabase" localSheetId="0" hidden="1">Index!$A$3:$D$142</definedName>
    <definedName name="XDO_?AUM?">'[1]MRIS-87'!$G$51</definedName>
    <definedName name="XDO_?CLASS_3?">'[1]MRIS-87'!$C$38:$C$48</definedName>
    <definedName name="XDO_?CLASS_3?1?">'[1]MTSS-88-89'!$C$38:$C$48</definedName>
    <definedName name="XDO_?CLASS_3?10?">'[1]MEX-91'!$C$38:$C$48</definedName>
    <definedName name="XDO_?CLASS_3?100?">'SDFS-C-26'!$C$16:$C$32</definedName>
    <definedName name="XDO_?CLASS_3?101?">'SDFS-C-27'!$C$16:$C$29</definedName>
    <definedName name="XDO_?CLASS_3?102?">'SDFS-C-28'!$C$16:$C$32</definedName>
    <definedName name="XDO_?CLASS_3?103?">'SDFS-C-30'!$C$16:$C$32</definedName>
    <definedName name="XDO_?CLASS_3?104?">'SETF-Quality'!$C$8:$C$39</definedName>
    <definedName name="XDO_?CLASS_3?105?">'SDFS-C-32'!$C$16:$C$37</definedName>
    <definedName name="XDO_?CLASS_3?106?">'SDFS-C-33'!$C$16:$C$38</definedName>
    <definedName name="XDO_?CLASS_3?107?">'SDFS-C-34'!$C$16:$C$32</definedName>
    <definedName name="XDO_?CLASS_3?108?">'SDFS-C-35'!$C$16:$C$33</definedName>
    <definedName name="XDO_?CLASS_3?109?">'SDFS-C-38'!$C$16:$C$28</definedName>
    <definedName name="XDO_?CLASS_3?11?">'[1]GIFTS B'!$C$8:$C$16</definedName>
    <definedName name="XDO_?CLASS_3?110?">SCBF!$C$16:$C$133</definedName>
    <definedName name="XDO_?CLASS_3?111?">'SDFS-C-40'!$C$16:$C$28</definedName>
    <definedName name="XDO_?CLASS_3?112?">'SDFS-C-41'!$C$16:$C$32</definedName>
    <definedName name="XDO_?CLASS_3?113?">'SDFS-C-43'!$C$16:$C$28</definedName>
    <definedName name="XDO_?CLASS_3?114?">'SDFS-C-44'!$C$16:$C$28</definedName>
    <definedName name="XDO_?CLASS_3?115?">'SCPOF-A1'!$C$8:$C$58</definedName>
    <definedName name="XDO_?CLASS_3?116?">'SDFS-C-46'!$C$16:$C$25</definedName>
    <definedName name="XDO_?CLASS_3?117?">SEMVF!$C$8:$C$121</definedName>
    <definedName name="XDO_?CLASS_3?118?">'SDFS-C-48'!$C$16:$C$34</definedName>
    <definedName name="XDO_?CLASS_3?119?">'SDFS-C-49'!$C$16:$C$27</definedName>
    <definedName name="XDO_?CLASS_3?12?">'[1]GIFTS A'!$C$8:$C$12</definedName>
    <definedName name="XDO_?CLASS_3?120?">'SCPOF-Series A (Plan 2)'!$C$8:$C$59</definedName>
    <definedName name="XDO_?CLASS_3?121?">'SDFS-C-50'!$C$16:$C$26</definedName>
    <definedName name="XDO_?CLASS_3?122?">'SFMP- Series 1'!$C$16:$C$31</definedName>
    <definedName name="XDO_?CLASS_3?123?">'SFMP- Series 2'!$C$16:$C$29</definedName>
    <definedName name="XDO_?CLASS_3?124?">'SFMP- Series 3'!$C$16:$C$29</definedName>
    <definedName name="XDO_?CLASS_3?125?">'SCPOF-Series A (Plan 3)'!$C$8:$C$59</definedName>
    <definedName name="XDO_?CLASS_3?126?">'SFMP- Series 6'!$C$16:$C$29</definedName>
    <definedName name="XDO_?CLASS_3?127?">'SFMP- Series 7'!$C$16:$C$32</definedName>
    <definedName name="XDO_?CLASS_3?128?">'SFMP- Series 8'!$C$16:$C$32</definedName>
    <definedName name="XDO_?CLASS_3?129?">'SCPOF-Series A (Plan 4)'!$C$8:$C$59</definedName>
    <definedName name="XDO_?CLASS_3?13?">SLMF!$C$8:$C$65</definedName>
    <definedName name="XDO_?CLASS_3?130?">'SFMP- Series 9'!$C$16:$C$31</definedName>
    <definedName name="XDO_?CLASS_3?131?">'SFMP- Series 10'!$C$16:$C$31</definedName>
    <definedName name="XDO_?CLASS_3?132?">'SFMP- Series 11'!$C$16:$C$36</definedName>
    <definedName name="XDO_?CLASS_3?133?">'SFMP- Series 12'!$C$16:$C$31</definedName>
    <definedName name="XDO_?CLASS_3?134?">'SFMP- Series 13'!$C$16:$C$31</definedName>
    <definedName name="XDO_?CLASS_3?135?">'SFMP- Series 14'!$C$16:$C$31</definedName>
    <definedName name="XDO_?CLASS_3?136?">'SFMP- Series 15'!$C$16:$C$29</definedName>
    <definedName name="XDO_?CLASS_3?137?">'SFMP- Series 16'!$C$16:$C$34</definedName>
    <definedName name="XDO_?CLASS_3?138?">'SFMP- Series 17'!$C$16:$C$30</definedName>
    <definedName name="XDO_?CLASS_3?139?">'SCPOF-Series A (Plan 5)'!$C$8:$C$59</definedName>
    <definedName name="XDO_?CLASS_3?14?">SLTEF!$C$8:$C$65</definedName>
    <definedName name="XDO_?CLASS_3?140?">'SFMP- Series 18'!$C$16:$C$30</definedName>
    <definedName name="XDO_?CLASS_3?141?">'SCPOF-Series A (Plan 6)'!$C$8:$C$59</definedName>
    <definedName name="XDO_?CLASS_3?142?">'SFMP- Series 19'!$C$16:$C$32</definedName>
    <definedName name="XDO_?CLASS_3?143?">'SFMP- Series 20'!$C$16:$C$31</definedName>
    <definedName name="XDO_?CLASS_3?144?">'SFMP- Series 21'!$C$16:$C$30</definedName>
    <definedName name="XDO_?CLASS_3?145?">'SFMP- Series 22'!$C$16:$C$30</definedName>
    <definedName name="XDO_?CLASS_3?146?">'SFMP- Series 23'!$C$16:$C$30</definedName>
    <definedName name="XDO_?CLASS_3?147?">'SFMP- Series 24'!$C$16:$C$30</definedName>
    <definedName name="XDO_?CLASS_3?148?">'SFMP- Series 25'!$C$16:$C$29</definedName>
    <definedName name="XDO_?CLASS_3?149?">'SFMP- Series 26'!$C$16:$C$30</definedName>
    <definedName name="XDO_?CLASS_3?15?">'[1]MRIS-93'!$C$8:$C$17</definedName>
    <definedName name="XDO_?CLASS_3?150?">'SFMP- Series 27'!$C$16:$C$28</definedName>
    <definedName name="XDO_?CLASS_3?151?">'SCPOF-Series A (Plan 7)'!$C$8:$C$59</definedName>
    <definedName name="XDO_?CLASS_3?152?">'SFMP- Series 28'!$C$16:$C$27</definedName>
    <definedName name="XDO_?CLASS_3?153?">'SCPOF-Series A (Plan 8)'!$C$8:$C$59</definedName>
    <definedName name="XDO_?CLASS_3?154?">'SFMP- Series 31'!$C$16:$C$25</definedName>
    <definedName name="XDO_?CLASS_3?155?">'SFMP- Series 32'!$C$16:$C$26</definedName>
    <definedName name="XDO_?CLASS_3?156?">'SFMP- Series 33'!$C$16:$C$26</definedName>
    <definedName name="XDO_?CLASS_3?157?">'SFMP- Series 34'!$C$16:$C$26</definedName>
    <definedName name="XDO_?CLASS_3?158?">'SMCBF-Investment Plan'!$C$8:$C$13</definedName>
    <definedName name="XDO_?CLASS_3?159?">SBIRIOS!$C$8:$C$55</definedName>
    <definedName name="XDO_?CLASS_3?16?">'[1]MTP-94'!$C$8:$C$12</definedName>
    <definedName name="XDO_?CLASS_3?160?">#REF!</definedName>
    <definedName name="XDO_?CLASS_3?161?">#REF!</definedName>
    <definedName name="XDO_?CLASS_3?162?">#REF!</definedName>
    <definedName name="XDO_?CLASS_3?163?">#REF!</definedName>
    <definedName name="XDO_?CLASS_3?17?">SMGLF!$C$8:$C$31</definedName>
    <definedName name="XDO_?CLASS_3?18?">'[1]MBF-94'!$C$8:$C$10</definedName>
    <definedName name="XDO_?CLASS_3?19?">'[1]MELS-95'!$C$38:$C$48</definedName>
    <definedName name="XDO_?CLASS_3?2?">'[1]MRIS-89'!$C$38:$C$48</definedName>
    <definedName name="XDO_?CLASS_3?20?">SEHF!$C$8:$C$51</definedName>
    <definedName name="XDO_?CLASS_3?21?">'[1]MELS-96'!$C$38:$C$48</definedName>
    <definedName name="XDO_?CLASS_3?22?">'[1]MMIS-97'!$C$38:$C$48</definedName>
    <definedName name="XDO_?CLASS_3?23?">'[1]MMIS-98 I'!$C$8:$C$12</definedName>
    <definedName name="XDO_?CLASS_3?24?">SMIF!$C$16:$C$30</definedName>
    <definedName name="XDO_?CLASS_3?25?">'[1]MMIS-98 II'!$C$38:$C$48</definedName>
    <definedName name="XDO_?CLASS_3?26?">'[1]MGF-99'!$C$8:$C$12</definedName>
    <definedName name="XDO_?CLASS_3?27?">SCOF!$C$8:$C$38</definedName>
    <definedName name="XDO_?CLASS_3?28?">STOF!$C$8:$C$14</definedName>
    <definedName name="XDO_?CLASS_3?29?">SHOF!$C$8:$C$31</definedName>
    <definedName name="XDO_?CLASS_3?3?">'[1]MMIS-89'!$C$8:$C$10</definedName>
    <definedName name="XDO_?CLASS_3?30?">SCF!$C$8:$C$56</definedName>
    <definedName name="XDO_?CLASS_3?31?">SNIF!$C$8:$C$121</definedName>
    <definedName name="XDO_?CLASS_3?32?">SMCBF!$C$8:$C$36</definedName>
    <definedName name="XDO_?CLASS_3?33?">SOF!$C$38:$C$49</definedName>
    <definedName name="XDO_?CLASS_3?34?">SMMDF!$C$16:$C$53</definedName>
    <definedName name="XDO_?CLASS_3?35?">SLF!$C$16:$C$29</definedName>
    <definedName name="XDO_?CLASS_3?36?">SDBF!$C$16:$C$29</definedName>
    <definedName name="XDO_?CLASS_3?37?">SSF!$C$16:$C$25</definedName>
    <definedName name="XDO_?CLASS_3?38?">SCRF!$C$16:$C$61</definedName>
    <definedName name="XDO_?CLASS_3?39?">SFEF!$C$8:$C$10</definedName>
    <definedName name="XDO_?CLASS_3?4?">'[1]MTSS-90'!$C$38:$C$48</definedName>
    <definedName name="XDO_?CLASS_3?40?">SDHF!$C$8:$C$34</definedName>
    <definedName name="XDO_?CLASS_3?41?">SMUSD!$C$16:$C$39</definedName>
    <definedName name="XDO_?CLASS_3?42?">SMIDCAP!$C$8:$C$59</definedName>
    <definedName name="XDO_?CLASS_3?43?">SMCMF!$C$16:$C$28</definedName>
    <definedName name="XDO_?CLASS_3?44?">SMCOMMA!$C$8:$C$35</definedName>
    <definedName name="XDO_?CLASS_3?45?">SMGF!$C$16:$C$28</definedName>
    <definedName name="XDO_?CLASS_3?46?">SMMULTI!$C$8:$C$55</definedName>
    <definedName name="XDO_?CLASS_3?47?">SMAAF!$C$8:$C$59</definedName>
    <definedName name="XDO_?CLASS_3?48?">SBLUECHIP!$C$8:$C$67</definedName>
    <definedName name="XDO_?CLASS_3?49?">SAOF!$C$8:$C$73</definedName>
    <definedName name="XDO_?CLASS_3?5?">'[1]MRIS-90'!$C$38:$C$48</definedName>
    <definedName name="XDO_?CLASS_3?50?">SIF!$C$8:$C$37</definedName>
    <definedName name="XDO_?CLASS_3?51?">SMLDF!$C$16:$C$62</definedName>
    <definedName name="XDO_?CLASS_3?52?">SSTDF!$C$16:$C$101</definedName>
    <definedName name="XDO_?CLASS_3?53?">'SETF-Gold'!$C$38:$C$42</definedName>
    <definedName name="XDO_?CLASS_3?54?">SPSU!$C$8:$C$31</definedName>
    <definedName name="XDO_?CLASS_3?55?">SGF!$C$38:$C$40</definedName>
    <definedName name="XDO_?CLASS_3?56?">'STAF-II'!$C$8:$C$35</definedName>
    <definedName name="XDO_?CLASS_3?57?">'SETF-SENSEX'!$C$8:$C$39</definedName>
    <definedName name="XDO_?CLASS_3?58?">SSCF!$C$8:$C$62</definedName>
    <definedName name="XDO_?CLASS_3?59?">SBPF!$C$16:$C$96</definedName>
    <definedName name="XDO_?CLASS_3?6?">SMEEF!$C$8:$C$50</definedName>
    <definedName name="XDO_?CLASS_3?60?">'STAF-III'!$C$8:$C$36</definedName>
    <definedName name="XDO_?CLASS_3?61?">'SEOF-I'!$C$8:$C$45</definedName>
    <definedName name="XDO_?CLASS_3?62?">'SLTAF-I'!$C$8:$C$37</definedName>
    <definedName name="XDO_?CLASS_3?63?">'SLTAF-II'!$C$8:$C$39</definedName>
    <definedName name="XDO_?CLASS_3?64?">SBFS!$C$8:$C$30</definedName>
    <definedName name="XDO_?CLASS_3?65?">SDAAF!$C$8:$C$40</definedName>
    <definedName name="XDO_?CLASS_3?66?">'SETF-NN50'!$C$8:$C$59</definedName>
    <definedName name="XDO_?CLASS_3?67?">'SETF-NBank'!$C$8:$C$76</definedName>
    <definedName name="XDO_?CLASS_3?68?">'SETF-BSE 100'!$C$8:$C$165</definedName>
    <definedName name="XDO_?CLASS_3?69?">SESF!$C$8:$C$81</definedName>
    <definedName name="XDO_?CLASS_3?7?">'[1]MELS-91'!$C$8:$C$12</definedName>
    <definedName name="XDO_?CLASS_3?70?">'SETF-Nifty 50'!$C$8:$C$114</definedName>
    <definedName name="XDO_?CLASS_3?71?">'SEOF-IV'!$C$8:$C$45</definedName>
    <definedName name="XDO_?CLASS_3?72?">'SLTAF-III'!$C$8:$C$39</definedName>
    <definedName name="XDO_?CLASS_3?73?">'SETF-10 Yr Gilt'!$C$16:$C$24</definedName>
    <definedName name="XDO_?CLASS_3?74?">'SLTAF-IV'!$C$8:$C$38</definedName>
    <definedName name="XDO_?CLASS_3?75?">'SDAFS-XXIV'!$C$16:$C$21</definedName>
    <definedName name="XDO_?CLASS_3?76?">'SDAFS-XXV'!$C$8:$C$31</definedName>
    <definedName name="XDO_?CLASS_3?77?">'SLTAF-V'!$C$8:$C$42</definedName>
    <definedName name="XDO_?CLASS_3?78?">'SDFS-C-7'!$C$16:$C$28</definedName>
    <definedName name="XDO_?CLASS_3?79?">'SDAFS-XXVI'!$C$8:$C$31</definedName>
    <definedName name="XDO_?CLASS_3?8?">'[1]MMIS-91'!$C$8:$C$11</definedName>
    <definedName name="XDO_?CLASS_3?80?">'SDFS-C-8'!$C$16:$C$28</definedName>
    <definedName name="XDO_?CLASS_3?81?">'SDFS-C-9'!$C$16:$C$27</definedName>
    <definedName name="XDO_?CLASS_3?82?">'SDFS-C-10'!$C$16:$C$29</definedName>
    <definedName name="XDO_?CLASS_3?83?">'SDAFS-XXVII'!$C$8:$C$33</definedName>
    <definedName name="XDO_?CLASS_3?84?">'SDFS-C-12'!$C$16:$C$26</definedName>
    <definedName name="XDO_?CLASS_3?85?">'SDFS-C-14'!$C$16:$C$27</definedName>
    <definedName name="XDO_?CLASS_3?86?">'SLTAF-VI'!$C$8:$C$35</definedName>
    <definedName name="XDO_?CLASS_3?87?">'SDAFS-XXVIII'!$C$8:$C$34</definedName>
    <definedName name="XDO_?CLASS_3?88?">'SDFS-C-16'!$C$16:$C$32</definedName>
    <definedName name="XDO_?CLASS_3?89?">'SDFS-C-18'!$C$16:$C$36</definedName>
    <definedName name="XDO_?CLASS_3?9?">[1]MTPL!$C$8:$C$10</definedName>
    <definedName name="XDO_?CLASS_3?90?">'SDFS-C-19'!$C$16:$C$29</definedName>
    <definedName name="XDO_?CLASS_3?91?">'SDAFS-XXIX'!$C$8:$C$34</definedName>
    <definedName name="XDO_?CLASS_3?92?">'SDFS-C-20'!$C$16:$C$28</definedName>
    <definedName name="XDO_?CLASS_3?93?">'SDFS-C-21'!$C$16:$C$29</definedName>
    <definedName name="XDO_?CLASS_3?94?">'SDFS-C-22'!$C$16:$C$29</definedName>
    <definedName name="XDO_?CLASS_3?95?">'SDFS-C-23'!$C$16:$C$34</definedName>
    <definedName name="XDO_?CLASS_3?96?">'SETF-SN50'!$C$8:$C$114</definedName>
    <definedName name="XDO_?CLASS_3?97?">'SDFS-C-24'!$C$16:$C$29</definedName>
    <definedName name="XDO_?CLASS_3?98?">'SDFS-C-25'!$C$16:$C$34</definedName>
    <definedName name="XDO_?CLASS_3?99?">'SDAFS-XXX'!$C$8:$C$34</definedName>
    <definedName name="XDO_?CLASS_4?">'[1]MRIS-87'!$C$47</definedName>
    <definedName name="XDO_?CS_1?">'[1]MRIS-87'!$G$49</definedName>
    <definedName name="XDO_?CS_2?">'[1]MRIS-87'!$H$49</definedName>
    <definedName name="XDO_?FINAL_ISIN?">'[1]MRIS-87'!$D$48:$D$53</definedName>
    <definedName name="XDO_?FINAL_ISIN?1?">'[1]MTSS-88-89'!$D$48</definedName>
    <definedName name="XDO_?FINAL_ISIN?10?">'[1]MRIS-90'!$D$48</definedName>
    <definedName name="XDO_?FINAL_ISIN?100?">SCF!$D$10:$D$100</definedName>
    <definedName name="XDO_?FINAL_ISIN?101?">SCF!$D$10:$D$105</definedName>
    <definedName name="XDO_?FINAL_ISIN?102?">SNIF!$D$10:$D$121</definedName>
    <definedName name="XDO_?FINAL_ISIN?103?">SNIF!$D$10:$D$96</definedName>
    <definedName name="XDO_?FINAL_ISIN?104?">SNIF!$D$10:$D$100</definedName>
    <definedName name="XDO_?FINAL_ISIN?105?">SNIF!$D$10:$D$105</definedName>
    <definedName name="XDO_?FINAL_ISIN?106?">SMCBF!$D$10:$D$36</definedName>
    <definedName name="XDO_?FINAL_ISIN?107?">SMCBF!$D$10:$D$39</definedName>
    <definedName name="XDO_?FINAL_ISIN?108?">SMCBF!$D$10:$D$52</definedName>
    <definedName name="XDO_?FINAL_ISIN?109?">SMCBF!$D$10:$D$60</definedName>
    <definedName name="XDO_?FINAL_ISIN?11?">'[1]MRIS-90'!$D$48:$D$53</definedName>
    <definedName name="XDO_?FINAL_ISIN?110?">SMCBF!$D$10:$D$64</definedName>
    <definedName name="XDO_?FINAL_ISIN?111?">SMCBF!$D$10:$D$87</definedName>
    <definedName name="XDO_?FINAL_ISIN?112?">SMCBF!$D$10:$D$92</definedName>
    <definedName name="XDO_?FINAL_ISIN?113?">SOF!$D$48:$D$49</definedName>
    <definedName name="XDO_?FINAL_ISIN?114?">SOF!$D$48:$D$54</definedName>
    <definedName name="XDO_?FINAL_ISIN?115?">SMMDF!$D$18:$D$53</definedName>
    <definedName name="XDO_?FINAL_ISIN?116?">SMMDF!$D$18:$D$67</definedName>
    <definedName name="XDO_?FINAL_ISIN?117?">SMMDF!$D$18:$D$80</definedName>
    <definedName name="XDO_?FINAL_ISIN?118?">SMMDF!$D$18:$D$84</definedName>
    <definedName name="XDO_?FINAL_ISIN?119?">SMMDF!$D$18:$D$107</definedName>
    <definedName name="XDO_?FINAL_ISIN?12?">SMEEF!$D$10:$D$50</definedName>
    <definedName name="XDO_?FINAL_ISIN?120?">SMMDF!$D$18:$D$112</definedName>
    <definedName name="XDO_?FINAL_ISIN?121?">SLF!$D$26:$D$29</definedName>
    <definedName name="XDO_?FINAL_ISIN?122?">SLF!$D$26:$D$58</definedName>
    <definedName name="XDO_?FINAL_ISIN?123?">SLF!$D$26:$D$77</definedName>
    <definedName name="XDO_?FINAL_ISIN?124?">SLF!$D$26:$D$92</definedName>
    <definedName name="XDO_?FINAL_ISIN?125?">SLF!$D$26:$D$97</definedName>
    <definedName name="XDO_?FINAL_ISIN?126?">SDBF!$D$24:$D$29</definedName>
    <definedName name="XDO_?FINAL_ISIN?127?">SDBF!$D$24:$D$54</definedName>
    <definedName name="XDO_?FINAL_ISIN?128?">SDBF!$D$24:$D$59</definedName>
    <definedName name="XDO_?FINAL_ISIN?129?">SSF!$D$24:$D$25</definedName>
    <definedName name="XDO_?FINAL_ISIN?13?">SMEEF!$D$10:$D$55</definedName>
    <definedName name="XDO_?FINAL_ISIN?130?">SSF!$D$24:$D$80</definedName>
    <definedName name="XDO_?FINAL_ISIN?131?">SSF!$D$24:$D$102</definedName>
    <definedName name="XDO_?FINAL_ISIN?132?">SSF!$D$24:$D$113</definedName>
    <definedName name="XDO_?FINAL_ISIN?133?">SSF!$D$24:$D$128</definedName>
    <definedName name="XDO_?FINAL_ISIN?134?">SSF!$D$24:$D$133</definedName>
    <definedName name="XDO_?FINAL_ISIN?135?">SCRF!$D$18:$D$61</definedName>
    <definedName name="XDO_?FINAL_ISIN?136?">SCRF!$D$18:$D$75</definedName>
    <definedName name="XDO_?FINAL_ISIN?137?">SCRF!$D$18:$D$85</definedName>
    <definedName name="XDO_?FINAL_ISIN?138?">SCRF!$D$18:$D$110</definedName>
    <definedName name="XDO_?FINAL_ISIN?139?">SCRF!$D$18:$D$115</definedName>
    <definedName name="XDO_?FINAL_ISIN?14?">SMEEF!$D$10:$D$84</definedName>
    <definedName name="XDO_?FINAL_ISIN?140?">SFEF!$D$10</definedName>
    <definedName name="XDO_?FINAL_ISIN?141?">SFEF!$D$10:$D$41</definedName>
    <definedName name="XDO_?FINAL_ISIN?142?">SFEF!$D$10:$D$35</definedName>
    <definedName name="XDO_?FINAL_ISIN?143?">SFEF!$D$10:$D$42</definedName>
    <definedName name="XDO_?FINAL_ISIN?144?">SFEF!$D$10:$D$75</definedName>
    <definedName name="XDO_?FINAL_ISIN?145?">SFEF!$D$10:$D$79</definedName>
    <definedName name="XDO_?FINAL_ISIN?146?">SFEF!$D$10:$D$84</definedName>
    <definedName name="XDO_?FINAL_ISIN?147?">SDHF!$D$10:$D$34</definedName>
    <definedName name="XDO_?FINAL_ISIN?148?">SDHF!$D$10:$D$54</definedName>
    <definedName name="XDO_?FINAL_ISIN?149?">SDHF!$D$10:$D$68</definedName>
    <definedName name="XDO_?FINAL_ISIN?15?">SMEEF!$D$10:$D$92</definedName>
    <definedName name="XDO_?FINAL_ISIN?150?">SDHF!$D$10:$D$77</definedName>
    <definedName name="XDO_?FINAL_ISIN?151?">SDHF!$D$10:$D$102</definedName>
    <definedName name="XDO_?FINAL_ISIN?152?">SDHF!$D$10:$D$107</definedName>
    <definedName name="XDO_?FINAL_ISIN?153?">SMUSD!$D$18:$D$39</definedName>
    <definedName name="XDO_?FINAL_ISIN?154?">SMUSD!$D$18:$D$50</definedName>
    <definedName name="XDO_?FINAL_ISIN?155?">SMUSD!$D$18:$D$56</definedName>
    <definedName name="XDO_?FINAL_ISIN?156?">SMUSD!$D$18:$D$70</definedName>
    <definedName name="XDO_?FINAL_ISIN?157?">SMUSD!$D$18:$D$86</definedName>
    <definedName name="XDO_?FINAL_ISIN?158?">SMUSD!$D$18:$D$94</definedName>
    <definedName name="XDO_?FINAL_ISIN?159?">SMUSD!$D$18:$D$109</definedName>
    <definedName name="XDO_?FINAL_ISIN?16?">SMEEF!$D$10:$D$96</definedName>
    <definedName name="XDO_?FINAL_ISIN?160?">SMUSD!$D$18:$D$114</definedName>
    <definedName name="XDO_?FINAL_ISIN?161?">SMIDCAP!$D$10:$D$59</definedName>
    <definedName name="XDO_?FINAL_ISIN?162?">SMIDCAP!$D$10:$D$62</definedName>
    <definedName name="XDO_?FINAL_ISIN?163?">SMIDCAP!$D$10:$D$98</definedName>
    <definedName name="XDO_?FINAL_ISIN?164?">SMIDCAP!$D$10:$D$103</definedName>
    <definedName name="XDO_?FINAL_ISIN?165?">SMCMF!$D$24:$D$28</definedName>
    <definedName name="XDO_?FINAL_ISIN?166?">SMCMF!$D$24:$D$53</definedName>
    <definedName name="XDO_?FINAL_ISIN?167?">SMCMF!$D$24:$D$58</definedName>
    <definedName name="XDO_?FINAL_ISIN?168?">SMCOMMA!$D$10:$D$35</definedName>
    <definedName name="XDO_?FINAL_ISIN?169?">SMCOMMA!$D$10:$D$74</definedName>
    <definedName name="XDO_?FINAL_ISIN?17?">SMEEF!$D$10:$D$101</definedName>
    <definedName name="XDO_?FINAL_ISIN?170?">SMCOMMA!$D$10:$D$79</definedName>
    <definedName name="XDO_?FINAL_ISIN?171?">SMGF!$D$24:$D$28</definedName>
    <definedName name="XDO_?FINAL_ISIN?172?">SMGF!$D$24:$D$53</definedName>
    <definedName name="XDO_?FINAL_ISIN?173?">SMGF!$D$24:$D$58</definedName>
    <definedName name="XDO_?FINAL_ISIN?174?">SMMULTI!$D$10:$D$55</definedName>
    <definedName name="XDO_?FINAL_ISIN?175?">SMMULTI!$D$10:$D$58</definedName>
    <definedName name="XDO_?FINAL_ISIN?176?">SMMULTI!$D$10:$D$94</definedName>
    <definedName name="XDO_?FINAL_ISIN?177?">SMMULTI!$D$10:$D$99</definedName>
    <definedName name="XDO_?FINAL_ISIN?178?">SMAAF!$D$10:$D$59</definedName>
    <definedName name="XDO_?FINAL_ISIN?179?">SMAAF!$D$10:$D$76</definedName>
    <definedName name="XDO_?FINAL_ISIN?18?">'[1]MELS-91'!$D$12</definedName>
    <definedName name="XDO_?FINAL_ISIN?180?">SMAAF!$D$10:$D$93</definedName>
    <definedName name="XDO_?FINAL_ISIN?181?">SMAAF!$D$10:$D$103</definedName>
    <definedName name="XDO_?FINAL_ISIN?182?">SMAAF!$D$10:$D$108</definedName>
    <definedName name="XDO_?FINAL_ISIN?183?">SBLUECHIP!$D$10:$D$67</definedName>
    <definedName name="XDO_?FINAL_ISIN?184?">SBLUECHIP!$D$10:$D$106</definedName>
    <definedName name="XDO_?FINAL_ISIN?185?">SBLUECHIP!$D$10:$D$111</definedName>
    <definedName name="XDO_?FINAL_ISIN?186?">SAOF!$D$10:$D$73</definedName>
    <definedName name="XDO_?FINAL_ISIN?187?">SAOF!$D$10:$D$88</definedName>
    <definedName name="XDO_?FINAL_ISIN?188?">SAOF!$D$10:$D$95</definedName>
    <definedName name="XDO_?FINAL_ISIN?189?">SAOF!$D$10:$D$126</definedName>
    <definedName name="XDO_?FINAL_ISIN?19?">'[1]MELS-91'!$D$12:$D$49</definedName>
    <definedName name="XDO_?FINAL_ISIN?190?">SAOF!$D$10:$D$130</definedName>
    <definedName name="XDO_?FINAL_ISIN?191?">SAOF!$D$10:$D$135</definedName>
    <definedName name="XDO_?FINAL_ISIN?192?">SIF!$D$10:$D$37</definedName>
    <definedName name="XDO_?FINAL_ISIN?193?">SIF!$D$10:$D$76</definedName>
    <definedName name="XDO_?FINAL_ISIN?194?">SIF!$D$10:$D$81</definedName>
    <definedName name="XDO_?FINAL_ISIN?195?">SMLDF!$D$18:$D$62</definedName>
    <definedName name="XDO_?FINAL_ISIN?196?">SMLDF!$D$18:$D$67</definedName>
    <definedName name="XDO_?FINAL_ISIN?197?">SMLDF!$D$18:$D$77</definedName>
    <definedName name="XDO_?FINAL_ISIN?198?">SMLDF!$D$18:$D$83</definedName>
    <definedName name="XDO_?FINAL_ISIN?199?">SMLDF!$D$18:$D$92</definedName>
    <definedName name="XDO_?FINAL_ISIN?2?">'[1]MTSS-88-89'!$D$48:$D$53</definedName>
    <definedName name="XDO_?FINAL_ISIN?20?">'[1]MELS-91'!$D$12:$D$54</definedName>
    <definedName name="XDO_?FINAL_ISIN?200?">SMLDF!$D$18:$D$106</definedName>
    <definedName name="XDO_?FINAL_ISIN?201?">SMLDF!$D$18:$D$112</definedName>
    <definedName name="XDO_?FINAL_ISIN?202?">SMLDF!$D$18:$D$118</definedName>
    <definedName name="XDO_?FINAL_ISIN?203?">SMLDF!$D$18:$D$133</definedName>
    <definedName name="XDO_?FINAL_ISIN?204?">SMLDF!$D$18:$D$138</definedName>
    <definedName name="XDO_?FINAL_ISIN?205?">SSTDF!$D$18:$D$101</definedName>
    <definedName name="XDO_?FINAL_ISIN?206?">SSTDF!$D$18:$D$105</definedName>
    <definedName name="XDO_?FINAL_ISIN?207?">SSTDF!$D$18:$D$113</definedName>
    <definedName name="XDO_?FINAL_ISIN?208?">SSTDF!$D$18:$D$123</definedName>
    <definedName name="XDO_?FINAL_ISIN?209?">SSTDF!$D$18:$D$136</definedName>
    <definedName name="XDO_?FINAL_ISIN?21?">'[1]MMIS-91'!$D$10:$D$11</definedName>
    <definedName name="XDO_?FINAL_ISIN?210?">SSTDF!$D$18:$D$145</definedName>
    <definedName name="XDO_?FINAL_ISIN?211?">SSTDF!$D$18:$D$160</definedName>
    <definedName name="XDO_?FINAL_ISIN?212?">SSTDF!$D$18:$D$165</definedName>
    <definedName name="XDO_?FINAL_ISIN?213?">'SETF-Gold'!$D$42</definedName>
    <definedName name="XDO_?FINAL_ISIN?214?">'SETF-Gold'!$D$42:$D$50</definedName>
    <definedName name="XDO_?FINAL_ISIN?215?">'SETF-Gold'!$D$42:$D$55</definedName>
    <definedName name="XDO_?FINAL_ISIN?216?">SPSU!$D$10:$D$31</definedName>
    <definedName name="XDO_?FINAL_ISIN?217?">SPSU!$D$10:$D$70</definedName>
    <definedName name="XDO_?FINAL_ISIN?218?">SPSU!$D$10:$D$75</definedName>
    <definedName name="XDO_?FINAL_ISIN?219?">SGF!$D$40</definedName>
    <definedName name="XDO_?FINAL_ISIN?22?">'[1]MMIS-91'!$D$10:$D$25</definedName>
    <definedName name="XDO_?FINAL_ISIN?220?">SGF!$D$40:$D$50</definedName>
    <definedName name="XDO_?FINAL_ISIN?221?">SGF!$D$40:$D$55</definedName>
    <definedName name="XDO_?FINAL_ISIN?222?">'STAF-II'!$D$10:$D$35</definedName>
    <definedName name="XDO_?FINAL_ISIN?223?">'STAF-II'!$D$10:$D$39</definedName>
    <definedName name="XDO_?FINAL_ISIN?224?">'STAF-II'!$D$10:$D$76</definedName>
    <definedName name="XDO_?FINAL_ISIN?225?">'STAF-II'!$D$10:$D$81</definedName>
    <definedName name="XDO_?FINAL_ISIN?226?">'SETF-SENSEX'!$D$10:$D$39</definedName>
    <definedName name="XDO_?FINAL_ISIN?227?">'SETF-SENSEX'!$D$10:$D$78</definedName>
    <definedName name="XDO_?FINAL_ISIN?228?">'SETF-SENSEX'!$D$10:$D$83</definedName>
    <definedName name="XDO_?FINAL_ISIN?229?">SSCF!$D$10:$D$62</definedName>
    <definedName name="XDO_?FINAL_ISIN?23?">'[1]MMIS-91'!$D$10:$D$62</definedName>
    <definedName name="XDO_?FINAL_ISIN?230?">SSCF!$D$10:$D$61</definedName>
    <definedName name="XDO_?FINAL_ISIN?231?">SSCF!$D$10:$D$99</definedName>
    <definedName name="XDO_?FINAL_ISIN?232?">SSCF!$D$10:$D$104</definedName>
    <definedName name="XDO_?FINAL_ISIN?233?">SBPF!$D$18:$D$96</definedName>
    <definedName name="XDO_?FINAL_ISIN?234?">SBPF!$D$18:$D$101</definedName>
    <definedName name="XDO_?FINAL_ISIN?235?">SBPF!$D$18:$D$111</definedName>
    <definedName name="XDO_?FINAL_ISIN?236?">SBPF!$D$18:$D$117</definedName>
    <definedName name="XDO_?FINAL_ISIN?237?">SBPF!$D$18:$D$140</definedName>
    <definedName name="XDO_?FINAL_ISIN?238?">SBPF!$D$18:$D$145</definedName>
    <definedName name="XDO_?FINAL_ISIN?239?">'STAF-III'!$D$10:$D$36</definedName>
    <definedName name="XDO_?FINAL_ISIN?24?">'[1]MMIS-91'!$D$10:$D$67</definedName>
    <definedName name="XDO_?FINAL_ISIN?240?">'STAF-III'!$D$10:$D$75</definedName>
    <definedName name="XDO_?FINAL_ISIN?241?">'STAF-III'!$D$10:$D$80</definedName>
    <definedName name="XDO_?FINAL_ISIN?242?">'SEOF-I'!$D$10:$D$45</definedName>
    <definedName name="XDO_?FINAL_ISIN?243?">'SEOF-I'!$D$10:$D$84</definedName>
    <definedName name="XDO_?FINAL_ISIN?244?">'SEOF-I'!$D$10:$D$89</definedName>
    <definedName name="XDO_?FINAL_ISIN?245?">'SLTAF-I'!$D$10:$D$37</definedName>
    <definedName name="XDO_?FINAL_ISIN?246?">'SLTAF-I'!$D$10:$D$76</definedName>
    <definedName name="XDO_?FINAL_ISIN?247?">'SLTAF-I'!$D$10:$D$81</definedName>
    <definedName name="XDO_?FINAL_ISIN?248?">'SLTAF-II'!$D$10:$D$39</definedName>
    <definedName name="XDO_?FINAL_ISIN?249?">'SLTAF-II'!$D$10:$D$78</definedName>
    <definedName name="XDO_?FINAL_ISIN?25?">[1]MTPL!$D$10</definedName>
    <definedName name="XDO_?FINAL_ISIN?250?">'SLTAF-II'!$D$10:$D$83</definedName>
    <definedName name="XDO_?FINAL_ISIN?251?">SBFS!$D$10:$D$30</definedName>
    <definedName name="XDO_?FINAL_ISIN?252?">SBFS!$D$10:$D$33</definedName>
    <definedName name="XDO_?FINAL_ISIN?253?">SBFS!$D$10:$D$69</definedName>
    <definedName name="XDO_?FINAL_ISIN?254?">SBFS!$D$10:$D$74</definedName>
    <definedName name="XDO_?FINAL_ISIN?255?">SDAAF!$D$10:$D$40</definedName>
    <definedName name="XDO_?FINAL_ISIN?256?">SDAAF!$D$10:$D$77</definedName>
    <definedName name="XDO_?FINAL_ISIN?257?">SDAAF!$D$10:$D$81</definedName>
    <definedName name="XDO_?FINAL_ISIN?258?">SDAAF!$D$10:$D$86</definedName>
    <definedName name="XDO_?FINAL_ISIN?259?">'SETF-NN50'!$D$10:$D$59</definedName>
    <definedName name="XDO_?FINAL_ISIN?26?">[1]MTPL!$D$10:$D$49</definedName>
    <definedName name="XDO_?FINAL_ISIN?260?">'SETF-NN50'!$D$10:$D$98</definedName>
    <definedName name="XDO_?FINAL_ISIN?261?">'SETF-NN50'!$D$10:$D$103</definedName>
    <definedName name="XDO_?FINAL_ISIN?262?">'SETF-NBank'!$D$10:$D$76</definedName>
    <definedName name="XDO_?FINAL_ISIN?263?">'SETF-NBank'!$D$10:$D$60</definedName>
    <definedName name="XDO_?FINAL_ISIN?264?">'SETF-NBank'!$D$10:$D$65</definedName>
    <definedName name="XDO_?FINAL_ISIN?265?">'SETF-BSE 100'!$D$10:$D$165</definedName>
    <definedName name="XDO_?FINAL_ISIN?266?">'SETF-BSE 100'!$D$10:$D$149</definedName>
    <definedName name="XDO_?FINAL_ISIN?267?">'SETF-BSE 100'!$D$10:$D$154</definedName>
    <definedName name="XDO_?FINAL_ISIN?268?">SESF!$D$10:$D$81</definedName>
    <definedName name="XDO_?FINAL_ISIN?269?">SESF!$D$10:$D$84</definedName>
    <definedName name="XDO_?FINAL_ISIN?27?">[1]MTPL!$D$10:$D$54</definedName>
    <definedName name="XDO_?FINAL_ISIN?270?">SESF!$D$10:$D$94</definedName>
    <definedName name="XDO_?FINAL_ISIN?271?">SESF!$D$10:$D$98</definedName>
    <definedName name="XDO_?FINAL_ISIN?272?">SESF!$D$10:$D$106</definedName>
    <definedName name="XDO_?FINAL_ISIN?273?">SESF!$D$10:$D$130</definedName>
    <definedName name="XDO_?FINAL_ISIN?274?">SESF!$D$10:$D$134</definedName>
    <definedName name="XDO_?FINAL_ISIN?275?">SESF!$D$10:$D$139</definedName>
    <definedName name="XDO_?FINAL_ISIN?276?">'SETF-Nifty 50'!$D$10:$D$114</definedName>
    <definedName name="XDO_?FINAL_ISIN?277?">'SETF-Nifty 50'!$D$10:$D$98</definedName>
    <definedName name="XDO_?FINAL_ISIN?278?">'SETF-Nifty 50'!$D$10:$D$103</definedName>
    <definedName name="XDO_?FINAL_ISIN?279?">'SEOF-IV'!$D$10:$D$45</definedName>
    <definedName name="XDO_?FINAL_ISIN?28?">'[1]MEX-91'!$D$48</definedName>
    <definedName name="XDO_?FINAL_ISIN?280?">'SEOF-IV'!$D$10:$D$84</definedName>
    <definedName name="XDO_?FINAL_ISIN?281?">'SEOF-IV'!$D$10:$D$89</definedName>
    <definedName name="XDO_?FINAL_ISIN?282?">'SLTAF-III'!$D$10:$D$39</definedName>
    <definedName name="XDO_?FINAL_ISIN?283?">'SLTAF-III'!$D$10:$D$78</definedName>
    <definedName name="XDO_?FINAL_ISIN?284?">'SLTAF-III'!$D$10:$D$83</definedName>
    <definedName name="XDO_?FINAL_ISIN?285?">'SETF-10 Yr Gilt'!$D$24</definedName>
    <definedName name="XDO_?FINAL_ISIN?286?">'SETF-10 Yr Gilt'!$D$24:$D$49</definedName>
    <definedName name="XDO_?FINAL_ISIN?287?">'SETF-10 Yr Gilt'!$D$24:$D$54</definedName>
    <definedName name="XDO_?FINAL_ISIN?288?">'SLTAF-IV'!$D$10:$D$38</definedName>
    <definedName name="XDO_?FINAL_ISIN?289?">'SLTAF-IV'!$D$10:$D$42</definedName>
    <definedName name="XDO_?FINAL_ISIN?29?">'[1]MEX-91'!$D$48:$D$53</definedName>
    <definedName name="XDO_?FINAL_ISIN?290?">'SLTAF-IV'!$D$10:$D$79</definedName>
    <definedName name="XDO_?FINAL_ISIN?291?">'SLTAF-IV'!$D$10:$D$84</definedName>
    <definedName name="XDO_?FINAL_ISIN?292?">'SDAFS-XXIV'!$D$18:$D$21</definedName>
    <definedName name="XDO_?FINAL_ISIN?293?">'SDAFS-XXIV'!$D$18:$D$32</definedName>
    <definedName name="XDO_?FINAL_ISIN?294?">'SDAFS-XXIV'!$D$18:$D$41</definedName>
    <definedName name="XDO_?FINAL_ISIN?295?">'SDAFS-XXIV'!$D$18:$D$57</definedName>
    <definedName name="XDO_?FINAL_ISIN?296?">'SDAFS-XXIV'!$D$18:$D$62</definedName>
    <definedName name="XDO_?FINAL_ISIN?297?">'SDAFS-XXV'!$D$10:$D$31</definedName>
    <definedName name="XDO_?FINAL_ISIN?298?">'SDAFS-XXV'!$D$10:$D$52</definedName>
    <definedName name="XDO_?FINAL_ISIN?299?">'SDAFS-XXV'!$D$10:$D$66</definedName>
    <definedName name="XDO_?FINAL_ISIN?3?">'[1]MRIS-89'!$D$48</definedName>
    <definedName name="XDO_?FINAL_ISIN?30?">'[1]GIFTS B'!$D$12:$D$16</definedName>
    <definedName name="XDO_?FINAL_ISIN?300?">'SDAFS-XXV'!$D$10:$D$74</definedName>
    <definedName name="XDO_?FINAL_ISIN?301?">'SDAFS-XXV'!$D$10:$D$78</definedName>
    <definedName name="XDO_?FINAL_ISIN?302?">'SDAFS-XXV'!$D$10:$D$93</definedName>
    <definedName name="XDO_?FINAL_ISIN?303?">'SDAFS-XXV'!$D$10:$D$98</definedName>
    <definedName name="XDO_?FINAL_ISIN?304?">'SLTAF-V'!$D$10:$D$42</definedName>
    <definedName name="XDO_?FINAL_ISIN?305?">'SLTAF-V'!$D$10:$D$81</definedName>
    <definedName name="XDO_?FINAL_ISIN?306?">'SLTAF-V'!$D$10:$D$86</definedName>
    <definedName name="XDO_?FINAL_ISIN?307?">'SDFS-C-7'!$D$18:$D$28</definedName>
    <definedName name="XDO_?FINAL_ISIN?308?">'SDFS-C-7'!$D$18:$D$38</definedName>
    <definedName name="XDO_?FINAL_ISIN?309?">'SDFS-C-7'!$D$18:$D$47</definedName>
    <definedName name="XDO_?FINAL_ISIN?31?">'[1]GIFTS B'!$D$12:$D$53</definedName>
    <definedName name="XDO_?FINAL_ISIN?310?">'SDFS-C-7'!$D$18:$D$64</definedName>
    <definedName name="XDO_?FINAL_ISIN?311?">'SDFS-C-7'!$D$18:$D$69</definedName>
    <definedName name="XDO_?FINAL_ISIN?312?">'SDAFS-XXVI'!$D$10:$D$31</definedName>
    <definedName name="XDO_?FINAL_ISIN?313?">'SDAFS-XXVI'!$D$10:$D$50</definedName>
    <definedName name="XDO_?FINAL_ISIN?314?">'SDAFS-XXVI'!$D$10:$D$54</definedName>
    <definedName name="XDO_?FINAL_ISIN?315?">'SDAFS-XXVI'!$D$10:$D$60</definedName>
    <definedName name="XDO_?FINAL_ISIN?316?">'SDAFS-XXVI'!$D$10:$D$66</definedName>
    <definedName name="XDO_?FINAL_ISIN?317?">'SDAFS-XXVI'!$D$10:$D$75</definedName>
    <definedName name="XDO_?FINAL_ISIN?318?">'SDAFS-XXVI'!$D$10:$D$90</definedName>
    <definedName name="XDO_?FINAL_ISIN?319?">'SDAFS-XXVI'!$D$10:$D$95</definedName>
    <definedName name="XDO_?FINAL_ISIN?32?">'[1]GIFTS B'!$D$12:$D$58</definedName>
    <definedName name="XDO_?FINAL_ISIN?320?">'SDFS-C-8'!$D$18:$D$28</definedName>
    <definedName name="XDO_?FINAL_ISIN?321?">'SDFS-C-8'!$D$18:$D$39</definedName>
    <definedName name="XDO_?FINAL_ISIN?322?">'SDFS-C-8'!$D$18:$D$48</definedName>
    <definedName name="XDO_?FINAL_ISIN?323?">'SDFS-C-8'!$D$18:$D$65</definedName>
    <definedName name="XDO_?FINAL_ISIN?324?">'SDFS-C-8'!$D$18:$D$70</definedName>
    <definedName name="XDO_?FINAL_ISIN?325?">'SDFS-C-9'!$D$18:$D$27</definedName>
    <definedName name="XDO_?FINAL_ISIN?326?">'SDFS-C-9'!$D$18:$D$38</definedName>
    <definedName name="XDO_?FINAL_ISIN?327?">'SDFS-C-9'!$D$18:$D$47</definedName>
    <definedName name="XDO_?FINAL_ISIN?328?">'SDFS-C-9'!$D$18:$D$64</definedName>
    <definedName name="XDO_?FINAL_ISIN?329?">'SDFS-C-9'!$D$18:$D$69</definedName>
    <definedName name="XDO_?FINAL_ISIN?33?">'[1]GIFTS A'!$D$12</definedName>
    <definedName name="XDO_?FINAL_ISIN?330?">'SDFS-C-10'!$D$18:$D$29</definedName>
    <definedName name="XDO_?FINAL_ISIN?331?">'SDFS-C-10'!$D$18:$D$40</definedName>
    <definedName name="XDO_?FINAL_ISIN?332?">'SDFS-C-10'!$D$18:$D$50</definedName>
    <definedName name="XDO_?FINAL_ISIN?333?">'SDFS-C-10'!$D$18:$D$54</definedName>
    <definedName name="XDO_?FINAL_ISIN?334?">'SDFS-C-10'!$D$18:$D$69</definedName>
    <definedName name="XDO_?FINAL_ISIN?335?">'SDFS-C-10'!$D$18:$D$74</definedName>
    <definedName name="XDO_?FINAL_ISIN?336?">'SDAFS-XXVII'!$D$10:$D$33</definedName>
    <definedName name="XDO_?FINAL_ISIN?337?">'SDAFS-XXVII'!$D$10:$D$49</definedName>
    <definedName name="XDO_?FINAL_ISIN?338?">'SDAFS-XXVII'!$D$10:$D$54</definedName>
    <definedName name="XDO_?FINAL_ISIN?339?">'SDAFS-XXVII'!$D$10:$D$62</definedName>
    <definedName name="XDO_?FINAL_ISIN?34?">'[1]GIFTS A'!$D$12:$D$49</definedName>
    <definedName name="XDO_?FINAL_ISIN?340?">'SDAFS-XXVII'!$D$10:$D$69</definedName>
    <definedName name="XDO_?FINAL_ISIN?341?">'SDAFS-XXVII'!$D$10:$D$73</definedName>
    <definedName name="XDO_?FINAL_ISIN?342?">'SDAFS-XXVII'!$D$10:$D$88</definedName>
    <definedName name="XDO_?FINAL_ISIN?343?">'SDAFS-XXVII'!$D$10:$D$93</definedName>
    <definedName name="XDO_?FINAL_ISIN?344?">'SDFS-C-12'!$D$18:$D$26</definedName>
    <definedName name="XDO_?FINAL_ISIN?345?">'SDFS-C-12'!$D$18:$D$39</definedName>
    <definedName name="XDO_?FINAL_ISIN?346?">'SDFS-C-12'!$D$18:$D$50</definedName>
    <definedName name="XDO_?FINAL_ISIN?347?">'SDFS-C-12'!$D$18:$D$55</definedName>
    <definedName name="XDO_?FINAL_ISIN?348?">'SDFS-C-12'!$D$18:$D$70</definedName>
    <definedName name="XDO_?FINAL_ISIN?349?">'SDFS-C-12'!$D$18:$D$75</definedName>
    <definedName name="XDO_?FINAL_ISIN?35?">'[1]GIFTS A'!$D$12:$D$54</definedName>
    <definedName name="XDO_?FINAL_ISIN?350?">'SDFS-C-14'!$D$18:$D$27</definedName>
    <definedName name="XDO_?FINAL_ISIN?351?">'SDFS-C-14'!$D$18:$D$37</definedName>
    <definedName name="XDO_?FINAL_ISIN?352?">'SDFS-C-14'!$D$18:$D$47</definedName>
    <definedName name="XDO_?FINAL_ISIN?353?">'SDFS-C-14'!$D$18:$D$52</definedName>
    <definedName name="XDO_?FINAL_ISIN?354?">'SDFS-C-14'!$D$18:$D$67</definedName>
    <definedName name="XDO_?FINAL_ISIN?355?">'SDFS-C-14'!$D$18:$D$72</definedName>
    <definedName name="XDO_?FINAL_ISIN?356?">'SLTAF-VI'!$D$10:$D$35</definedName>
    <definedName name="XDO_?FINAL_ISIN?357?">'SLTAF-VI'!$D$10:$D$74</definedName>
    <definedName name="XDO_?FINAL_ISIN?358?">'SLTAF-VI'!$D$10:$D$79</definedName>
    <definedName name="XDO_?FINAL_ISIN?359?">'SDAFS-XXVIII'!$D$10:$D$34</definedName>
    <definedName name="XDO_?FINAL_ISIN?36?">SLMF!$D$10:$D$65</definedName>
    <definedName name="XDO_?FINAL_ISIN?360?">'SDAFS-XXVIII'!$D$10:$D$53</definedName>
    <definedName name="XDO_?FINAL_ISIN?361?">'SDAFS-XXVIII'!$D$10:$D$64</definedName>
    <definedName name="XDO_?FINAL_ISIN?362?">'SDAFS-XXVIII'!$D$10:$D$71</definedName>
    <definedName name="XDO_?FINAL_ISIN?363?">'SDAFS-XXVIII'!$D$10:$D$88</definedName>
    <definedName name="XDO_?FINAL_ISIN?364?">'SDAFS-XXVIII'!$D$10:$D$93</definedName>
    <definedName name="XDO_?FINAL_ISIN?365?">'SDFS-C-16'!$D$18:$D$32</definedName>
    <definedName name="XDO_?FINAL_ISIN?366?">'SDFS-C-16'!$D$18:$D$43</definedName>
    <definedName name="XDO_?FINAL_ISIN?367?">'SDFS-C-16'!$D$18:$D$56</definedName>
    <definedName name="XDO_?FINAL_ISIN?368?">'SDFS-C-16'!$D$18:$D$73</definedName>
    <definedName name="XDO_?FINAL_ISIN?369?">'SDFS-C-16'!$D$18:$D$78</definedName>
    <definedName name="XDO_?FINAL_ISIN?37?">SLMF!$D$10:$D$71</definedName>
    <definedName name="XDO_?FINAL_ISIN?370?">'SDFS-C-18'!$D$18:$D$36</definedName>
    <definedName name="XDO_?FINAL_ISIN?371?">'SDFS-C-18'!$D$18:$D$49</definedName>
    <definedName name="XDO_?FINAL_ISIN?372?">'SDFS-C-18'!$D$18:$D$61</definedName>
    <definedName name="XDO_?FINAL_ISIN?373?">'SDFS-C-18'!$D$18:$D$78</definedName>
    <definedName name="XDO_?FINAL_ISIN?374?">'SDFS-C-18'!$D$18:$D$83</definedName>
    <definedName name="XDO_?FINAL_ISIN?375?">'SDFS-C-19'!$D$18:$D$29</definedName>
    <definedName name="XDO_?FINAL_ISIN?376?">'SDFS-C-19'!$D$18:$D$39</definedName>
    <definedName name="XDO_?FINAL_ISIN?377?">'SDFS-C-19'!$D$18:$D$50</definedName>
    <definedName name="XDO_?FINAL_ISIN?378?">'SDFS-C-19'!$D$18:$D$67</definedName>
    <definedName name="XDO_?FINAL_ISIN?379?">'SDFS-C-19'!$D$18:$D$72</definedName>
    <definedName name="XDO_?FINAL_ISIN?38?">SLMF!$D$10:$D$108</definedName>
    <definedName name="XDO_?FINAL_ISIN?380?">'SDAFS-XXIX'!$D$10:$D$34</definedName>
    <definedName name="XDO_?FINAL_ISIN?381?">'SDAFS-XXIX'!$D$10:$D$55</definedName>
    <definedName name="XDO_?FINAL_ISIN?382?">'SDAFS-XXIX'!$D$10:$D$66</definedName>
    <definedName name="XDO_?FINAL_ISIN?383?">'SDAFS-XXIX'!$D$10:$D$74</definedName>
    <definedName name="XDO_?FINAL_ISIN?384?">'SDAFS-XXIX'!$D$10:$D$91</definedName>
    <definedName name="XDO_?FINAL_ISIN?385?">'SDAFS-XXIX'!$D$10:$D$96</definedName>
    <definedName name="XDO_?FINAL_ISIN?386?">'SDFS-C-20'!$D$18:$D$28</definedName>
    <definedName name="XDO_?FINAL_ISIN?387?">'SDFS-C-20'!$D$18:$D$39</definedName>
    <definedName name="XDO_?FINAL_ISIN?388?">'SDFS-C-20'!$D$18:$D$51</definedName>
    <definedName name="XDO_?FINAL_ISIN?389?">'SDFS-C-20'!$D$18:$D$68</definedName>
    <definedName name="XDO_?FINAL_ISIN?39?">SLMF!$D$10:$D$113</definedName>
    <definedName name="XDO_?FINAL_ISIN?390?">'SDFS-C-20'!$D$18:$D$73</definedName>
    <definedName name="XDO_?FINAL_ISIN?391?">'SDFS-C-21'!$D$18:$D$29</definedName>
    <definedName name="XDO_?FINAL_ISIN?392?">'SDFS-C-21'!$D$18:$D$35</definedName>
    <definedName name="XDO_?FINAL_ISIN?393?">'SDFS-C-21'!$D$18:$D$41</definedName>
    <definedName name="XDO_?FINAL_ISIN?394?">'SDFS-C-21'!$D$18:$D$54</definedName>
    <definedName name="XDO_?FINAL_ISIN?395?">'SDFS-C-21'!$D$18:$D$71</definedName>
    <definedName name="XDO_?FINAL_ISIN?396?">'SDFS-C-21'!$D$18:$D$76</definedName>
    <definedName name="XDO_?FINAL_ISIN?397?">'SDFS-C-22'!$D$18:$D$29</definedName>
    <definedName name="XDO_?FINAL_ISIN?398?">'SDFS-C-22'!$D$18:$D$39</definedName>
    <definedName name="XDO_?FINAL_ISIN?399?">'SDFS-C-22'!$D$18:$D$49</definedName>
    <definedName name="XDO_?FINAL_ISIN?4?">'[1]MRIS-89'!$D$48:$D$53</definedName>
    <definedName name="XDO_?FINAL_ISIN?40?">SLTEF!$D$10:$D$65</definedName>
    <definedName name="XDO_?FINAL_ISIN?400?">'SDFS-C-22'!$D$18:$D$66</definedName>
    <definedName name="XDO_?FINAL_ISIN?401?">'SDFS-C-22'!$D$18:$D$71</definedName>
    <definedName name="XDO_?FINAL_ISIN?402?">'SDFS-C-23'!$D$18:$D$34</definedName>
    <definedName name="XDO_?FINAL_ISIN?403?">'SDFS-C-23'!$D$18:$D$53</definedName>
    <definedName name="XDO_?FINAL_ISIN?404?">'SDFS-C-23'!$D$18:$D$70</definedName>
    <definedName name="XDO_?FINAL_ISIN?405?">'SDFS-C-23'!$D$18:$D$75</definedName>
    <definedName name="XDO_?FINAL_ISIN?406?">'SETF-SN50'!$D$10:$D$114</definedName>
    <definedName name="XDO_?FINAL_ISIN?407?">'SETF-SN50'!$D$10:$D$98</definedName>
    <definedName name="XDO_?FINAL_ISIN?408?">'SETF-SN50'!$D$10:$D$103</definedName>
    <definedName name="XDO_?FINAL_ISIN?409?">'SDFS-C-24'!$D$18:$D$29</definedName>
    <definedName name="XDO_?FINAL_ISIN?41?">SLTEF!$D$10:$D$68</definedName>
    <definedName name="XDO_?FINAL_ISIN?410?">'SDFS-C-24'!$D$18:$D$33</definedName>
    <definedName name="XDO_?FINAL_ISIN?411?">'SDFS-C-24'!$D$18:$D$48</definedName>
    <definedName name="XDO_?FINAL_ISIN?412?">'SDFS-C-24'!$D$18:$D$65</definedName>
    <definedName name="XDO_?FINAL_ISIN?413?">'SDFS-C-24'!$D$18:$D$70</definedName>
    <definedName name="XDO_?FINAL_ISIN?414?">'SDFS-C-25'!$D$18:$D$34</definedName>
    <definedName name="XDO_?FINAL_ISIN?415?">'SDFS-C-25'!$D$18:$D$40</definedName>
    <definedName name="XDO_?FINAL_ISIN?416?">'SDFS-C-25'!$D$18:$D$52</definedName>
    <definedName name="XDO_?FINAL_ISIN?417?">'SDFS-C-25'!$D$18:$D$56</definedName>
    <definedName name="XDO_?FINAL_ISIN?418?">'SDFS-C-25'!$D$18:$D$71</definedName>
    <definedName name="XDO_?FINAL_ISIN?419?">'SDFS-C-25'!$D$18:$D$76</definedName>
    <definedName name="XDO_?FINAL_ISIN?42?">SLTEF!$D$10:$D$104</definedName>
    <definedName name="XDO_?FINAL_ISIN?420?">'SDAFS-XXX'!$D$10:$D$34</definedName>
    <definedName name="XDO_?FINAL_ISIN?421?">'SDAFS-XXX'!$D$10:$D$55</definedName>
    <definedName name="XDO_?FINAL_ISIN?422?">'SDAFS-XXX'!$D$10:$D$72</definedName>
    <definedName name="XDO_?FINAL_ISIN?423?">'SDAFS-XXX'!$D$10:$D$87</definedName>
    <definedName name="XDO_?FINAL_ISIN?424?">'SDAFS-XXX'!$D$10:$D$92</definedName>
    <definedName name="XDO_?FINAL_ISIN?425?">'SDFS-C-26'!$D$18:$D$32</definedName>
    <definedName name="XDO_?FINAL_ISIN?426?">'SDFS-C-26'!$D$18:$D$48</definedName>
    <definedName name="XDO_?FINAL_ISIN?427?">'SDFS-C-26'!$D$18:$D$52</definedName>
    <definedName name="XDO_?FINAL_ISIN?428?">'SDFS-C-26'!$D$18:$D$67</definedName>
    <definedName name="XDO_?FINAL_ISIN?429?">'SDFS-C-26'!$D$18:$D$72</definedName>
    <definedName name="XDO_?FINAL_ISIN?43?">SLTEF!$D$10:$D$109</definedName>
    <definedName name="XDO_?FINAL_ISIN?430?">'SDFS-C-27'!$D$18:$D$29</definedName>
    <definedName name="XDO_?FINAL_ISIN?431?">'SDFS-C-27'!$D$18:$D$46</definedName>
    <definedName name="XDO_?FINAL_ISIN?432?">'SDFS-C-27'!$D$18:$D$50</definedName>
    <definedName name="XDO_?FINAL_ISIN?433?">'SDFS-C-27'!$D$18:$D$65</definedName>
    <definedName name="XDO_?FINAL_ISIN?434?">'SDFS-C-27'!$D$18:$D$70</definedName>
    <definedName name="XDO_?FINAL_ISIN?435?">'SDFS-C-28'!$D$18:$D$32</definedName>
    <definedName name="XDO_?FINAL_ISIN?436?">'SDFS-C-28'!$D$18:$D$42</definedName>
    <definedName name="XDO_?FINAL_ISIN?437?">'SDFS-C-28'!$D$18:$D$52</definedName>
    <definedName name="XDO_?FINAL_ISIN?438?">'SDFS-C-28'!$D$18:$D$69</definedName>
    <definedName name="XDO_?FINAL_ISIN?439?">'SDFS-C-28'!$D$18:$D$74</definedName>
    <definedName name="XDO_?FINAL_ISIN?44?">'[1]MRIS-93'!$D$12:$D$17</definedName>
    <definedName name="XDO_?FINAL_ISIN?440?">'SDFS-C-30'!$D$18:$D$32</definedName>
    <definedName name="XDO_?FINAL_ISIN?441?">'SDFS-C-30'!$D$18:$D$50</definedName>
    <definedName name="XDO_?FINAL_ISIN?442?">'SDFS-C-30'!$D$18:$D$67</definedName>
    <definedName name="XDO_?FINAL_ISIN?443?">'SDFS-C-30'!$D$18:$D$72</definedName>
    <definedName name="XDO_?FINAL_ISIN?444?">'SETF-Quality'!$D$10:$D$39</definedName>
    <definedName name="XDO_?FINAL_ISIN?445?">'SETF-Quality'!$D$10:$D$78</definedName>
    <definedName name="XDO_?FINAL_ISIN?446?">'SETF-Quality'!$D$10:$D$83</definedName>
    <definedName name="XDO_?FINAL_ISIN?447?">'SDFS-C-32'!$D$18:$D$37</definedName>
    <definedName name="XDO_?FINAL_ISIN?448?">'SDFS-C-32'!$D$18:$D$54</definedName>
    <definedName name="XDO_?FINAL_ISIN?449?">'SDFS-C-32'!$D$18:$D$58</definedName>
    <definedName name="XDO_?FINAL_ISIN?45?">'[1]MRIS-93'!$D$12:$D$54</definedName>
    <definedName name="XDO_?FINAL_ISIN?450?">'SDFS-C-32'!$D$18:$D$73</definedName>
    <definedName name="XDO_?FINAL_ISIN?451?">'SDFS-C-32'!$D$18:$D$78</definedName>
    <definedName name="XDO_?FINAL_ISIN?452?">'SDFS-C-33'!$D$18:$D$38</definedName>
    <definedName name="XDO_?FINAL_ISIN?453?">'SDFS-C-33'!$D$18:$D$56</definedName>
    <definedName name="XDO_?FINAL_ISIN?454?">'SDFS-C-33'!$D$18:$D$60</definedName>
    <definedName name="XDO_?FINAL_ISIN?455?">'SDFS-C-33'!$D$18:$D$75</definedName>
    <definedName name="XDO_?FINAL_ISIN?456?">'SDFS-C-33'!$D$18:$D$80</definedName>
    <definedName name="XDO_?FINAL_ISIN?457?">'SDFS-C-34'!$D$18:$D$32</definedName>
    <definedName name="XDO_?FINAL_ISIN?458?">'SDFS-C-34'!$D$18:$D$50</definedName>
    <definedName name="XDO_?FINAL_ISIN?459?">'SDFS-C-34'!$D$18:$D$67</definedName>
    <definedName name="XDO_?FINAL_ISIN?46?">'[1]MRIS-93'!$D$12:$D$59</definedName>
    <definedName name="XDO_?FINAL_ISIN?460?">'SDFS-C-34'!$D$18:$D$72</definedName>
    <definedName name="XDO_?FINAL_ISIN?461?">'SDFS-C-35'!$D$18:$D$33</definedName>
    <definedName name="XDO_?FINAL_ISIN?462?">'SDFS-C-35'!$D$18:$D$50</definedName>
    <definedName name="XDO_?FINAL_ISIN?463?">'SDFS-C-35'!$D$18:$D$67</definedName>
    <definedName name="XDO_?FINAL_ISIN?464?">'SDFS-C-35'!$D$18:$D$72</definedName>
    <definedName name="XDO_?FINAL_ISIN?465?">'SDFS-C-38'!$D$18:$D$28</definedName>
    <definedName name="XDO_?FINAL_ISIN?466?">'SDFS-C-38'!$D$18:$D$45</definedName>
    <definedName name="XDO_?FINAL_ISIN?467?">'SDFS-C-38'!$D$18:$D$56</definedName>
    <definedName name="XDO_?FINAL_ISIN?468?">'SDFS-C-38'!$D$18:$D$60</definedName>
    <definedName name="XDO_?FINAL_ISIN?469?">'SDFS-C-38'!$D$18:$D$75</definedName>
    <definedName name="XDO_?FINAL_ISIN?47?">'[1]MTP-94'!$D$12</definedName>
    <definedName name="XDO_?FINAL_ISIN?470?">'SDFS-C-38'!$D$18:$D$80</definedName>
    <definedName name="XDO_?FINAL_ISIN?471?">SCBF!$D$18:$D$133</definedName>
    <definedName name="XDO_?FINAL_ISIN?472?">SCBF!$D$18:$D$137</definedName>
    <definedName name="XDO_?FINAL_ISIN?473?">SCBF!$D$18:$D$146</definedName>
    <definedName name="XDO_?FINAL_ISIN?474?">SCBF!$D$18:$D$158</definedName>
    <definedName name="XDO_?FINAL_ISIN?475?">SCBF!$D$18:$D$171</definedName>
    <definedName name="XDO_?FINAL_ISIN?476?">SCBF!$D$18:$D$182</definedName>
    <definedName name="XDO_?FINAL_ISIN?477?">SCBF!$D$18:$D$197</definedName>
    <definedName name="XDO_?FINAL_ISIN?478?">SCBF!$D$18:$D$202</definedName>
    <definedName name="XDO_?FINAL_ISIN?479?">'SDFS-C-40'!$D$18:$D$28</definedName>
    <definedName name="XDO_?FINAL_ISIN?48?">'[1]MTP-94'!$D$12:$D$49</definedName>
    <definedName name="XDO_?FINAL_ISIN?480?">'SDFS-C-40'!$D$18:$D$39</definedName>
    <definedName name="XDO_?FINAL_ISIN?481?">'SDFS-C-40'!$D$18:$D$47</definedName>
    <definedName name="XDO_?FINAL_ISIN?482?">'SDFS-C-40'!$D$18:$D$64</definedName>
    <definedName name="XDO_?FINAL_ISIN?483?">'SDFS-C-40'!$D$18:$D$69</definedName>
    <definedName name="XDO_?FINAL_ISIN?484?">'SDFS-C-41'!$D$18:$D$32</definedName>
    <definedName name="XDO_?FINAL_ISIN?485?">'SDFS-C-41'!$D$18:$D$43</definedName>
    <definedName name="XDO_?FINAL_ISIN?486?">'SDFS-C-41'!$D$18:$D$54</definedName>
    <definedName name="XDO_?FINAL_ISIN?487?">'SDFS-C-41'!$D$18:$D$71</definedName>
    <definedName name="XDO_?FINAL_ISIN?488?">'SDFS-C-41'!$D$18:$D$76</definedName>
    <definedName name="XDO_?FINAL_ISIN?489?">'SDFS-C-43'!$D$18:$D$28</definedName>
    <definedName name="XDO_?FINAL_ISIN?49?">'[1]MTP-94'!$D$12:$D$54</definedName>
    <definedName name="XDO_?FINAL_ISIN?490?">'SDFS-C-43'!$D$18:$D$41</definedName>
    <definedName name="XDO_?FINAL_ISIN?491?">'SDFS-C-43'!$D$18:$D$50</definedName>
    <definedName name="XDO_?FINAL_ISIN?492?">'SDFS-C-43'!$D$18:$D$67</definedName>
    <definedName name="XDO_?FINAL_ISIN?493?">'SDFS-C-43'!$D$18:$D$72</definedName>
    <definedName name="XDO_?FINAL_ISIN?494?">'SDFS-C-44'!$D$18:$D$28</definedName>
    <definedName name="XDO_?FINAL_ISIN?495?">'SDFS-C-44'!$D$18:$D$39</definedName>
    <definedName name="XDO_?FINAL_ISIN?496?">'SDFS-C-44'!$D$18:$D$48</definedName>
    <definedName name="XDO_?FINAL_ISIN?497?">'SDFS-C-44'!$D$18:$D$65</definedName>
    <definedName name="XDO_?FINAL_ISIN?498?">'SDFS-C-44'!$D$18:$D$70</definedName>
    <definedName name="XDO_?FINAL_ISIN?499?">'SCPOF-A1'!$D$10:$D$58</definedName>
    <definedName name="XDO_?FINAL_ISIN?5?">'[1]MMIS-89'!$D$10</definedName>
    <definedName name="XDO_?FINAL_ISIN?50?">SMGLF!$D$10:$D$31</definedName>
    <definedName name="XDO_?FINAL_ISIN?500?">'SCPOF-A1'!$D$10:$D$74</definedName>
    <definedName name="XDO_?FINAL_ISIN?501?">'SCPOF-A1'!$D$10:$D$78</definedName>
    <definedName name="XDO_?FINAL_ISIN?502?">'SCPOF-A1'!$D$10:$D$93</definedName>
    <definedName name="XDO_?FINAL_ISIN?503?">'SCPOF-A1'!$D$10:$D$108</definedName>
    <definedName name="XDO_?FINAL_ISIN?504?">'SCPOF-A1'!$D$10:$D$113</definedName>
    <definedName name="XDO_?FINAL_ISIN?505?">'SDFS-C-46'!$D$18:$D$25</definedName>
    <definedName name="XDO_?FINAL_ISIN?506?">'SDFS-C-46'!$D$18:$D$29</definedName>
    <definedName name="XDO_?FINAL_ISIN?507?">'SDFS-C-46'!$D$18:$D$39</definedName>
    <definedName name="XDO_?FINAL_ISIN?508?">'SDFS-C-46'!$D$18:$D$46</definedName>
    <definedName name="XDO_?FINAL_ISIN?509?">'SDFS-C-46'!$D$18:$D$50</definedName>
    <definedName name="XDO_?FINAL_ISIN?51?">SMGLF!$D$10:$D$52</definedName>
    <definedName name="XDO_?FINAL_ISIN?510?">'SDFS-C-46'!$D$18:$D$65</definedName>
    <definedName name="XDO_?FINAL_ISIN?511?">'SDFS-C-46'!$D$18:$D$70</definedName>
    <definedName name="XDO_?FINAL_ISIN?512?">SEMVF!$D$10:$D$121</definedName>
    <definedName name="XDO_?FINAL_ISIN?513?">SEMVF!$D$10:$D$96</definedName>
    <definedName name="XDO_?FINAL_ISIN?514?">SEMVF!$D$10:$D$100</definedName>
    <definedName name="XDO_?FINAL_ISIN?515?">SEMVF!$D$10:$D$105</definedName>
    <definedName name="XDO_?FINAL_ISIN?516?">'SDFS-C-48'!$D$18:$D$34</definedName>
    <definedName name="XDO_?FINAL_ISIN?517?">'SDFS-C-48'!$D$18:$D$44</definedName>
    <definedName name="XDO_?FINAL_ISIN?518?">'SDFS-C-48'!$D$18:$D$53</definedName>
    <definedName name="XDO_?FINAL_ISIN?519?">'SDFS-C-48'!$D$18:$D$70</definedName>
    <definedName name="XDO_?FINAL_ISIN?52?">SMGLF!$D$10:$D$46</definedName>
    <definedName name="XDO_?FINAL_ISIN?520?">'SDFS-C-48'!$D$18:$D$75</definedName>
    <definedName name="XDO_?FINAL_ISIN?521?">'SDFS-C-49'!$D$18:$D$27</definedName>
    <definedName name="XDO_?FINAL_ISIN?522?">'SDFS-C-49'!$D$18:$D$38</definedName>
    <definedName name="XDO_?FINAL_ISIN?523?">'SDFS-C-49'!$D$18:$D$47</definedName>
    <definedName name="XDO_?FINAL_ISIN?524?">'SDFS-C-49'!$D$18:$D$51</definedName>
    <definedName name="XDO_?FINAL_ISIN?525?">'SDFS-C-49'!$D$18:$D$66</definedName>
    <definedName name="XDO_?FINAL_ISIN?526?">'SDFS-C-49'!$D$18:$D$71</definedName>
    <definedName name="XDO_?FINAL_ISIN?527?">'SCPOF-Series A (Plan 2)'!$D$10:$D$59</definedName>
    <definedName name="XDO_?FINAL_ISIN?528?">'SCPOF-Series A (Plan 2)'!$D$10:$D$74</definedName>
    <definedName name="XDO_?FINAL_ISIN?529?">'SCPOF-Series A (Plan 2)'!$D$10:$D$84</definedName>
    <definedName name="XDO_?FINAL_ISIN?53?">SMGLF!$D$10:$D$87</definedName>
    <definedName name="XDO_?FINAL_ISIN?530?">'SCPOF-Series A (Plan 2)'!$D$10:$D$93</definedName>
    <definedName name="XDO_?FINAL_ISIN?531?">'SCPOF-Series A (Plan 2)'!$D$10:$D$108</definedName>
    <definedName name="XDO_?FINAL_ISIN?532?">'SCPOF-Series A (Plan 2)'!$D$10:$D$113</definedName>
    <definedName name="XDO_?FINAL_ISIN?533?">'SDFS-C-50'!$D$18:$D$26</definedName>
    <definedName name="XDO_?FINAL_ISIN?534?">'SDFS-C-50'!$D$18:$D$40</definedName>
    <definedName name="XDO_?FINAL_ISIN?535?">'SDFS-C-50'!$D$18:$D$48</definedName>
    <definedName name="XDO_?FINAL_ISIN?536?">'SDFS-C-50'!$D$18:$D$65</definedName>
    <definedName name="XDO_?FINAL_ISIN?537?">'SDFS-C-50'!$D$18:$D$70</definedName>
    <definedName name="XDO_?FINAL_ISIN?538?">'SFMP- Series 1'!$D$26:$D$31</definedName>
    <definedName name="XDO_?FINAL_ISIN?539?">'SFMP- Series 1'!$D$26:$D$39</definedName>
    <definedName name="XDO_?FINAL_ISIN?54?">SMGLF!$D$10:$D$92</definedName>
    <definedName name="XDO_?FINAL_ISIN?540?">'SFMP- Series 1'!$D$26:$D$56</definedName>
    <definedName name="XDO_?FINAL_ISIN?541?">'SFMP- Series 1'!$D$26:$D$61</definedName>
    <definedName name="XDO_?FINAL_ISIN?542?">'SFMP- Series 2'!$D$18:$D$29</definedName>
    <definedName name="XDO_?FINAL_ISIN?543?">'SFMP- Series 2'!$D$18:$D$45</definedName>
    <definedName name="XDO_?FINAL_ISIN?544?">'SFMP- Series 2'!$D$18:$D$62</definedName>
    <definedName name="XDO_?FINAL_ISIN?545?">'SFMP- Series 2'!$D$18:$D$67</definedName>
    <definedName name="XDO_?FINAL_ISIN?546?">'SFMP- Series 3'!$D$18:$D$29</definedName>
    <definedName name="XDO_?FINAL_ISIN?547?">'SFMP- Series 3'!$D$18:$D$45</definedName>
    <definedName name="XDO_?FINAL_ISIN?548?">'SFMP- Series 3'!$D$18:$D$62</definedName>
    <definedName name="XDO_?FINAL_ISIN?549?">'SFMP- Series 3'!$D$18:$D$67</definedName>
    <definedName name="XDO_?FINAL_ISIN?55?">'[1]MBF-94'!$D$10</definedName>
    <definedName name="XDO_?FINAL_ISIN?550?">'SCPOF-Series A (Plan 3)'!$D$10:$D$59</definedName>
    <definedName name="XDO_?FINAL_ISIN?551?">'SCPOF-Series A (Plan 3)'!$D$10:$D$76</definedName>
    <definedName name="XDO_?FINAL_ISIN?552?">'SCPOF-Series A (Plan 3)'!$D$10:$D$87</definedName>
    <definedName name="XDO_?FINAL_ISIN?553?">'SCPOF-Series A (Plan 3)'!$D$10:$D$110</definedName>
    <definedName name="XDO_?FINAL_ISIN?554?">'SCPOF-Series A (Plan 3)'!$D$10:$D$115</definedName>
    <definedName name="XDO_?FINAL_ISIN?555?">'SFMP- Series 6'!$D$26:$D$29</definedName>
    <definedName name="XDO_?FINAL_ISIN?556?">'SFMP- Series 6'!$D$26:$D$36</definedName>
    <definedName name="XDO_?FINAL_ISIN?557?">'SFMP- Series 6'!$D$26:$D$53</definedName>
    <definedName name="XDO_?FINAL_ISIN?558?">'SFMP- Series 6'!$D$26:$D$58</definedName>
    <definedName name="XDO_?FINAL_ISIN?559?">'SFMP- Series 7'!$D$18:$D$32</definedName>
    <definedName name="XDO_?FINAL_ISIN?56?">'[1]MBF-94'!$D$10:$D$19</definedName>
    <definedName name="XDO_?FINAL_ISIN?560?">'SFMP- Series 7'!$D$18:$D$47</definedName>
    <definedName name="XDO_?FINAL_ISIN?561?">'SFMP- Series 7'!$D$18:$D$64</definedName>
    <definedName name="XDO_?FINAL_ISIN?562?">'SFMP- Series 7'!$D$18:$D$69</definedName>
    <definedName name="XDO_?FINAL_ISIN?563?">'SFMP- Series 8'!$D$18:$D$32</definedName>
    <definedName name="XDO_?FINAL_ISIN?564?">'SFMP- Series 8'!$D$18:$D$47</definedName>
    <definedName name="XDO_?FINAL_ISIN?565?">'SFMP- Series 8'!$D$18:$D$64</definedName>
    <definedName name="XDO_?FINAL_ISIN?566?">'SFMP- Series 8'!$D$18:$D$69</definedName>
    <definedName name="XDO_?FINAL_ISIN?567?">'SCPOF-Series A (Plan 4)'!$D$10:$D$59</definedName>
    <definedName name="XDO_?FINAL_ISIN?568?">'SCPOF-Series A (Plan 4)'!$D$10:$D$75</definedName>
    <definedName name="XDO_?FINAL_ISIN?569?">'SCPOF-Series A (Plan 4)'!$D$10:$D$86</definedName>
    <definedName name="XDO_?FINAL_ISIN?57?">'[1]MBF-94'!$D$10:$D$56</definedName>
    <definedName name="XDO_?FINAL_ISIN?570?">'SCPOF-Series A (Plan 4)'!$D$10:$D$109</definedName>
    <definedName name="XDO_?FINAL_ISIN?571?">'SCPOF-Series A (Plan 4)'!$D$10:$D$114</definedName>
    <definedName name="XDO_?FINAL_ISIN?572?">'SFMP- Series 9'!$D$18:$D$31</definedName>
    <definedName name="XDO_?FINAL_ISIN?573?">'SFMP- Series 9'!$D$18:$D$47</definedName>
    <definedName name="XDO_?FINAL_ISIN?574?">'SFMP- Series 9'!$D$18:$D$64</definedName>
    <definedName name="XDO_?FINAL_ISIN?575?">'SFMP- Series 9'!$D$18:$D$69</definedName>
    <definedName name="XDO_?FINAL_ISIN?576?">'SFMP- Series 10'!$D$18:$D$31</definedName>
    <definedName name="XDO_?FINAL_ISIN?577?">'SFMP- Series 10'!$D$18:$D$46</definedName>
    <definedName name="XDO_?FINAL_ISIN?578?">'SFMP- Series 10'!$D$18:$D$50</definedName>
    <definedName name="XDO_?FINAL_ISIN?579?">'SFMP- Series 10'!$D$18:$D$65</definedName>
    <definedName name="XDO_?FINAL_ISIN?58?">'[1]MBF-94'!$D$10:$D$61</definedName>
    <definedName name="XDO_?FINAL_ISIN?580?">'SFMP- Series 10'!$D$18:$D$70</definedName>
    <definedName name="XDO_?FINAL_ISIN?581?">'SFMP- Series 11'!$D$18:$D$36</definedName>
    <definedName name="XDO_?FINAL_ISIN?582?">'SFMP- Series 11'!$D$18:$D$52</definedName>
    <definedName name="XDO_?FINAL_ISIN?583?">'SFMP- Series 11'!$D$18:$D$56</definedName>
    <definedName name="XDO_?FINAL_ISIN?584?">'SFMP- Series 11'!$D$18:$D$71</definedName>
    <definedName name="XDO_?FINAL_ISIN?585?">'SFMP- Series 11'!$D$18:$D$76</definedName>
    <definedName name="XDO_?FINAL_ISIN?586?">'SFMP- Series 12'!$D$18:$D$31</definedName>
    <definedName name="XDO_?FINAL_ISIN?587?">'SFMP- Series 12'!$D$18:$D$46</definedName>
    <definedName name="XDO_?FINAL_ISIN?588?">'SFMP- Series 12'!$D$18:$D$50</definedName>
    <definedName name="XDO_?FINAL_ISIN?589?">'SFMP- Series 12'!$D$18:$D$65</definedName>
    <definedName name="XDO_?FINAL_ISIN?59?">'[1]MELS-95'!$D$48</definedName>
    <definedName name="XDO_?FINAL_ISIN?590?">'SFMP- Series 12'!$D$18:$D$70</definedName>
    <definedName name="XDO_?FINAL_ISIN?591?">'SFMP- Series 13'!$D$18:$D$31</definedName>
    <definedName name="XDO_?FINAL_ISIN?592?">'SFMP- Series 13'!$D$18:$D$47</definedName>
    <definedName name="XDO_?FINAL_ISIN?593?">'SFMP- Series 13'!$D$18:$D$64</definedName>
    <definedName name="XDO_?FINAL_ISIN?594?">'SFMP- Series 13'!$D$18:$D$69</definedName>
    <definedName name="XDO_?FINAL_ISIN?595?">'SFMP- Series 14'!$D$18:$D$31</definedName>
    <definedName name="XDO_?FINAL_ISIN?596?">'SFMP- Series 14'!$D$18:$D$46</definedName>
    <definedName name="XDO_?FINAL_ISIN?597?">'SFMP- Series 14'!$D$18:$D$50</definedName>
    <definedName name="XDO_?FINAL_ISIN?598?">'SFMP- Series 14'!$D$18:$D$65</definedName>
    <definedName name="XDO_?FINAL_ISIN?599?">'SFMP- Series 14'!$D$18:$D$70</definedName>
    <definedName name="XDO_?FINAL_ISIN?6?">'[1]MMIS-89'!$D$10:$D$49</definedName>
    <definedName name="XDO_?FINAL_ISIN?60?">'[1]MELS-95'!$D$48:$D$53</definedName>
    <definedName name="XDO_?FINAL_ISIN?600?">'SFMP- Series 15'!$D$18:$D$29</definedName>
    <definedName name="XDO_?FINAL_ISIN?601?">'SFMP- Series 15'!$D$18:$D$44</definedName>
    <definedName name="XDO_?FINAL_ISIN?602?">'SFMP- Series 15'!$D$18:$D$48</definedName>
    <definedName name="XDO_?FINAL_ISIN?603?">'SFMP- Series 15'!$D$18:$D$63</definedName>
    <definedName name="XDO_?FINAL_ISIN?604?">'SFMP- Series 15'!$D$18:$D$68</definedName>
    <definedName name="XDO_?FINAL_ISIN?605?">'SFMP- Series 16'!$D$18:$D$34</definedName>
    <definedName name="XDO_?FINAL_ISIN?606?">'SFMP- Series 16'!$D$18:$D$49</definedName>
    <definedName name="XDO_?FINAL_ISIN?607?">'SFMP- Series 16'!$D$18:$D$66</definedName>
    <definedName name="XDO_?FINAL_ISIN?608?">'SFMP- Series 16'!$D$18:$D$71</definedName>
    <definedName name="XDO_?FINAL_ISIN?609?">'SFMP- Series 17'!$D$18:$D$30</definedName>
    <definedName name="XDO_?FINAL_ISIN?61?">SEHF!$D$10:$D$51</definedName>
    <definedName name="XDO_?FINAL_ISIN?610?">'SFMP- Series 17'!$D$18:$D$45</definedName>
    <definedName name="XDO_?FINAL_ISIN?611?">'SFMP- Series 17'!$D$18:$D$62</definedName>
    <definedName name="XDO_?FINAL_ISIN?612?">'SFMP- Series 17'!$D$18:$D$67</definedName>
    <definedName name="XDO_?FINAL_ISIN?613?">'SCPOF-Series A (Plan 5)'!$D$10:$D$59</definedName>
    <definedName name="XDO_?FINAL_ISIN?614?">'SCPOF-Series A (Plan 5)'!$D$10:$D$79</definedName>
    <definedName name="XDO_?FINAL_ISIN?615?">'SCPOF-Series A (Plan 5)'!$D$10:$D$89</definedName>
    <definedName name="XDO_?FINAL_ISIN?616?">'SCPOF-Series A (Plan 5)'!$D$10:$D$112</definedName>
    <definedName name="XDO_?FINAL_ISIN?617?">'SCPOF-Series A (Plan 5)'!$D$10:$D$117</definedName>
    <definedName name="XDO_?FINAL_ISIN?618?">'SFMP- Series 18'!$D$18:$D$30</definedName>
    <definedName name="XDO_?FINAL_ISIN?619?">'SFMP- Series 18'!$D$18:$D$45</definedName>
    <definedName name="XDO_?FINAL_ISIN?62?">SEHF!$D$10:$D$56</definedName>
    <definedName name="XDO_?FINAL_ISIN?620?">'SFMP- Series 18'!$D$18:$D$62</definedName>
    <definedName name="XDO_?FINAL_ISIN?621?">'SFMP- Series 18'!$D$18:$D$67</definedName>
    <definedName name="XDO_?FINAL_ISIN?622?">'SCPOF-Series A (Plan 6)'!$D$10:$D$59</definedName>
    <definedName name="XDO_?FINAL_ISIN?623?">'SCPOF-Series A (Plan 6)'!$D$10:$D$78</definedName>
    <definedName name="XDO_?FINAL_ISIN?624?">'SCPOF-Series A (Plan 6)'!$D$10:$D$95</definedName>
    <definedName name="XDO_?FINAL_ISIN?625?">'SCPOF-Series A (Plan 6)'!$D$10:$D$110</definedName>
    <definedName name="XDO_?FINAL_ISIN?626?">'SCPOF-Series A (Plan 6)'!$D$10:$D$115</definedName>
    <definedName name="XDO_?FINAL_ISIN?627?">'SFMP- Series 19'!$D$18:$D$32</definedName>
    <definedName name="XDO_?FINAL_ISIN?628?">'SFMP- Series 19'!$D$18:$D$63</definedName>
    <definedName name="XDO_?FINAL_ISIN?629?">'SFMP- Series 19'!$D$18:$D$68</definedName>
    <definedName name="XDO_?FINAL_ISIN?63?">SEHF!$D$10:$D$99</definedName>
    <definedName name="XDO_?FINAL_ISIN?630?">'SFMP- Series 20'!$D$18:$D$31</definedName>
    <definedName name="XDO_?FINAL_ISIN?631?">'SFMP- Series 20'!$D$18:$D$62</definedName>
    <definedName name="XDO_?FINAL_ISIN?632?">'SFMP- Series 20'!$D$18:$D$67</definedName>
    <definedName name="XDO_?FINAL_ISIN?633?">'SFMP- Series 21'!$D$18:$D$30</definedName>
    <definedName name="XDO_?FINAL_ISIN?634?">'SFMP- Series 21'!$D$18:$D$61</definedName>
    <definedName name="XDO_?FINAL_ISIN?635?">'SFMP- Series 21'!$D$18:$D$66</definedName>
    <definedName name="XDO_?FINAL_ISIN?636?">'SFMP- Series 22'!$D$18:$D$30</definedName>
    <definedName name="XDO_?FINAL_ISIN?637?">'SFMP- Series 22'!$D$18:$D$61</definedName>
    <definedName name="XDO_?FINAL_ISIN?638?">'SFMP- Series 22'!$D$18:$D$66</definedName>
    <definedName name="XDO_?FINAL_ISIN?639?">'SFMP- Series 23'!$D$18:$D$30</definedName>
    <definedName name="XDO_?FINAL_ISIN?64?">SEHF!$D$10:$D$112</definedName>
    <definedName name="XDO_?FINAL_ISIN?640?">'SFMP- Series 23'!$D$18:$D$61</definedName>
    <definedName name="XDO_?FINAL_ISIN?641?">'SFMP- Series 23'!$D$18:$D$66</definedName>
    <definedName name="XDO_?FINAL_ISIN?642?">'SFMP- Series 24'!$D$18:$D$30</definedName>
    <definedName name="XDO_?FINAL_ISIN?643?">'SFMP- Series 24'!$D$18:$D$61</definedName>
    <definedName name="XDO_?FINAL_ISIN?644?">'SFMP- Series 24'!$D$18:$D$66</definedName>
    <definedName name="XDO_?FINAL_ISIN?645?">'SFMP- Series 25'!$D$18:$D$29</definedName>
    <definedName name="XDO_?FINAL_ISIN?646?">'SFMP- Series 25'!$D$18:$D$60</definedName>
    <definedName name="XDO_?FINAL_ISIN?647?">'SFMP- Series 25'!$D$18:$D$65</definedName>
    <definedName name="XDO_?FINAL_ISIN?648?">'SFMP- Series 26'!$D$18:$D$30</definedName>
    <definedName name="XDO_?FINAL_ISIN?649?">'SFMP- Series 26'!$D$18:$D$61</definedName>
    <definedName name="XDO_?FINAL_ISIN?65?">SEHF!$D$10:$D$125</definedName>
    <definedName name="XDO_?FINAL_ISIN?650?">'SFMP- Series 26'!$D$18:$D$66</definedName>
    <definedName name="XDO_?FINAL_ISIN?651?">'SFMP- Series 27'!$D$18:$D$28</definedName>
    <definedName name="XDO_?FINAL_ISIN?652?">'SFMP- Series 27'!$D$18:$D$38</definedName>
    <definedName name="XDO_?FINAL_ISIN?653?">'SFMP- Series 27'!$D$18:$D$45</definedName>
    <definedName name="XDO_?FINAL_ISIN?654?">'SFMP- Series 27'!$D$18:$D$62</definedName>
    <definedName name="XDO_?FINAL_ISIN?655?">'SFMP- Series 27'!$D$18:$D$67</definedName>
    <definedName name="XDO_?FINAL_ISIN?656?">'SCPOF-Series A (Plan 7)'!$D$10:$D$59</definedName>
    <definedName name="XDO_?FINAL_ISIN?657?">'SCPOF-Series A (Plan 7)'!$D$10:$D$71</definedName>
    <definedName name="XDO_?FINAL_ISIN?658?">'SCPOF-Series A (Plan 7)'!$D$10:$D$82</definedName>
    <definedName name="XDO_?FINAL_ISIN?659?">'SCPOF-Series A (Plan 7)'!$D$10:$D$91</definedName>
    <definedName name="XDO_?FINAL_ISIN?66?">SEHF!$D$10:$D$148</definedName>
    <definedName name="XDO_?FINAL_ISIN?660?">'SCPOF-Series A (Plan 7)'!$D$10:$D$106</definedName>
    <definedName name="XDO_?FINAL_ISIN?661?">'SCPOF-Series A (Plan 7)'!$D$10:$D$111</definedName>
    <definedName name="XDO_?FINAL_ISIN?662?">'SFMP- Series 28'!$D$18:$D$27</definedName>
    <definedName name="XDO_?FINAL_ISIN?663?">'SFMP- Series 28'!$D$18:$D$39</definedName>
    <definedName name="XDO_?FINAL_ISIN?664?">'SFMP- Series 28'!$D$18:$D$62</definedName>
    <definedName name="XDO_?FINAL_ISIN?665?">'SFMP- Series 28'!$D$18:$D$67</definedName>
    <definedName name="XDO_?FINAL_ISIN?666?">'SCPOF-Series A (Plan 8)'!$D$10:$D$59</definedName>
    <definedName name="XDO_?FINAL_ISIN?667?">'SCPOF-Series A (Plan 8)'!$D$10:$D$71</definedName>
    <definedName name="XDO_?FINAL_ISIN?668?">'SCPOF-Series A (Plan 8)'!$D$10:$D$82</definedName>
    <definedName name="XDO_?FINAL_ISIN?669?">'SCPOF-Series A (Plan 8)'!$D$10:$D$105</definedName>
    <definedName name="XDO_?FINAL_ISIN?67?">SEHF!$D$10:$D$152</definedName>
    <definedName name="XDO_?FINAL_ISIN?670?">'SCPOF-Series A (Plan 8)'!$D$10:$D$110</definedName>
    <definedName name="XDO_?FINAL_ISIN?671?">'SFMP- Series 31'!$D$18:$D$25</definedName>
    <definedName name="XDO_?FINAL_ISIN?672?">'SFMP- Series 31'!$D$18:$D$39</definedName>
    <definedName name="XDO_?FINAL_ISIN?673?">'SFMP- Series 31'!$D$18:$D$62</definedName>
    <definedName name="XDO_?FINAL_ISIN?674?">'SFMP- Series 31'!$D$18:$D$67</definedName>
    <definedName name="XDO_?FINAL_ISIN?675?">'SFMP- Series 32'!$D$18:$D$26</definedName>
    <definedName name="XDO_?FINAL_ISIN?676?">'SFMP- Series 32'!$D$18:$D$37</definedName>
    <definedName name="XDO_?FINAL_ISIN?677?">'SFMP- Series 32'!$D$18:$D$60</definedName>
    <definedName name="XDO_?FINAL_ISIN?678?">'SFMP- Series 32'!$D$18:$D$65</definedName>
    <definedName name="XDO_?FINAL_ISIN?679?">'SFMP- Series 33'!$D$26</definedName>
    <definedName name="XDO_?FINAL_ISIN?68?">SEHF!$D$10:$D$157</definedName>
    <definedName name="XDO_?FINAL_ISIN?680?">'SFMP- Series 33'!$D$26:$D$49</definedName>
    <definedName name="XDO_?FINAL_ISIN?681?">'SFMP- Series 33'!$D$26:$D$54</definedName>
    <definedName name="XDO_?FINAL_ISIN?682?">'SFMP- Series 34'!$D$26</definedName>
    <definedName name="XDO_?FINAL_ISIN?683?">'SFMP- Series 34'!$D$26:$D$49</definedName>
    <definedName name="XDO_?FINAL_ISIN?684?">'SFMP- Series 34'!$D$26:$D$54</definedName>
    <definedName name="XDO_?FINAL_ISIN?685?">'SMCBF-Investment Plan'!$D$10:$D$13</definedName>
    <definedName name="XDO_?FINAL_ISIN?686?">'SMCBF-Investment Plan'!$D$10:$D$22</definedName>
    <definedName name="XDO_?FINAL_ISIN?687?">'SMCBF-Investment Plan'!$D$10:$D$30</definedName>
    <definedName name="XDO_?FINAL_ISIN?688?">'SMCBF-Investment Plan'!$D$10:$D$55</definedName>
    <definedName name="XDO_?FINAL_ISIN?689?">'SMCBF-Investment Plan'!$D$10:$D$60</definedName>
    <definedName name="XDO_?FINAL_ISIN?69?">'[1]MELS-96'!$D$48</definedName>
    <definedName name="XDO_?FINAL_ISIN?690?">SBIRIOS!$D$10:$D$55</definedName>
    <definedName name="XDO_?FINAL_ISIN?691?">SBIRIOS!$D$10:$D$94</definedName>
    <definedName name="XDO_?FINAL_ISIN?692?">SBIRIOS!$D$10:$D$99</definedName>
    <definedName name="XDO_?FINAL_ISIN?693?">#REF!</definedName>
    <definedName name="XDO_?FINAL_ISIN?694?">#REF!</definedName>
    <definedName name="XDO_?FINAL_ISIN?695?">#REF!</definedName>
    <definedName name="XDO_?FINAL_ISIN?696?">#REF!</definedName>
    <definedName name="XDO_?FINAL_ISIN?697?">#REF!</definedName>
    <definedName name="XDO_?FINAL_ISIN?698?">#REF!</definedName>
    <definedName name="XDO_?FINAL_ISIN?699?">#REF!</definedName>
    <definedName name="XDO_?FINAL_ISIN?7?">'[1]MMIS-89'!$D$10:$D$54</definedName>
    <definedName name="XDO_?FINAL_ISIN?70?">'[1]MELS-96'!$D$48:$D$53</definedName>
    <definedName name="XDO_?FINAL_ISIN?700?">#REF!</definedName>
    <definedName name="XDO_?FINAL_ISIN?71?">'[1]MMIS-97'!$D$48</definedName>
    <definedName name="XDO_?FINAL_ISIN?72?">'[1]MMIS-97'!$D$48:$D$53</definedName>
    <definedName name="XDO_?FINAL_ISIN?73?">'[1]MMIS-98 I'!$D$12</definedName>
    <definedName name="XDO_?FINAL_ISIN?74?">'[1]MMIS-98 I'!$D$12:$D$49</definedName>
    <definedName name="XDO_?FINAL_ISIN?75?">'[1]MMIS-98 I'!$D$12:$D$54</definedName>
    <definedName name="XDO_?FINAL_ISIN?76?">SMIF!$D$18:$D$30</definedName>
    <definedName name="XDO_?FINAL_ISIN?77?">SMIF!$D$18:$D$42</definedName>
    <definedName name="XDO_?FINAL_ISIN?78?">SMIF!$D$18:$D$67</definedName>
    <definedName name="XDO_?FINAL_ISIN?79?">SMIF!$D$18:$D$72</definedName>
    <definedName name="XDO_?FINAL_ISIN?8?">'[1]MTSS-90'!$D$48</definedName>
    <definedName name="XDO_?FINAL_ISIN?80?">'[1]MMIS-98 II'!$D$48</definedName>
    <definedName name="XDO_?FINAL_ISIN?81?">'[1]MMIS-98 II'!$D$48:$D$53</definedName>
    <definedName name="XDO_?FINAL_ISIN?82?">'[1]MGF-99'!$D$12</definedName>
    <definedName name="XDO_?FINAL_ISIN?83?">'[1]MGF-99'!$D$12:$D$53</definedName>
    <definedName name="XDO_?FINAL_ISIN?84?">SCOF!$D$10:$D$38</definedName>
    <definedName name="XDO_?FINAL_ISIN?85?">SCOF!$D$10:$D$77</definedName>
    <definedName name="XDO_?FINAL_ISIN?86?">SCOF!$D$10:$D$82</definedName>
    <definedName name="XDO_?FINAL_ISIN?87?">STOF!$D$10:$D$14</definedName>
    <definedName name="XDO_?FINAL_ISIN?88?">STOF!$D$10:$D$33</definedName>
    <definedName name="XDO_?FINAL_ISIN?89?">STOF!$D$10:$D$24</definedName>
    <definedName name="XDO_?FINAL_ISIN?9?">'[1]MTSS-90'!$D$48:$D$53</definedName>
    <definedName name="XDO_?FINAL_ISIN?90?">STOF!$D$10:$D$29</definedName>
    <definedName name="XDO_?FINAL_ISIN?91?">STOF!$D$10:$D$34</definedName>
    <definedName name="XDO_?FINAL_ISIN?92?">STOF!$D$10:$D$69</definedName>
    <definedName name="XDO_?FINAL_ISIN?93?">STOF!$D$10:$D$74</definedName>
    <definedName name="XDO_?FINAL_ISIN?94?">SHOF!$D$10:$D$31</definedName>
    <definedName name="XDO_?FINAL_ISIN?95?">SHOF!$D$10:$D$35</definedName>
    <definedName name="XDO_?FINAL_ISIN?96?">SHOF!$D$10:$D$72</definedName>
    <definedName name="XDO_?FINAL_ISIN?97?">SHOF!$D$10:$D$77</definedName>
    <definedName name="XDO_?FINAL_ISIN?98?">SCF!$D$10:$D$56</definedName>
    <definedName name="XDO_?FINAL_ISIN?99?">SCF!$D$10:$D$96</definedName>
    <definedName name="XDO_?FINAL_MV?">'[1]MRIS-87'!$G$48:$G$53</definedName>
    <definedName name="XDO_?FINAL_MV?1?">'[1]MTSS-88-89'!$G$48</definedName>
    <definedName name="XDO_?FINAL_MV?10?">'[1]MRIS-90'!$G$48</definedName>
    <definedName name="XDO_?FINAL_MV?100?">SCF!$G$10:$G$100</definedName>
    <definedName name="XDO_?FINAL_MV?101?">SCF!$G$10:$G$105</definedName>
    <definedName name="XDO_?FINAL_MV?102?">SNIF!$G$10:$G$121</definedName>
    <definedName name="XDO_?FINAL_MV?103?">SNIF!$G$10:$G$96</definedName>
    <definedName name="XDO_?FINAL_MV?104?">SNIF!$G$10:$G$100</definedName>
    <definedName name="XDO_?FINAL_MV?105?">SNIF!$G$10:$G$105</definedName>
    <definedName name="XDO_?FINAL_MV?106?">SMCBF!$G$10:$G$36</definedName>
    <definedName name="XDO_?FINAL_MV?107?">SMCBF!$G$10:$G$39</definedName>
    <definedName name="XDO_?FINAL_MV?108?">SMCBF!$G$10:$G$52</definedName>
    <definedName name="XDO_?FINAL_MV?109?">SMCBF!$G$10:$G$60</definedName>
    <definedName name="XDO_?FINAL_MV?11?">'[1]MRIS-90'!$G$48:$G$53</definedName>
    <definedName name="XDO_?FINAL_MV?110?">SMCBF!$G$10:$G$64</definedName>
    <definedName name="XDO_?FINAL_MV?111?">SMCBF!$G$10:$G$87</definedName>
    <definedName name="XDO_?FINAL_MV?112?">SMCBF!$G$10:$G$92</definedName>
    <definedName name="XDO_?FINAL_MV?113?">SOF!$G$48:$G$49</definedName>
    <definedName name="XDO_?FINAL_MV?114?">SOF!$G$48:$G$54</definedName>
    <definedName name="XDO_?FINAL_MV?115?">SMMDF!$G$18:$G$53</definedName>
    <definedName name="XDO_?FINAL_MV?116?">SMMDF!$G$18:$G$67</definedName>
    <definedName name="XDO_?FINAL_MV?117?">SMMDF!$G$18:$G$80</definedName>
    <definedName name="XDO_?FINAL_MV?118?">SMMDF!$G$18:$G$84</definedName>
    <definedName name="XDO_?FINAL_MV?119?">SMMDF!$G$18:$G$107</definedName>
    <definedName name="XDO_?FINAL_MV?12?">SMEEF!$G$10:$G$50</definedName>
    <definedName name="XDO_?FINAL_MV?120?">SMMDF!$G$18:$G$112</definedName>
    <definedName name="XDO_?FINAL_MV?121?">SLF!$G$26:$G$29</definedName>
    <definedName name="XDO_?FINAL_MV?122?">SLF!$G$26:$G$58</definedName>
    <definedName name="XDO_?FINAL_MV?123?">SLF!$G$26:$G$77</definedName>
    <definedName name="XDO_?FINAL_MV?124?">SLF!$G$26:$G$92</definedName>
    <definedName name="XDO_?FINAL_MV?125?">SLF!$G$26:$G$97</definedName>
    <definedName name="XDO_?FINAL_MV?126?">SDBF!$G$24:$G$29</definedName>
    <definedName name="XDO_?FINAL_MV?127?">SDBF!$G$24:$G$54</definedName>
    <definedName name="XDO_?FINAL_MV?128?">SDBF!$G$24:$G$59</definedName>
    <definedName name="XDO_?FINAL_MV?129?">SSF!$G$24:$G$25</definedName>
    <definedName name="XDO_?FINAL_MV?13?">SMEEF!$G$10:$G$55</definedName>
    <definedName name="XDO_?FINAL_MV?130?">SSF!$G$24:$G$80</definedName>
    <definedName name="XDO_?FINAL_MV?131?">SSF!$G$24:$G$102</definedName>
    <definedName name="XDO_?FINAL_MV?132?">SSF!$G$24:$G$113</definedName>
    <definedName name="XDO_?FINAL_MV?133?">SSF!$G$24:$G$128</definedName>
    <definedName name="XDO_?FINAL_MV?134?">SSF!$G$24:$G$133</definedName>
    <definedName name="XDO_?FINAL_MV?135?">SCRF!$G$18:$G$61</definedName>
    <definedName name="XDO_?FINAL_MV?136?">SCRF!$G$18:$G$75</definedName>
    <definedName name="XDO_?FINAL_MV?137?">SCRF!$G$18:$G$85</definedName>
    <definedName name="XDO_?FINAL_MV?138?">SCRF!$G$18:$G$110</definedName>
    <definedName name="XDO_?FINAL_MV?139?">SCRF!$G$18:$G$115</definedName>
    <definedName name="XDO_?FINAL_MV?14?">SMEEF!$G$10:$G$84</definedName>
    <definedName name="XDO_?FINAL_MV?140?">SFEF!$G$10</definedName>
    <definedName name="XDO_?FINAL_MV?141?">SFEF!$G$10:$G$41</definedName>
    <definedName name="XDO_?FINAL_MV?142?">SFEF!$G$10:$G$35</definedName>
    <definedName name="XDO_?FINAL_MV?143?">SFEF!$G$10:$G$42</definedName>
    <definedName name="XDO_?FINAL_MV?144?">SFEF!$G$10:$G$75</definedName>
    <definedName name="XDO_?FINAL_MV?145?">SFEF!$G$10:$G$79</definedName>
    <definedName name="XDO_?FINAL_MV?146?">SFEF!$G$10:$G$84</definedName>
    <definedName name="XDO_?FINAL_MV?147?">SDHF!$G$10:$G$34</definedName>
    <definedName name="XDO_?FINAL_MV?148?">SDHF!$G$10:$G$54</definedName>
    <definedName name="XDO_?FINAL_MV?149?">SDHF!$G$10:$G$68</definedName>
    <definedName name="XDO_?FINAL_MV?15?">SMEEF!$G$10:$G$92</definedName>
    <definedName name="XDO_?FINAL_MV?150?">SDHF!$G$10:$G$77</definedName>
    <definedName name="XDO_?FINAL_MV?151?">SDHF!$G$10:$G$102</definedName>
    <definedName name="XDO_?FINAL_MV?152?">SDHF!$G$10:$G$107</definedName>
    <definedName name="XDO_?FINAL_MV?153?">SMUSD!$G$18:$G$39</definedName>
    <definedName name="XDO_?FINAL_MV?154?">SMUSD!$G$18:$G$50</definedName>
    <definedName name="XDO_?FINAL_MV?155?">SMUSD!$G$18:$G$56</definedName>
    <definedName name="XDO_?FINAL_MV?156?">SMUSD!$G$18:$G$70</definedName>
    <definedName name="XDO_?FINAL_MV?157?">SMUSD!$G$18:$G$86</definedName>
    <definedName name="XDO_?FINAL_MV?158?">SMUSD!$G$18:$G$94</definedName>
    <definedName name="XDO_?FINAL_MV?159?">SMUSD!$G$18:$G$109</definedName>
    <definedName name="XDO_?FINAL_MV?16?">SMEEF!$G$10:$G$96</definedName>
    <definedName name="XDO_?FINAL_MV?160?">SMUSD!$G$18:$G$114</definedName>
    <definedName name="XDO_?FINAL_MV?161?">SMIDCAP!$G$10:$G$59</definedName>
    <definedName name="XDO_?FINAL_MV?162?">SMIDCAP!$G$10:$G$62</definedName>
    <definedName name="XDO_?FINAL_MV?163?">SMIDCAP!$G$10:$G$98</definedName>
    <definedName name="XDO_?FINAL_MV?164?">SMIDCAP!$G$10:$G$103</definedName>
    <definedName name="XDO_?FINAL_MV?165?">SMCMF!$G$24:$G$28</definedName>
    <definedName name="XDO_?FINAL_MV?166?">SMCMF!$G$24:$G$53</definedName>
    <definedName name="XDO_?FINAL_MV?167?">SMCMF!$G$24:$G$58</definedName>
    <definedName name="XDO_?FINAL_MV?168?">SMCOMMA!$G$10:$G$35</definedName>
    <definedName name="XDO_?FINAL_MV?169?">SMCOMMA!$G$10:$G$74</definedName>
    <definedName name="XDO_?FINAL_MV?17?">SMEEF!$G$10:$G$101</definedName>
    <definedName name="XDO_?FINAL_MV?170?">SMCOMMA!$G$10:$G$79</definedName>
    <definedName name="XDO_?FINAL_MV?171?">SMGF!$G$24:$G$28</definedName>
    <definedName name="XDO_?FINAL_MV?172?">SMGF!$G$24:$G$53</definedName>
    <definedName name="XDO_?FINAL_MV?173?">SMGF!$G$24:$G$58</definedName>
    <definedName name="XDO_?FINAL_MV?174?">SMMULTI!$G$10:$G$55</definedName>
    <definedName name="XDO_?FINAL_MV?175?">SMMULTI!$G$10:$G$58</definedName>
    <definedName name="XDO_?FINAL_MV?176?">SMMULTI!$G$10:$G$94</definedName>
    <definedName name="XDO_?FINAL_MV?177?">SMMULTI!$G$10:$G$99</definedName>
    <definedName name="XDO_?FINAL_MV?178?">SMAAF!$G$10:$G$59</definedName>
    <definedName name="XDO_?FINAL_MV?179?">SMAAF!$G$10:$G$76</definedName>
    <definedName name="XDO_?FINAL_MV?18?">'[1]MELS-91'!$G$12</definedName>
    <definedName name="XDO_?FINAL_MV?180?">SMAAF!$G$10:$G$93</definedName>
    <definedName name="XDO_?FINAL_MV?181?">SMAAF!$G$10:$G$103</definedName>
    <definedName name="XDO_?FINAL_MV?182?">SMAAF!$G$10:$G$108</definedName>
    <definedName name="XDO_?FINAL_MV?183?">SBLUECHIP!$G$10:$G$67</definedName>
    <definedName name="XDO_?FINAL_MV?184?">SBLUECHIP!$G$10:$G$106</definedName>
    <definedName name="XDO_?FINAL_MV?185?">SBLUECHIP!$G$10:$G$111</definedName>
    <definedName name="XDO_?FINAL_MV?186?">SAOF!$G$10:$G$73</definedName>
    <definedName name="XDO_?FINAL_MV?187?">SAOF!$G$10:$G$88</definedName>
    <definedName name="XDO_?FINAL_MV?188?">SAOF!$G$10:$G$95</definedName>
    <definedName name="XDO_?FINAL_MV?189?">SAOF!$G$10:$G$126</definedName>
    <definedName name="XDO_?FINAL_MV?19?">'[1]MELS-91'!$G$12:$G$49</definedName>
    <definedName name="XDO_?FINAL_MV?190?">SAOF!$G$10:$G$130</definedName>
    <definedName name="XDO_?FINAL_MV?191?">SAOF!$G$10:$G$135</definedName>
    <definedName name="XDO_?FINAL_MV?192?">SIF!$G$10:$G$37</definedName>
    <definedName name="XDO_?FINAL_MV?193?">SIF!$G$10:$G$76</definedName>
    <definedName name="XDO_?FINAL_MV?194?">SIF!$G$10:$G$81</definedName>
    <definedName name="XDO_?FINAL_MV?195?">SMLDF!$G$18:$G$62</definedName>
    <definedName name="XDO_?FINAL_MV?196?">SMLDF!$G$18:$G$67</definedName>
    <definedName name="XDO_?FINAL_MV?197?">SMLDF!$G$18:$G$77</definedName>
    <definedName name="XDO_?FINAL_MV?198?">SMLDF!$G$18:$G$83</definedName>
    <definedName name="XDO_?FINAL_MV?199?">SMLDF!$G$18:$G$92</definedName>
    <definedName name="XDO_?FINAL_MV?2?">'[1]MTSS-88-89'!$G$48:$G$53</definedName>
    <definedName name="XDO_?FINAL_MV?20?">'[1]MELS-91'!$G$12:$G$54</definedName>
    <definedName name="XDO_?FINAL_MV?200?">SMLDF!$G$18:$G$106</definedName>
    <definedName name="XDO_?FINAL_MV?201?">SMLDF!$G$18:$G$112</definedName>
    <definedName name="XDO_?FINAL_MV?202?">SMLDF!$G$18:$G$118</definedName>
    <definedName name="XDO_?FINAL_MV?203?">SMLDF!$G$18:$G$133</definedName>
    <definedName name="XDO_?FINAL_MV?204?">SMLDF!$G$18:$G$138</definedName>
    <definedName name="XDO_?FINAL_MV?205?">SSTDF!$G$18:$G$101</definedName>
    <definedName name="XDO_?FINAL_MV?206?">SSTDF!$G$18:$G$105</definedName>
    <definedName name="XDO_?FINAL_MV?207?">SSTDF!$G$18:$G$113</definedName>
    <definedName name="XDO_?FINAL_MV?208?">SSTDF!$G$18:$G$123</definedName>
    <definedName name="XDO_?FINAL_MV?209?">SSTDF!$G$18:$G$136</definedName>
    <definedName name="XDO_?FINAL_MV?21?">'[1]MMIS-91'!$G$10:$G$11</definedName>
    <definedName name="XDO_?FINAL_MV?210?">SSTDF!$G$18:$G$145</definedName>
    <definedName name="XDO_?FINAL_MV?211?">SSTDF!$G$18:$G$160</definedName>
    <definedName name="XDO_?FINAL_MV?212?">SSTDF!$G$18:$G$165</definedName>
    <definedName name="XDO_?FINAL_MV?213?">'SETF-Gold'!$G$42</definedName>
    <definedName name="XDO_?FINAL_MV?214?">'SETF-Gold'!$G$42:$G$50</definedName>
    <definedName name="XDO_?FINAL_MV?215?">'SETF-Gold'!$G$42:$G$55</definedName>
    <definedName name="XDO_?FINAL_MV?216?">SPSU!$G$10:$G$31</definedName>
    <definedName name="XDO_?FINAL_MV?217?">SPSU!$G$10:$G$70</definedName>
    <definedName name="XDO_?FINAL_MV?218?">SPSU!$G$10:$G$75</definedName>
    <definedName name="XDO_?FINAL_MV?219?">SGF!$G$40</definedName>
    <definedName name="XDO_?FINAL_MV?22?">'[1]MMIS-91'!$G$10:$G$25</definedName>
    <definedName name="XDO_?FINAL_MV?220?">SGF!$G$40:$G$50</definedName>
    <definedName name="XDO_?FINAL_MV?221?">SGF!$G$40:$G$55</definedName>
    <definedName name="XDO_?FINAL_MV?222?">'STAF-II'!$G$10:$G$35</definedName>
    <definedName name="XDO_?FINAL_MV?223?">'STAF-II'!$G$10:$G$39</definedName>
    <definedName name="XDO_?FINAL_MV?224?">'STAF-II'!$G$10:$G$76</definedName>
    <definedName name="XDO_?FINAL_MV?225?">'STAF-II'!$G$10:$G$81</definedName>
    <definedName name="XDO_?FINAL_MV?226?">'SETF-SENSEX'!$G$10:$G$39</definedName>
    <definedName name="XDO_?FINAL_MV?227?">'SETF-SENSEX'!$G$10:$G$78</definedName>
    <definedName name="XDO_?FINAL_MV?228?">'SETF-SENSEX'!$G$10:$G$83</definedName>
    <definedName name="XDO_?FINAL_MV?229?">SSCF!$G$10:$G$62</definedName>
    <definedName name="XDO_?FINAL_MV?23?">'[1]MMIS-91'!$G$10:$G$62</definedName>
    <definedName name="XDO_?FINAL_MV?230?">SSCF!$G$10:$G$61</definedName>
    <definedName name="XDO_?FINAL_MV?231?">SSCF!$G$10:$G$99</definedName>
    <definedName name="XDO_?FINAL_MV?232?">SSCF!$G$10:$G$104</definedName>
    <definedName name="XDO_?FINAL_MV?233?">SBPF!$G$18:$G$96</definedName>
    <definedName name="XDO_?FINAL_MV?234?">SBPF!$G$18:$G$101</definedName>
    <definedName name="XDO_?FINAL_MV?235?">SBPF!$G$18:$G$111</definedName>
    <definedName name="XDO_?FINAL_MV?236?">SBPF!$G$18:$G$117</definedName>
    <definedName name="XDO_?FINAL_MV?237?">SBPF!$G$18:$G$140</definedName>
    <definedName name="XDO_?FINAL_MV?238?">SBPF!$G$18:$G$145</definedName>
    <definedName name="XDO_?FINAL_MV?239?">'STAF-III'!$G$10:$G$36</definedName>
    <definedName name="XDO_?FINAL_MV?24?">'[1]MMIS-91'!$G$10:$G$67</definedName>
    <definedName name="XDO_?FINAL_MV?240?">'STAF-III'!$G$10:$G$75</definedName>
    <definedName name="XDO_?FINAL_MV?241?">'STAF-III'!$G$10:$G$80</definedName>
    <definedName name="XDO_?FINAL_MV?242?">'SEOF-I'!$G$10:$G$45</definedName>
    <definedName name="XDO_?FINAL_MV?243?">'SEOF-I'!$G$10:$G$84</definedName>
    <definedName name="XDO_?FINAL_MV?244?">'SEOF-I'!$G$10:$G$89</definedName>
    <definedName name="XDO_?FINAL_MV?245?">'SLTAF-I'!$G$10:$G$37</definedName>
    <definedName name="XDO_?FINAL_MV?246?">'SLTAF-I'!$G$10:$G$76</definedName>
    <definedName name="XDO_?FINAL_MV?247?">'SLTAF-I'!$G$10:$G$81</definedName>
    <definedName name="XDO_?FINAL_MV?248?">'SLTAF-II'!$G$10:$G$39</definedName>
    <definedName name="XDO_?FINAL_MV?249?">'SLTAF-II'!$G$10:$G$78</definedName>
    <definedName name="XDO_?FINAL_MV?25?">[1]MTPL!$G$10</definedName>
    <definedName name="XDO_?FINAL_MV?250?">'SLTAF-II'!$G$10:$G$83</definedName>
    <definedName name="XDO_?FINAL_MV?251?">SBFS!$G$10:$G$30</definedName>
    <definedName name="XDO_?FINAL_MV?252?">SBFS!$G$10:$G$33</definedName>
    <definedName name="XDO_?FINAL_MV?253?">SBFS!$G$10:$G$69</definedName>
    <definedName name="XDO_?FINAL_MV?254?">SBFS!$G$10:$G$74</definedName>
    <definedName name="XDO_?FINAL_MV?255?">SDAAF!$G$10:$G$40</definedName>
    <definedName name="XDO_?FINAL_MV?256?">SDAAF!$G$10:$G$77</definedName>
    <definedName name="XDO_?FINAL_MV?257?">SDAAF!$G$10:$G$81</definedName>
    <definedName name="XDO_?FINAL_MV?258?">SDAAF!$G$10:$G$86</definedName>
    <definedName name="XDO_?FINAL_MV?259?">'SETF-NN50'!$G$10:$G$59</definedName>
    <definedName name="XDO_?FINAL_MV?26?">[1]MTPL!$G$10:$G$49</definedName>
    <definedName name="XDO_?FINAL_MV?260?">'SETF-NN50'!$G$10:$G$98</definedName>
    <definedName name="XDO_?FINAL_MV?261?">'SETF-NN50'!$G$10:$G$103</definedName>
    <definedName name="XDO_?FINAL_MV?262?">'SETF-NBank'!$G$10:$G$76</definedName>
    <definedName name="XDO_?FINAL_MV?263?">'SETF-NBank'!$G$10:$G$60</definedName>
    <definedName name="XDO_?FINAL_MV?264?">'SETF-NBank'!$G$10:$G$65</definedName>
    <definedName name="XDO_?FINAL_MV?265?">'SETF-BSE 100'!$G$10:$G$165</definedName>
    <definedName name="XDO_?FINAL_MV?266?">'SETF-BSE 100'!$G$10:$G$149</definedName>
    <definedName name="XDO_?FINAL_MV?267?">'SETF-BSE 100'!$G$10:$G$154</definedName>
    <definedName name="XDO_?FINAL_MV?268?">SESF!$G$10:$G$81</definedName>
    <definedName name="XDO_?FINAL_MV?269?">SESF!$G$10:$G$84</definedName>
    <definedName name="XDO_?FINAL_MV?27?">[1]MTPL!$G$10:$G$54</definedName>
    <definedName name="XDO_?FINAL_MV?270?">SESF!$G$10:$G$94</definedName>
    <definedName name="XDO_?FINAL_MV?271?">SESF!$G$10:$G$98</definedName>
    <definedName name="XDO_?FINAL_MV?272?">SESF!$G$10:$G$106</definedName>
    <definedName name="XDO_?FINAL_MV?273?">SESF!$G$10:$G$130</definedName>
    <definedName name="XDO_?FINAL_MV?274?">SESF!$G$10:$G$134</definedName>
    <definedName name="XDO_?FINAL_MV?275?">SESF!$G$10:$G$139</definedName>
    <definedName name="XDO_?FINAL_MV?276?">'SETF-Nifty 50'!$G$10:$G$114</definedName>
    <definedName name="XDO_?FINAL_MV?277?">'SETF-Nifty 50'!$G$10:$G$98</definedName>
    <definedName name="XDO_?FINAL_MV?278?">'SETF-Nifty 50'!$G$10:$G$103</definedName>
    <definedName name="XDO_?FINAL_MV?279?">'SEOF-IV'!$G$10:$G$45</definedName>
    <definedName name="XDO_?FINAL_MV?28?">'[1]MEX-91'!$G$48</definedName>
    <definedName name="XDO_?FINAL_MV?280?">'SEOF-IV'!$G$10:$G$84</definedName>
    <definedName name="XDO_?FINAL_MV?281?">'SEOF-IV'!$G$10:$G$89</definedName>
    <definedName name="XDO_?FINAL_MV?282?">'SLTAF-III'!$G$10:$G$39</definedName>
    <definedName name="XDO_?FINAL_MV?283?">'SLTAF-III'!$G$10:$G$78</definedName>
    <definedName name="XDO_?FINAL_MV?284?">'SLTAF-III'!$G$10:$G$83</definedName>
    <definedName name="XDO_?FINAL_MV?285?">'SETF-10 Yr Gilt'!$G$24</definedName>
    <definedName name="XDO_?FINAL_MV?286?">'SETF-10 Yr Gilt'!$G$24:$G$49</definedName>
    <definedName name="XDO_?FINAL_MV?287?">'SETF-10 Yr Gilt'!$G$24:$G$54</definedName>
    <definedName name="XDO_?FINAL_MV?288?">'SLTAF-IV'!$G$10:$G$38</definedName>
    <definedName name="XDO_?FINAL_MV?289?">'SLTAF-IV'!$G$10:$G$42</definedName>
    <definedName name="XDO_?FINAL_MV?29?">'[1]MEX-91'!$G$48:$G$53</definedName>
    <definedName name="XDO_?FINAL_MV?290?">'SLTAF-IV'!$G$10:$G$79</definedName>
    <definedName name="XDO_?FINAL_MV?291?">'SLTAF-IV'!$G$10:$G$84</definedName>
    <definedName name="XDO_?FINAL_MV?292?">'SDAFS-XXIV'!$G$18:$G$21</definedName>
    <definedName name="XDO_?FINAL_MV?293?">'SDAFS-XXIV'!$G$18:$G$32</definedName>
    <definedName name="XDO_?FINAL_MV?294?">'SDAFS-XXIV'!$G$18:$G$41</definedName>
    <definedName name="XDO_?FINAL_MV?295?">'SDAFS-XXIV'!$G$18:$G$57</definedName>
    <definedName name="XDO_?FINAL_MV?296?">'SDAFS-XXIV'!$G$18:$G$62</definedName>
    <definedName name="XDO_?FINAL_MV?297?">'SDAFS-XXV'!$G$10:$G$31</definedName>
    <definedName name="XDO_?FINAL_MV?298?">'SDAFS-XXV'!$G$10:$G$52</definedName>
    <definedName name="XDO_?FINAL_MV?299?">'SDAFS-XXV'!$G$10:$G$66</definedName>
    <definedName name="XDO_?FINAL_MV?3?">'[1]MRIS-89'!$G$48</definedName>
    <definedName name="XDO_?FINAL_MV?30?">'[1]GIFTS B'!$G$12:$G$16</definedName>
    <definedName name="XDO_?FINAL_MV?300?">'SDAFS-XXV'!$G$10:$G$74</definedName>
    <definedName name="XDO_?FINAL_MV?301?">'SDAFS-XXV'!$G$10:$G$78</definedName>
    <definedName name="XDO_?FINAL_MV?302?">'SDAFS-XXV'!$G$10:$G$93</definedName>
    <definedName name="XDO_?FINAL_MV?303?">'SDAFS-XXV'!$G$10:$G$98</definedName>
    <definedName name="XDO_?FINAL_MV?304?">'SLTAF-V'!$G$10:$G$42</definedName>
    <definedName name="XDO_?FINAL_MV?305?">'SLTAF-V'!$G$10:$G$81</definedName>
    <definedName name="XDO_?FINAL_MV?306?">'SLTAF-V'!$G$10:$G$86</definedName>
    <definedName name="XDO_?FINAL_MV?307?">'SDFS-C-7'!$G$18:$G$28</definedName>
    <definedName name="XDO_?FINAL_MV?308?">'SDFS-C-7'!$G$18:$G$38</definedName>
    <definedName name="XDO_?FINAL_MV?309?">'SDFS-C-7'!$G$18:$G$47</definedName>
    <definedName name="XDO_?FINAL_MV?31?">'[1]GIFTS B'!$G$12:$G$53</definedName>
    <definedName name="XDO_?FINAL_MV?310?">'SDFS-C-7'!$G$18:$G$64</definedName>
    <definedName name="XDO_?FINAL_MV?311?">'SDFS-C-7'!$G$18:$G$69</definedName>
    <definedName name="XDO_?FINAL_MV?312?">'SDAFS-XXVI'!$G$10:$G$31</definedName>
    <definedName name="XDO_?FINAL_MV?313?">'SDAFS-XXVI'!$G$10:$G$50</definedName>
    <definedName name="XDO_?FINAL_MV?314?">'SDAFS-XXVI'!$G$10:$G$54</definedName>
    <definedName name="XDO_?FINAL_MV?315?">'SDAFS-XXVI'!$G$10:$G$60</definedName>
    <definedName name="XDO_?FINAL_MV?316?">'SDAFS-XXVI'!$G$10:$G$66</definedName>
    <definedName name="XDO_?FINAL_MV?317?">'SDAFS-XXVI'!$G$10:$G$75</definedName>
    <definedName name="XDO_?FINAL_MV?318?">'SDAFS-XXVI'!$G$10:$G$90</definedName>
    <definedName name="XDO_?FINAL_MV?319?">'SDAFS-XXVI'!$G$10:$G$95</definedName>
    <definedName name="XDO_?FINAL_MV?32?">'[1]GIFTS B'!$G$12:$G$58</definedName>
    <definedName name="XDO_?FINAL_MV?320?">'SDFS-C-8'!$G$18:$G$28</definedName>
    <definedName name="XDO_?FINAL_MV?321?">'SDFS-C-8'!$G$18:$G$39</definedName>
    <definedName name="XDO_?FINAL_MV?322?">'SDFS-C-8'!$G$18:$G$48</definedName>
    <definedName name="XDO_?FINAL_MV?323?">'SDFS-C-8'!$G$18:$G$65</definedName>
    <definedName name="XDO_?FINAL_MV?324?">'SDFS-C-8'!$G$18:$G$70</definedName>
    <definedName name="XDO_?FINAL_MV?325?">'SDFS-C-9'!$G$18:$G$27</definedName>
    <definedName name="XDO_?FINAL_MV?326?">'SDFS-C-9'!$G$18:$G$38</definedName>
    <definedName name="XDO_?FINAL_MV?327?">'SDFS-C-9'!$G$18:$G$47</definedName>
    <definedName name="XDO_?FINAL_MV?328?">'SDFS-C-9'!$G$18:$G$64</definedName>
    <definedName name="XDO_?FINAL_MV?329?">'SDFS-C-9'!$G$18:$G$69</definedName>
    <definedName name="XDO_?FINAL_MV?33?">'[1]GIFTS A'!$G$12</definedName>
    <definedName name="XDO_?FINAL_MV?330?">'SDFS-C-10'!$G$18:$G$29</definedName>
    <definedName name="XDO_?FINAL_MV?331?">'SDFS-C-10'!$G$18:$G$40</definedName>
    <definedName name="XDO_?FINAL_MV?332?">'SDFS-C-10'!$G$18:$G$50</definedName>
    <definedName name="XDO_?FINAL_MV?333?">'SDFS-C-10'!$G$18:$G$54</definedName>
    <definedName name="XDO_?FINAL_MV?334?">'SDFS-C-10'!$G$18:$G$69</definedName>
    <definedName name="XDO_?FINAL_MV?335?">'SDFS-C-10'!$G$18:$G$74</definedName>
    <definedName name="XDO_?FINAL_MV?336?">'SDAFS-XXVII'!$G$10:$G$33</definedName>
    <definedName name="XDO_?FINAL_MV?337?">'SDAFS-XXVII'!$G$10:$G$49</definedName>
    <definedName name="XDO_?FINAL_MV?338?">'SDAFS-XXVII'!$G$10:$G$54</definedName>
    <definedName name="XDO_?FINAL_MV?339?">'SDAFS-XXVII'!$G$10:$G$62</definedName>
    <definedName name="XDO_?FINAL_MV?34?">'[1]GIFTS A'!$G$12:$G$49</definedName>
    <definedName name="XDO_?FINAL_MV?340?">'SDAFS-XXVII'!$G$10:$G$69</definedName>
    <definedName name="XDO_?FINAL_MV?341?">'SDAFS-XXVII'!$G$10:$G$73</definedName>
    <definedName name="XDO_?FINAL_MV?342?">'SDAFS-XXVII'!$G$10:$G$88</definedName>
    <definedName name="XDO_?FINAL_MV?343?">'SDAFS-XXVII'!$G$10:$G$93</definedName>
    <definedName name="XDO_?FINAL_MV?344?">'SDFS-C-12'!$G$18:$G$26</definedName>
    <definedName name="XDO_?FINAL_MV?345?">'SDFS-C-12'!$G$18:$G$39</definedName>
    <definedName name="XDO_?FINAL_MV?346?">'SDFS-C-12'!$G$18:$G$50</definedName>
    <definedName name="XDO_?FINAL_MV?347?">'SDFS-C-12'!$G$18:$G$55</definedName>
    <definedName name="XDO_?FINAL_MV?348?">'SDFS-C-12'!$G$18:$G$70</definedName>
    <definedName name="XDO_?FINAL_MV?349?">'SDFS-C-12'!$G$18:$G$75</definedName>
    <definedName name="XDO_?FINAL_MV?35?">'[1]GIFTS A'!$G$12:$G$54</definedName>
    <definedName name="XDO_?FINAL_MV?350?">'SDFS-C-14'!$G$18:$G$27</definedName>
    <definedName name="XDO_?FINAL_MV?351?">'SDFS-C-14'!$G$18:$G$37</definedName>
    <definedName name="XDO_?FINAL_MV?352?">'SDFS-C-14'!$G$18:$G$47</definedName>
    <definedName name="XDO_?FINAL_MV?353?">'SDFS-C-14'!$G$18:$G$52</definedName>
    <definedName name="XDO_?FINAL_MV?354?">'SDFS-C-14'!$G$18:$G$67</definedName>
    <definedName name="XDO_?FINAL_MV?355?">'SDFS-C-14'!$G$18:$G$72</definedName>
    <definedName name="XDO_?FINAL_MV?356?">'SLTAF-VI'!$G$10:$G$35</definedName>
    <definedName name="XDO_?FINAL_MV?357?">'SLTAF-VI'!$G$10:$G$74</definedName>
    <definedName name="XDO_?FINAL_MV?358?">'SLTAF-VI'!$G$10:$G$79</definedName>
    <definedName name="XDO_?FINAL_MV?359?">'SDAFS-XXVIII'!$G$10:$G$34</definedName>
    <definedName name="XDO_?FINAL_MV?36?">SLMF!$G$10:$G$65</definedName>
    <definedName name="XDO_?FINAL_MV?360?">'SDAFS-XXVIII'!$G$10:$G$53</definedName>
    <definedName name="XDO_?FINAL_MV?361?">'SDAFS-XXVIII'!$G$10:$G$64</definedName>
    <definedName name="XDO_?FINAL_MV?362?">'SDAFS-XXVIII'!$G$10:$G$71</definedName>
    <definedName name="XDO_?FINAL_MV?363?">'SDAFS-XXVIII'!$G$10:$G$88</definedName>
    <definedName name="XDO_?FINAL_MV?364?">'SDAFS-XXVIII'!$G$10:$G$93</definedName>
    <definedName name="XDO_?FINAL_MV?365?">'SDFS-C-16'!$G$18:$G$32</definedName>
    <definedName name="XDO_?FINAL_MV?366?">'SDFS-C-16'!$G$18:$G$43</definedName>
    <definedName name="XDO_?FINAL_MV?367?">'SDFS-C-16'!$G$18:$G$56</definedName>
    <definedName name="XDO_?FINAL_MV?368?">'SDFS-C-16'!$G$18:$G$73</definedName>
    <definedName name="XDO_?FINAL_MV?369?">'SDFS-C-16'!$G$18:$G$78</definedName>
    <definedName name="XDO_?FINAL_MV?37?">SLMF!$G$10:$G$71</definedName>
    <definedName name="XDO_?FINAL_MV?370?">'SDFS-C-18'!$G$18:$G$36</definedName>
    <definedName name="XDO_?FINAL_MV?371?">'SDFS-C-18'!$G$18:$G$49</definedName>
    <definedName name="XDO_?FINAL_MV?372?">'SDFS-C-18'!$G$18:$G$61</definedName>
    <definedName name="XDO_?FINAL_MV?373?">'SDFS-C-18'!$G$18:$G$78</definedName>
    <definedName name="XDO_?FINAL_MV?374?">'SDFS-C-18'!$G$18:$G$83</definedName>
    <definedName name="XDO_?FINAL_MV?375?">'SDFS-C-19'!$G$18:$G$29</definedName>
    <definedName name="XDO_?FINAL_MV?376?">'SDFS-C-19'!$G$18:$G$39</definedName>
    <definedName name="XDO_?FINAL_MV?377?">'SDFS-C-19'!$G$18:$G$50</definedName>
    <definedName name="XDO_?FINAL_MV?378?">'SDFS-C-19'!$G$18:$G$67</definedName>
    <definedName name="XDO_?FINAL_MV?379?">'SDFS-C-19'!$G$18:$G$72</definedName>
    <definedName name="XDO_?FINAL_MV?38?">SLMF!$G$10:$G$108</definedName>
    <definedName name="XDO_?FINAL_MV?380?">'SDAFS-XXIX'!$G$10:$G$34</definedName>
    <definedName name="XDO_?FINAL_MV?381?">'SDAFS-XXIX'!$G$10:$G$55</definedName>
    <definedName name="XDO_?FINAL_MV?382?">'SDAFS-XXIX'!$G$10:$G$66</definedName>
    <definedName name="XDO_?FINAL_MV?383?">'SDAFS-XXIX'!$G$10:$G$74</definedName>
    <definedName name="XDO_?FINAL_MV?384?">'SDAFS-XXIX'!$G$10:$G$91</definedName>
    <definedName name="XDO_?FINAL_MV?385?">'SDAFS-XXIX'!$G$10:$G$96</definedName>
    <definedName name="XDO_?FINAL_MV?386?">'SDFS-C-20'!$G$18:$G$28</definedName>
    <definedName name="XDO_?FINAL_MV?387?">'SDFS-C-20'!$G$18:$G$39</definedName>
    <definedName name="XDO_?FINAL_MV?388?">'SDFS-C-20'!$G$18:$G$51</definedName>
    <definedName name="XDO_?FINAL_MV?389?">'SDFS-C-20'!$G$18:$G$68</definedName>
    <definedName name="XDO_?FINAL_MV?39?">SLMF!$G$10:$G$113</definedName>
    <definedName name="XDO_?FINAL_MV?390?">'SDFS-C-20'!$G$18:$G$73</definedName>
    <definedName name="XDO_?FINAL_MV?391?">'SDFS-C-21'!$G$18:$G$29</definedName>
    <definedName name="XDO_?FINAL_MV?392?">'SDFS-C-21'!$G$18:$G$35</definedName>
    <definedName name="XDO_?FINAL_MV?393?">'SDFS-C-21'!$G$18:$G$41</definedName>
    <definedName name="XDO_?FINAL_MV?394?">'SDFS-C-21'!$G$18:$G$54</definedName>
    <definedName name="XDO_?FINAL_MV?395?">'SDFS-C-21'!$G$18:$G$71</definedName>
    <definedName name="XDO_?FINAL_MV?396?">'SDFS-C-21'!$G$18:$G$76</definedName>
    <definedName name="XDO_?FINAL_MV?397?">'SDFS-C-22'!$G$18:$G$29</definedName>
    <definedName name="XDO_?FINAL_MV?398?">'SDFS-C-22'!$G$18:$G$39</definedName>
    <definedName name="XDO_?FINAL_MV?399?">'SDFS-C-22'!$G$18:$G$49</definedName>
    <definedName name="XDO_?FINAL_MV?4?">'[1]MRIS-89'!$G$48:$G$53</definedName>
    <definedName name="XDO_?FINAL_MV?40?">SLTEF!$G$10:$G$65</definedName>
    <definedName name="XDO_?FINAL_MV?400?">'SDFS-C-22'!$G$18:$G$66</definedName>
    <definedName name="XDO_?FINAL_MV?401?">'SDFS-C-22'!$G$18:$G$71</definedName>
    <definedName name="XDO_?FINAL_MV?402?">'SDFS-C-23'!$G$18:$G$34</definedName>
    <definedName name="XDO_?FINAL_MV?403?">'SDFS-C-23'!$G$18:$G$53</definedName>
    <definedName name="XDO_?FINAL_MV?404?">'SDFS-C-23'!$G$18:$G$70</definedName>
    <definedName name="XDO_?FINAL_MV?405?">'SDFS-C-23'!$G$18:$G$75</definedName>
    <definedName name="XDO_?FINAL_MV?406?">'SETF-SN50'!$G$10:$G$114</definedName>
    <definedName name="XDO_?FINAL_MV?407?">'SETF-SN50'!$G$10:$G$98</definedName>
    <definedName name="XDO_?FINAL_MV?408?">'SETF-SN50'!$G$10:$G$103</definedName>
    <definedName name="XDO_?FINAL_MV?409?">'SDFS-C-24'!$G$18:$G$29</definedName>
    <definedName name="XDO_?FINAL_MV?41?">SLTEF!$G$10:$G$68</definedName>
    <definedName name="XDO_?FINAL_MV?410?">'SDFS-C-24'!$G$18:$G$33</definedName>
    <definedName name="XDO_?FINAL_MV?411?">'SDFS-C-24'!$G$18:$G$48</definedName>
    <definedName name="XDO_?FINAL_MV?412?">'SDFS-C-24'!$G$18:$G$65</definedName>
    <definedName name="XDO_?FINAL_MV?413?">'SDFS-C-24'!$G$18:$G$70</definedName>
    <definedName name="XDO_?FINAL_MV?414?">'SDFS-C-25'!$G$18:$G$34</definedName>
    <definedName name="XDO_?FINAL_MV?415?">'SDFS-C-25'!$G$18:$G$40</definedName>
    <definedName name="XDO_?FINAL_MV?416?">'SDFS-C-25'!$G$18:$G$52</definedName>
    <definedName name="XDO_?FINAL_MV?417?">'SDFS-C-25'!$G$18:$G$56</definedName>
    <definedName name="XDO_?FINAL_MV?418?">'SDFS-C-25'!$G$18:$G$71</definedName>
    <definedName name="XDO_?FINAL_MV?419?">'SDFS-C-25'!$G$18:$G$76</definedName>
    <definedName name="XDO_?FINAL_MV?42?">SLTEF!$G$10:$G$104</definedName>
    <definedName name="XDO_?FINAL_MV?420?">'SDAFS-XXX'!$G$10:$G$34</definedName>
    <definedName name="XDO_?FINAL_MV?421?">'SDAFS-XXX'!$G$10:$G$55</definedName>
    <definedName name="XDO_?FINAL_MV?422?">'SDAFS-XXX'!$G$10:$G$72</definedName>
    <definedName name="XDO_?FINAL_MV?423?">'SDAFS-XXX'!$G$10:$G$87</definedName>
    <definedName name="XDO_?FINAL_MV?424?">'SDAFS-XXX'!$G$10:$G$92</definedName>
    <definedName name="XDO_?FINAL_MV?425?">'SDFS-C-26'!$G$18:$G$32</definedName>
    <definedName name="XDO_?FINAL_MV?426?">'SDFS-C-26'!$G$18:$G$48</definedName>
    <definedName name="XDO_?FINAL_MV?427?">'SDFS-C-26'!$G$18:$G$52</definedName>
    <definedName name="XDO_?FINAL_MV?428?">'SDFS-C-26'!$G$18:$G$67</definedName>
    <definedName name="XDO_?FINAL_MV?429?">'SDFS-C-26'!$G$18:$G$72</definedName>
    <definedName name="XDO_?FINAL_MV?43?">SLTEF!$G$10:$G$109</definedName>
    <definedName name="XDO_?FINAL_MV?430?">'SDFS-C-27'!$G$18:$G$29</definedName>
    <definedName name="XDO_?FINAL_MV?431?">'SDFS-C-27'!$G$18:$G$46</definedName>
    <definedName name="XDO_?FINAL_MV?432?">'SDFS-C-27'!$G$18:$G$50</definedName>
    <definedName name="XDO_?FINAL_MV?433?">'SDFS-C-27'!$G$18:$G$65</definedName>
    <definedName name="XDO_?FINAL_MV?434?">'SDFS-C-27'!$G$18:$G$70</definedName>
    <definedName name="XDO_?FINAL_MV?435?">'SDFS-C-28'!$G$18:$G$32</definedName>
    <definedName name="XDO_?FINAL_MV?436?">'SDFS-C-28'!$G$18:$G$42</definedName>
    <definedName name="XDO_?FINAL_MV?437?">'SDFS-C-28'!$G$18:$G$52</definedName>
    <definedName name="XDO_?FINAL_MV?438?">'SDFS-C-28'!$G$18:$G$69</definedName>
    <definedName name="XDO_?FINAL_MV?439?">'SDFS-C-28'!$G$18:$G$74</definedName>
    <definedName name="XDO_?FINAL_MV?44?">'[1]MRIS-93'!$G$12:$G$17</definedName>
    <definedName name="XDO_?FINAL_MV?440?">'SDFS-C-30'!$G$18:$G$32</definedName>
    <definedName name="XDO_?FINAL_MV?441?">'SDFS-C-30'!$G$18:$G$50</definedName>
    <definedName name="XDO_?FINAL_MV?442?">'SDFS-C-30'!$G$18:$G$67</definedName>
    <definedName name="XDO_?FINAL_MV?443?">'SDFS-C-30'!$G$18:$G$72</definedName>
    <definedName name="XDO_?FINAL_MV?444?">'SETF-Quality'!$G$10:$G$39</definedName>
    <definedName name="XDO_?FINAL_MV?445?">'SETF-Quality'!$G$10:$G$78</definedName>
    <definedName name="XDO_?FINAL_MV?446?">'SETF-Quality'!$G$10:$G$83</definedName>
    <definedName name="XDO_?FINAL_MV?447?">'SDFS-C-32'!$G$18:$G$37</definedName>
    <definedName name="XDO_?FINAL_MV?448?">'SDFS-C-32'!$G$18:$G$54</definedName>
    <definedName name="XDO_?FINAL_MV?449?">'SDFS-C-32'!$G$18:$G$58</definedName>
    <definedName name="XDO_?FINAL_MV?45?">'[1]MRIS-93'!$G$12:$G$54</definedName>
    <definedName name="XDO_?FINAL_MV?450?">'SDFS-C-32'!$G$18:$G$73</definedName>
    <definedName name="XDO_?FINAL_MV?451?">'SDFS-C-32'!$G$18:$G$78</definedName>
    <definedName name="XDO_?FINAL_MV?452?">'SDFS-C-33'!$G$18:$G$38</definedName>
    <definedName name="XDO_?FINAL_MV?453?">'SDFS-C-33'!$G$18:$G$56</definedName>
    <definedName name="XDO_?FINAL_MV?454?">'SDFS-C-33'!$G$18:$G$60</definedName>
    <definedName name="XDO_?FINAL_MV?455?">'SDFS-C-33'!$G$18:$G$75</definedName>
    <definedName name="XDO_?FINAL_MV?456?">'SDFS-C-33'!$G$18:$G$80</definedName>
    <definedName name="XDO_?FINAL_MV?457?">'SDFS-C-34'!$G$18:$G$32</definedName>
    <definedName name="XDO_?FINAL_MV?458?">'SDFS-C-34'!$G$18:$G$50</definedName>
    <definedName name="XDO_?FINAL_MV?459?">'SDFS-C-34'!$G$18:$G$67</definedName>
    <definedName name="XDO_?FINAL_MV?46?">'[1]MRIS-93'!$G$12:$G$59</definedName>
    <definedName name="XDO_?FINAL_MV?460?">'SDFS-C-34'!$G$18:$G$72</definedName>
    <definedName name="XDO_?FINAL_MV?461?">'SDFS-C-35'!$G$18:$G$33</definedName>
    <definedName name="XDO_?FINAL_MV?462?">'SDFS-C-35'!$G$18:$G$50</definedName>
    <definedName name="XDO_?FINAL_MV?463?">'SDFS-C-35'!$G$18:$G$67</definedName>
    <definedName name="XDO_?FINAL_MV?464?">'SDFS-C-35'!$G$18:$G$72</definedName>
    <definedName name="XDO_?FINAL_MV?465?">'SDFS-C-38'!$G$18:$G$28</definedName>
    <definedName name="XDO_?FINAL_MV?466?">'SDFS-C-38'!$G$18:$G$45</definedName>
    <definedName name="XDO_?FINAL_MV?467?">'SDFS-C-38'!$G$18:$G$56</definedName>
    <definedName name="XDO_?FINAL_MV?468?">'SDFS-C-38'!$G$18:$G$60</definedName>
    <definedName name="XDO_?FINAL_MV?469?">'SDFS-C-38'!$G$18:$G$75</definedName>
    <definedName name="XDO_?FINAL_MV?47?">'[1]MTP-94'!$G$12</definedName>
    <definedName name="XDO_?FINAL_MV?470?">'SDFS-C-38'!$G$18:$G$80</definedName>
    <definedName name="XDO_?FINAL_MV?471?">SCBF!$G$18:$G$133</definedName>
    <definedName name="XDO_?FINAL_MV?472?">SCBF!$G$18:$G$137</definedName>
    <definedName name="XDO_?FINAL_MV?473?">SCBF!$G$18:$G$146</definedName>
    <definedName name="XDO_?FINAL_MV?474?">SCBF!$G$18:$G$158</definedName>
    <definedName name="XDO_?FINAL_MV?475?">SCBF!$G$18:$G$171</definedName>
    <definedName name="XDO_?FINAL_MV?476?">SCBF!$G$18:$G$182</definedName>
    <definedName name="XDO_?FINAL_MV?477?">SCBF!$G$18:$G$197</definedName>
    <definedName name="XDO_?FINAL_MV?478?">SCBF!$G$18:$G$202</definedName>
    <definedName name="XDO_?FINAL_MV?479?">'SDFS-C-40'!$G$18:$G$28</definedName>
    <definedName name="XDO_?FINAL_MV?48?">'[1]MTP-94'!$G$12:$G$49</definedName>
    <definedName name="XDO_?FINAL_MV?480?">'SDFS-C-40'!$G$18:$G$39</definedName>
    <definedName name="XDO_?FINAL_MV?481?">'SDFS-C-40'!$G$18:$G$47</definedName>
    <definedName name="XDO_?FINAL_MV?482?">'SDFS-C-40'!$G$18:$G$64</definedName>
    <definedName name="XDO_?FINAL_MV?483?">'SDFS-C-40'!$G$18:$G$69</definedName>
    <definedName name="XDO_?FINAL_MV?484?">'SDFS-C-41'!$G$18:$G$32</definedName>
    <definedName name="XDO_?FINAL_MV?485?">'SDFS-C-41'!$G$18:$G$43</definedName>
    <definedName name="XDO_?FINAL_MV?486?">'SDFS-C-41'!$G$18:$G$54</definedName>
    <definedName name="XDO_?FINAL_MV?487?">'SDFS-C-41'!$G$18:$G$71</definedName>
    <definedName name="XDO_?FINAL_MV?488?">'SDFS-C-41'!$G$18:$G$76</definedName>
    <definedName name="XDO_?FINAL_MV?489?">'SDFS-C-43'!$G$18:$G$28</definedName>
    <definedName name="XDO_?FINAL_MV?49?">'[1]MTP-94'!$G$12:$G$54</definedName>
    <definedName name="XDO_?FINAL_MV?490?">'SDFS-C-43'!$G$18:$G$41</definedName>
    <definedName name="XDO_?FINAL_MV?491?">'SDFS-C-43'!$G$18:$G$50</definedName>
    <definedName name="XDO_?FINAL_MV?492?">'SDFS-C-43'!$G$18:$G$67</definedName>
    <definedName name="XDO_?FINAL_MV?493?">'SDFS-C-43'!$G$18:$G$72</definedName>
    <definedName name="XDO_?FINAL_MV?494?">'SDFS-C-44'!$G$18:$G$28</definedName>
    <definedName name="XDO_?FINAL_MV?495?">'SDFS-C-44'!$G$18:$G$39</definedName>
    <definedName name="XDO_?FINAL_MV?496?">'SDFS-C-44'!$G$18:$G$48</definedName>
    <definedName name="XDO_?FINAL_MV?497?">'SDFS-C-44'!$G$18:$G$65</definedName>
    <definedName name="XDO_?FINAL_MV?498?">'SDFS-C-44'!$G$18:$G$70</definedName>
    <definedName name="XDO_?FINAL_MV?499?">'SCPOF-A1'!$G$10:$G$58</definedName>
    <definedName name="XDO_?FINAL_MV?5?">'[1]MMIS-89'!$G$10</definedName>
    <definedName name="XDO_?FINAL_MV?50?">SMGLF!$G$10:$G$31</definedName>
    <definedName name="XDO_?FINAL_MV?500?">'SCPOF-A1'!$G$10:$G$74</definedName>
    <definedName name="XDO_?FINAL_MV?501?">'SCPOF-A1'!$G$10:$G$78</definedName>
    <definedName name="XDO_?FINAL_MV?502?">'SCPOF-A1'!$G$10:$G$93</definedName>
    <definedName name="XDO_?FINAL_MV?503?">'SCPOF-A1'!$G$10:$G$108</definedName>
    <definedName name="XDO_?FINAL_MV?504?">'SCPOF-A1'!$G$10:$G$113</definedName>
    <definedName name="XDO_?FINAL_MV?505?">'SDFS-C-46'!$G$18:$G$25</definedName>
    <definedName name="XDO_?FINAL_MV?506?">'SDFS-C-46'!$G$18:$G$29</definedName>
    <definedName name="XDO_?FINAL_MV?507?">'SDFS-C-46'!$G$18:$G$39</definedName>
    <definedName name="XDO_?FINAL_MV?508?">'SDFS-C-46'!$G$18:$G$46</definedName>
    <definedName name="XDO_?FINAL_MV?509?">'SDFS-C-46'!$G$18:$G$50</definedName>
    <definedName name="XDO_?FINAL_MV?51?">SMGLF!$G$10:$G$52</definedName>
    <definedName name="XDO_?FINAL_MV?510?">'SDFS-C-46'!$G$18:$G$65</definedName>
    <definedName name="XDO_?FINAL_MV?511?">'SDFS-C-46'!$G$18:$G$70</definedName>
    <definedName name="XDO_?FINAL_MV?512?">SEMVF!$G$10:$G$121</definedName>
    <definedName name="XDO_?FINAL_MV?513?">SEMVF!$G$10:$G$96</definedName>
    <definedName name="XDO_?FINAL_MV?514?">SEMVF!$G$10:$G$100</definedName>
    <definedName name="XDO_?FINAL_MV?515?">SEMVF!$G$10:$G$105</definedName>
    <definedName name="XDO_?FINAL_MV?516?">'SDFS-C-48'!$G$18:$G$34</definedName>
    <definedName name="XDO_?FINAL_MV?517?">'SDFS-C-48'!$G$18:$G$44</definedName>
    <definedName name="XDO_?FINAL_MV?518?">'SDFS-C-48'!$G$18:$G$53</definedName>
    <definedName name="XDO_?FINAL_MV?519?">'SDFS-C-48'!$G$18:$G$70</definedName>
    <definedName name="XDO_?FINAL_MV?52?">SMGLF!$G$10:$G$46</definedName>
    <definedName name="XDO_?FINAL_MV?520?">'SDFS-C-48'!$G$18:$G$75</definedName>
    <definedName name="XDO_?FINAL_MV?521?">'SDFS-C-49'!$G$18:$G$27</definedName>
    <definedName name="XDO_?FINAL_MV?522?">'SDFS-C-49'!$G$18:$G$38</definedName>
    <definedName name="XDO_?FINAL_MV?523?">'SDFS-C-49'!$G$18:$G$47</definedName>
    <definedName name="XDO_?FINAL_MV?524?">'SDFS-C-49'!$G$18:$G$51</definedName>
    <definedName name="XDO_?FINAL_MV?525?">'SDFS-C-49'!$G$18:$G$66</definedName>
    <definedName name="XDO_?FINAL_MV?526?">'SDFS-C-49'!$G$18:$G$71</definedName>
    <definedName name="XDO_?FINAL_MV?527?">'SCPOF-Series A (Plan 2)'!$G$10:$G$59</definedName>
    <definedName name="XDO_?FINAL_MV?528?">'SCPOF-Series A (Plan 2)'!$G$10:$G$74</definedName>
    <definedName name="XDO_?FINAL_MV?529?">'SCPOF-Series A (Plan 2)'!$G$10:$G$84</definedName>
    <definedName name="XDO_?FINAL_MV?53?">SMGLF!$G$10:$G$87</definedName>
    <definedName name="XDO_?FINAL_MV?530?">'SCPOF-Series A (Plan 2)'!$G$10:$G$93</definedName>
    <definedName name="XDO_?FINAL_MV?531?">'SCPOF-Series A (Plan 2)'!$G$10:$G$108</definedName>
    <definedName name="XDO_?FINAL_MV?532?">'SCPOF-Series A (Plan 2)'!$G$10:$G$113</definedName>
    <definedName name="XDO_?FINAL_MV?533?">'SDFS-C-50'!$G$18:$G$26</definedName>
    <definedName name="XDO_?FINAL_MV?534?">'SDFS-C-50'!$G$18:$G$40</definedName>
    <definedName name="XDO_?FINAL_MV?535?">'SDFS-C-50'!$G$18:$G$48</definedName>
    <definedName name="XDO_?FINAL_MV?536?">'SDFS-C-50'!$G$18:$G$65</definedName>
    <definedName name="XDO_?FINAL_MV?537?">'SDFS-C-50'!$G$18:$G$70</definedName>
    <definedName name="XDO_?FINAL_MV?538?">'SFMP- Series 1'!$G$26:$G$31</definedName>
    <definedName name="XDO_?FINAL_MV?539?">'SFMP- Series 1'!$G$26:$G$39</definedName>
    <definedName name="XDO_?FINAL_MV?54?">SMGLF!$G$10:$G$92</definedName>
    <definedName name="XDO_?FINAL_MV?540?">'SFMP- Series 1'!$G$26:$G$56</definedName>
    <definedName name="XDO_?FINAL_MV?541?">'SFMP- Series 1'!$G$26:$G$61</definedName>
    <definedName name="XDO_?FINAL_MV?542?">'SFMP- Series 2'!$G$18:$G$29</definedName>
    <definedName name="XDO_?FINAL_MV?543?">'SFMP- Series 2'!$G$18:$G$45</definedName>
    <definedName name="XDO_?FINAL_MV?544?">'SFMP- Series 2'!$G$18:$G$62</definedName>
    <definedName name="XDO_?FINAL_MV?545?">'SFMP- Series 2'!$G$18:$G$67</definedName>
    <definedName name="XDO_?FINAL_MV?546?">'SFMP- Series 3'!$G$18:$G$29</definedName>
    <definedName name="XDO_?FINAL_MV?547?">'SFMP- Series 3'!$G$18:$G$45</definedName>
    <definedName name="XDO_?FINAL_MV?548?">'SFMP- Series 3'!$G$18:$G$62</definedName>
    <definedName name="XDO_?FINAL_MV?549?">'SFMP- Series 3'!$G$18:$G$67</definedName>
    <definedName name="XDO_?FINAL_MV?55?">'[1]MBF-94'!$G$10</definedName>
    <definedName name="XDO_?FINAL_MV?550?">'SCPOF-Series A (Plan 3)'!$G$10:$G$59</definedName>
    <definedName name="XDO_?FINAL_MV?551?">'SCPOF-Series A (Plan 3)'!$G$10:$G$76</definedName>
    <definedName name="XDO_?FINAL_MV?552?">'SCPOF-Series A (Plan 3)'!$G$10:$G$87</definedName>
    <definedName name="XDO_?FINAL_MV?553?">'SCPOF-Series A (Plan 3)'!$G$10:$G$110</definedName>
    <definedName name="XDO_?FINAL_MV?554?">'SCPOF-Series A (Plan 3)'!$G$10:$G$115</definedName>
    <definedName name="XDO_?FINAL_MV?555?">'SFMP- Series 6'!$G$26:$G$29</definedName>
    <definedName name="XDO_?FINAL_MV?556?">'SFMP- Series 6'!$G$26:$G$36</definedName>
    <definedName name="XDO_?FINAL_MV?557?">'SFMP- Series 6'!$G$26:$G$53</definedName>
    <definedName name="XDO_?FINAL_MV?558?">'SFMP- Series 6'!$G$26:$G$58</definedName>
    <definedName name="XDO_?FINAL_MV?559?">'SFMP- Series 7'!$G$18:$G$32</definedName>
    <definedName name="XDO_?FINAL_MV?56?">'[1]MBF-94'!$G$10:$G$19</definedName>
    <definedName name="XDO_?FINAL_MV?560?">'SFMP- Series 7'!$G$18:$G$47</definedName>
    <definedName name="XDO_?FINAL_MV?561?">'SFMP- Series 7'!$G$18:$G$64</definedName>
    <definedName name="XDO_?FINAL_MV?562?">'SFMP- Series 7'!$G$18:$G$69</definedName>
    <definedName name="XDO_?FINAL_MV?563?">'SFMP- Series 8'!$G$18:$G$32</definedName>
    <definedName name="XDO_?FINAL_MV?564?">'SFMP- Series 8'!$G$18:$G$47</definedName>
    <definedName name="XDO_?FINAL_MV?565?">'SFMP- Series 8'!$G$18:$G$64</definedName>
    <definedName name="XDO_?FINAL_MV?566?">'SFMP- Series 8'!$G$18:$G$69</definedName>
    <definedName name="XDO_?FINAL_MV?567?">'SCPOF-Series A (Plan 4)'!$G$10:$G$59</definedName>
    <definedName name="XDO_?FINAL_MV?568?">'SCPOF-Series A (Plan 4)'!$G$10:$G$75</definedName>
    <definedName name="XDO_?FINAL_MV?569?">'SCPOF-Series A (Plan 4)'!$G$10:$G$86</definedName>
    <definedName name="XDO_?FINAL_MV?57?">'[1]MBF-94'!$G$10:$G$56</definedName>
    <definedName name="XDO_?FINAL_MV?570?">'SCPOF-Series A (Plan 4)'!$G$10:$G$109</definedName>
    <definedName name="XDO_?FINAL_MV?571?">'SCPOF-Series A (Plan 4)'!$G$10:$G$114</definedName>
    <definedName name="XDO_?FINAL_MV?572?">'SFMP- Series 9'!$G$18:$G$31</definedName>
    <definedName name="XDO_?FINAL_MV?573?">'SFMP- Series 9'!$G$18:$G$47</definedName>
    <definedName name="XDO_?FINAL_MV?574?">'SFMP- Series 9'!$G$18:$G$64</definedName>
    <definedName name="XDO_?FINAL_MV?575?">'SFMP- Series 9'!$G$18:$G$69</definedName>
    <definedName name="XDO_?FINAL_MV?576?">'SFMP- Series 10'!$G$18:$G$31</definedName>
    <definedName name="XDO_?FINAL_MV?577?">'SFMP- Series 10'!$G$18:$G$46</definedName>
    <definedName name="XDO_?FINAL_MV?578?">'SFMP- Series 10'!$G$18:$G$50</definedName>
    <definedName name="XDO_?FINAL_MV?579?">'SFMP- Series 10'!$G$18:$G$65</definedName>
    <definedName name="XDO_?FINAL_MV?58?">'[1]MBF-94'!$G$10:$G$61</definedName>
    <definedName name="XDO_?FINAL_MV?580?">'SFMP- Series 10'!$G$18:$G$70</definedName>
    <definedName name="XDO_?FINAL_MV?581?">'SFMP- Series 11'!$G$18:$G$36</definedName>
    <definedName name="XDO_?FINAL_MV?582?">'SFMP- Series 11'!$G$18:$G$52</definedName>
    <definedName name="XDO_?FINAL_MV?583?">'SFMP- Series 11'!$G$18:$G$56</definedName>
    <definedName name="XDO_?FINAL_MV?584?">'SFMP- Series 11'!$G$18:$G$71</definedName>
    <definedName name="XDO_?FINAL_MV?585?">'SFMP- Series 11'!$G$18:$G$76</definedName>
    <definedName name="XDO_?FINAL_MV?586?">'SFMP- Series 12'!$G$18:$G$31</definedName>
    <definedName name="XDO_?FINAL_MV?587?">'SFMP- Series 12'!$G$18:$G$46</definedName>
    <definedName name="XDO_?FINAL_MV?588?">'SFMP- Series 12'!$G$18:$G$50</definedName>
    <definedName name="XDO_?FINAL_MV?589?">'SFMP- Series 12'!$G$18:$G$65</definedName>
    <definedName name="XDO_?FINAL_MV?59?">'[1]MELS-95'!$G$48</definedName>
    <definedName name="XDO_?FINAL_MV?590?">'SFMP- Series 12'!$G$18:$G$70</definedName>
    <definedName name="XDO_?FINAL_MV?591?">'SFMP- Series 13'!$G$18:$G$31</definedName>
    <definedName name="XDO_?FINAL_MV?592?">'SFMP- Series 13'!$G$18:$G$47</definedName>
    <definedName name="XDO_?FINAL_MV?593?">'SFMP- Series 13'!$G$18:$G$64</definedName>
    <definedName name="XDO_?FINAL_MV?594?">'SFMP- Series 13'!$G$18:$G$69</definedName>
    <definedName name="XDO_?FINAL_MV?595?">'SFMP- Series 14'!$G$18:$G$31</definedName>
    <definedName name="XDO_?FINAL_MV?596?">'SFMP- Series 14'!$G$18:$G$46</definedName>
    <definedName name="XDO_?FINAL_MV?597?">'SFMP- Series 14'!$G$18:$G$50</definedName>
    <definedName name="XDO_?FINAL_MV?598?">'SFMP- Series 14'!$G$18:$G$65</definedName>
    <definedName name="XDO_?FINAL_MV?599?">'SFMP- Series 14'!$G$18:$G$70</definedName>
    <definedName name="XDO_?FINAL_MV?6?">'[1]MMIS-89'!$G$10:$G$49</definedName>
    <definedName name="XDO_?FINAL_MV?60?">'[1]MELS-95'!$G$48:$G$53</definedName>
    <definedName name="XDO_?FINAL_MV?600?">'SFMP- Series 15'!$G$18:$G$29</definedName>
    <definedName name="XDO_?FINAL_MV?601?">'SFMP- Series 15'!$G$18:$G$44</definedName>
    <definedName name="XDO_?FINAL_MV?602?">'SFMP- Series 15'!$G$18:$G$48</definedName>
    <definedName name="XDO_?FINAL_MV?603?">'SFMP- Series 15'!$G$18:$G$63</definedName>
    <definedName name="XDO_?FINAL_MV?604?">'SFMP- Series 15'!$G$18:$G$68</definedName>
    <definedName name="XDO_?FINAL_MV?605?">'SFMP- Series 16'!$G$18:$G$34</definedName>
    <definedName name="XDO_?FINAL_MV?606?">'SFMP- Series 16'!$G$18:$G$49</definedName>
    <definedName name="XDO_?FINAL_MV?607?">'SFMP- Series 16'!$G$18:$G$66</definedName>
    <definedName name="XDO_?FINAL_MV?608?">'SFMP- Series 16'!$G$18:$G$71</definedName>
    <definedName name="XDO_?FINAL_MV?609?">'SFMP- Series 17'!$G$18:$G$30</definedName>
    <definedName name="XDO_?FINAL_MV?61?">SEHF!$G$10:$G$51</definedName>
    <definedName name="XDO_?FINAL_MV?610?">'SFMP- Series 17'!$G$18:$G$45</definedName>
    <definedName name="XDO_?FINAL_MV?611?">'SFMP- Series 17'!$G$18:$G$62</definedName>
    <definedName name="XDO_?FINAL_MV?612?">'SFMP- Series 17'!$G$18:$G$67</definedName>
    <definedName name="XDO_?FINAL_MV?613?">'SCPOF-Series A (Plan 5)'!$G$10:$G$59</definedName>
    <definedName name="XDO_?FINAL_MV?614?">'SCPOF-Series A (Plan 5)'!$G$10:$G$79</definedName>
    <definedName name="XDO_?FINAL_MV?615?">'SCPOF-Series A (Plan 5)'!$G$10:$G$89</definedName>
    <definedName name="XDO_?FINAL_MV?616?">'SCPOF-Series A (Plan 5)'!$G$10:$G$112</definedName>
    <definedName name="XDO_?FINAL_MV?617?">'SCPOF-Series A (Plan 5)'!$G$10:$G$117</definedName>
    <definedName name="XDO_?FINAL_MV?618?">'SFMP- Series 18'!$G$18:$G$30</definedName>
    <definedName name="XDO_?FINAL_MV?619?">'SFMP- Series 18'!$G$18:$G$45</definedName>
    <definedName name="XDO_?FINAL_MV?62?">SEHF!$G$10:$G$56</definedName>
    <definedName name="XDO_?FINAL_MV?620?">'SFMP- Series 18'!$G$18:$G$62</definedName>
    <definedName name="XDO_?FINAL_MV?621?">'SFMP- Series 18'!$G$18:$G$67</definedName>
    <definedName name="XDO_?FINAL_MV?622?">'SCPOF-Series A (Plan 6)'!$G$10:$G$59</definedName>
    <definedName name="XDO_?FINAL_MV?623?">'SCPOF-Series A (Plan 6)'!$G$10:$G$78</definedName>
    <definedName name="XDO_?FINAL_MV?624?">'SCPOF-Series A (Plan 6)'!$G$10:$G$95</definedName>
    <definedName name="XDO_?FINAL_MV?625?">'SCPOF-Series A (Plan 6)'!$G$10:$G$110</definedName>
    <definedName name="XDO_?FINAL_MV?626?">'SCPOF-Series A (Plan 6)'!$G$10:$G$115</definedName>
    <definedName name="XDO_?FINAL_MV?627?">'SFMP- Series 19'!$G$18:$G$32</definedName>
    <definedName name="XDO_?FINAL_MV?628?">'SFMP- Series 19'!$G$18:$G$63</definedName>
    <definedName name="XDO_?FINAL_MV?629?">'SFMP- Series 19'!$G$18:$G$68</definedName>
    <definedName name="XDO_?FINAL_MV?63?">SEHF!$G$10:$G$99</definedName>
    <definedName name="XDO_?FINAL_MV?630?">'SFMP- Series 20'!$G$18:$G$31</definedName>
    <definedName name="XDO_?FINAL_MV?631?">'SFMP- Series 20'!$G$18:$G$62</definedName>
    <definedName name="XDO_?FINAL_MV?632?">'SFMP- Series 20'!$G$18:$G$67</definedName>
    <definedName name="XDO_?FINAL_MV?633?">'SFMP- Series 21'!$G$18:$G$30</definedName>
    <definedName name="XDO_?FINAL_MV?634?">'SFMP- Series 21'!$G$18:$G$61</definedName>
    <definedName name="XDO_?FINAL_MV?635?">'SFMP- Series 21'!$G$18:$G$66</definedName>
    <definedName name="XDO_?FINAL_MV?636?">'SFMP- Series 22'!$G$18:$G$30</definedName>
    <definedName name="XDO_?FINAL_MV?637?">'SFMP- Series 22'!$G$18:$G$61</definedName>
    <definedName name="XDO_?FINAL_MV?638?">'SFMP- Series 22'!$G$18:$G$66</definedName>
    <definedName name="XDO_?FINAL_MV?639?">'SFMP- Series 23'!$G$18:$G$30</definedName>
    <definedName name="XDO_?FINAL_MV?64?">SEHF!$G$10:$G$112</definedName>
    <definedName name="XDO_?FINAL_MV?640?">'SFMP- Series 23'!$G$18:$G$61</definedName>
    <definedName name="XDO_?FINAL_MV?641?">'SFMP- Series 23'!$G$18:$G$66</definedName>
    <definedName name="XDO_?FINAL_MV?642?">'SFMP- Series 24'!$G$18:$G$30</definedName>
    <definedName name="XDO_?FINAL_MV?643?">'SFMP- Series 24'!$G$18:$G$61</definedName>
    <definedName name="XDO_?FINAL_MV?644?">'SFMP- Series 24'!$G$18:$G$66</definedName>
    <definedName name="XDO_?FINAL_MV?645?">'SFMP- Series 25'!$G$18:$G$29</definedName>
    <definedName name="XDO_?FINAL_MV?646?">'SFMP- Series 25'!$G$18:$G$60</definedName>
    <definedName name="XDO_?FINAL_MV?647?">'SFMP- Series 25'!$G$18:$G$65</definedName>
    <definedName name="XDO_?FINAL_MV?648?">'SFMP- Series 26'!$G$18:$G$30</definedName>
    <definedName name="XDO_?FINAL_MV?649?">'SFMP- Series 26'!$G$18:$G$61</definedName>
    <definedName name="XDO_?FINAL_MV?65?">SEHF!$G$10:$G$125</definedName>
    <definedName name="XDO_?FINAL_MV?650?">'SFMP- Series 26'!$G$18:$G$66</definedName>
    <definedName name="XDO_?FINAL_MV?651?">'SFMP- Series 27'!$G$18:$G$28</definedName>
    <definedName name="XDO_?FINAL_MV?652?">'SFMP- Series 27'!$G$18:$G$38</definedName>
    <definedName name="XDO_?FINAL_MV?653?">'SFMP- Series 27'!$G$18:$G$45</definedName>
    <definedName name="XDO_?FINAL_MV?654?">'SFMP- Series 27'!$G$18:$G$62</definedName>
    <definedName name="XDO_?FINAL_MV?655?">'SFMP- Series 27'!$G$18:$G$67</definedName>
    <definedName name="XDO_?FINAL_MV?656?">'SCPOF-Series A (Plan 7)'!$G$10:$G$59</definedName>
    <definedName name="XDO_?FINAL_MV?657?">'SCPOF-Series A (Plan 7)'!$G$10:$G$71</definedName>
    <definedName name="XDO_?FINAL_MV?658?">'SCPOF-Series A (Plan 7)'!$G$10:$G$82</definedName>
    <definedName name="XDO_?FINAL_MV?659?">'SCPOF-Series A (Plan 7)'!$G$10:$G$91</definedName>
    <definedName name="XDO_?FINAL_MV?66?">SEHF!$G$10:$G$148</definedName>
    <definedName name="XDO_?FINAL_MV?660?">'SCPOF-Series A (Plan 7)'!$G$10:$G$106</definedName>
    <definedName name="XDO_?FINAL_MV?661?">'SCPOF-Series A (Plan 7)'!$G$10:$G$111</definedName>
    <definedName name="XDO_?FINAL_MV?662?">'SFMP- Series 28'!$G$18:$G$27</definedName>
    <definedName name="XDO_?FINAL_MV?663?">'SFMP- Series 28'!$G$18:$G$39</definedName>
    <definedName name="XDO_?FINAL_MV?664?">'SFMP- Series 28'!$G$18:$G$62</definedName>
    <definedName name="XDO_?FINAL_MV?665?">'SFMP- Series 28'!$G$18:$G$67</definedName>
    <definedName name="XDO_?FINAL_MV?666?">'SCPOF-Series A (Plan 8)'!$G$10:$G$59</definedName>
    <definedName name="XDO_?FINAL_MV?667?">'SCPOF-Series A (Plan 8)'!$G$10:$G$71</definedName>
    <definedName name="XDO_?FINAL_MV?668?">'SCPOF-Series A (Plan 8)'!$G$10:$G$82</definedName>
    <definedName name="XDO_?FINAL_MV?669?">'SCPOF-Series A (Plan 8)'!$G$10:$G$105</definedName>
    <definedName name="XDO_?FINAL_MV?67?">SEHF!$G$10:$G$152</definedName>
    <definedName name="XDO_?FINAL_MV?670?">'SCPOF-Series A (Plan 8)'!$G$10:$G$110</definedName>
    <definedName name="XDO_?FINAL_MV?671?">'SFMP- Series 31'!$G$18:$G$25</definedName>
    <definedName name="XDO_?FINAL_MV?672?">'SFMP- Series 31'!$G$18:$G$39</definedName>
    <definedName name="XDO_?FINAL_MV?673?">'SFMP- Series 31'!$G$18:$G$62</definedName>
    <definedName name="XDO_?FINAL_MV?674?">'SFMP- Series 31'!$G$18:$G$67</definedName>
    <definedName name="XDO_?FINAL_MV?675?">'SFMP- Series 32'!$G$18:$G$26</definedName>
    <definedName name="XDO_?FINAL_MV?676?">'SFMP- Series 32'!$G$18:$G$37</definedName>
    <definedName name="XDO_?FINAL_MV?677?">'SFMP- Series 32'!$G$18:$G$60</definedName>
    <definedName name="XDO_?FINAL_MV?678?">'SFMP- Series 32'!$G$18:$G$65</definedName>
    <definedName name="XDO_?FINAL_MV?679?">'SFMP- Series 33'!$G$26</definedName>
    <definedName name="XDO_?FINAL_MV?68?">SEHF!$G$10:$G$157</definedName>
    <definedName name="XDO_?FINAL_MV?680?">'SFMP- Series 33'!$G$26:$G$49</definedName>
    <definedName name="XDO_?FINAL_MV?681?">'SFMP- Series 33'!$G$26:$G$54</definedName>
    <definedName name="XDO_?FINAL_MV?682?">'SFMP- Series 34'!$G$26</definedName>
    <definedName name="XDO_?FINAL_MV?683?">'SFMP- Series 34'!$G$26:$G$49</definedName>
    <definedName name="XDO_?FINAL_MV?684?">'SFMP- Series 34'!$G$26:$G$54</definedName>
    <definedName name="XDO_?FINAL_MV?685?">'SMCBF-Investment Plan'!$G$10:$G$13</definedName>
    <definedName name="XDO_?FINAL_MV?686?">'SMCBF-Investment Plan'!$G$10:$G$22</definedName>
    <definedName name="XDO_?FINAL_MV?687?">'SMCBF-Investment Plan'!$G$10:$G$30</definedName>
    <definedName name="XDO_?FINAL_MV?688?">'SMCBF-Investment Plan'!$G$10:$G$55</definedName>
    <definedName name="XDO_?FINAL_MV?689?">'SMCBF-Investment Plan'!$G$10:$G$60</definedName>
    <definedName name="XDO_?FINAL_MV?69?">'[1]MELS-96'!$G$48</definedName>
    <definedName name="XDO_?FINAL_MV?690?">SBIRIOS!$G$10:$G$55</definedName>
    <definedName name="XDO_?FINAL_MV?691?">SBIRIOS!$G$10:$G$94</definedName>
    <definedName name="XDO_?FINAL_MV?692?">SBIRIOS!$G$10:$G$99</definedName>
    <definedName name="XDO_?FINAL_MV?693?">#REF!</definedName>
    <definedName name="XDO_?FINAL_MV?694?">#REF!</definedName>
    <definedName name="XDO_?FINAL_MV?695?">#REF!</definedName>
    <definedName name="XDO_?FINAL_MV?696?">#REF!</definedName>
    <definedName name="XDO_?FINAL_MV?697?">#REF!</definedName>
    <definedName name="XDO_?FINAL_MV?698?">#REF!</definedName>
    <definedName name="XDO_?FINAL_MV?699?">#REF!</definedName>
    <definedName name="XDO_?FINAL_MV?7?">'[1]MMIS-89'!$G$10:$G$54</definedName>
    <definedName name="XDO_?FINAL_MV?70?">'[1]MELS-96'!$G$48:$G$53</definedName>
    <definedName name="XDO_?FINAL_MV?700?">#REF!</definedName>
    <definedName name="XDO_?FINAL_MV?71?">'[1]MMIS-97'!$G$48</definedName>
    <definedName name="XDO_?FINAL_MV?72?">'[1]MMIS-97'!$G$48:$G$53</definedName>
    <definedName name="XDO_?FINAL_MV?73?">'[1]MMIS-98 I'!$G$12</definedName>
    <definedName name="XDO_?FINAL_MV?74?">'[1]MMIS-98 I'!$G$12:$G$49</definedName>
    <definedName name="XDO_?FINAL_MV?75?">'[1]MMIS-98 I'!$G$12:$G$54</definedName>
    <definedName name="XDO_?FINAL_MV?76?">SMIF!$G$18:$G$30</definedName>
    <definedName name="XDO_?FINAL_MV?77?">SMIF!$G$18:$G$42</definedName>
    <definedName name="XDO_?FINAL_MV?78?">SMIF!$G$18:$G$67</definedName>
    <definedName name="XDO_?FINAL_MV?79?">SMIF!$G$18:$G$72</definedName>
    <definedName name="XDO_?FINAL_MV?8?">'[1]MTSS-90'!$G$48</definedName>
    <definedName name="XDO_?FINAL_MV?80?">'[1]MMIS-98 II'!$G$48</definedName>
    <definedName name="XDO_?FINAL_MV?81?">'[1]MMIS-98 II'!$G$48:$G$53</definedName>
    <definedName name="XDO_?FINAL_MV?82?">'[1]MGF-99'!$G$12</definedName>
    <definedName name="XDO_?FINAL_MV?83?">'[1]MGF-99'!$G$12:$G$53</definedName>
    <definedName name="XDO_?FINAL_MV?84?">SCOF!$G$10:$G$38</definedName>
    <definedName name="XDO_?FINAL_MV?85?">SCOF!$G$10:$G$77</definedName>
    <definedName name="XDO_?FINAL_MV?86?">SCOF!$G$10:$G$82</definedName>
    <definedName name="XDO_?FINAL_MV?87?">STOF!$G$10:$G$14</definedName>
    <definedName name="XDO_?FINAL_MV?88?">STOF!$G$10:$G$33</definedName>
    <definedName name="XDO_?FINAL_MV?89?">STOF!$G$10:$G$24</definedName>
    <definedName name="XDO_?FINAL_MV?9?">'[1]MTSS-90'!$G$48:$G$53</definedName>
    <definedName name="XDO_?FINAL_MV?90?">STOF!$G$10:$G$29</definedName>
    <definedName name="XDO_?FINAL_MV?91?">STOF!$G$10:$G$34</definedName>
    <definedName name="XDO_?FINAL_MV?92?">STOF!$G$10:$G$69</definedName>
    <definedName name="XDO_?FINAL_MV?93?">STOF!$G$10:$G$74</definedName>
    <definedName name="XDO_?FINAL_MV?94?">SHOF!$G$10:$G$31</definedName>
    <definedName name="XDO_?FINAL_MV?95?">SHOF!$G$10:$G$35</definedName>
    <definedName name="XDO_?FINAL_MV?96?">SHOF!$G$10:$G$72</definedName>
    <definedName name="XDO_?FINAL_MV?97?">SHOF!$G$10:$G$77</definedName>
    <definedName name="XDO_?FINAL_MV?98?">SCF!$G$10:$G$56</definedName>
    <definedName name="XDO_?FINAL_MV?99?">SCF!$G$10:$G$96</definedName>
    <definedName name="XDO_?FINAL_NAME?">'[1]MRIS-87'!$C$48:$C$53</definedName>
    <definedName name="XDO_?FINAL_NAME?1?">'[1]MTSS-88-89'!$C$48</definedName>
    <definedName name="XDO_?FINAL_NAME?10?">'[1]MRIS-90'!$C$48</definedName>
    <definedName name="XDO_?FINAL_NAME?100?">SCF!$C$10:$C$100</definedName>
    <definedName name="XDO_?FINAL_NAME?101?">SCF!$C$10:$C$105</definedName>
    <definedName name="XDO_?FINAL_NAME?102?">SNIF!$C$10:$C$121</definedName>
    <definedName name="XDO_?FINAL_NAME?103?">SNIF!$C$10:$C$96</definedName>
    <definedName name="XDO_?FINAL_NAME?104?">SNIF!$C$10:$C$100</definedName>
    <definedName name="XDO_?FINAL_NAME?105?">SNIF!$C$10:$C$105</definedName>
    <definedName name="XDO_?FINAL_NAME?106?">SMCBF!$C$10:$C$36</definedName>
    <definedName name="XDO_?FINAL_NAME?107?">SMCBF!$C$10:$C$39</definedName>
    <definedName name="XDO_?FINAL_NAME?108?">SMCBF!$C$10:$C$52</definedName>
    <definedName name="XDO_?FINAL_NAME?109?">SMCBF!$C$10:$C$60</definedName>
    <definedName name="XDO_?FINAL_NAME?11?">'[1]MRIS-90'!$C$48:$C$53</definedName>
    <definedName name="XDO_?FINAL_NAME?110?">SMCBF!$C$10:$C$64</definedName>
    <definedName name="XDO_?FINAL_NAME?111?">SMCBF!$C$10:$C$87</definedName>
    <definedName name="XDO_?FINAL_NAME?112?">SMCBF!$C$10:$C$92</definedName>
    <definedName name="XDO_?FINAL_NAME?113?">SOF!$C$48:$C$49</definedName>
    <definedName name="XDO_?FINAL_NAME?114?">SOF!$C$48:$C$54</definedName>
    <definedName name="XDO_?FINAL_NAME?115?">SMMDF!$C$18:$C$53</definedName>
    <definedName name="XDO_?FINAL_NAME?116?">SMMDF!$C$18:$C$67</definedName>
    <definedName name="XDO_?FINAL_NAME?117?">SMMDF!$C$18:$C$80</definedName>
    <definedName name="XDO_?FINAL_NAME?118?">SMMDF!$C$18:$C$84</definedName>
    <definedName name="XDO_?FINAL_NAME?119?">SMMDF!$C$18:$C$107</definedName>
    <definedName name="XDO_?FINAL_NAME?12?">SMEEF!$C$10:$C$50</definedName>
    <definedName name="XDO_?FINAL_NAME?120?">SMMDF!$C$18:$C$112</definedName>
    <definedName name="XDO_?FINAL_NAME?121?">SLF!$C$26:$C$29</definedName>
    <definedName name="XDO_?FINAL_NAME?122?">SLF!$C$26:$C$58</definedName>
    <definedName name="XDO_?FINAL_NAME?123?">SLF!$C$26:$C$77</definedName>
    <definedName name="XDO_?FINAL_NAME?124?">SLF!$C$26:$C$92</definedName>
    <definedName name="XDO_?FINAL_NAME?125?">SLF!$C$26:$C$97</definedName>
    <definedName name="XDO_?FINAL_NAME?126?">SDBF!$C$24:$C$29</definedName>
    <definedName name="XDO_?FINAL_NAME?127?">SDBF!$C$24:$C$54</definedName>
    <definedName name="XDO_?FINAL_NAME?128?">SDBF!$C$24:$C$59</definedName>
    <definedName name="XDO_?FINAL_NAME?129?">SSF!$C$24:$C$25</definedName>
    <definedName name="XDO_?FINAL_NAME?13?">SMEEF!$C$10:$C$55</definedName>
    <definedName name="XDO_?FINAL_NAME?130?">SSF!$C$24:$C$80</definedName>
    <definedName name="XDO_?FINAL_NAME?131?">SSF!$C$24:$C$102</definedName>
    <definedName name="XDO_?FINAL_NAME?132?">SSF!$C$24:$C$113</definedName>
    <definedName name="XDO_?FINAL_NAME?133?">SSF!$C$24:$C$128</definedName>
    <definedName name="XDO_?FINAL_NAME?134?">SSF!$C$24:$C$133</definedName>
    <definedName name="XDO_?FINAL_NAME?135?">SCRF!$C$18:$C$61</definedName>
    <definedName name="XDO_?FINAL_NAME?136?">SCRF!$C$18:$C$75</definedName>
    <definedName name="XDO_?FINAL_NAME?137?">SCRF!$C$18:$C$85</definedName>
    <definedName name="XDO_?FINAL_NAME?138?">SCRF!$C$18:$C$110</definedName>
    <definedName name="XDO_?FINAL_NAME?139?">SCRF!$C$18:$C$115</definedName>
    <definedName name="XDO_?FINAL_NAME?14?">SMEEF!$C$10:$C$84</definedName>
    <definedName name="XDO_?FINAL_NAME?140?">SFEF!$C$10</definedName>
    <definedName name="XDO_?FINAL_NAME?141?">SFEF!$C$10:$C$41</definedName>
    <definedName name="XDO_?FINAL_NAME?142?">SFEF!$C$10:$C$35</definedName>
    <definedName name="XDO_?FINAL_NAME?143?">SFEF!$C$10:$C$42</definedName>
    <definedName name="XDO_?FINAL_NAME?144?">SFEF!$C$10:$C$75</definedName>
    <definedName name="XDO_?FINAL_NAME?145?">SFEF!$C$10:$C$79</definedName>
    <definedName name="XDO_?FINAL_NAME?146?">SFEF!$C$10:$C$84</definedName>
    <definedName name="XDO_?FINAL_NAME?147?">SDHF!$C$10:$C$34</definedName>
    <definedName name="XDO_?FINAL_NAME?148?">SDHF!$C$10:$C$54</definedName>
    <definedName name="XDO_?FINAL_NAME?149?">SDHF!$C$10:$C$68</definedName>
    <definedName name="XDO_?FINAL_NAME?15?">SMEEF!$C$10:$C$92</definedName>
    <definedName name="XDO_?FINAL_NAME?150?">SDHF!$C$10:$C$77</definedName>
    <definedName name="XDO_?FINAL_NAME?151?">SDHF!$C$10:$C$102</definedName>
    <definedName name="XDO_?FINAL_NAME?152?">SDHF!$C$10:$C$107</definedName>
    <definedName name="XDO_?FINAL_NAME?153?">SMUSD!$C$18:$C$39</definedName>
    <definedName name="XDO_?FINAL_NAME?154?">SMUSD!$C$18:$C$50</definedName>
    <definedName name="XDO_?FINAL_NAME?155?">SMUSD!$C$18:$C$56</definedName>
    <definedName name="XDO_?FINAL_NAME?156?">SMUSD!$C$18:$C$70</definedName>
    <definedName name="XDO_?FINAL_NAME?157?">SMUSD!$C$18:$C$86</definedName>
    <definedName name="XDO_?FINAL_NAME?158?">SMUSD!$C$18:$C$94</definedName>
    <definedName name="XDO_?FINAL_NAME?159?">SMUSD!$C$18:$C$109</definedName>
    <definedName name="XDO_?FINAL_NAME?16?">SMEEF!$C$10:$C$96</definedName>
    <definedName name="XDO_?FINAL_NAME?160?">SMUSD!$C$18:$C$114</definedName>
    <definedName name="XDO_?FINAL_NAME?161?">SMIDCAP!$C$10:$C$59</definedName>
    <definedName name="XDO_?FINAL_NAME?162?">SMIDCAP!$C$10:$C$62</definedName>
    <definedName name="XDO_?FINAL_NAME?163?">SMIDCAP!$C$10:$C$98</definedName>
    <definedName name="XDO_?FINAL_NAME?164?">SMIDCAP!$C$10:$C$103</definedName>
    <definedName name="XDO_?FINAL_NAME?165?">SMCMF!$C$24:$C$28</definedName>
    <definedName name="XDO_?FINAL_NAME?166?">SMCMF!$C$24:$C$53</definedName>
    <definedName name="XDO_?FINAL_NAME?167?">SMCMF!$C$24:$C$58</definedName>
    <definedName name="XDO_?FINAL_NAME?168?">SMCOMMA!$C$10:$C$35</definedName>
    <definedName name="XDO_?FINAL_NAME?169?">SMCOMMA!$C$10:$C$74</definedName>
    <definedName name="XDO_?FINAL_NAME?17?">SMEEF!$C$10:$C$101</definedName>
    <definedName name="XDO_?FINAL_NAME?170?">SMCOMMA!$C$10:$C$79</definedName>
    <definedName name="XDO_?FINAL_NAME?171?">SMGF!$C$24:$C$28</definedName>
    <definedName name="XDO_?FINAL_NAME?172?">SMGF!$C$24:$C$53</definedName>
    <definedName name="XDO_?FINAL_NAME?173?">SMGF!$C$24:$C$58</definedName>
    <definedName name="XDO_?FINAL_NAME?174?">SMMULTI!$C$10:$C$55</definedName>
    <definedName name="XDO_?FINAL_NAME?175?">SMMULTI!$C$10:$C$58</definedName>
    <definedName name="XDO_?FINAL_NAME?176?">SMMULTI!$C$10:$C$94</definedName>
    <definedName name="XDO_?FINAL_NAME?177?">SMMULTI!$C$10:$C$99</definedName>
    <definedName name="XDO_?FINAL_NAME?178?">SMAAF!$C$10:$C$59</definedName>
    <definedName name="XDO_?FINAL_NAME?179?">SMAAF!$C$10:$C$76</definedName>
    <definedName name="XDO_?FINAL_NAME?18?">'[1]MELS-91'!$C$12</definedName>
    <definedName name="XDO_?FINAL_NAME?180?">SMAAF!$C$10:$C$93</definedName>
    <definedName name="XDO_?FINAL_NAME?181?">SMAAF!$C$10:$C$103</definedName>
    <definedName name="XDO_?FINAL_NAME?182?">SMAAF!$C$10:$C$108</definedName>
    <definedName name="XDO_?FINAL_NAME?183?">SBLUECHIP!$C$10:$C$67</definedName>
    <definedName name="XDO_?FINAL_NAME?184?">SBLUECHIP!$C$10:$C$106</definedName>
    <definedName name="XDO_?FINAL_NAME?185?">SBLUECHIP!$C$10:$C$111</definedName>
    <definedName name="XDO_?FINAL_NAME?186?">SAOF!$C$10:$C$73</definedName>
    <definedName name="XDO_?FINAL_NAME?187?">SAOF!$C$10:$C$88</definedName>
    <definedName name="XDO_?FINAL_NAME?188?">SAOF!$C$10:$C$95</definedName>
    <definedName name="XDO_?FINAL_NAME?189?">SAOF!$C$10:$C$126</definedName>
    <definedName name="XDO_?FINAL_NAME?19?">'[1]MELS-91'!$C$12:$C$49</definedName>
    <definedName name="XDO_?FINAL_NAME?190?">SAOF!$C$10:$C$130</definedName>
    <definedName name="XDO_?FINAL_NAME?191?">SAOF!$C$10:$C$135</definedName>
    <definedName name="XDO_?FINAL_NAME?192?">SIF!$C$10:$C$37</definedName>
    <definedName name="XDO_?FINAL_NAME?193?">SIF!$C$10:$C$76</definedName>
    <definedName name="XDO_?FINAL_NAME?194?">SIF!$C$10:$C$81</definedName>
    <definedName name="XDO_?FINAL_NAME?195?">SMLDF!$C$18:$C$62</definedName>
    <definedName name="XDO_?FINAL_NAME?196?">SMLDF!$C$18:$C$67</definedName>
    <definedName name="XDO_?FINAL_NAME?197?">SMLDF!$C$18:$C$77</definedName>
    <definedName name="XDO_?FINAL_NAME?198?">SMLDF!$C$18:$C$83</definedName>
    <definedName name="XDO_?FINAL_NAME?199?">SMLDF!$C$18:$C$92</definedName>
    <definedName name="XDO_?FINAL_NAME?2?">'[1]MTSS-88-89'!$C$48:$C$53</definedName>
    <definedName name="XDO_?FINAL_NAME?20?">'[1]MELS-91'!$C$12:$C$54</definedName>
    <definedName name="XDO_?FINAL_NAME?200?">SMLDF!$C$18:$C$106</definedName>
    <definedName name="XDO_?FINAL_NAME?201?">SMLDF!$C$18:$C$112</definedName>
    <definedName name="XDO_?FINAL_NAME?202?">SMLDF!$C$18:$C$118</definedName>
    <definedName name="XDO_?FINAL_NAME?203?">SMLDF!$C$18:$C$133</definedName>
    <definedName name="XDO_?FINAL_NAME?204?">SMLDF!$C$18:$C$138</definedName>
    <definedName name="XDO_?FINAL_NAME?205?">SSTDF!$C$18:$C$101</definedName>
    <definedName name="XDO_?FINAL_NAME?206?">SSTDF!$C$18:$C$105</definedName>
    <definedName name="XDO_?FINAL_NAME?207?">SSTDF!$C$18:$C$113</definedName>
    <definedName name="XDO_?FINAL_NAME?208?">SSTDF!$C$18:$C$123</definedName>
    <definedName name="XDO_?FINAL_NAME?209?">SSTDF!$C$18:$C$136</definedName>
    <definedName name="XDO_?FINAL_NAME?21?">'[1]MMIS-91'!$C$10:$C$11</definedName>
    <definedName name="XDO_?FINAL_NAME?210?">SSTDF!$C$18:$C$145</definedName>
    <definedName name="XDO_?FINAL_NAME?211?">SSTDF!$C$18:$C$160</definedName>
    <definedName name="XDO_?FINAL_NAME?212?">SSTDF!$C$18:$C$165</definedName>
    <definedName name="XDO_?FINAL_NAME?213?">'SETF-Gold'!$C$42</definedName>
    <definedName name="XDO_?FINAL_NAME?214?">'SETF-Gold'!$C$42:$C$50</definedName>
    <definedName name="XDO_?FINAL_NAME?215?">'SETF-Gold'!$C$42:$C$55</definedName>
    <definedName name="XDO_?FINAL_NAME?216?">SPSU!$C$10:$C$31</definedName>
    <definedName name="XDO_?FINAL_NAME?217?">SPSU!$C$10:$C$70</definedName>
    <definedName name="XDO_?FINAL_NAME?218?">SPSU!$C$10:$C$75</definedName>
    <definedName name="XDO_?FINAL_NAME?219?">SGF!$C$40</definedName>
    <definedName name="XDO_?FINAL_NAME?22?">'[1]MMIS-91'!$C$10:$C$25</definedName>
    <definedName name="XDO_?FINAL_NAME?220?">SGF!$C$40:$C$50</definedName>
    <definedName name="XDO_?FINAL_NAME?221?">SGF!$C$40:$C$55</definedName>
    <definedName name="XDO_?FINAL_NAME?222?">'STAF-II'!$C$10:$C$35</definedName>
    <definedName name="XDO_?FINAL_NAME?223?">'STAF-II'!$C$10:$C$39</definedName>
    <definedName name="XDO_?FINAL_NAME?224?">'STAF-II'!$C$10:$C$76</definedName>
    <definedName name="XDO_?FINAL_NAME?225?">'STAF-II'!$C$10:$C$81</definedName>
    <definedName name="XDO_?FINAL_NAME?226?">'SETF-SENSEX'!$C$10:$C$39</definedName>
    <definedName name="XDO_?FINAL_NAME?227?">'SETF-SENSEX'!$C$10:$C$78</definedName>
    <definedName name="XDO_?FINAL_NAME?228?">'SETF-SENSEX'!$C$10:$C$83</definedName>
    <definedName name="XDO_?FINAL_NAME?229?">SSCF!$C$10:$C$62</definedName>
    <definedName name="XDO_?FINAL_NAME?23?">'[1]MMIS-91'!$C$10:$C$62</definedName>
    <definedName name="XDO_?FINAL_NAME?230?">SSCF!$C$10:$C$61</definedName>
    <definedName name="XDO_?FINAL_NAME?231?">SSCF!$C$10:$C$99</definedName>
    <definedName name="XDO_?FINAL_NAME?232?">SSCF!$C$10:$C$104</definedName>
    <definedName name="XDO_?FINAL_NAME?233?">SBPF!$C$18:$C$96</definedName>
    <definedName name="XDO_?FINAL_NAME?234?">SBPF!$C$18:$C$101</definedName>
    <definedName name="XDO_?FINAL_NAME?235?">SBPF!$C$18:$C$111</definedName>
    <definedName name="XDO_?FINAL_NAME?236?">SBPF!$C$18:$C$117</definedName>
    <definedName name="XDO_?FINAL_NAME?237?">SBPF!$C$18:$C$140</definedName>
    <definedName name="XDO_?FINAL_NAME?238?">SBPF!$C$18:$C$145</definedName>
    <definedName name="XDO_?FINAL_NAME?239?">'STAF-III'!$C$10:$C$36</definedName>
    <definedName name="XDO_?FINAL_NAME?24?">'[1]MMIS-91'!$C$10:$C$67</definedName>
    <definedName name="XDO_?FINAL_NAME?240?">'STAF-III'!$C$10:$C$75</definedName>
    <definedName name="XDO_?FINAL_NAME?241?">'STAF-III'!$C$10:$C$80</definedName>
    <definedName name="XDO_?FINAL_NAME?242?">'SEOF-I'!$C$10:$C$45</definedName>
    <definedName name="XDO_?FINAL_NAME?243?">'SEOF-I'!$C$10:$C$84</definedName>
    <definedName name="XDO_?FINAL_NAME?244?">'SEOF-I'!$C$10:$C$89</definedName>
    <definedName name="XDO_?FINAL_NAME?245?">'SLTAF-I'!$C$10:$C$37</definedName>
    <definedName name="XDO_?FINAL_NAME?246?">'SLTAF-I'!$C$10:$C$76</definedName>
    <definedName name="XDO_?FINAL_NAME?247?">'SLTAF-I'!$C$10:$C$81</definedName>
    <definedName name="XDO_?FINAL_NAME?248?">'SLTAF-II'!$C$10:$C$39</definedName>
    <definedName name="XDO_?FINAL_NAME?249?">'SLTAF-II'!$C$10:$C$78</definedName>
    <definedName name="XDO_?FINAL_NAME?25?">[1]MTPL!$C$10</definedName>
    <definedName name="XDO_?FINAL_NAME?250?">'SLTAF-II'!$C$10:$C$83</definedName>
    <definedName name="XDO_?FINAL_NAME?251?">SBFS!$C$10:$C$30</definedName>
    <definedName name="XDO_?FINAL_NAME?252?">SBFS!$C$10:$C$33</definedName>
    <definedName name="XDO_?FINAL_NAME?253?">SBFS!$C$10:$C$69</definedName>
    <definedName name="XDO_?FINAL_NAME?254?">SBFS!$C$10:$C$74</definedName>
    <definedName name="XDO_?FINAL_NAME?255?">SDAAF!$C$10:$C$40</definedName>
    <definedName name="XDO_?FINAL_NAME?256?">SDAAF!$C$10:$C$77</definedName>
    <definedName name="XDO_?FINAL_NAME?257?">SDAAF!$C$10:$C$81</definedName>
    <definedName name="XDO_?FINAL_NAME?258?">SDAAF!$C$10:$C$86</definedName>
    <definedName name="XDO_?FINAL_NAME?259?">'SETF-NN50'!$C$10:$C$59</definedName>
    <definedName name="XDO_?FINAL_NAME?26?">[1]MTPL!$C$10:$C$49</definedName>
    <definedName name="XDO_?FINAL_NAME?260?">'SETF-NN50'!$C$10:$C$98</definedName>
    <definedName name="XDO_?FINAL_NAME?261?">'SETF-NN50'!$C$10:$C$103</definedName>
    <definedName name="XDO_?FINAL_NAME?262?">'SETF-NBank'!$C$10:$C$76</definedName>
    <definedName name="XDO_?FINAL_NAME?263?">'SETF-NBank'!$C$10:$C$60</definedName>
    <definedName name="XDO_?FINAL_NAME?264?">'SETF-NBank'!$C$10:$C$65</definedName>
    <definedName name="XDO_?FINAL_NAME?265?">'SETF-BSE 100'!$C$10:$C$165</definedName>
    <definedName name="XDO_?FINAL_NAME?266?">'SETF-BSE 100'!$C$10:$C$149</definedName>
    <definedName name="XDO_?FINAL_NAME?267?">'SETF-BSE 100'!$C$10:$C$154</definedName>
    <definedName name="XDO_?FINAL_NAME?268?">SESF!$C$10:$C$81</definedName>
    <definedName name="XDO_?FINAL_NAME?269?">SESF!$C$10:$C$84</definedName>
    <definedName name="XDO_?FINAL_NAME?27?">[1]MTPL!$C$10:$C$54</definedName>
    <definedName name="XDO_?FINAL_NAME?270?">SESF!$C$10:$C$94</definedName>
    <definedName name="XDO_?FINAL_NAME?271?">SESF!$C$10:$C$98</definedName>
    <definedName name="XDO_?FINAL_NAME?272?">SESF!$C$10:$C$106</definedName>
    <definedName name="XDO_?FINAL_NAME?273?">SESF!$C$10:$C$130</definedName>
    <definedName name="XDO_?FINAL_NAME?274?">SESF!$C$10:$C$134</definedName>
    <definedName name="XDO_?FINAL_NAME?275?">SESF!$C$10:$C$139</definedName>
    <definedName name="XDO_?FINAL_NAME?276?">'SETF-Nifty 50'!$C$10:$C$114</definedName>
    <definedName name="XDO_?FINAL_NAME?277?">'SETF-Nifty 50'!$C$10:$C$98</definedName>
    <definedName name="XDO_?FINAL_NAME?278?">'SETF-Nifty 50'!$C$10:$C$103</definedName>
    <definedName name="XDO_?FINAL_NAME?279?">'SEOF-IV'!$C$10:$C$45</definedName>
    <definedName name="XDO_?FINAL_NAME?28?">'[1]MEX-91'!$C$48</definedName>
    <definedName name="XDO_?FINAL_NAME?280?">'SEOF-IV'!$C$10:$C$84</definedName>
    <definedName name="XDO_?FINAL_NAME?281?">'SEOF-IV'!$C$10:$C$89</definedName>
    <definedName name="XDO_?FINAL_NAME?282?">'SLTAF-III'!$C$10:$C$39</definedName>
    <definedName name="XDO_?FINAL_NAME?283?">'SLTAF-III'!$C$10:$C$78</definedName>
    <definedName name="XDO_?FINAL_NAME?284?">'SLTAF-III'!$C$10:$C$83</definedName>
    <definedName name="XDO_?FINAL_NAME?285?">'SETF-10 Yr Gilt'!$C$24</definedName>
    <definedName name="XDO_?FINAL_NAME?286?">'SETF-10 Yr Gilt'!$C$24:$C$49</definedName>
    <definedName name="XDO_?FINAL_NAME?287?">'SETF-10 Yr Gilt'!$C$24:$C$54</definedName>
    <definedName name="XDO_?FINAL_NAME?288?">'SLTAF-IV'!$C$10:$C$38</definedName>
    <definedName name="XDO_?FINAL_NAME?289?">'SLTAF-IV'!$C$10:$C$42</definedName>
    <definedName name="XDO_?FINAL_NAME?29?">'[1]MEX-91'!$C$48:$C$53</definedName>
    <definedName name="XDO_?FINAL_NAME?290?">'SLTAF-IV'!$C$10:$C$79</definedName>
    <definedName name="XDO_?FINAL_NAME?291?">'SLTAF-IV'!$C$10:$C$84</definedName>
    <definedName name="XDO_?FINAL_NAME?292?">'SDAFS-XXIV'!$C$18:$C$21</definedName>
    <definedName name="XDO_?FINAL_NAME?293?">'SDAFS-XXIV'!$C$18:$C$32</definedName>
    <definedName name="XDO_?FINAL_NAME?294?">'SDAFS-XXIV'!$C$18:$C$41</definedName>
    <definedName name="XDO_?FINAL_NAME?295?">'SDAFS-XXIV'!$C$18:$C$57</definedName>
    <definedName name="XDO_?FINAL_NAME?296?">'SDAFS-XXIV'!$C$18:$C$62</definedName>
    <definedName name="XDO_?FINAL_NAME?297?">'SDAFS-XXV'!$C$10:$C$31</definedName>
    <definedName name="XDO_?FINAL_NAME?298?">'SDAFS-XXV'!$C$10:$C$52</definedName>
    <definedName name="XDO_?FINAL_NAME?299?">'SDAFS-XXV'!$C$10:$C$66</definedName>
    <definedName name="XDO_?FINAL_NAME?3?">'[1]MRIS-89'!$C$48</definedName>
    <definedName name="XDO_?FINAL_NAME?30?">'[1]GIFTS B'!$C$12:$C$16</definedName>
    <definedName name="XDO_?FINAL_NAME?300?">'SDAFS-XXV'!$C$10:$C$74</definedName>
    <definedName name="XDO_?FINAL_NAME?301?">'SDAFS-XXV'!$C$10:$C$78</definedName>
    <definedName name="XDO_?FINAL_NAME?302?">'SDAFS-XXV'!$C$10:$C$93</definedName>
    <definedName name="XDO_?FINAL_NAME?303?">'SDAFS-XXV'!$C$10:$C$98</definedName>
    <definedName name="XDO_?FINAL_NAME?304?">'SLTAF-V'!$C$10:$C$42</definedName>
    <definedName name="XDO_?FINAL_NAME?305?">'SLTAF-V'!$C$10:$C$81</definedName>
    <definedName name="XDO_?FINAL_NAME?306?">'SLTAF-V'!$C$10:$C$86</definedName>
    <definedName name="XDO_?FINAL_NAME?307?">'SDFS-C-7'!$C$18:$C$28</definedName>
    <definedName name="XDO_?FINAL_NAME?308?">'SDFS-C-7'!$C$18:$C$38</definedName>
    <definedName name="XDO_?FINAL_NAME?309?">'SDFS-C-7'!$C$18:$C$47</definedName>
    <definedName name="XDO_?FINAL_NAME?31?">'[1]GIFTS B'!$C$12:$C$53</definedName>
    <definedName name="XDO_?FINAL_NAME?310?">'SDFS-C-7'!$C$18:$C$64</definedName>
    <definedName name="XDO_?FINAL_NAME?311?">'SDFS-C-7'!$C$18:$C$69</definedName>
    <definedName name="XDO_?FINAL_NAME?312?">'SDAFS-XXVI'!$C$10:$C$31</definedName>
    <definedName name="XDO_?FINAL_NAME?313?">'SDAFS-XXVI'!$C$10:$C$50</definedName>
    <definedName name="XDO_?FINAL_NAME?314?">'SDAFS-XXVI'!$C$10:$C$54</definedName>
    <definedName name="XDO_?FINAL_NAME?315?">'SDAFS-XXVI'!$C$10:$C$60</definedName>
    <definedName name="XDO_?FINAL_NAME?316?">'SDAFS-XXVI'!$C$10:$C$66</definedName>
    <definedName name="XDO_?FINAL_NAME?317?">'SDAFS-XXVI'!$C$10:$C$75</definedName>
    <definedName name="XDO_?FINAL_NAME?318?">'SDAFS-XXVI'!$C$10:$C$90</definedName>
    <definedName name="XDO_?FINAL_NAME?319?">'SDAFS-XXVI'!$C$10:$C$95</definedName>
    <definedName name="XDO_?FINAL_NAME?32?">'[1]GIFTS B'!$C$12:$C$58</definedName>
    <definedName name="XDO_?FINAL_NAME?320?">'SDFS-C-8'!$C$18:$C$28</definedName>
    <definedName name="XDO_?FINAL_NAME?321?">'SDFS-C-8'!$C$18:$C$39</definedName>
    <definedName name="XDO_?FINAL_NAME?322?">'SDFS-C-8'!$C$18:$C$48</definedName>
    <definedName name="XDO_?FINAL_NAME?323?">'SDFS-C-8'!$C$18:$C$65</definedName>
    <definedName name="XDO_?FINAL_NAME?324?">'SDFS-C-8'!$C$18:$C$70</definedName>
    <definedName name="XDO_?FINAL_NAME?325?">'SDFS-C-9'!$C$18:$C$27</definedName>
    <definedName name="XDO_?FINAL_NAME?326?">'SDFS-C-9'!$C$18:$C$38</definedName>
    <definedName name="XDO_?FINAL_NAME?327?">'SDFS-C-9'!$C$18:$C$47</definedName>
    <definedName name="XDO_?FINAL_NAME?328?">'SDFS-C-9'!$C$18:$C$64</definedName>
    <definedName name="XDO_?FINAL_NAME?329?">'SDFS-C-9'!$C$18:$C$69</definedName>
    <definedName name="XDO_?FINAL_NAME?33?">'[1]GIFTS A'!$C$12</definedName>
    <definedName name="XDO_?FINAL_NAME?330?">'SDFS-C-10'!$C$18:$C$29</definedName>
    <definedName name="XDO_?FINAL_NAME?331?">'SDFS-C-10'!$C$18:$C$40</definedName>
    <definedName name="XDO_?FINAL_NAME?332?">'SDFS-C-10'!$C$18:$C$50</definedName>
    <definedName name="XDO_?FINAL_NAME?333?">'SDFS-C-10'!$C$18:$C$54</definedName>
    <definedName name="XDO_?FINAL_NAME?334?">'SDFS-C-10'!$C$18:$C$69</definedName>
    <definedName name="XDO_?FINAL_NAME?335?">'SDFS-C-10'!$C$18:$C$74</definedName>
    <definedName name="XDO_?FINAL_NAME?336?">'SDAFS-XXVII'!$C$10:$C$33</definedName>
    <definedName name="XDO_?FINAL_NAME?337?">'SDAFS-XXVII'!$C$10:$C$49</definedName>
    <definedName name="XDO_?FINAL_NAME?338?">'SDAFS-XXVII'!$C$10:$C$54</definedName>
    <definedName name="XDO_?FINAL_NAME?339?">'SDAFS-XXVII'!$C$10:$C$62</definedName>
    <definedName name="XDO_?FINAL_NAME?34?">'[1]GIFTS A'!$C$12:$C$49</definedName>
    <definedName name="XDO_?FINAL_NAME?340?">'SDAFS-XXVII'!$C$10:$C$69</definedName>
    <definedName name="XDO_?FINAL_NAME?341?">'SDAFS-XXVII'!$C$10:$C$73</definedName>
    <definedName name="XDO_?FINAL_NAME?342?">'SDAFS-XXVII'!$C$10:$C$88</definedName>
    <definedName name="XDO_?FINAL_NAME?343?">'SDAFS-XXVII'!$C$10:$C$93</definedName>
    <definedName name="XDO_?FINAL_NAME?344?">'SDFS-C-12'!$C$18:$C$26</definedName>
    <definedName name="XDO_?FINAL_NAME?345?">'SDFS-C-12'!$C$18:$C$39</definedName>
    <definedName name="XDO_?FINAL_NAME?346?">'SDFS-C-12'!$C$18:$C$50</definedName>
    <definedName name="XDO_?FINAL_NAME?347?">'SDFS-C-12'!$C$18:$C$55</definedName>
    <definedName name="XDO_?FINAL_NAME?348?">'SDFS-C-12'!$C$18:$C$70</definedName>
    <definedName name="XDO_?FINAL_NAME?349?">'SDFS-C-12'!$C$18:$C$75</definedName>
    <definedName name="XDO_?FINAL_NAME?35?">'[1]GIFTS A'!$C$12:$C$54</definedName>
    <definedName name="XDO_?FINAL_NAME?350?">'SDFS-C-14'!$C$18:$C$27</definedName>
    <definedName name="XDO_?FINAL_NAME?351?">'SDFS-C-14'!$C$18:$C$37</definedName>
    <definedName name="XDO_?FINAL_NAME?352?">'SDFS-C-14'!$C$18:$C$47</definedName>
    <definedName name="XDO_?FINAL_NAME?353?">'SDFS-C-14'!$C$18:$C$52</definedName>
    <definedName name="XDO_?FINAL_NAME?354?">'SDFS-C-14'!$C$18:$C$67</definedName>
    <definedName name="XDO_?FINAL_NAME?355?">'SDFS-C-14'!$C$18:$C$72</definedName>
    <definedName name="XDO_?FINAL_NAME?356?">'SLTAF-VI'!$C$10:$C$35</definedName>
    <definedName name="XDO_?FINAL_NAME?357?">'SLTAF-VI'!$C$10:$C$74</definedName>
    <definedName name="XDO_?FINAL_NAME?358?">'SLTAF-VI'!$C$10:$C$79</definedName>
    <definedName name="XDO_?FINAL_NAME?359?">'SDAFS-XXVIII'!$C$10:$C$34</definedName>
    <definedName name="XDO_?FINAL_NAME?36?">SLMF!$C$10:$C$65</definedName>
    <definedName name="XDO_?FINAL_NAME?360?">'SDAFS-XXVIII'!$C$10:$C$53</definedName>
    <definedName name="XDO_?FINAL_NAME?361?">'SDAFS-XXVIII'!$C$10:$C$64</definedName>
    <definedName name="XDO_?FINAL_NAME?362?">'SDAFS-XXVIII'!$C$10:$C$71</definedName>
    <definedName name="XDO_?FINAL_NAME?363?">'SDAFS-XXVIII'!$C$10:$C$88</definedName>
    <definedName name="XDO_?FINAL_NAME?364?">'SDAFS-XXVIII'!$C$10:$C$93</definedName>
    <definedName name="XDO_?FINAL_NAME?365?">'SDFS-C-16'!$C$18:$C$32</definedName>
    <definedName name="XDO_?FINAL_NAME?366?">'SDFS-C-16'!$C$18:$C$43</definedName>
    <definedName name="XDO_?FINAL_NAME?367?">'SDFS-C-16'!$C$18:$C$56</definedName>
    <definedName name="XDO_?FINAL_NAME?368?">'SDFS-C-16'!$C$18:$C$73</definedName>
    <definedName name="XDO_?FINAL_NAME?369?">'SDFS-C-16'!$C$18:$C$78</definedName>
    <definedName name="XDO_?FINAL_NAME?37?">SLMF!$C$10:$C$71</definedName>
    <definedName name="XDO_?FINAL_NAME?370?">'SDFS-C-18'!$C$18:$C$36</definedName>
    <definedName name="XDO_?FINAL_NAME?371?">'SDFS-C-18'!$C$18:$C$49</definedName>
    <definedName name="XDO_?FINAL_NAME?372?">'SDFS-C-18'!$C$18:$C$61</definedName>
    <definedName name="XDO_?FINAL_NAME?373?">'SDFS-C-18'!$C$18:$C$78</definedName>
    <definedName name="XDO_?FINAL_NAME?374?">'SDFS-C-18'!$C$18:$C$83</definedName>
    <definedName name="XDO_?FINAL_NAME?375?">'SDFS-C-19'!$C$18:$C$29</definedName>
    <definedName name="XDO_?FINAL_NAME?376?">'SDFS-C-19'!$C$18:$C$39</definedName>
    <definedName name="XDO_?FINAL_NAME?377?">'SDFS-C-19'!$C$18:$C$50</definedName>
    <definedName name="XDO_?FINAL_NAME?378?">'SDFS-C-19'!$C$18:$C$67</definedName>
    <definedName name="XDO_?FINAL_NAME?379?">'SDFS-C-19'!$C$18:$C$72</definedName>
    <definedName name="XDO_?FINAL_NAME?38?">SLMF!$C$10:$C$108</definedName>
    <definedName name="XDO_?FINAL_NAME?380?">'SDAFS-XXIX'!$C$10:$C$34</definedName>
    <definedName name="XDO_?FINAL_NAME?381?">'SDAFS-XXIX'!$C$10:$C$55</definedName>
    <definedName name="XDO_?FINAL_NAME?382?">'SDAFS-XXIX'!$C$10:$C$66</definedName>
    <definedName name="XDO_?FINAL_NAME?383?">'SDAFS-XXIX'!$C$10:$C$74</definedName>
    <definedName name="XDO_?FINAL_NAME?384?">'SDAFS-XXIX'!$C$10:$C$91</definedName>
    <definedName name="XDO_?FINAL_NAME?385?">'SDAFS-XXIX'!$C$10:$C$96</definedName>
    <definedName name="XDO_?FINAL_NAME?386?">'SDFS-C-20'!$C$18:$C$28</definedName>
    <definedName name="XDO_?FINAL_NAME?387?">'SDFS-C-20'!$C$18:$C$39</definedName>
    <definedName name="XDO_?FINAL_NAME?388?">'SDFS-C-20'!$C$18:$C$51</definedName>
    <definedName name="XDO_?FINAL_NAME?389?">'SDFS-C-20'!$C$18:$C$68</definedName>
    <definedName name="XDO_?FINAL_NAME?39?">SLMF!$C$10:$C$113</definedName>
    <definedName name="XDO_?FINAL_NAME?390?">'SDFS-C-20'!$C$18:$C$73</definedName>
    <definedName name="XDO_?FINAL_NAME?391?">'SDFS-C-21'!$C$18:$C$29</definedName>
    <definedName name="XDO_?FINAL_NAME?392?">'SDFS-C-21'!$C$18:$C$35</definedName>
    <definedName name="XDO_?FINAL_NAME?393?">'SDFS-C-21'!$C$18:$C$41</definedName>
    <definedName name="XDO_?FINAL_NAME?394?">'SDFS-C-21'!$C$18:$C$54</definedName>
    <definedName name="XDO_?FINAL_NAME?395?">'SDFS-C-21'!$C$18:$C$71</definedName>
    <definedName name="XDO_?FINAL_NAME?396?">'SDFS-C-21'!$C$18:$C$76</definedName>
    <definedName name="XDO_?FINAL_NAME?397?">'SDFS-C-22'!$C$18:$C$29</definedName>
    <definedName name="XDO_?FINAL_NAME?398?">'SDFS-C-22'!$C$18:$C$39</definedName>
    <definedName name="XDO_?FINAL_NAME?399?">'SDFS-C-22'!$C$18:$C$49</definedName>
    <definedName name="XDO_?FINAL_NAME?4?">'[1]MRIS-89'!$C$48:$C$53</definedName>
    <definedName name="XDO_?FINAL_NAME?40?">SLTEF!$C$10:$C$65</definedName>
    <definedName name="XDO_?FINAL_NAME?400?">'SDFS-C-22'!$C$18:$C$66</definedName>
    <definedName name="XDO_?FINAL_NAME?401?">'SDFS-C-22'!$C$18:$C$71</definedName>
    <definedName name="XDO_?FINAL_NAME?402?">'SDFS-C-23'!$C$18:$C$34</definedName>
    <definedName name="XDO_?FINAL_NAME?403?">'SDFS-C-23'!$C$18:$C$53</definedName>
    <definedName name="XDO_?FINAL_NAME?404?">'SDFS-C-23'!$C$18:$C$70</definedName>
    <definedName name="XDO_?FINAL_NAME?405?">'SDFS-C-23'!$C$18:$C$75</definedName>
    <definedName name="XDO_?FINAL_NAME?406?">'SETF-SN50'!$C$10:$C$114</definedName>
    <definedName name="XDO_?FINAL_NAME?407?">'SETF-SN50'!$C$10:$C$98</definedName>
    <definedName name="XDO_?FINAL_NAME?408?">'SETF-SN50'!$C$10:$C$103</definedName>
    <definedName name="XDO_?FINAL_NAME?409?">'SDFS-C-24'!$C$18:$C$29</definedName>
    <definedName name="XDO_?FINAL_NAME?41?">SLTEF!$C$10:$C$68</definedName>
    <definedName name="XDO_?FINAL_NAME?410?">'SDFS-C-24'!$C$18:$C$33</definedName>
    <definedName name="XDO_?FINAL_NAME?411?">'SDFS-C-24'!$C$18:$C$48</definedName>
    <definedName name="XDO_?FINAL_NAME?412?">'SDFS-C-24'!$C$18:$C$65</definedName>
    <definedName name="XDO_?FINAL_NAME?413?">'SDFS-C-24'!$C$18:$C$70</definedName>
    <definedName name="XDO_?FINAL_NAME?414?">'SDFS-C-25'!$C$18:$C$34</definedName>
    <definedName name="XDO_?FINAL_NAME?415?">'SDFS-C-25'!$C$18:$C$40</definedName>
    <definedName name="XDO_?FINAL_NAME?416?">'SDFS-C-25'!$C$18:$C$52</definedName>
    <definedName name="XDO_?FINAL_NAME?417?">'SDFS-C-25'!$C$18:$C$56</definedName>
    <definedName name="XDO_?FINAL_NAME?418?">'SDFS-C-25'!$C$18:$C$71</definedName>
    <definedName name="XDO_?FINAL_NAME?419?">'SDFS-C-25'!$C$18:$C$76</definedName>
    <definedName name="XDO_?FINAL_NAME?42?">SLTEF!$C$10:$C$104</definedName>
    <definedName name="XDO_?FINAL_NAME?420?">'SDAFS-XXX'!$C$10:$C$34</definedName>
    <definedName name="XDO_?FINAL_NAME?421?">'SDAFS-XXX'!$C$10:$C$55</definedName>
    <definedName name="XDO_?FINAL_NAME?422?">'SDAFS-XXX'!$C$10:$C$72</definedName>
    <definedName name="XDO_?FINAL_NAME?423?">'SDAFS-XXX'!$C$10:$C$87</definedName>
    <definedName name="XDO_?FINAL_NAME?424?">'SDAFS-XXX'!$C$10:$C$92</definedName>
    <definedName name="XDO_?FINAL_NAME?425?">'SDFS-C-26'!$C$18:$C$32</definedName>
    <definedName name="XDO_?FINAL_NAME?426?">'SDFS-C-26'!$C$18:$C$48</definedName>
    <definedName name="XDO_?FINAL_NAME?427?">'SDFS-C-26'!$C$18:$C$52</definedName>
    <definedName name="XDO_?FINAL_NAME?428?">'SDFS-C-26'!$C$18:$C$67</definedName>
    <definedName name="XDO_?FINAL_NAME?429?">'SDFS-C-26'!$C$18:$C$72</definedName>
    <definedName name="XDO_?FINAL_NAME?43?">SLTEF!$C$10:$C$109</definedName>
    <definedName name="XDO_?FINAL_NAME?430?">'SDFS-C-27'!$C$18:$C$29</definedName>
    <definedName name="XDO_?FINAL_NAME?431?">'SDFS-C-27'!$C$18:$C$46</definedName>
    <definedName name="XDO_?FINAL_NAME?432?">'SDFS-C-27'!$C$18:$C$50</definedName>
    <definedName name="XDO_?FINAL_NAME?433?">'SDFS-C-27'!$C$18:$C$65</definedName>
    <definedName name="XDO_?FINAL_NAME?434?">'SDFS-C-27'!$C$18:$C$70</definedName>
    <definedName name="XDO_?FINAL_NAME?435?">'SDFS-C-28'!$C$18:$C$32</definedName>
    <definedName name="XDO_?FINAL_NAME?436?">'SDFS-C-28'!$C$18:$C$42</definedName>
    <definedName name="XDO_?FINAL_NAME?437?">'SDFS-C-28'!$C$18:$C$52</definedName>
    <definedName name="XDO_?FINAL_NAME?438?">'SDFS-C-28'!$C$18:$C$69</definedName>
    <definedName name="XDO_?FINAL_NAME?439?">'SDFS-C-28'!$C$18:$C$74</definedName>
    <definedName name="XDO_?FINAL_NAME?44?">'[1]MRIS-93'!$C$12:$C$17</definedName>
    <definedName name="XDO_?FINAL_NAME?440?">'SDFS-C-30'!$C$18:$C$32</definedName>
    <definedName name="XDO_?FINAL_NAME?441?">'SDFS-C-30'!$C$18:$C$50</definedName>
    <definedName name="XDO_?FINAL_NAME?442?">'SDFS-C-30'!$C$18:$C$67</definedName>
    <definedName name="XDO_?FINAL_NAME?443?">'SDFS-C-30'!$C$18:$C$72</definedName>
    <definedName name="XDO_?FINAL_NAME?444?">'SETF-Quality'!$C$10:$C$39</definedName>
    <definedName name="XDO_?FINAL_NAME?445?">'SETF-Quality'!$C$10:$C$78</definedName>
    <definedName name="XDO_?FINAL_NAME?446?">'SETF-Quality'!$C$10:$C$83</definedName>
    <definedName name="XDO_?FINAL_NAME?447?">'SDFS-C-32'!$C$18:$C$37</definedName>
    <definedName name="XDO_?FINAL_NAME?448?">'SDFS-C-32'!$C$18:$C$54</definedName>
    <definedName name="XDO_?FINAL_NAME?449?">'SDFS-C-32'!$C$18:$C$58</definedName>
    <definedName name="XDO_?FINAL_NAME?45?">'[1]MRIS-93'!$C$12:$C$54</definedName>
    <definedName name="XDO_?FINAL_NAME?450?">'SDFS-C-32'!$C$18:$C$73</definedName>
    <definedName name="XDO_?FINAL_NAME?451?">'SDFS-C-32'!$C$18:$C$78</definedName>
    <definedName name="XDO_?FINAL_NAME?452?">'SDFS-C-33'!$C$18:$C$38</definedName>
    <definedName name="XDO_?FINAL_NAME?453?">'SDFS-C-33'!$C$18:$C$56</definedName>
    <definedName name="XDO_?FINAL_NAME?454?">'SDFS-C-33'!$C$18:$C$60</definedName>
    <definedName name="XDO_?FINAL_NAME?455?">'SDFS-C-33'!$C$18:$C$75</definedName>
    <definedName name="XDO_?FINAL_NAME?456?">'SDFS-C-33'!$C$18:$C$80</definedName>
    <definedName name="XDO_?FINAL_NAME?457?">'SDFS-C-34'!$C$18:$C$32</definedName>
    <definedName name="XDO_?FINAL_NAME?458?">'SDFS-C-34'!$C$18:$C$50</definedName>
    <definedName name="XDO_?FINAL_NAME?459?">'SDFS-C-34'!$C$18:$C$67</definedName>
    <definedName name="XDO_?FINAL_NAME?46?">'[1]MRIS-93'!$C$12:$C$59</definedName>
    <definedName name="XDO_?FINAL_NAME?460?">'SDFS-C-34'!$C$18:$C$72</definedName>
    <definedName name="XDO_?FINAL_NAME?461?">'SDFS-C-35'!$C$18:$C$33</definedName>
    <definedName name="XDO_?FINAL_NAME?462?">'SDFS-C-35'!$C$18:$C$50</definedName>
    <definedName name="XDO_?FINAL_NAME?463?">'SDFS-C-35'!$C$18:$C$67</definedName>
    <definedName name="XDO_?FINAL_NAME?464?">'SDFS-C-35'!$C$18:$C$72</definedName>
    <definedName name="XDO_?FINAL_NAME?465?">'SDFS-C-38'!$C$18:$C$28</definedName>
    <definedName name="XDO_?FINAL_NAME?466?">'SDFS-C-38'!$C$18:$C$45</definedName>
    <definedName name="XDO_?FINAL_NAME?467?">'SDFS-C-38'!$C$18:$C$56</definedName>
    <definedName name="XDO_?FINAL_NAME?468?">'SDFS-C-38'!$C$18:$C$60</definedName>
    <definedName name="XDO_?FINAL_NAME?469?">'SDFS-C-38'!$C$18:$C$75</definedName>
    <definedName name="XDO_?FINAL_NAME?47?">'[1]MTP-94'!$C$12</definedName>
    <definedName name="XDO_?FINAL_NAME?470?">'SDFS-C-38'!$C$18:$C$80</definedName>
    <definedName name="XDO_?FINAL_NAME?471?">SCBF!$C$18:$C$133</definedName>
    <definedName name="XDO_?FINAL_NAME?472?">SCBF!$C$18:$C$137</definedName>
    <definedName name="XDO_?FINAL_NAME?473?">SCBF!$C$18:$C$146</definedName>
    <definedName name="XDO_?FINAL_NAME?474?">SCBF!$C$18:$C$158</definedName>
    <definedName name="XDO_?FINAL_NAME?475?">SCBF!$C$18:$C$171</definedName>
    <definedName name="XDO_?FINAL_NAME?476?">SCBF!$C$18:$C$182</definedName>
    <definedName name="XDO_?FINAL_NAME?477?">SCBF!$C$18:$C$197</definedName>
    <definedName name="XDO_?FINAL_NAME?478?">SCBF!$C$18:$C$202</definedName>
    <definedName name="XDO_?FINAL_NAME?479?">'SDFS-C-40'!$C$18:$C$28</definedName>
    <definedName name="XDO_?FINAL_NAME?48?">'[1]MTP-94'!$C$12:$C$49</definedName>
    <definedName name="XDO_?FINAL_NAME?480?">'SDFS-C-40'!$C$18:$C$39</definedName>
    <definedName name="XDO_?FINAL_NAME?481?">'SDFS-C-40'!$C$18:$C$47</definedName>
    <definedName name="XDO_?FINAL_NAME?482?">'SDFS-C-40'!$C$18:$C$64</definedName>
    <definedName name="XDO_?FINAL_NAME?483?">'SDFS-C-40'!$C$18:$C$69</definedName>
    <definedName name="XDO_?FINAL_NAME?484?">'SDFS-C-41'!$C$18:$C$32</definedName>
    <definedName name="XDO_?FINAL_NAME?485?">'SDFS-C-41'!$C$18:$C$43</definedName>
    <definedName name="XDO_?FINAL_NAME?486?">'SDFS-C-41'!$C$18:$C$54</definedName>
    <definedName name="XDO_?FINAL_NAME?487?">'SDFS-C-41'!$C$18:$C$71</definedName>
    <definedName name="XDO_?FINAL_NAME?488?">'SDFS-C-41'!$C$18:$C$76</definedName>
    <definedName name="XDO_?FINAL_NAME?489?">'SDFS-C-43'!$C$18:$C$28</definedName>
    <definedName name="XDO_?FINAL_NAME?49?">'[1]MTP-94'!$C$12:$C$54</definedName>
    <definedName name="XDO_?FINAL_NAME?490?">'SDFS-C-43'!$C$18:$C$41</definedName>
    <definedName name="XDO_?FINAL_NAME?491?">'SDFS-C-43'!$C$18:$C$50</definedName>
    <definedName name="XDO_?FINAL_NAME?492?">'SDFS-C-43'!$C$18:$C$67</definedName>
    <definedName name="XDO_?FINAL_NAME?493?">'SDFS-C-43'!$C$18:$C$72</definedName>
    <definedName name="XDO_?FINAL_NAME?494?">'SDFS-C-44'!$C$18:$C$28</definedName>
    <definedName name="XDO_?FINAL_NAME?495?">'SDFS-C-44'!$C$18:$C$39</definedName>
    <definedName name="XDO_?FINAL_NAME?496?">'SDFS-C-44'!$C$18:$C$48</definedName>
    <definedName name="XDO_?FINAL_NAME?497?">'SDFS-C-44'!$C$18:$C$65</definedName>
    <definedName name="XDO_?FINAL_NAME?498?">'SDFS-C-44'!$C$18:$C$70</definedName>
    <definedName name="XDO_?FINAL_NAME?499?">'SCPOF-A1'!$C$10:$C$58</definedName>
    <definedName name="XDO_?FINAL_NAME?5?">'[1]MMIS-89'!$C$10</definedName>
    <definedName name="XDO_?FINAL_NAME?50?">SMGLF!$C$10:$C$31</definedName>
    <definedName name="XDO_?FINAL_NAME?500?">'SCPOF-A1'!$C$10:$C$74</definedName>
    <definedName name="XDO_?FINAL_NAME?501?">'SCPOF-A1'!$C$10:$C$78</definedName>
    <definedName name="XDO_?FINAL_NAME?502?">'SCPOF-A1'!$C$10:$C$93</definedName>
    <definedName name="XDO_?FINAL_NAME?503?">'SCPOF-A1'!$C$10:$C$108</definedName>
    <definedName name="XDO_?FINAL_NAME?504?">'SCPOF-A1'!$C$10:$C$113</definedName>
    <definedName name="XDO_?FINAL_NAME?505?">'SDFS-C-46'!$C$18:$C$25</definedName>
    <definedName name="XDO_?FINAL_NAME?506?">'SDFS-C-46'!$C$18:$C$29</definedName>
    <definedName name="XDO_?FINAL_NAME?507?">'SDFS-C-46'!$C$18:$C$39</definedName>
    <definedName name="XDO_?FINAL_NAME?508?">'SDFS-C-46'!$C$18:$C$46</definedName>
    <definedName name="XDO_?FINAL_NAME?509?">'SDFS-C-46'!$C$18:$C$50</definedName>
    <definedName name="XDO_?FINAL_NAME?51?">SMGLF!$C$10:$C$52</definedName>
    <definedName name="XDO_?FINAL_NAME?510?">'SDFS-C-46'!$C$18:$C$65</definedName>
    <definedName name="XDO_?FINAL_NAME?511?">'SDFS-C-46'!$C$18:$C$70</definedName>
    <definedName name="XDO_?FINAL_NAME?512?">SEMVF!$C$10:$C$121</definedName>
    <definedName name="XDO_?FINAL_NAME?513?">SEMVF!$C$10:$C$96</definedName>
    <definedName name="XDO_?FINAL_NAME?514?">SEMVF!$C$10:$C$100</definedName>
    <definedName name="XDO_?FINAL_NAME?515?">SEMVF!$C$10:$C$105</definedName>
    <definedName name="XDO_?FINAL_NAME?516?">'SDFS-C-48'!$C$18:$C$34</definedName>
    <definedName name="XDO_?FINAL_NAME?517?">'SDFS-C-48'!$C$18:$C$44</definedName>
    <definedName name="XDO_?FINAL_NAME?518?">'SDFS-C-48'!$C$18:$C$53</definedName>
    <definedName name="XDO_?FINAL_NAME?519?">'SDFS-C-48'!$C$18:$C$70</definedName>
    <definedName name="XDO_?FINAL_NAME?52?">SMGLF!$C$10:$C$46</definedName>
    <definedName name="XDO_?FINAL_NAME?520?">'SDFS-C-48'!$C$18:$C$75</definedName>
    <definedName name="XDO_?FINAL_NAME?521?">'SDFS-C-49'!$C$18:$C$27</definedName>
    <definedName name="XDO_?FINAL_NAME?522?">'SDFS-C-49'!$C$18:$C$38</definedName>
    <definedName name="XDO_?FINAL_NAME?523?">'SDFS-C-49'!$C$18:$C$47</definedName>
    <definedName name="XDO_?FINAL_NAME?524?">'SDFS-C-49'!$C$18:$C$51</definedName>
    <definedName name="XDO_?FINAL_NAME?525?">'SDFS-C-49'!$C$18:$C$66</definedName>
    <definedName name="XDO_?FINAL_NAME?526?">'SDFS-C-49'!$C$18:$C$71</definedName>
    <definedName name="XDO_?FINAL_NAME?527?">'SCPOF-Series A (Plan 2)'!$C$10:$C$59</definedName>
    <definedName name="XDO_?FINAL_NAME?528?">'SCPOF-Series A (Plan 2)'!$C$10:$C$74</definedName>
    <definedName name="XDO_?FINAL_NAME?529?">'SCPOF-Series A (Plan 2)'!$C$10:$C$84</definedName>
    <definedName name="XDO_?FINAL_NAME?53?">SMGLF!$C$10:$C$87</definedName>
    <definedName name="XDO_?FINAL_NAME?530?">'SCPOF-Series A (Plan 2)'!$C$10:$C$93</definedName>
    <definedName name="XDO_?FINAL_NAME?531?">'SCPOF-Series A (Plan 2)'!$C$10:$C$108</definedName>
    <definedName name="XDO_?FINAL_NAME?532?">'SCPOF-Series A (Plan 2)'!$C$10:$C$113</definedName>
    <definedName name="XDO_?FINAL_NAME?533?">'SDFS-C-50'!$C$18:$C$26</definedName>
    <definedName name="XDO_?FINAL_NAME?534?">'SDFS-C-50'!$C$18:$C$40</definedName>
    <definedName name="XDO_?FINAL_NAME?535?">'SDFS-C-50'!$C$18:$C$48</definedName>
    <definedName name="XDO_?FINAL_NAME?536?">'SDFS-C-50'!$C$18:$C$65</definedName>
    <definedName name="XDO_?FINAL_NAME?537?">'SDFS-C-50'!$C$18:$C$70</definedName>
    <definedName name="XDO_?FINAL_NAME?538?">'SFMP- Series 1'!$C$26:$C$31</definedName>
    <definedName name="XDO_?FINAL_NAME?539?">'SFMP- Series 1'!$C$26:$C$39</definedName>
    <definedName name="XDO_?FINAL_NAME?54?">SMGLF!$C$10:$C$92</definedName>
    <definedName name="XDO_?FINAL_NAME?540?">'SFMP- Series 1'!$C$26:$C$56</definedName>
    <definedName name="XDO_?FINAL_NAME?541?">'SFMP- Series 1'!$C$26:$C$61</definedName>
    <definedName name="XDO_?FINAL_NAME?542?">'SFMP- Series 2'!$C$18:$C$29</definedName>
    <definedName name="XDO_?FINAL_NAME?543?">'SFMP- Series 2'!$C$18:$C$45</definedName>
    <definedName name="XDO_?FINAL_NAME?544?">'SFMP- Series 2'!$C$18:$C$62</definedName>
    <definedName name="XDO_?FINAL_NAME?545?">'SFMP- Series 2'!$C$18:$C$67</definedName>
    <definedName name="XDO_?FINAL_NAME?546?">'SFMP- Series 3'!$C$18:$C$29</definedName>
    <definedName name="XDO_?FINAL_NAME?547?">'SFMP- Series 3'!$C$18:$C$45</definedName>
    <definedName name="XDO_?FINAL_NAME?548?">'SFMP- Series 3'!$C$18:$C$62</definedName>
    <definedName name="XDO_?FINAL_NAME?549?">'SFMP- Series 3'!$C$18:$C$67</definedName>
    <definedName name="XDO_?FINAL_NAME?55?">'[1]MBF-94'!$C$10</definedName>
    <definedName name="XDO_?FINAL_NAME?550?">'SCPOF-Series A (Plan 3)'!$C$10:$C$59</definedName>
    <definedName name="XDO_?FINAL_NAME?551?">'SCPOF-Series A (Plan 3)'!$C$10:$C$76</definedName>
    <definedName name="XDO_?FINAL_NAME?552?">'SCPOF-Series A (Plan 3)'!$C$10:$C$87</definedName>
    <definedName name="XDO_?FINAL_NAME?553?">'SCPOF-Series A (Plan 3)'!$C$10:$C$110</definedName>
    <definedName name="XDO_?FINAL_NAME?554?">'SCPOF-Series A (Plan 3)'!$C$10:$C$115</definedName>
    <definedName name="XDO_?FINAL_NAME?555?">'SFMP- Series 6'!$C$26:$C$29</definedName>
    <definedName name="XDO_?FINAL_NAME?556?">'SFMP- Series 6'!$C$26:$C$36</definedName>
    <definedName name="XDO_?FINAL_NAME?557?">'SFMP- Series 6'!$C$26:$C$53</definedName>
    <definedName name="XDO_?FINAL_NAME?558?">'SFMP- Series 6'!$C$26:$C$58</definedName>
    <definedName name="XDO_?FINAL_NAME?559?">'SFMP- Series 7'!$C$18:$C$32</definedName>
    <definedName name="XDO_?FINAL_NAME?56?">'[1]MBF-94'!$C$10:$C$19</definedName>
    <definedName name="XDO_?FINAL_NAME?560?">'SFMP- Series 7'!$C$18:$C$47</definedName>
    <definedName name="XDO_?FINAL_NAME?561?">'SFMP- Series 7'!$C$18:$C$64</definedName>
    <definedName name="XDO_?FINAL_NAME?562?">'SFMP- Series 7'!$C$18:$C$69</definedName>
    <definedName name="XDO_?FINAL_NAME?563?">'SFMP- Series 8'!$C$18:$C$32</definedName>
    <definedName name="XDO_?FINAL_NAME?564?">'SFMP- Series 8'!$C$18:$C$47</definedName>
    <definedName name="XDO_?FINAL_NAME?565?">'SFMP- Series 8'!$C$18:$C$64</definedName>
    <definedName name="XDO_?FINAL_NAME?566?">'SFMP- Series 8'!$C$18:$C$69</definedName>
    <definedName name="XDO_?FINAL_NAME?567?">'SCPOF-Series A (Plan 4)'!$C$10:$C$59</definedName>
    <definedName name="XDO_?FINAL_NAME?568?">'SCPOF-Series A (Plan 4)'!$C$10:$C$75</definedName>
    <definedName name="XDO_?FINAL_NAME?569?">'SCPOF-Series A (Plan 4)'!$C$10:$C$86</definedName>
    <definedName name="XDO_?FINAL_NAME?57?">'[1]MBF-94'!$C$10:$C$56</definedName>
    <definedName name="XDO_?FINAL_NAME?570?">'SCPOF-Series A (Plan 4)'!$C$10:$C$109</definedName>
    <definedName name="XDO_?FINAL_NAME?571?">'SCPOF-Series A (Plan 4)'!$C$10:$C$114</definedName>
    <definedName name="XDO_?FINAL_NAME?572?">'SFMP- Series 9'!$C$18:$C$31</definedName>
    <definedName name="XDO_?FINAL_NAME?573?">'SFMP- Series 9'!$C$18:$C$47</definedName>
    <definedName name="XDO_?FINAL_NAME?574?">'SFMP- Series 9'!$C$18:$C$64</definedName>
    <definedName name="XDO_?FINAL_NAME?575?">'SFMP- Series 9'!$C$18:$C$69</definedName>
    <definedName name="XDO_?FINAL_NAME?576?">'SFMP- Series 10'!$C$18:$C$31</definedName>
    <definedName name="XDO_?FINAL_NAME?577?">'SFMP- Series 10'!$C$18:$C$46</definedName>
    <definedName name="XDO_?FINAL_NAME?578?">'SFMP- Series 10'!$C$18:$C$50</definedName>
    <definedName name="XDO_?FINAL_NAME?579?">'SFMP- Series 10'!$C$18:$C$65</definedName>
    <definedName name="XDO_?FINAL_NAME?58?">'[1]MBF-94'!$C$10:$C$61</definedName>
    <definedName name="XDO_?FINAL_NAME?580?">'SFMP- Series 10'!$C$18:$C$70</definedName>
    <definedName name="XDO_?FINAL_NAME?581?">'SFMP- Series 11'!$C$18:$C$36</definedName>
    <definedName name="XDO_?FINAL_NAME?582?">'SFMP- Series 11'!$C$18:$C$52</definedName>
    <definedName name="XDO_?FINAL_NAME?583?">'SFMP- Series 11'!$C$18:$C$56</definedName>
    <definedName name="XDO_?FINAL_NAME?584?">'SFMP- Series 11'!$C$18:$C$71</definedName>
    <definedName name="XDO_?FINAL_NAME?585?">'SFMP- Series 11'!$C$18:$C$76</definedName>
    <definedName name="XDO_?FINAL_NAME?586?">'SFMP- Series 12'!$C$18:$C$31</definedName>
    <definedName name="XDO_?FINAL_NAME?587?">'SFMP- Series 12'!$C$18:$C$46</definedName>
    <definedName name="XDO_?FINAL_NAME?588?">'SFMP- Series 12'!$C$18:$C$50</definedName>
    <definedName name="XDO_?FINAL_NAME?589?">'SFMP- Series 12'!$C$18:$C$65</definedName>
    <definedName name="XDO_?FINAL_NAME?59?">'[1]MELS-95'!$C$48</definedName>
    <definedName name="XDO_?FINAL_NAME?590?">'SFMP- Series 12'!$C$18:$C$70</definedName>
    <definedName name="XDO_?FINAL_NAME?591?">'SFMP- Series 13'!$C$18:$C$31</definedName>
    <definedName name="XDO_?FINAL_NAME?592?">'SFMP- Series 13'!$C$18:$C$47</definedName>
    <definedName name="XDO_?FINAL_NAME?593?">'SFMP- Series 13'!$C$18:$C$64</definedName>
    <definedName name="XDO_?FINAL_NAME?594?">'SFMP- Series 13'!$C$18:$C$69</definedName>
    <definedName name="XDO_?FINAL_NAME?595?">'SFMP- Series 14'!$C$18:$C$31</definedName>
    <definedName name="XDO_?FINAL_NAME?596?">'SFMP- Series 14'!$C$18:$C$46</definedName>
    <definedName name="XDO_?FINAL_NAME?597?">'SFMP- Series 14'!$C$18:$C$50</definedName>
    <definedName name="XDO_?FINAL_NAME?598?">'SFMP- Series 14'!$C$18:$C$65</definedName>
    <definedName name="XDO_?FINAL_NAME?599?">'SFMP- Series 14'!$C$18:$C$70</definedName>
    <definedName name="XDO_?FINAL_NAME?6?">'[1]MMIS-89'!$C$10:$C$49</definedName>
    <definedName name="XDO_?FINAL_NAME?60?">'[1]MELS-95'!$C$48:$C$53</definedName>
    <definedName name="XDO_?FINAL_NAME?600?">'SFMP- Series 15'!$C$18:$C$29</definedName>
    <definedName name="XDO_?FINAL_NAME?601?">'SFMP- Series 15'!$C$18:$C$44</definedName>
    <definedName name="XDO_?FINAL_NAME?602?">'SFMP- Series 15'!$C$18:$C$48</definedName>
    <definedName name="XDO_?FINAL_NAME?603?">'SFMP- Series 15'!$C$18:$C$63</definedName>
    <definedName name="XDO_?FINAL_NAME?604?">'SFMP- Series 15'!$C$18:$C$68</definedName>
    <definedName name="XDO_?FINAL_NAME?605?">'SFMP- Series 16'!$C$18:$C$34</definedName>
    <definedName name="XDO_?FINAL_NAME?606?">'SFMP- Series 16'!$C$18:$C$49</definedName>
    <definedName name="XDO_?FINAL_NAME?607?">'SFMP- Series 16'!$C$18:$C$66</definedName>
    <definedName name="XDO_?FINAL_NAME?608?">'SFMP- Series 16'!$C$18:$C$71</definedName>
    <definedName name="XDO_?FINAL_NAME?609?">'SFMP- Series 17'!$C$18:$C$30</definedName>
    <definedName name="XDO_?FINAL_NAME?61?">SEHF!$C$10:$C$51</definedName>
    <definedName name="XDO_?FINAL_NAME?610?">'SFMP- Series 17'!$C$18:$C$45</definedName>
    <definedName name="XDO_?FINAL_NAME?611?">'SFMP- Series 17'!$C$18:$C$62</definedName>
    <definedName name="XDO_?FINAL_NAME?612?">'SFMP- Series 17'!$C$18:$C$67</definedName>
    <definedName name="XDO_?FINAL_NAME?613?">'SCPOF-Series A (Plan 5)'!$C$10:$C$59</definedName>
    <definedName name="XDO_?FINAL_NAME?614?">'SCPOF-Series A (Plan 5)'!$C$10:$C$79</definedName>
    <definedName name="XDO_?FINAL_NAME?615?">'SCPOF-Series A (Plan 5)'!$C$10:$C$89</definedName>
    <definedName name="XDO_?FINAL_NAME?616?">'SCPOF-Series A (Plan 5)'!$C$10:$C$112</definedName>
    <definedName name="XDO_?FINAL_NAME?617?">'SCPOF-Series A (Plan 5)'!$C$10:$C$117</definedName>
    <definedName name="XDO_?FINAL_NAME?618?">'SFMP- Series 18'!$C$18:$C$30</definedName>
    <definedName name="XDO_?FINAL_NAME?619?">'SFMP- Series 18'!$C$18:$C$45</definedName>
    <definedName name="XDO_?FINAL_NAME?62?">SEHF!$C$10:$C$56</definedName>
    <definedName name="XDO_?FINAL_NAME?620?">'SFMP- Series 18'!$C$18:$C$62</definedName>
    <definedName name="XDO_?FINAL_NAME?621?">'SFMP- Series 18'!$C$18:$C$67</definedName>
    <definedName name="XDO_?FINAL_NAME?622?">'SCPOF-Series A (Plan 6)'!$C$10:$C$59</definedName>
    <definedName name="XDO_?FINAL_NAME?623?">'SCPOF-Series A (Plan 6)'!$C$10:$C$78</definedName>
    <definedName name="XDO_?FINAL_NAME?624?">'SCPOF-Series A (Plan 6)'!$C$10:$C$95</definedName>
    <definedName name="XDO_?FINAL_NAME?625?">'SCPOF-Series A (Plan 6)'!$C$10:$C$110</definedName>
    <definedName name="XDO_?FINAL_NAME?626?">'SCPOF-Series A (Plan 6)'!$C$10:$C$115</definedName>
    <definedName name="XDO_?FINAL_NAME?627?">'SFMP- Series 19'!$C$18:$C$32</definedName>
    <definedName name="XDO_?FINAL_NAME?628?">'SFMP- Series 19'!$C$18:$C$63</definedName>
    <definedName name="XDO_?FINAL_NAME?629?">'SFMP- Series 19'!$C$18:$C$68</definedName>
    <definedName name="XDO_?FINAL_NAME?63?">SEHF!$C$10:$C$99</definedName>
    <definedName name="XDO_?FINAL_NAME?630?">'SFMP- Series 20'!$C$18:$C$31</definedName>
    <definedName name="XDO_?FINAL_NAME?631?">'SFMP- Series 20'!$C$18:$C$62</definedName>
    <definedName name="XDO_?FINAL_NAME?632?">'SFMP- Series 20'!$C$18:$C$67</definedName>
    <definedName name="XDO_?FINAL_NAME?633?">'SFMP- Series 21'!$C$18:$C$30</definedName>
    <definedName name="XDO_?FINAL_NAME?634?">'SFMP- Series 21'!$C$18:$C$61</definedName>
    <definedName name="XDO_?FINAL_NAME?635?">'SFMP- Series 21'!$C$18:$C$66</definedName>
    <definedName name="XDO_?FINAL_NAME?636?">'SFMP- Series 22'!$C$18:$C$30</definedName>
    <definedName name="XDO_?FINAL_NAME?637?">'SFMP- Series 22'!$C$18:$C$61</definedName>
    <definedName name="XDO_?FINAL_NAME?638?">'SFMP- Series 22'!$C$18:$C$66</definedName>
    <definedName name="XDO_?FINAL_NAME?639?">'SFMP- Series 23'!$C$18:$C$30</definedName>
    <definedName name="XDO_?FINAL_NAME?64?">SEHF!$C$10:$C$112</definedName>
    <definedName name="XDO_?FINAL_NAME?640?">'SFMP- Series 23'!$C$18:$C$61</definedName>
    <definedName name="XDO_?FINAL_NAME?641?">'SFMP- Series 23'!$C$18:$C$66</definedName>
    <definedName name="XDO_?FINAL_NAME?642?">'SFMP- Series 24'!$C$18:$C$30</definedName>
    <definedName name="XDO_?FINAL_NAME?643?">'SFMP- Series 24'!$C$18:$C$61</definedName>
    <definedName name="XDO_?FINAL_NAME?644?">'SFMP- Series 24'!$C$18:$C$66</definedName>
    <definedName name="XDO_?FINAL_NAME?645?">'SFMP- Series 25'!$C$18:$C$29</definedName>
    <definedName name="XDO_?FINAL_NAME?646?">'SFMP- Series 25'!$C$18:$C$60</definedName>
    <definedName name="XDO_?FINAL_NAME?647?">'SFMP- Series 25'!$C$18:$C$65</definedName>
    <definedName name="XDO_?FINAL_NAME?648?">'SFMP- Series 26'!$C$18:$C$30</definedName>
    <definedName name="XDO_?FINAL_NAME?649?">'SFMP- Series 26'!$C$18:$C$61</definedName>
    <definedName name="XDO_?FINAL_NAME?65?">SEHF!$C$10:$C$125</definedName>
    <definedName name="XDO_?FINAL_NAME?650?">'SFMP- Series 26'!$C$18:$C$66</definedName>
    <definedName name="XDO_?FINAL_NAME?651?">'SFMP- Series 27'!$C$18:$C$28</definedName>
    <definedName name="XDO_?FINAL_NAME?652?">'SFMP- Series 27'!$C$18:$C$38</definedName>
    <definedName name="XDO_?FINAL_NAME?653?">'SFMP- Series 27'!$C$18:$C$45</definedName>
    <definedName name="XDO_?FINAL_NAME?654?">'SFMP- Series 27'!$C$18:$C$62</definedName>
    <definedName name="XDO_?FINAL_NAME?655?">'SFMP- Series 27'!$C$18:$C$67</definedName>
    <definedName name="XDO_?FINAL_NAME?656?">'SCPOF-Series A (Plan 7)'!$C$10:$C$59</definedName>
    <definedName name="XDO_?FINAL_NAME?657?">'SCPOF-Series A (Plan 7)'!$C$10:$C$71</definedName>
    <definedName name="XDO_?FINAL_NAME?658?">'SCPOF-Series A (Plan 7)'!$C$10:$C$82</definedName>
    <definedName name="XDO_?FINAL_NAME?659?">'SCPOF-Series A (Plan 7)'!$C$10:$C$91</definedName>
    <definedName name="XDO_?FINAL_NAME?66?">SEHF!$C$10:$C$148</definedName>
    <definedName name="XDO_?FINAL_NAME?660?">'SCPOF-Series A (Plan 7)'!$C$10:$C$106</definedName>
    <definedName name="XDO_?FINAL_NAME?661?">'SCPOF-Series A (Plan 7)'!$C$10:$C$111</definedName>
    <definedName name="XDO_?FINAL_NAME?662?">'SFMP- Series 28'!$C$18:$C$27</definedName>
    <definedName name="XDO_?FINAL_NAME?663?">'SFMP- Series 28'!$C$18:$C$39</definedName>
    <definedName name="XDO_?FINAL_NAME?664?">'SFMP- Series 28'!$C$18:$C$62</definedName>
    <definedName name="XDO_?FINAL_NAME?665?">'SFMP- Series 28'!$C$18:$C$67</definedName>
    <definedName name="XDO_?FINAL_NAME?666?">'SCPOF-Series A (Plan 8)'!$C$10:$C$59</definedName>
    <definedName name="XDO_?FINAL_NAME?667?">'SCPOF-Series A (Plan 8)'!$C$10:$C$71</definedName>
    <definedName name="XDO_?FINAL_NAME?668?">'SCPOF-Series A (Plan 8)'!$C$10:$C$82</definedName>
    <definedName name="XDO_?FINAL_NAME?669?">'SCPOF-Series A (Plan 8)'!$C$10:$C$105</definedName>
    <definedName name="XDO_?FINAL_NAME?67?">SEHF!$C$10:$C$152</definedName>
    <definedName name="XDO_?FINAL_NAME?670?">'SCPOF-Series A (Plan 8)'!$C$10:$C$110</definedName>
    <definedName name="XDO_?FINAL_NAME?671?">'SFMP- Series 31'!$C$18:$C$25</definedName>
    <definedName name="XDO_?FINAL_NAME?672?">'SFMP- Series 31'!$C$18:$C$39</definedName>
    <definedName name="XDO_?FINAL_NAME?673?">'SFMP- Series 31'!$C$18:$C$62</definedName>
    <definedName name="XDO_?FINAL_NAME?674?">'SFMP- Series 31'!$C$18:$C$67</definedName>
    <definedName name="XDO_?FINAL_NAME?675?">'SFMP- Series 32'!$C$18:$C$26</definedName>
    <definedName name="XDO_?FINAL_NAME?676?">'SFMP- Series 32'!$C$18:$C$37</definedName>
    <definedName name="XDO_?FINAL_NAME?677?">'SFMP- Series 32'!$C$18:$C$60</definedName>
    <definedName name="XDO_?FINAL_NAME?678?">'SFMP- Series 32'!$C$18:$C$65</definedName>
    <definedName name="XDO_?FINAL_NAME?679?">'SFMP- Series 33'!$C$26</definedName>
    <definedName name="XDO_?FINAL_NAME?68?">SEHF!$C$10:$C$157</definedName>
    <definedName name="XDO_?FINAL_NAME?680?">'SFMP- Series 33'!$C$26:$C$49</definedName>
    <definedName name="XDO_?FINAL_NAME?681?">'SFMP- Series 33'!$C$26:$C$54</definedName>
    <definedName name="XDO_?FINAL_NAME?682?">'SFMP- Series 34'!$C$26</definedName>
    <definedName name="XDO_?FINAL_NAME?683?">'SFMP- Series 34'!$C$26:$C$49</definedName>
    <definedName name="XDO_?FINAL_NAME?684?">'SFMP- Series 34'!$C$26:$C$54</definedName>
    <definedName name="XDO_?FINAL_NAME?685?">'SMCBF-Investment Plan'!$C$10:$C$13</definedName>
    <definedName name="XDO_?FINAL_NAME?686?">'SMCBF-Investment Plan'!$C$10:$C$22</definedName>
    <definedName name="XDO_?FINAL_NAME?687?">'SMCBF-Investment Plan'!$C$10:$C$30</definedName>
    <definedName name="XDO_?FINAL_NAME?688?">'SMCBF-Investment Plan'!$C$10:$C$55</definedName>
    <definedName name="XDO_?FINAL_NAME?689?">'SMCBF-Investment Plan'!$C$10:$C$60</definedName>
    <definedName name="XDO_?FINAL_NAME?69?">'[1]MELS-96'!$C$48</definedName>
    <definedName name="XDO_?FINAL_NAME?690?">SBIRIOS!$C$10:$C$55</definedName>
    <definedName name="XDO_?FINAL_NAME?691?">SBIRIOS!$C$10:$C$94</definedName>
    <definedName name="XDO_?FINAL_NAME?692?">SBIRIOS!$C$10:$C$99</definedName>
    <definedName name="XDO_?FINAL_NAME?693?">#REF!</definedName>
    <definedName name="XDO_?FINAL_NAME?694?">#REF!</definedName>
    <definedName name="XDO_?FINAL_NAME?695?">#REF!</definedName>
    <definedName name="XDO_?FINAL_NAME?696?">#REF!</definedName>
    <definedName name="XDO_?FINAL_NAME?697?">#REF!</definedName>
    <definedName name="XDO_?FINAL_NAME?698?">#REF!</definedName>
    <definedName name="XDO_?FINAL_NAME?699?">#REF!</definedName>
    <definedName name="XDO_?FINAL_NAME?7?">'[1]MMIS-89'!$C$10:$C$54</definedName>
    <definedName name="XDO_?FINAL_NAME?70?">'[1]MELS-96'!$C$48:$C$53</definedName>
    <definedName name="XDO_?FINAL_NAME?700?">#REF!</definedName>
    <definedName name="XDO_?FINAL_NAME?71?">'[1]MMIS-97'!$C$48</definedName>
    <definedName name="XDO_?FINAL_NAME?72?">'[1]MMIS-97'!$C$48:$C$53</definedName>
    <definedName name="XDO_?FINAL_NAME?73?">'[1]MMIS-98 I'!$C$12</definedName>
    <definedName name="XDO_?FINAL_NAME?74?">'[1]MMIS-98 I'!$C$12:$C$49</definedName>
    <definedName name="XDO_?FINAL_NAME?75?">'[1]MMIS-98 I'!$C$12:$C$54</definedName>
    <definedName name="XDO_?FINAL_NAME?76?">SMIF!$C$18:$C$30</definedName>
    <definedName name="XDO_?FINAL_NAME?77?">SMIF!$C$18:$C$42</definedName>
    <definedName name="XDO_?FINAL_NAME?78?">SMIF!$C$18:$C$67</definedName>
    <definedName name="XDO_?FINAL_NAME?79?">SMIF!$C$18:$C$72</definedName>
    <definedName name="XDO_?FINAL_NAME?8?">'[1]MTSS-90'!$C$48</definedName>
    <definedName name="XDO_?FINAL_NAME?80?">'[1]MMIS-98 II'!$C$48</definedName>
    <definedName name="XDO_?FINAL_NAME?81?">'[1]MMIS-98 II'!$C$48:$C$53</definedName>
    <definedName name="XDO_?FINAL_NAME?82?">'[1]MGF-99'!$C$12</definedName>
    <definedName name="XDO_?FINAL_NAME?83?">'[1]MGF-99'!$C$12:$C$53</definedName>
    <definedName name="XDO_?FINAL_NAME?84?">SCOF!$C$10:$C$38</definedName>
    <definedName name="XDO_?FINAL_NAME?85?">SCOF!$C$10:$C$77</definedName>
    <definedName name="XDO_?FINAL_NAME?86?">SCOF!$C$10:$C$82</definedName>
    <definedName name="XDO_?FINAL_NAME?87?">STOF!$C$10:$C$14</definedName>
    <definedName name="XDO_?FINAL_NAME?88?">STOF!$C$10:$C$33</definedName>
    <definedName name="XDO_?FINAL_NAME?89?">STOF!$C$10:$C$24</definedName>
    <definedName name="XDO_?FINAL_NAME?9?">'[1]MTSS-90'!$C$48:$C$53</definedName>
    <definedName name="XDO_?FINAL_NAME?90?">STOF!$C$10:$C$29</definedName>
    <definedName name="XDO_?FINAL_NAME?91?">STOF!$C$10:$C$34</definedName>
    <definedName name="XDO_?FINAL_NAME?92?">STOF!$C$10:$C$69</definedName>
    <definedName name="XDO_?FINAL_NAME?93?">STOF!$C$10:$C$74</definedName>
    <definedName name="XDO_?FINAL_NAME?94?">SHOF!$C$10:$C$31</definedName>
    <definedName name="XDO_?FINAL_NAME?95?">SHOF!$C$10:$C$35</definedName>
    <definedName name="XDO_?FINAL_NAME?96?">SHOF!$C$10:$C$72</definedName>
    <definedName name="XDO_?FINAL_NAME?97?">SHOF!$C$10:$C$77</definedName>
    <definedName name="XDO_?FINAL_NAME?98?">SCF!$C$10:$C$56</definedName>
    <definedName name="XDO_?FINAL_NAME?99?">SCF!$C$10:$C$96</definedName>
    <definedName name="XDO_?FINAL_PER_NET?">'[1]MRIS-87'!$H$48:$H$53</definedName>
    <definedName name="XDO_?FINAL_PER_NET?1?">'[1]MTSS-88-89'!$H$48</definedName>
    <definedName name="XDO_?FINAL_PER_NET?10?">'[1]MRIS-90'!$H$48</definedName>
    <definedName name="XDO_?FINAL_PER_NET?100?">SCF!$H$10:$H$100</definedName>
    <definedName name="XDO_?FINAL_PER_NET?101?">SCF!$H$10:$H$105</definedName>
    <definedName name="XDO_?FINAL_PER_NET?102?">SNIF!$H$10:$H$121</definedName>
    <definedName name="XDO_?FINAL_PER_NET?103?">SNIF!$H$10:$H$96</definedName>
    <definedName name="XDO_?FINAL_PER_NET?104?">SNIF!$H$10:$H$100</definedName>
    <definedName name="XDO_?FINAL_PER_NET?105?">SNIF!$H$10:$H$105</definedName>
    <definedName name="XDO_?FINAL_PER_NET?106?">SMCBF!$H$10:$H$36</definedName>
    <definedName name="XDO_?FINAL_PER_NET?107?">SMCBF!$H$10:$H$39</definedName>
    <definedName name="XDO_?FINAL_PER_NET?108?">SMCBF!$H$10:$H$52</definedName>
    <definedName name="XDO_?FINAL_PER_NET?109?">SMCBF!$H$10:$H$60</definedName>
    <definedName name="XDO_?FINAL_PER_NET?11?">'[1]MRIS-90'!$H$48:$H$53</definedName>
    <definedName name="XDO_?FINAL_PER_NET?110?">SMCBF!$H$10:$H$64</definedName>
    <definedName name="XDO_?FINAL_PER_NET?111?">SMCBF!$H$10:$H$87</definedName>
    <definedName name="XDO_?FINAL_PER_NET?112?">SMCBF!$H$10:$H$92</definedName>
    <definedName name="XDO_?FINAL_PER_NET?113?">SOF!$H$48:$H$49</definedName>
    <definedName name="XDO_?FINAL_PER_NET?114?">SOF!$H$48:$H$54</definedName>
    <definedName name="XDO_?FINAL_PER_NET?115?">SMMDF!$H$18:$H$53</definedName>
    <definedName name="XDO_?FINAL_PER_NET?116?">SMMDF!$H$18:$H$67</definedName>
    <definedName name="XDO_?FINAL_PER_NET?117?">SMMDF!$H$18:$H$80</definedName>
    <definedName name="XDO_?FINAL_PER_NET?118?">SMMDF!$H$18:$H$84</definedName>
    <definedName name="XDO_?FINAL_PER_NET?119?">SMMDF!$H$18:$H$107</definedName>
    <definedName name="XDO_?FINAL_PER_NET?12?">SMEEF!$H$10:$H$50</definedName>
    <definedName name="XDO_?FINAL_PER_NET?120?">SMMDF!$H$18:$H$112</definedName>
    <definedName name="XDO_?FINAL_PER_NET?121?">SLF!$H$26:$H$29</definedName>
    <definedName name="XDO_?FINAL_PER_NET?122?">SLF!$H$26:$H$58</definedName>
    <definedName name="XDO_?FINAL_PER_NET?123?">SLF!$H$26:$H$77</definedName>
    <definedName name="XDO_?FINAL_PER_NET?124?">SLF!$H$26:$H$92</definedName>
    <definedName name="XDO_?FINAL_PER_NET?125?">SLF!$H$26:$H$97</definedName>
    <definedName name="XDO_?FINAL_PER_NET?126?">SDBF!$H$24:$H$29</definedName>
    <definedName name="XDO_?FINAL_PER_NET?127?">SDBF!$H$24:$H$54</definedName>
    <definedName name="XDO_?FINAL_PER_NET?128?">SDBF!$H$24:$H$59</definedName>
    <definedName name="XDO_?FINAL_PER_NET?129?">SSF!$H$24:$H$25</definedName>
    <definedName name="XDO_?FINAL_PER_NET?13?">SMEEF!$H$10:$H$55</definedName>
    <definedName name="XDO_?FINAL_PER_NET?130?">SSF!$H$24:$H$80</definedName>
    <definedName name="XDO_?FINAL_PER_NET?131?">SSF!$H$24:$H$102</definedName>
    <definedName name="XDO_?FINAL_PER_NET?132?">SSF!$H$24:$H$113</definedName>
    <definedName name="XDO_?FINAL_PER_NET?133?">SSF!$H$24:$H$128</definedName>
    <definedName name="XDO_?FINAL_PER_NET?134?">SSF!$H$24:$H$133</definedName>
    <definedName name="XDO_?FINAL_PER_NET?135?">SCRF!$H$18:$H$61</definedName>
    <definedName name="XDO_?FINAL_PER_NET?136?">SCRF!$H$18:$H$75</definedName>
    <definedName name="XDO_?FINAL_PER_NET?137?">SCRF!$H$18:$H$85</definedName>
    <definedName name="XDO_?FINAL_PER_NET?138?">SCRF!$H$18:$H$110</definedName>
    <definedName name="XDO_?FINAL_PER_NET?139?">SCRF!$H$18:$H$115</definedName>
    <definedName name="XDO_?FINAL_PER_NET?14?">SMEEF!$H$10:$H$84</definedName>
    <definedName name="XDO_?FINAL_PER_NET?140?">SFEF!$H$10</definedName>
    <definedName name="XDO_?FINAL_PER_NET?141?">SFEF!$H$10:$H$41</definedName>
    <definedName name="XDO_?FINAL_PER_NET?142?">SFEF!$H$10:$H$35</definedName>
    <definedName name="XDO_?FINAL_PER_NET?143?">SFEF!$H$10:$H$42</definedName>
    <definedName name="XDO_?FINAL_PER_NET?144?">SFEF!$H$10:$H$75</definedName>
    <definedName name="XDO_?FINAL_PER_NET?145?">SFEF!$H$10:$H$79</definedName>
    <definedName name="XDO_?FINAL_PER_NET?146?">SFEF!$H$10:$H$84</definedName>
    <definedName name="XDO_?FINAL_PER_NET?147?">SDHF!$H$10:$H$34</definedName>
    <definedName name="XDO_?FINAL_PER_NET?148?">SDHF!$H$10:$H$54</definedName>
    <definedName name="XDO_?FINAL_PER_NET?149?">SDHF!$H$10:$H$68</definedName>
    <definedName name="XDO_?FINAL_PER_NET?15?">SMEEF!$H$10:$H$92</definedName>
    <definedName name="XDO_?FINAL_PER_NET?150?">SDHF!$H$10:$H$77</definedName>
    <definedName name="XDO_?FINAL_PER_NET?151?">SDHF!$H$10:$H$102</definedName>
    <definedName name="XDO_?FINAL_PER_NET?152?">SDHF!$H$10:$H$107</definedName>
    <definedName name="XDO_?FINAL_PER_NET?153?">SMUSD!$H$18:$H$39</definedName>
    <definedName name="XDO_?FINAL_PER_NET?154?">SMUSD!$H$18:$H$50</definedName>
    <definedName name="XDO_?FINAL_PER_NET?155?">SMUSD!$H$18:$H$56</definedName>
    <definedName name="XDO_?FINAL_PER_NET?156?">SMUSD!$H$18:$H$70</definedName>
    <definedName name="XDO_?FINAL_PER_NET?157?">SMUSD!$H$18:$H$86</definedName>
    <definedName name="XDO_?FINAL_PER_NET?158?">SMUSD!$H$18:$H$94</definedName>
    <definedName name="XDO_?FINAL_PER_NET?159?">SMUSD!$H$18:$H$109</definedName>
    <definedName name="XDO_?FINAL_PER_NET?16?">SMEEF!$H$10:$H$96</definedName>
    <definedName name="XDO_?FINAL_PER_NET?160?">SMUSD!$H$18:$H$114</definedName>
    <definedName name="XDO_?FINAL_PER_NET?161?">SMIDCAP!$H$10:$H$59</definedName>
    <definedName name="XDO_?FINAL_PER_NET?162?">SMIDCAP!$H$10:$H$62</definedName>
    <definedName name="XDO_?FINAL_PER_NET?163?">SMIDCAP!$H$10:$H$98</definedName>
    <definedName name="XDO_?FINAL_PER_NET?164?">SMIDCAP!$H$10:$H$103</definedName>
    <definedName name="XDO_?FINAL_PER_NET?165?">SMCMF!$H$24:$H$28</definedName>
    <definedName name="XDO_?FINAL_PER_NET?166?">SMCMF!$H$24:$H$53</definedName>
    <definedName name="XDO_?FINAL_PER_NET?167?">SMCMF!$H$24:$H$58</definedName>
    <definedName name="XDO_?FINAL_PER_NET?168?">SMCOMMA!$H$10:$H$35</definedName>
    <definedName name="XDO_?FINAL_PER_NET?169?">SMCOMMA!$H$10:$H$74</definedName>
    <definedName name="XDO_?FINAL_PER_NET?17?">SMEEF!$H$10:$H$101</definedName>
    <definedName name="XDO_?FINAL_PER_NET?170?">SMCOMMA!$H$10:$H$79</definedName>
    <definedName name="XDO_?FINAL_PER_NET?171?">SMGF!$H$24:$H$28</definedName>
    <definedName name="XDO_?FINAL_PER_NET?172?">SMGF!$H$24:$H$53</definedName>
    <definedName name="XDO_?FINAL_PER_NET?173?">SMGF!$H$24:$H$58</definedName>
    <definedName name="XDO_?FINAL_PER_NET?174?">SMMULTI!$H$10:$H$55</definedName>
    <definedName name="XDO_?FINAL_PER_NET?175?">SMMULTI!$H$10:$H$58</definedName>
    <definedName name="XDO_?FINAL_PER_NET?176?">SMMULTI!$H$10:$H$94</definedName>
    <definedName name="XDO_?FINAL_PER_NET?177?">SMMULTI!$H$10:$H$99</definedName>
    <definedName name="XDO_?FINAL_PER_NET?178?">SMAAF!$H$10:$H$59</definedName>
    <definedName name="XDO_?FINAL_PER_NET?179?">SMAAF!$H$10:$H$76</definedName>
    <definedName name="XDO_?FINAL_PER_NET?18?">'[1]MELS-91'!$H$12</definedName>
    <definedName name="XDO_?FINAL_PER_NET?180?">SMAAF!$H$10:$H$93</definedName>
    <definedName name="XDO_?FINAL_PER_NET?181?">SMAAF!$H$10:$H$103</definedName>
    <definedName name="XDO_?FINAL_PER_NET?182?">SMAAF!$H$10:$H$108</definedName>
    <definedName name="XDO_?FINAL_PER_NET?183?">SBLUECHIP!$H$10:$H$67</definedName>
    <definedName name="XDO_?FINAL_PER_NET?184?">SBLUECHIP!$H$10:$H$106</definedName>
    <definedName name="XDO_?FINAL_PER_NET?185?">SBLUECHIP!$H$10:$H$111</definedName>
    <definedName name="XDO_?FINAL_PER_NET?186?">SAOF!$H$10:$H$73</definedName>
    <definedName name="XDO_?FINAL_PER_NET?187?">SAOF!$H$10:$H$88</definedName>
    <definedName name="XDO_?FINAL_PER_NET?188?">SAOF!$H$10:$H$95</definedName>
    <definedName name="XDO_?FINAL_PER_NET?189?">SAOF!$H$10:$H$126</definedName>
    <definedName name="XDO_?FINAL_PER_NET?19?">'[1]MELS-91'!$H$12:$H$49</definedName>
    <definedName name="XDO_?FINAL_PER_NET?190?">SAOF!$H$10:$H$130</definedName>
    <definedName name="XDO_?FINAL_PER_NET?191?">SAOF!$H$10:$H$135</definedName>
    <definedName name="XDO_?FINAL_PER_NET?192?">SIF!$H$10:$H$37</definedName>
    <definedName name="XDO_?FINAL_PER_NET?193?">SIF!$H$10:$H$76</definedName>
    <definedName name="XDO_?FINAL_PER_NET?194?">SIF!$H$10:$H$81</definedName>
    <definedName name="XDO_?FINAL_PER_NET?195?">SMLDF!$H$18:$H$62</definedName>
    <definedName name="XDO_?FINAL_PER_NET?196?">SMLDF!$H$18:$H$67</definedName>
    <definedName name="XDO_?FINAL_PER_NET?197?">SMLDF!$H$18:$H$77</definedName>
    <definedName name="XDO_?FINAL_PER_NET?198?">SMLDF!$H$18:$H$83</definedName>
    <definedName name="XDO_?FINAL_PER_NET?199?">SMLDF!$H$18:$H$92</definedName>
    <definedName name="XDO_?FINAL_PER_NET?2?">'[1]MTSS-88-89'!$H$48:$H$53</definedName>
    <definedName name="XDO_?FINAL_PER_NET?20?">'[1]MELS-91'!$H$12:$H$54</definedName>
    <definedName name="XDO_?FINAL_PER_NET?200?">SMLDF!$H$18:$H$106</definedName>
    <definedName name="XDO_?FINAL_PER_NET?201?">SMLDF!$H$18:$H$112</definedName>
    <definedName name="XDO_?FINAL_PER_NET?202?">SMLDF!$H$18:$H$118</definedName>
    <definedName name="XDO_?FINAL_PER_NET?203?">SMLDF!$H$18:$H$133</definedName>
    <definedName name="XDO_?FINAL_PER_NET?204?">SMLDF!$H$18:$H$138</definedName>
    <definedName name="XDO_?FINAL_PER_NET?205?">SSTDF!$H$18:$H$101</definedName>
    <definedName name="XDO_?FINAL_PER_NET?206?">SSTDF!$H$18:$H$105</definedName>
    <definedName name="XDO_?FINAL_PER_NET?207?">SSTDF!$H$18:$H$113</definedName>
    <definedName name="XDO_?FINAL_PER_NET?208?">SSTDF!$H$18:$H$123</definedName>
    <definedName name="XDO_?FINAL_PER_NET?209?">SSTDF!$H$18:$H$136</definedName>
    <definedName name="XDO_?FINAL_PER_NET?21?">'[1]MMIS-91'!$H$10:$H$11</definedName>
    <definedName name="XDO_?FINAL_PER_NET?210?">SSTDF!$H$18:$H$145</definedName>
    <definedName name="XDO_?FINAL_PER_NET?211?">SSTDF!$H$18:$H$160</definedName>
    <definedName name="XDO_?FINAL_PER_NET?212?">SSTDF!$H$18:$H$165</definedName>
    <definedName name="XDO_?FINAL_PER_NET?213?">'SETF-Gold'!$H$42</definedName>
    <definedName name="XDO_?FINAL_PER_NET?214?">'SETF-Gold'!$H$42:$H$50</definedName>
    <definedName name="XDO_?FINAL_PER_NET?215?">'SETF-Gold'!$H$42:$H$55</definedName>
    <definedName name="XDO_?FINAL_PER_NET?216?">SPSU!$H$10:$H$31</definedName>
    <definedName name="XDO_?FINAL_PER_NET?217?">SPSU!$H$10:$H$70</definedName>
    <definedName name="XDO_?FINAL_PER_NET?218?">SPSU!$H$10:$H$75</definedName>
    <definedName name="XDO_?FINAL_PER_NET?219?">SGF!$H$40</definedName>
    <definedName name="XDO_?FINAL_PER_NET?22?">'[1]MMIS-91'!$H$10:$H$25</definedName>
    <definedName name="XDO_?FINAL_PER_NET?220?">SGF!$H$40:$H$50</definedName>
    <definedName name="XDO_?FINAL_PER_NET?221?">SGF!$H$40:$H$55</definedName>
    <definedName name="XDO_?FINAL_PER_NET?222?">'STAF-II'!$H$10:$H$35</definedName>
    <definedName name="XDO_?FINAL_PER_NET?223?">'STAF-II'!$H$10:$H$39</definedName>
    <definedName name="XDO_?FINAL_PER_NET?224?">'STAF-II'!$H$10:$H$76</definedName>
    <definedName name="XDO_?FINAL_PER_NET?225?">'STAF-II'!$H$10:$H$81</definedName>
    <definedName name="XDO_?FINAL_PER_NET?226?">'SETF-SENSEX'!$H$10:$H$39</definedName>
    <definedName name="XDO_?FINAL_PER_NET?227?">'SETF-SENSEX'!$H$10:$H$78</definedName>
    <definedName name="XDO_?FINAL_PER_NET?228?">'SETF-SENSEX'!$H$10:$H$83</definedName>
    <definedName name="XDO_?FINAL_PER_NET?229?">SSCF!$H$10:$H$62</definedName>
    <definedName name="XDO_?FINAL_PER_NET?23?">'[1]MMIS-91'!$H$10:$H$62</definedName>
    <definedName name="XDO_?FINAL_PER_NET?230?">SSCF!$H$10:$H$61</definedName>
    <definedName name="XDO_?FINAL_PER_NET?231?">SSCF!$H$10:$H$99</definedName>
    <definedName name="XDO_?FINAL_PER_NET?232?">SSCF!$H$10:$H$104</definedName>
    <definedName name="XDO_?FINAL_PER_NET?233?">SBPF!$H$18:$H$96</definedName>
    <definedName name="XDO_?FINAL_PER_NET?234?">SBPF!$H$18:$H$101</definedName>
    <definedName name="XDO_?FINAL_PER_NET?235?">SBPF!$H$18:$H$111</definedName>
    <definedName name="XDO_?FINAL_PER_NET?236?">SBPF!$H$18:$H$117</definedName>
    <definedName name="XDO_?FINAL_PER_NET?237?">SBPF!$H$18:$H$140</definedName>
    <definedName name="XDO_?FINAL_PER_NET?238?">SBPF!$H$18:$H$145</definedName>
    <definedName name="XDO_?FINAL_PER_NET?239?">'STAF-III'!$H$10:$H$36</definedName>
    <definedName name="XDO_?FINAL_PER_NET?24?">'[1]MMIS-91'!$H$10:$H$67</definedName>
    <definedName name="XDO_?FINAL_PER_NET?240?">'STAF-III'!$H$10:$H$75</definedName>
    <definedName name="XDO_?FINAL_PER_NET?241?">'STAF-III'!$H$10:$H$80</definedName>
    <definedName name="XDO_?FINAL_PER_NET?242?">'SEOF-I'!$H$10:$H$45</definedName>
    <definedName name="XDO_?FINAL_PER_NET?243?">'SEOF-I'!$H$10:$H$84</definedName>
    <definedName name="XDO_?FINAL_PER_NET?244?">'SEOF-I'!$H$10:$H$89</definedName>
    <definedName name="XDO_?FINAL_PER_NET?245?">'SLTAF-I'!$H$10:$H$37</definedName>
    <definedName name="XDO_?FINAL_PER_NET?246?">'SLTAF-I'!$H$10:$H$76</definedName>
    <definedName name="XDO_?FINAL_PER_NET?247?">'SLTAF-I'!$H$10:$H$81</definedName>
    <definedName name="XDO_?FINAL_PER_NET?248?">'SLTAF-II'!$H$10:$H$39</definedName>
    <definedName name="XDO_?FINAL_PER_NET?249?">'SLTAF-II'!$H$10:$H$78</definedName>
    <definedName name="XDO_?FINAL_PER_NET?25?">[1]MTPL!$H$10</definedName>
    <definedName name="XDO_?FINAL_PER_NET?250?">'SLTAF-II'!$H$10:$H$83</definedName>
    <definedName name="XDO_?FINAL_PER_NET?251?">SBFS!$H$10:$H$30</definedName>
    <definedName name="XDO_?FINAL_PER_NET?252?">SBFS!$H$10:$H$33</definedName>
    <definedName name="XDO_?FINAL_PER_NET?253?">SBFS!$H$10:$H$69</definedName>
    <definedName name="XDO_?FINAL_PER_NET?254?">SBFS!$H$10:$H$74</definedName>
    <definedName name="XDO_?FINAL_PER_NET?255?">SDAAF!$H$10:$H$40</definedName>
    <definedName name="XDO_?FINAL_PER_NET?256?">SDAAF!$H$10:$H$77</definedName>
    <definedName name="XDO_?FINAL_PER_NET?257?">SDAAF!$H$10:$H$81</definedName>
    <definedName name="XDO_?FINAL_PER_NET?258?">SDAAF!$H$10:$H$86</definedName>
    <definedName name="XDO_?FINAL_PER_NET?259?">'SETF-NN50'!$H$10:$H$59</definedName>
    <definedName name="XDO_?FINAL_PER_NET?26?">[1]MTPL!$H$10:$H$49</definedName>
    <definedName name="XDO_?FINAL_PER_NET?260?">'SETF-NN50'!$H$10:$H$98</definedName>
    <definedName name="XDO_?FINAL_PER_NET?261?">'SETF-NN50'!$H$10:$H$103</definedName>
    <definedName name="XDO_?FINAL_PER_NET?262?">'SETF-NBank'!$H$10:$H$76</definedName>
    <definedName name="XDO_?FINAL_PER_NET?263?">'SETF-NBank'!$H$10:$H$60</definedName>
    <definedName name="XDO_?FINAL_PER_NET?264?">'SETF-NBank'!$H$10:$H$65</definedName>
    <definedName name="XDO_?FINAL_PER_NET?265?">'SETF-BSE 100'!$H$10:$H$165</definedName>
    <definedName name="XDO_?FINAL_PER_NET?266?">'SETF-BSE 100'!$H$10:$H$149</definedName>
    <definedName name="XDO_?FINAL_PER_NET?267?">'SETF-BSE 100'!$H$10:$H$154</definedName>
    <definedName name="XDO_?FINAL_PER_NET?268?">SESF!$H$10:$H$81</definedName>
    <definedName name="XDO_?FINAL_PER_NET?269?">SESF!$H$10:$H$84</definedName>
    <definedName name="XDO_?FINAL_PER_NET?27?">[1]MTPL!$H$10:$H$54</definedName>
    <definedName name="XDO_?FINAL_PER_NET?270?">SESF!$H$10:$H$94</definedName>
    <definedName name="XDO_?FINAL_PER_NET?271?">SESF!$H$10:$H$98</definedName>
    <definedName name="XDO_?FINAL_PER_NET?272?">SESF!$H$10:$H$106</definedName>
    <definedName name="XDO_?FINAL_PER_NET?273?">SESF!$H$10:$H$130</definedName>
    <definedName name="XDO_?FINAL_PER_NET?274?">SESF!$H$10:$H$134</definedName>
    <definedName name="XDO_?FINAL_PER_NET?275?">SESF!$H$10:$H$139</definedName>
    <definedName name="XDO_?FINAL_PER_NET?276?">'SETF-Nifty 50'!$H$10:$H$114</definedName>
    <definedName name="XDO_?FINAL_PER_NET?277?">'SETF-Nifty 50'!$H$10:$H$98</definedName>
    <definedName name="XDO_?FINAL_PER_NET?278?">'SETF-Nifty 50'!$H$10:$H$103</definedName>
    <definedName name="XDO_?FINAL_PER_NET?279?">'SEOF-IV'!$H$10:$H$45</definedName>
    <definedName name="XDO_?FINAL_PER_NET?28?">'[1]MEX-91'!$H$48</definedName>
    <definedName name="XDO_?FINAL_PER_NET?280?">'SEOF-IV'!$H$10:$H$84</definedName>
    <definedName name="XDO_?FINAL_PER_NET?281?">'SEOF-IV'!$H$10:$H$89</definedName>
    <definedName name="XDO_?FINAL_PER_NET?282?">'SLTAF-III'!$H$10:$H$39</definedName>
    <definedName name="XDO_?FINAL_PER_NET?283?">'SLTAF-III'!$H$10:$H$78</definedName>
    <definedName name="XDO_?FINAL_PER_NET?284?">'SLTAF-III'!$H$10:$H$83</definedName>
    <definedName name="XDO_?FINAL_PER_NET?285?">'SETF-10 Yr Gilt'!$H$24</definedName>
    <definedName name="XDO_?FINAL_PER_NET?286?">'SETF-10 Yr Gilt'!$H$24:$H$49</definedName>
    <definedName name="XDO_?FINAL_PER_NET?287?">'SETF-10 Yr Gilt'!$H$24:$H$54</definedName>
    <definedName name="XDO_?FINAL_PER_NET?288?">'SLTAF-IV'!$H$10:$H$38</definedName>
    <definedName name="XDO_?FINAL_PER_NET?289?">'SLTAF-IV'!$H$10:$H$42</definedName>
    <definedName name="XDO_?FINAL_PER_NET?29?">'[1]MEX-91'!$H$48:$H$53</definedName>
    <definedName name="XDO_?FINAL_PER_NET?290?">'SLTAF-IV'!$H$10:$H$79</definedName>
    <definedName name="XDO_?FINAL_PER_NET?291?">'SLTAF-IV'!$H$10:$H$84</definedName>
    <definedName name="XDO_?FINAL_PER_NET?292?">'SDAFS-XXIV'!$H$18:$H$21</definedName>
    <definedName name="XDO_?FINAL_PER_NET?293?">'SDAFS-XXIV'!$H$18:$H$32</definedName>
    <definedName name="XDO_?FINAL_PER_NET?294?">'SDAFS-XXIV'!$H$18:$H$41</definedName>
    <definedName name="XDO_?FINAL_PER_NET?295?">'SDAFS-XXIV'!$H$18:$H$57</definedName>
    <definedName name="XDO_?FINAL_PER_NET?296?">'SDAFS-XXIV'!$H$18:$H$62</definedName>
    <definedName name="XDO_?FINAL_PER_NET?297?">'SDAFS-XXV'!$H$10:$H$31</definedName>
    <definedName name="XDO_?FINAL_PER_NET?298?">'SDAFS-XXV'!$H$10:$H$52</definedName>
    <definedName name="XDO_?FINAL_PER_NET?299?">'SDAFS-XXV'!$H$10:$H$66</definedName>
    <definedName name="XDO_?FINAL_PER_NET?3?">'[1]MRIS-89'!$H$48</definedName>
    <definedName name="XDO_?FINAL_PER_NET?30?">'[1]GIFTS B'!$H$12:$H$16</definedName>
    <definedName name="XDO_?FINAL_PER_NET?300?">'SDAFS-XXV'!$H$10:$H$74</definedName>
    <definedName name="XDO_?FINAL_PER_NET?301?">'SDAFS-XXV'!$H$10:$H$78</definedName>
    <definedName name="XDO_?FINAL_PER_NET?302?">'SDAFS-XXV'!$H$10:$H$93</definedName>
    <definedName name="XDO_?FINAL_PER_NET?303?">'SDAFS-XXV'!$H$10:$H$98</definedName>
    <definedName name="XDO_?FINAL_PER_NET?304?">'SLTAF-V'!$H$10:$H$42</definedName>
    <definedName name="XDO_?FINAL_PER_NET?305?">'SLTAF-V'!$H$10:$H$81</definedName>
    <definedName name="XDO_?FINAL_PER_NET?306?">'SLTAF-V'!$H$10:$H$86</definedName>
    <definedName name="XDO_?FINAL_PER_NET?307?">'SDFS-C-7'!$H$18:$H$28</definedName>
    <definedName name="XDO_?FINAL_PER_NET?308?">'SDFS-C-7'!$H$18:$H$38</definedName>
    <definedName name="XDO_?FINAL_PER_NET?309?">'SDFS-C-7'!$H$18:$H$47</definedName>
    <definedName name="XDO_?FINAL_PER_NET?31?">'[1]GIFTS B'!$H$12:$H$53</definedName>
    <definedName name="XDO_?FINAL_PER_NET?310?">'SDFS-C-7'!$H$18:$H$64</definedName>
    <definedName name="XDO_?FINAL_PER_NET?311?">'SDFS-C-7'!$H$18:$H$69</definedName>
    <definedName name="XDO_?FINAL_PER_NET?312?">'SDAFS-XXVI'!$H$10:$H$31</definedName>
    <definedName name="XDO_?FINAL_PER_NET?313?">'SDAFS-XXVI'!$H$10:$H$50</definedName>
    <definedName name="XDO_?FINAL_PER_NET?314?">'SDAFS-XXVI'!$H$10:$H$54</definedName>
    <definedName name="XDO_?FINAL_PER_NET?315?">'SDAFS-XXVI'!$H$10:$H$60</definedName>
    <definedName name="XDO_?FINAL_PER_NET?316?">'SDAFS-XXVI'!$H$10:$H$66</definedName>
    <definedName name="XDO_?FINAL_PER_NET?317?">'SDAFS-XXVI'!$H$10:$H$75</definedName>
    <definedName name="XDO_?FINAL_PER_NET?318?">'SDAFS-XXVI'!$H$10:$H$90</definedName>
    <definedName name="XDO_?FINAL_PER_NET?319?">'SDAFS-XXVI'!$H$10:$H$95</definedName>
    <definedName name="XDO_?FINAL_PER_NET?32?">'[1]GIFTS B'!$H$12:$H$58</definedName>
    <definedName name="XDO_?FINAL_PER_NET?320?">'SDFS-C-8'!$H$18:$H$28</definedName>
    <definedName name="XDO_?FINAL_PER_NET?321?">'SDFS-C-8'!$H$18:$H$39</definedName>
    <definedName name="XDO_?FINAL_PER_NET?322?">'SDFS-C-8'!$H$18:$H$48</definedName>
    <definedName name="XDO_?FINAL_PER_NET?323?">'SDFS-C-8'!$H$18:$H$65</definedName>
    <definedName name="XDO_?FINAL_PER_NET?324?">'SDFS-C-8'!$H$18:$H$70</definedName>
    <definedName name="XDO_?FINAL_PER_NET?325?">'SDFS-C-9'!$H$18:$H$27</definedName>
    <definedName name="XDO_?FINAL_PER_NET?326?">'SDFS-C-9'!$H$18:$H$38</definedName>
    <definedName name="XDO_?FINAL_PER_NET?327?">'SDFS-C-9'!$H$18:$H$47</definedName>
    <definedName name="XDO_?FINAL_PER_NET?328?">'SDFS-C-9'!$H$18:$H$64</definedName>
    <definedName name="XDO_?FINAL_PER_NET?329?">'SDFS-C-9'!$H$18:$H$69</definedName>
    <definedName name="XDO_?FINAL_PER_NET?33?">'[1]GIFTS A'!$H$12</definedName>
    <definedName name="XDO_?FINAL_PER_NET?330?">'SDFS-C-10'!$H$18:$H$29</definedName>
    <definedName name="XDO_?FINAL_PER_NET?331?">'SDFS-C-10'!$H$18:$H$40</definedName>
    <definedName name="XDO_?FINAL_PER_NET?332?">'SDFS-C-10'!$H$18:$H$50</definedName>
    <definedName name="XDO_?FINAL_PER_NET?333?">'SDFS-C-10'!$H$18:$H$54</definedName>
    <definedName name="XDO_?FINAL_PER_NET?334?">'SDFS-C-10'!$H$18:$H$69</definedName>
    <definedName name="XDO_?FINAL_PER_NET?335?">'SDFS-C-10'!$H$18:$H$74</definedName>
    <definedName name="XDO_?FINAL_PER_NET?336?">'SDAFS-XXVII'!$H$10:$H$33</definedName>
    <definedName name="XDO_?FINAL_PER_NET?337?">'SDAFS-XXVII'!$H$10:$H$49</definedName>
    <definedName name="XDO_?FINAL_PER_NET?338?">'SDAFS-XXVII'!$H$10:$H$54</definedName>
    <definedName name="XDO_?FINAL_PER_NET?339?">'SDAFS-XXVII'!$H$10:$H$62</definedName>
    <definedName name="XDO_?FINAL_PER_NET?34?">'[1]GIFTS A'!$H$12:$H$49</definedName>
    <definedName name="XDO_?FINAL_PER_NET?340?">'SDAFS-XXVII'!$H$10:$H$69</definedName>
    <definedName name="XDO_?FINAL_PER_NET?341?">'SDAFS-XXVII'!$H$10:$H$73</definedName>
    <definedName name="XDO_?FINAL_PER_NET?342?">'SDAFS-XXVII'!$H$10:$H$88</definedName>
    <definedName name="XDO_?FINAL_PER_NET?343?">'SDAFS-XXVII'!$H$10:$H$93</definedName>
    <definedName name="XDO_?FINAL_PER_NET?344?">'SDFS-C-12'!$H$18:$H$26</definedName>
    <definedName name="XDO_?FINAL_PER_NET?345?">'SDFS-C-12'!$H$18:$H$39</definedName>
    <definedName name="XDO_?FINAL_PER_NET?346?">'SDFS-C-12'!$H$18:$H$50</definedName>
    <definedName name="XDO_?FINAL_PER_NET?347?">'SDFS-C-12'!$H$18:$H$55</definedName>
    <definedName name="XDO_?FINAL_PER_NET?348?">'SDFS-C-12'!$H$18:$H$70</definedName>
    <definedName name="XDO_?FINAL_PER_NET?349?">'SDFS-C-12'!$H$18:$H$75</definedName>
    <definedName name="XDO_?FINAL_PER_NET?35?">'[1]GIFTS A'!$H$12:$H$54</definedName>
    <definedName name="XDO_?FINAL_PER_NET?350?">'SDFS-C-14'!$H$18:$H$27</definedName>
    <definedName name="XDO_?FINAL_PER_NET?351?">'SDFS-C-14'!$H$18:$H$37</definedName>
    <definedName name="XDO_?FINAL_PER_NET?352?">'SDFS-C-14'!$H$18:$H$47</definedName>
    <definedName name="XDO_?FINAL_PER_NET?353?">'SDFS-C-14'!$H$18:$H$52</definedName>
    <definedName name="XDO_?FINAL_PER_NET?354?">'SDFS-C-14'!$H$18:$H$67</definedName>
    <definedName name="XDO_?FINAL_PER_NET?355?">'SDFS-C-14'!$H$18:$H$72</definedName>
    <definedName name="XDO_?FINAL_PER_NET?356?">'SLTAF-VI'!$H$10:$H$35</definedName>
    <definedName name="XDO_?FINAL_PER_NET?357?">'SLTAF-VI'!$H$10:$H$74</definedName>
    <definedName name="XDO_?FINAL_PER_NET?358?">'SLTAF-VI'!$H$10:$H$79</definedName>
    <definedName name="XDO_?FINAL_PER_NET?359?">'SDAFS-XXVIII'!$H$10:$H$34</definedName>
    <definedName name="XDO_?FINAL_PER_NET?36?">SLMF!$H$10:$H$65</definedName>
    <definedName name="XDO_?FINAL_PER_NET?360?">'SDAFS-XXVIII'!$H$10:$H$53</definedName>
    <definedName name="XDO_?FINAL_PER_NET?361?">'SDAFS-XXVIII'!$H$10:$H$64</definedName>
    <definedName name="XDO_?FINAL_PER_NET?362?">'SDAFS-XXVIII'!$H$10:$H$71</definedName>
    <definedName name="XDO_?FINAL_PER_NET?363?">'SDAFS-XXVIII'!$H$10:$H$88</definedName>
    <definedName name="XDO_?FINAL_PER_NET?364?">'SDAFS-XXVIII'!$H$10:$H$93</definedName>
    <definedName name="XDO_?FINAL_PER_NET?365?">'SDFS-C-16'!$H$18:$H$32</definedName>
    <definedName name="XDO_?FINAL_PER_NET?366?">'SDFS-C-16'!$H$18:$H$43</definedName>
    <definedName name="XDO_?FINAL_PER_NET?367?">'SDFS-C-16'!$H$18:$H$56</definedName>
    <definedName name="XDO_?FINAL_PER_NET?368?">'SDFS-C-16'!$H$18:$H$73</definedName>
    <definedName name="XDO_?FINAL_PER_NET?369?">'SDFS-C-16'!$H$18:$H$78</definedName>
    <definedName name="XDO_?FINAL_PER_NET?37?">SLMF!$H$10:$H$71</definedName>
    <definedName name="XDO_?FINAL_PER_NET?370?">'SDFS-C-18'!$H$18:$H$36</definedName>
    <definedName name="XDO_?FINAL_PER_NET?371?">'SDFS-C-18'!$H$18:$H$49</definedName>
    <definedName name="XDO_?FINAL_PER_NET?372?">'SDFS-C-18'!$H$18:$H$61</definedName>
    <definedName name="XDO_?FINAL_PER_NET?373?">'SDFS-C-18'!$H$18:$H$78</definedName>
    <definedName name="XDO_?FINAL_PER_NET?374?">'SDFS-C-18'!$H$18:$H$83</definedName>
    <definedName name="XDO_?FINAL_PER_NET?375?">'SDFS-C-19'!$H$18:$H$29</definedName>
    <definedName name="XDO_?FINAL_PER_NET?376?">'SDFS-C-19'!$H$18:$H$39</definedName>
    <definedName name="XDO_?FINAL_PER_NET?377?">'SDFS-C-19'!$H$18:$H$50</definedName>
    <definedName name="XDO_?FINAL_PER_NET?378?">'SDFS-C-19'!$H$18:$H$67</definedName>
    <definedName name="XDO_?FINAL_PER_NET?379?">'SDFS-C-19'!$H$18:$H$72</definedName>
    <definedName name="XDO_?FINAL_PER_NET?38?">SLMF!$H$10:$H$108</definedName>
    <definedName name="XDO_?FINAL_PER_NET?380?">'SDAFS-XXIX'!$H$10:$H$34</definedName>
    <definedName name="XDO_?FINAL_PER_NET?381?">'SDAFS-XXIX'!$H$10:$H$55</definedName>
    <definedName name="XDO_?FINAL_PER_NET?382?">'SDAFS-XXIX'!$H$10:$H$66</definedName>
    <definedName name="XDO_?FINAL_PER_NET?383?">'SDAFS-XXIX'!$H$10:$H$74</definedName>
    <definedName name="XDO_?FINAL_PER_NET?384?">'SDAFS-XXIX'!$H$10:$H$91</definedName>
    <definedName name="XDO_?FINAL_PER_NET?385?">'SDAFS-XXIX'!$H$10:$H$96</definedName>
    <definedName name="XDO_?FINAL_PER_NET?386?">'SDFS-C-20'!$H$18:$H$28</definedName>
    <definedName name="XDO_?FINAL_PER_NET?387?">'SDFS-C-20'!$H$18:$H$39</definedName>
    <definedName name="XDO_?FINAL_PER_NET?388?">'SDFS-C-20'!$H$18:$H$51</definedName>
    <definedName name="XDO_?FINAL_PER_NET?389?">'SDFS-C-20'!$H$18:$H$68</definedName>
    <definedName name="XDO_?FINAL_PER_NET?39?">SLMF!$H$10:$H$113</definedName>
    <definedName name="XDO_?FINAL_PER_NET?390?">'SDFS-C-20'!$H$18:$H$73</definedName>
    <definedName name="XDO_?FINAL_PER_NET?391?">'SDFS-C-21'!$H$18:$H$29</definedName>
    <definedName name="XDO_?FINAL_PER_NET?392?">'SDFS-C-21'!$H$18:$H$35</definedName>
    <definedName name="XDO_?FINAL_PER_NET?393?">'SDFS-C-21'!$H$18:$H$41</definedName>
    <definedName name="XDO_?FINAL_PER_NET?394?">'SDFS-C-21'!$H$18:$H$54</definedName>
    <definedName name="XDO_?FINAL_PER_NET?395?">'SDFS-C-21'!$H$18:$H$71</definedName>
    <definedName name="XDO_?FINAL_PER_NET?396?">'SDFS-C-21'!$H$18:$H$76</definedName>
    <definedName name="XDO_?FINAL_PER_NET?397?">'SDFS-C-22'!$H$18:$H$29</definedName>
    <definedName name="XDO_?FINAL_PER_NET?398?">'SDFS-C-22'!$H$18:$H$39</definedName>
    <definedName name="XDO_?FINAL_PER_NET?399?">'SDFS-C-22'!$H$18:$H$49</definedName>
    <definedName name="XDO_?FINAL_PER_NET?4?">'[1]MRIS-89'!$H$48:$H$53</definedName>
    <definedName name="XDO_?FINAL_PER_NET?40?">SLTEF!$H$10:$H$65</definedName>
    <definedName name="XDO_?FINAL_PER_NET?400?">'SDFS-C-22'!$H$18:$H$66</definedName>
    <definedName name="XDO_?FINAL_PER_NET?401?">'SDFS-C-22'!$H$18:$H$71</definedName>
    <definedName name="XDO_?FINAL_PER_NET?402?">'SDFS-C-23'!$H$18:$H$34</definedName>
    <definedName name="XDO_?FINAL_PER_NET?403?">'SDFS-C-23'!$H$18:$H$53</definedName>
    <definedName name="XDO_?FINAL_PER_NET?404?">'SDFS-C-23'!$H$18:$H$70</definedName>
    <definedName name="XDO_?FINAL_PER_NET?405?">'SDFS-C-23'!$H$18:$H$75</definedName>
    <definedName name="XDO_?FINAL_PER_NET?406?">'SETF-SN50'!$H$10:$H$114</definedName>
    <definedName name="XDO_?FINAL_PER_NET?407?">'SETF-SN50'!$H$10:$H$98</definedName>
    <definedName name="XDO_?FINAL_PER_NET?408?">'SETF-SN50'!$H$10:$H$103</definedName>
    <definedName name="XDO_?FINAL_PER_NET?409?">'SDFS-C-24'!$H$18:$H$29</definedName>
    <definedName name="XDO_?FINAL_PER_NET?41?">SLTEF!$H$10:$H$68</definedName>
    <definedName name="XDO_?FINAL_PER_NET?410?">'SDFS-C-24'!$H$18:$H$33</definedName>
    <definedName name="XDO_?FINAL_PER_NET?411?">'SDFS-C-24'!$H$18:$H$48</definedName>
    <definedName name="XDO_?FINAL_PER_NET?412?">'SDFS-C-24'!$H$18:$H$65</definedName>
    <definedName name="XDO_?FINAL_PER_NET?413?">'SDFS-C-24'!$H$18:$H$70</definedName>
    <definedName name="XDO_?FINAL_PER_NET?414?">'SDFS-C-25'!$H$18:$H$34</definedName>
    <definedName name="XDO_?FINAL_PER_NET?415?">'SDFS-C-25'!$H$18:$H$40</definedName>
    <definedName name="XDO_?FINAL_PER_NET?416?">'SDFS-C-25'!$H$18:$H$52</definedName>
    <definedName name="XDO_?FINAL_PER_NET?417?">'SDFS-C-25'!$H$18:$H$56</definedName>
    <definedName name="XDO_?FINAL_PER_NET?418?">'SDFS-C-25'!$H$18:$H$71</definedName>
    <definedName name="XDO_?FINAL_PER_NET?419?">'SDFS-C-25'!$H$18:$H$76</definedName>
    <definedName name="XDO_?FINAL_PER_NET?42?">SLTEF!$H$10:$H$104</definedName>
    <definedName name="XDO_?FINAL_PER_NET?420?">'SDAFS-XXX'!$H$10:$H$34</definedName>
    <definedName name="XDO_?FINAL_PER_NET?421?">'SDAFS-XXX'!$H$10:$H$55</definedName>
    <definedName name="XDO_?FINAL_PER_NET?422?">'SDAFS-XXX'!$H$10:$H$72</definedName>
    <definedName name="XDO_?FINAL_PER_NET?423?">'SDAFS-XXX'!$H$10:$H$87</definedName>
    <definedName name="XDO_?FINAL_PER_NET?424?">'SDAFS-XXX'!$H$10:$H$92</definedName>
    <definedName name="XDO_?FINAL_PER_NET?425?">'SDFS-C-26'!$H$18:$H$32</definedName>
    <definedName name="XDO_?FINAL_PER_NET?426?">'SDFS-C-26'!$H$18:$H$48</definedName>
    <definedName name="XDO_?FINAL_PER_NET?427?">'SDFS-C-26'!$H$18:$H$52</definedName>
    <definedName name="XDO_?FINAL_PER_NET?428?">'SDFS-C-26'!$H$18:$H$67</definedName>
    <definedName name="XDO_?FINAL_PER_NET?429?">'SDFS-C-26'!$H$18:$H$72</definedName>
    <definedName name="XDO_?FINAL_PER_NET?43?">SLTEF!$H$10:$H$109</definedName>
    <definedName name="XDO_?FINAL_PER_NET?430?">'SDFS-C-27'!$H$18:$H$29</definedName>
    <definedName name="XDO_?FINAL_PER_NET?431?">'SDFS-C-27'!$H$18:$H$46</definedName>
    <definedName name="XDO_?FINAL_PER_NET?432?">'SDFS-C-27'!$H$18:$H$50</definedName>
    <definedName name="XDO_?FINAL_PER_NET?433?">'SDFS-C-27'!$H$18:$H$65</definedName>
    <definedName name="XDO_?FINAL_PER_NET?434?">'SDFS-C-27'!$H$18:$H$70</definedName>
    <definedName name="XDO_?FINAL_PER_NET?435?">'SDFS-C-28'!$H$18:$H$32</definedName>
    <definedName name="XDO_?FINAL_PER_NET?436?">'SDFS-C-28'!$H$18:$H$42</definedName>
    <definedName name="XDO_?FINAL_PER_NET?437?">'SDFS-C-28'!$H$18:$H$52</definedName>
    <definedName name="XDO_?FINAL_PER_NET?438?">'SDFS-C-28'!$H$18:$H$69</definedName>
    <definedName name="XDO_?FINAL_PER_NET?439?">'SDFS-C-28'!$H$18:$H$74</definedName>
    <definedName name="XDO_?FINAL_PER_NET?44?">'[1]MRIS-93'!$H$12:$H$17</definedName>
    <definedName name="XDO_?FINAL_PER_NET?440?">'SDFS-C-30'!$H$18:$H$32</definedName>
    <definedName name="XDO_?FINAL_PER_NET?441?">'SDFS-C-30'!$H$18:$H$50</definedName>
    <definedName name="XDO_?FINAL_PER_NET?442?">'SDFS-C-30'!$H$18:$H$67</definedName>
    <definedName name="XDO_?FINAL_PER_NET?443?">'SDFS-C-30'!$H$18:$H$72</definedName>
    <definedName name="XDO_?FINAL_PER_NET?444?">'SETF-Quality'!$H$10:$H$39</definedName>
    <definedName name="XDO_?FINAL_PER_NET?445?">'SETF-Quality'!$H$10:$H$78</definedName>
    <definedName name="XDO_?FINAL_PER_NET?446?">'SETF-Quality'!$H$10:$H$83</definedName>
    <definedName name="XDO_?FINAL_PER_NET?447?">'SDFS-C-32'!$H$18:$H$37</definedName>
    <definedName name="XDO_?FINAL_PER_NET?448?">'SDFS-C-32'!$H$18:$H$54</definedName>
    <definedName name="XDO_?FINAL_PER_NET?449?">'SDFS-C-32'!$H$18:$H$58</definedName>
    <definedName name="XDO_?FINAL_PER_NET?45?">'[1]MRIS-93'!$H$12:$H$54</definedName>
    <definedName name="XDO_?FINAL_PER_NET?450?">'SDFS-C-32'!$H$18:$H$73</definedName>
    <definedName name="XDO_?FINAL_PER_NET?451?">'SDFS-C-32'!$H$18:$H$78</definedName>
    <definedName name="XDO_?FINAL_PER_NET?452?">'SDFS-C-33'!$H$18:$H$38</definedName>
    <definedName name="XDO_?FINAL_PER_NET?453?">'SDFS-C-33'!$H$18:$H$56</definedName>
    <definedName name="XDO_?FINAL_PER_NET?454?">'SDFS-C-33'!$H$18:$H$60</definedName>
    <definedName name="XDO_?FINAL_PER_NET?455?">'SDFS-C-33'!$H$18:$H$75</definedName>
    <definedName name="XDO_?FINAL_PER_NET?456?">'SDFS-C-33'!$H$18:$H$80</definedName>
    <definedName name="XDO_?FINAL_PER_NET?457?">'SDFS-C-34'!$H$18:$H$32</definedName>
    <definedName name="XDO_?FINAL_PER_NET?458?">'SDFS-C-34'!$H$18:$H$50</definedName>
    <definedName name="XDO_?FINAL_PER_NET?459?">'SDFS-C-34'!$H$18:$H$67</definedName>
    <definedName name="XDO_?FINAL_PER_NET?46?">'[1]MRIS-93'!$H$12:$H$59</definedName>
    <definedName name="XDO_?FINAL_PER_NET?460?">'SDFS-C-34'!$H$18:$H$72</definedName>
    <definedName name="XDO_?FINAL_PER_NET?461?">'SDFS-C-35'!$H$18:$H$33</definedName>
    <definedName name="XDO_?FINAL_PER_NET?462?">'SDFS-C-35'!$H$18:$H$50</definedName>
    <definedName name="XDO_?FINAL_PER_NET?463?">'SDFS-C-35'!$H$18:$H$67</definedName>
    <definedName name="XDO_?FINAL_PER_NET?464?">'SDFS-C-35'!$H$18:$H$72</definedName>
    <definedName name="XDO_?FINAL_PER_NET?465?">'SDFS-C-38'!$H$18:$H$28</definedName>
    <definedName name="XDO_?FINAL_PER_NET?466?">'SDFS-C-38'!$H$18:$H$45</definedName>
    <definedName name="XDO_?FINAL_PER_NET?467?">'SDFS-C-38'!$H$18:$H$56</definedName>
    <definedName name="XDO_?FINAL_PER_NET?468?">'SDFS-C-38'!$H$18:$H$60</definedName>
    <definedName name="XDO_?FINAL_PER_NET?469?">'SDFS-C-38'!$H$18:$H$75</definedName>
    <definedName name="XDO_?FINAL_PER_NET?47?">'[1]MTP-94'!$H$12</definedName>
    <definedName name="XDO_?FINAL_PER_NET?470?">'SDFS-C-38'!$H$18:$H$80</definedName>
    <definedName name="XDO_?FINAL_PER_NET?471?">SCBF!$H$18:$H$133</definedName>
    <definedName name="XDO_?FINAL_PER_NET?472?">SCBF!$H$18:$H$137</definedName>
    <definedName name="XDO_?FINAL_PER_NET?473?">SCBF!$H$18:$H$146</definedName>
    <definedName name="XDO_?FINAL_PER_NET?474?">SCBF!$H$18:$H$158</definedName>
    <definedName name="XDO_?FINAL_PER_NET?475?">SCBF!$H$18:$H$171</definedName>
    <definedName name="XDO_?FINAL_PER_NET?476?">SCBF!$H$18:$H$182</definedName>
    <definedName name="XDO_?FINAL_PER_NET?477?">SCBF!$H$18:$H$197</definedName>
    <definedName name="XDO_?FINAL_PER_NET?478?">SCBF!$H$18:$H$202</definedName>
    <definedName name="XDO_?FINAL_PER_NET?479?">'SDFS-C-40'!$H$18:$H$28</definedName>
    <definedName name="XDO_?FINAL_PER_NET?48?">'[1]MTP-94'!$H$12:$H$49</definedName>
    <definedName name="XDO_?FINAL_PER_NET?480?">'SDFS-C-40'!$H$18:$H$39</definedName>
    <definedName name="XDO_?FINAL_PER_NET?481?">'SDFS-C-40'!$H$18:$H$47</definedName>
    <definedName name="XDO_?FINAL_PER_NET?482?">'SDFS-C-40'!$H$18:$H$64</definedName>
    <definedName name="XDO_?FINAL_PER_NET?483?">'SDFS-C-40'!$H$18:$H$69</definedName>
    <definedName name="XDO_?FINAL_PER_NET?484?">'SDFS-C-41'!$H$18:$H$32</definedName>
    <definedName name="XDO_?FINAL_PER_NET?485?">'SDFS-C-41'!$H$18:$H$43</definedName>
    <definedName name="XDO_?FINAL_PER_NET?486?">'SDFS-C-41'!$H$18:$H$54</definedName>
    <definedName name="XDO_?FINAL_PER_NET?487?">'SDFS-C-41'!$H$18:$H$71</definedName>
    <definedName name="XDO_?FINAL_PER_NET?488?">'SDFS-C-41'!$H$18:$H$76</definedName>
    <definedName name="XDO_?FINAL_PER_NET?489?">'SDFS-C-43'!$H$18:$H$28</definedName>
    <definedName name="XDO_?FINAL_PER_NET?49?">'[1]MTP-94'!$H$12:$H$54</definedName>
    <definedName name="XDO_?FINAL_PER_NET?490?">'SDFS-C-43'!$H$18:$H$41</definedName>
    <definedName name="XDO_?FINAL_PER_NET?491?">'SDFS-C-43'!$H$18:$H$50</definedName>
    <definedName name="XDO_?FINAL_PER_NET?492?">'SDFS-C-43'!$H$18:$H$67</definedName>
    <definedName name="XDO_?FINAL_PER_NET?493?">'SDFS-C-43'!$H$18:$H$72</definedName>
    <definedName name="XDO_?FINAL_PER_NET?494?">'SDFS-C-44'!$H$18:$H$28</definedName>
    <definedName name="XDO_?FINAL_PER_NET?495?">'SDFS-C-44'!$H$18:$H$39</definedName>
    <definedName name="XDO_?FINAL_PER_NET?496?">'SDFS-C-44'!$H$18:$H$48</definedName>
    <definedName name="XDO_?FINAL_PER_NET?497?">'SDFS-C-44'!$H$18:$H$65</definedName>
    <definedName name="XDO_?FINAL_PER_NET?498?">'SDFS-C-44'!$H$18:$H$70</definedName>
    <definedName name="XDO_?FINAL_PER_NET?499?">'SCPOF-A1'!$H$10:$H$58</definedName>
    <definedName name="XDO_?FINAL_PER_NET?5?">'[1]MMIS-89'!$H$10</definedName>
    <definedName name="XDO_?FINAL_PER_NET?50?">SMGLF!$H$10:$H$31</definedName>
    <definedName name="XDO_?FINAL_PER_NET?500?">'SCPOF-A1'!$H$10:$H$74</definedName>
    <definedName name="XDO_?FINAL_PER_NET?501?">'SCPOF-A1'!$H$10:$H$78</definedName>
    <definedName name="XDO_?FINAL_PER_NET?502?">'SCPOF-A1'!$H$10:$H$93</definedName>
    <definedName name="XDO_?FINAL_PER_NET?503?">'SCPOF-A1'!$H$10:$H$108</definedName>
    <definedName name="XDO_?FINAL_PER_NET?504?">'SCPOF-A1'!$H$10:$H$113</definedName>
    <definedName name="XDO_?FINAL_PER_NET?505?">'SDFS-C-46'!$H$18:$H$25</definedName>
    <definedName name="XDO_?FINAL_PER_NET?506?">'SDFS-C-46'!$H$18:$H$29</definedName>
    <definedName name="XDO_?FINAL_PER_NET?507?">'SDFS-C-46'!$H$18:$H$39</definedName>
    <definedName name="XDO_?FINAL_PER_NET?508?">'SDFS-C-46'!$H$18:$H$46</definedName>
    <definedName name="XDO_?FINAL_PER_NET?509?">'SDFS-C-46'!$H$18:$H$50</definedName>
    <definedName name="XDO_?FINAL_PER_NET?51?">SMGLF!$H$10:$H$52</definedName>
    <definedName name="XDO_?FINAL_PER_NET?510?">'SDFS-C-46'!$H$18:$H$65</definedName>
    <definedName name="XDO_?FINAL_PER_NET?511?">'SDFS-C-46'!$H$18:$H$70</definedName>
    <definedName name="XDO_?FINAL_PER_NET?512?">SEMVF!$H$10:$H$121</definedName>
    <definedName name="XDO_?FINAL_PER_NET?513?">SEMVF!$H$10:$H$96</definedName>
    <definedName name="XDO_?FINAL_PER_NET?514?">SEMVF!$H$10:$H$100</definedName>
    <definedName name="XDO_?FINAL_PER_NET?515?">SEMVF!$H$10:$H$105</definedName>
    <definedName name="XDO_?FINAL_PER_NET?516?">'SDFS-C-48'!$H$18:$H$34</definedName>
    <definedName name="XDO_?FINAL_PER_NET?517?">'SDFS-C-48'!$H$18:$H$44</definedName>
    <definedName name="XDO_?FINAL_PER_NET?518?">'SDFS-C-48'!$H$18:$H$53</definedName>
    <definedName name="XDO_?FINAL_PER_NET?519?">'SDFS-C-48'!$H$18:$H$70</definedName>
    <definedName name="XDO_?FINAL_PER_NET?52?">SMGLF!$H$10:$H$46</definedName>
    <definedName name="XDO_?FINAL_PER_NET?520?">'SDFS-C-48'!$H$18:$H$75</definedName>
    <definedName name="XDO_?FINAL_PER_NET?521?">'SDFS-C-49'!$H$18:$H$27</definedName>
    <definedName name="XDO_?FINAL_PER_NET?522?">'SDFS-C-49'!$H$18:$H$38</definedName>
    <definedName name="XDO_?FINAL_PER_NET?523?">'SDFS-C-49'!$H$18:$H$47</definedName>
    <definedName name="XDO_?FINAL_PER_NET?524?">'SDFS-C-49'!$H$18:$H$51</definedName>
    <definedName name="XDO_?FINAL_PER_NET?525?">'SDFS-C-49'!$H$18:$H$66</definedName>
    <definedName name="XDO_?FINAL_PER_NET?526?">'SDFS-C-49'!$H$18:$H$71</definedName>
    <definedName name="XDO_?FINAL_PER_NET?527?">'SCPOF-Series A (Plan 2)'!$H$10:$H$59</definedName>
    <definedName name="XDO_?FINAL_PER_NET?528?">'SCPOF-Series A (Plan 2)'!$H$10:$H$74</definedName>
    <definedName name="XDO_?FINAL_PER_NET?529?">'SCPOF-Series A (Plan 2)'!$H$10:$H$84</definedName>
    <definedName name="XDO_?FINAL_PER_NET?53?">SMGLF!$H$10:$H$87</definedName>
    <definedName name="XDO_?FINAL_PER_NET?530?">'SCPOF-Series A (Plan 2)'!$H$10:$H$93</definedName>
    <definedName name="XDO_?FINAL_PER_NET?531?">'SCPOF-Series A (Plan 2)'!$H$10:$H$108</definedName>
    <definedName name="XDO_?FINAL_PER_NET?532?">'SCPOF-Series A (Plan 2)'!$H$10:$H$113</definedName>
    <definedName name="XDO_?FINAL_PER_NET?533?">'SDFS-C-50'!$H$18:$H$26</definedName>
    <definedName name="XDO_?FINAL_PER_NET?534?">'SDFS-C-50'!$H$18:$H$40</definedName>
    <definedName name="XDO_?FINAL_PER_NET?535?">'SDFS-C-50'!$H$18:$H$48</definedName>
    <definedName name="XDO_?FINAL_PER_NET?536?">'SDFS-C-50'!$H$18:$H$65</definedName>
    <definedName name="XDO_?FINAL_PER_NET?537?">'SDFS-C-50'!$H$18:$H$70</definedName>
    <definedName name="XDO_?FINAL_PER_NET?538?">'SFMP- Series 1'!$H$26:$H$31</definedName>
    <definedName name="XDO_?FINAL_PER_NET?539?">'SFMP- Series 1'!$H$26:$H$39</definedName>
    <definedName name="XDO_?FINAL_PER_NET?54?">SMGLF!$H$10:$H$92</definedName>
    <definedName name="XDO_?FINAL_PER_NET?540?">'SFMP- Series 1'!$H$26:$H$56</definedName>
    <definedName name="XDO_?FINAL_PER_NET?541?">'SFMP- Series 1'!$H$26:$H$61</definedName>
    <definedName name="XDO_?FINAL_PER_NET?542?">'SFMP- Series 2'!$H$18:$H$29</definedName>
    <definedName name="XDO_?FINAL_PER_NET?543?">'SFMP- Series 2'!$H$18:$H$45</definedName>
    <definedName name="XDO_?FINAL_PER_NET?544?">'SFMP- Series 2'!$H$18:$H$62</definedName>
    <definedName name="XDO_?FINAL_PER_NET?545?">'SFMP- Series 2'!$H$18:$H$67</definedName>
    <definedName name="XDO_?FINAL_PER_NET?546?">'SFMP- Series 3'!$H$18:$H$29</definedName>
    <definedName name="XDO_?FINAL_PER_NET?547?">'SFMP- Series 3'!$H$18:$H$45</definedName>
    <definedName name="XDO_?FINAL_PER_NET?548?">'SFMP- Series 3'!$H$18:$H$62</definedName>
    <definedName name="XDO_?FINAL_PER_NET?549?">'SFMP- Series 3'!$H$18:$H$67</definedName>
    <definedName name="XDO_?FINAL_PER_NET?55?">'[1]MBF-94'!$H$10</definedName>
    <definedName name="XDO_?FINAL_PER_NET?550?">'SCPOF-Series A (Plan 3)'!$H$10:$H$59</definedName>
    <definedName name="XDO_?FINAL_PER_NET?551?">'SCPOF-Series A (Plan 3)'!$H$10:$H$76</definedName>
    <definedName name="XDO_?FINAL_PER_NET?552?">'SCPOF-Series A (Plan 3)'!$H$10:$H$87</definedName>
    <definedName name="XDO_?FINAL_PER_NET?553?">'SCPOF-Series A (Plan 3)'!$H$10:$H$110</definedName>
    <definedName name="XDO_?FINAL_PER_NET?554?">'SCPOF-Series A (Plan 3)'!$H$10:$H$115</definedName>
    <definedName name="XDO_?FINAL_PER_NET?555?">'SFMP- Series 6'!$H$26:$H$29</definedName>
    <definedName name="XDO_?FINAL_PER_NET?556?">'SFMP- Series 6'!$H$26:$H$36</definedName>
    <definedName name="XDO_?FINAL_PER_NET?557?">'SFMP- Series 6'!$H$26:$H$53</definedName>
    <definedName name="XDO_?FINAL_PER_NET?558?">'SFMP- Series 6'!$H$26:$H$58</definedName>
    <definedName name="XDO_?FINAL_PER_NET?559?">'SFMP- Series 7'!$H$18:$H$32</definedName>
    <definedName name="XDO_?FINAL_PER_NET?56?">'[1]MBF-94'!$H$10:$H$19</definedName>
    <definedName name="XDO_?FINAL_PER_NET?560?">'SFMP- Series 7'!$H$18:$H$47</definedName>
    <definedName name="XDO_?FINAL_PER_NET?561?">'SFMP- Series 7'!$H$18:$H$64</definedName>
    <definedName name="XDO_?FINAL_PER_NET?562?">'SFMP- Series 7'!$H$18:$H$69</definedName>
    <definedName name="XDO_?FINAL_PER_NET?563?">'SFMP- Series 8'!$H$18:$H$32</definedName>
    <definedName name="XDO_?FINAL_PER_NET?564?">'SFMP- Series 8'!$H$18:$H$47</definedName>
    <definedName name="XDO_?FINAL_PER_NET?565?">'SFMP- Series 8'!$H$18:$H$64</definedName>
    <definedName name="XDO_?FINAL_PER_NET?566?">'SFMP- Series 8'!$H$18:$H$69</definedName>
    <definedName name="XDO_?FINAL_PER_NET?567?">'SCPOF-Series A (Plan 4)'!$H$10:$H$59</definedName>
    <definedName name="XDO_?FINAL_PER_NET?568?">'SCPOF-Series A (Plan 4)'!$H$10:$H$75</definedName>
    <definedName name="XDO_?FINAL_PER_NET?569?">'SCPOF-Series A (Plan 4)'!$H$10:$H$86</definedName>
    <definedName name="XDO_?FINAL_PER_NET?57?">'[1]MBF-94'!$H$10:$H$56</definedName>
    <definedName name="XDO_?FINAL_PER_NET?570?">'SCPOF-Series A (Plan 4)'!$H$10:$H$109</definedName>
    <definedName name="XDO_?FINAL_PER_NET?571?">'SCPOF-Series A (Plan 4)'!$H$10:$H$114</definedName>
    <definedName name="XDO_?FINAL_PER_NET?572?">'SFMP- Series 9'!$H$18:$H$31</definedName>
    <definedName name="XDO_?FINAL_PER_NET?573?">'SFMP- Series 9'!$H$18:$H$47</definedName>
    <definedName name="XDO_?FINAL_PER_NET?574?">'SFMP- Series 9'!$H$18:$H$64</definedName>
    <definedName name="XDO_?FINAL_PER_NET?575?">'SFMP- Series 9'!$H$18:$H$69</definedName>
    <definedName name="XDO_?FINAL_PER_NET?576?">'SFMP- Series 10'!$H$18:$H$31</definedName>
    <definedName name="XDO_?FINAL_PER_NET?577?">'SFMP- Series 10'!$H$18:$H$46</definedName>
    <definedName name="XDO_?FINAL_PER_NET?578?">'SFMP- Series 10'!$H$18:$H$50</definedName>
    <definedName name="XDO_?FINAL_PER_NET?579?">'SFMP- Series 10'!$H$18:$H$65</definedName>
    <definedName name="XDO_?FINAL_PER_NET?58?">'[1]MBF-94'!$H$10:$H$61</definedName>
    <definedName name="XDO_?FINAL_PER_NET?580?">'SFMP- Series 10'!$H$18:$H$70</definedName>
    <definedName name="XDO_?FINAL_PER_NET?581?">'SFMP- Series 11'!$H$18:$H$36</definedName>
    <definedName name="XDO_?FINAL_PER_NET?582?">'SFMP- Series 11'!$H$18:$H$52</definedName>
    <definedName name="XDO_?FINAL_PER_NET?583?">'SFMP- Series 11'!$H$18:$H$56</definedName>
    <definedName name="XDO_?FINAL_PER_NET?584?">'SFMP- Series 11'!$H$18:$H$71</definedName>
    <definedName name="XDO_?FINAL_PER_NET?585?">'SFMP- Series 11'!$H$18:$H$76</definedName>
    <definedName name="XDO_?FINAL_PER_NET?586?">'SFMP- Series 12'!$H$18:$H$31</definedName>
    <definedName name="XDO_?FINAL_PER_NET?587?">'SFMP- Series 12'!$H$18:$H$46</definedName>
    <definedName name="XDO_?FINAL_PER_NET?588?">'SFMP- Series 12'!$H$18:$H$50</definedName>
    <definedName name="XDO_?FINAL_PER_NET?589?">'SFMP- Series 12'!$H$18:$H$65</definedName>
    <definedName name="XDO_?FINAL_PER_NET?59?">'[1]MELS-95'!$H$48</definedName>
    <definedName name="XDO_?FINAL_PER_NET?590?">'SFMP- Series 12'!$H$18:$H$70</definedName>
    <definedName name="XDO_?FINAL_PER_NET?591?">'SFMP- Series 13'!$H$18:$H$31</definedName>
    <definedName name="XDO_?FINAL_PER_NET?592?">'SFMP- Series 13'!$H$18:$H$47</definedName>
    <definedName name="XDO_?FINAL_PER_NET?593?">'SFMP- Series 13'!$H$18:$H$64</definedName>
    <definedName name="XDO_?FINAL_PER_NET?594?">'SFMP- Series 13'!$H$18:$H$69</definedName>
    <definedName name="XDO_?FINAL_PER_NET?595?">'SFMP- Series 14'!$H$18:$H$31</definedName>
    <definedName name="XDO_?FINAL_PER_NET?596?">'SFMP- Series 14'!$H$18:$H$46</definedName>
    <definedName name="XDO_?FINAL_PER_NET?597?">'SFMP- Series 14'!$H$18:$H$50</definedName>
    <definedName name="XDO_?FINAL_PER_NET?598?">'SFMP- Series 14'!$H$18:$H$65</definedName>
    <definedName name="XDO_?FINAL_PER_NET?599?">'SFMP- Series 14'!$H$18:$H$70</definedName>
    <definedName name="XDO_?FINAL_PER_NET?6?">'[1]MMIS-89'!$H$10:$H$49</definedName>
    <definedName name="XDO_?FINAL_PER_NET?60?">'[1]MELS-95'!$H$48:$H$53</definedName>
    <definedName name="XDO_?FINAL_PER_NET?600?">'SFMP- Series 15'!$H$18:$H$29</definedName>
    <definedName name="XDO_?FINAL_PER_NET?601?">'SFMP- Series 15'!$H$18:$H$44</definedName>
    <definedName name="XDO_?FINAL_PER_NET?602?">'SFMP- Series 15'!$H$18:$H$48</definedName>
    <definedName name="XDO_?FINAL_PER_NET?603?">'SFMP- Series 15'!$H$18:$H$63</definedName>
    <definedName name="XDO_?FINAL_PER_NET?604?">'SFMP- Series 15'!$H$18:$H$68</definedName>
    <definedName name="XDO_?FINAL_PER_NET?605?">'SFMP- Series 16'!$H$18:$H$34</definedName>
    <definedName name="XDO_?FINAL_PER_NET?606?">'SFMP- Series 16'!$H$18:$H$49</definedName>
    <definedName name="XDO_?FINAL_PER_NET?607?">'SFMP- Series 16'!$H$18:$H$66</definedName>
    <definedName name="XDO_?FINAL_PER_NET?608?">'SFMP- Series 16'!$H$18:$H$71</definedName>
    <definedName name="XDO_?FINAL_PER_NET?609?">'SFMP- Series 17'!$H$18:$H$30</definedName>
    <definedName name="XDO_?FINAL_PER_NET?61?">SEHF!$H$10:$H$51</definedName>
    <definedName name="XDO_?FINAL_PER_NET?610?">'SFMP- Series 17'!$H$18:$H$45</definedName>
    <definedName name="XDO_?FINAL_PER_NET?611?">'SFMP- Series 17'!$H$18:$H$62</definedName>
    <definedName name="XDO_?FINAL_PER_NET?612?">'SFMP- Series 17'!$H$18:$H$67</definedName>
    <definedName name="XDO_?FINAL_PER_NET?613?">'SCPOF-Series A (Plan 5)'!$H$10:$H$59</definedName>
    <definedName name="XDO_?FINAL_PER_NET?614?">'SCPOF-Series A (Plan 5)'!$H$10:$H$79</definedName>
    <definedName name="XDO_?FINAL_PER_NET?615?">'SCPOF-Series A (Plan 5)'!$H$10:$H$89</definedName>
    <definedName name="XDO_?FINAL_PER_NET?616?">'SCPOF-Series A (Plan 5)'!$H$10:$H$112</definedName>
    <definedName name="XDO_?FINAL_PER_NET?617?">'SCPOF-Series A (Plan 5)'!$H$10:$H$117</definedName>
    <definedName name="XDO_?FINAL_PER_NET?618?">'SFMP- Series 18'!$H$18:$H$30</definedName>
    <definedName name="XDO_?FINAL_PER_NET?619?">'SFMP- Series 18'!$H$18:$H$45</definedName>
    <definedName name="XDO_?FINAL_PER_NET?62?">SEHF!$H$10:$H$56</definedName>
    <definedName name="XDO_?FINAL_PER_NET?620?">'SFMP- Series 18'!$H$18:$H$62</definedName>
    <definedName name="XDO_?FINAL_PER_NET?621?">'SFMP- Series 18'!$H$18:$H$67</definedName>
    <definedName name="XDO_?FINAL_PER_NET?622?">'SCPOF-Series A (Plan 6)'!$H$10:$H$59</definedName>
    <definedName name="XDO_?FINAL_PER_NET?623?">'SCPOF-Series A (Plan 6)'!$H$10:$H$78</definedName>
    <definedName name="XDO_?FINAL_PER_NET?624?">'SCPOF-Series A (Plan 6)'!$H$10:$H$95</definedName>
    <definedName name="XDO_?FINAL_PER_NET?625?">'SCPOF-Series A (Plan 6)'!$H$10:$H$110</definedName>
    <definedName name="XDO_?FINAL_PER_NET?626?">'SCPOF-Series A (Plan 6)'!$H$10:$H$115</definedName>
    <definedName name="XDO_?FINAL_PER_NET?627?">'SFMP- Series 19'!$H$18:$H$32</definedName>
    <definedName name="XDO_?FINAL_PER_NET?628?">'SFMP- Series 19'!$H$18:$H$63</definedName>
    <definedName name="XDO_?FINAL_PER_NET?629?">'SFMP- Series 19'!$H$18:$H$68</definedName>
    <definedName name="XDO_?FINAL_PER_NET?63?">SEHF!$H$10:$H$99</definedName>
    <definedName name="XDO_?FINAL_PER_NET?630?">'SFMP- Series 20'!$H$18:$H$31</definedName>
    <definedName name="XDO_?FINAL_PER_NET?631?">'SFMP- Series 20'!$H$18:$H$62</definedName>
    <definedName name="XDO_?FINAL_PER_NET?632?">'SFMP- Series 20'!$H$18:$H$67</definedName>
    <definedName name="XDO_?FINAL_PER_NET?633?">'SFMP- Series 21'!$H$18:$H$30</definedName>
    <definedName name="XDO_?FINAL_PER_NET?634?">'SFMP- Series 21'!$H$18:$H$61</definedName>
    <definedName name="XDO_?FINAL_PER_NET?635?">'SFMP- Series 21'!$H$18:$H$66</definedName>
    <definedName name="XDO_?FINAL_PER_NET?636?">'SFMP- Series 22'!$H$18:$H$30</definedName>
    <definedName name="XDO_?FINAL_PER_NET?637?">'SFMP- Series 22'!$H$18:$H$61</definedName>
    <definedName name="XDO_?FINAL_PER_NET?638?">'SFMP- Series 22'!$H$18:$H$66</definedName>
    <definedName name="XDO_?FINAL_PER_NET?639?">'SFMP- Series 23'!$H$18:$H$30</definedName>
    <definedName name="XDO_?FINAL_PER_NET?64?">SEHF!$H$10:$H$112</definedName>
    <definedName name="XDO_?FINAL_PER_NET?640?">'SFMP- Series 23'!$H$18:$H$61</definedName>
    <definedName name="XDO_?FINAL_PER_NET?641?">'SFMP- Series 23'!$H$18:$H$66</definedName>
    <definedName name="XDO_?FINAL_PER_NET?642?">'SFMP- Series 24'!$H$18:$H$30</definedName>
    <definedName name="XDO_?FINAL_PER_NET?643?">'SFMP- Series 24'!$H$18:$H$61</definedName>
    <definedName name="XDO_?FINAL_PER_NET?644?">'SFMP- Series 24'!$H$18:$H$66</definedName>
    <definedName name="XDO_?FINAL_PER_NET?645?">'SFMP- Series 25'!$H$18:$H$29</definedName>
    <definedName name="XDO_?FINAL_PER_NET?646?">'SFMP- Series 25'!$H$18:$H$60</definedName>
    <definedName name="XDO_?FINAL_PER_NET?647?">'SFMP- Series 25'!$H$18:$H$65</definedName>
    <definedName name="XDO_?FINAL_PER_NET?648?">'SFMP- Series 26'!$H$18:$H$30</definedName>
    <definedName name="XDO_?FINAL_PER_NET?649?">'SFMP- Series 26'!$H$18:$H$61</definedName>
    <definedName name="XDO_?FINAL_PER_NET?65?">SEHF!$H$10:$H$125</definedName>
    <definedName name="XDO_?FINAL_PER_NET?650?">'SFMP- Series 26'!$H$18:$H$66</definedName>
    <definedName name="XDO_?FINAL_PER_NET?651?">'SFMP- Series 27'!$H$18:$H$28</definedName>
    <definedName name="XDO_?FINAL_PER_NET?652?">'SFMP- Series 27'!$H$18:$H$38</definedName>
    <definedName name="XDO_?FINAL_PER_NET?653?">'SFMP- Series 27'!$H$18:$H$45</definedName>
    <definedName name="XDO_?FINAL_PER_NET?654?">'SFMP- Series 27'!$H$18:$H$62</definedName>
    <definedName name="XDO_?FINAL_PER_NET?655?">'SFMP- Series 27'!$H$18:$H$67</definedName>
    <definedName name="XDO_?FINAL_PER_NET?656?">'SCPOF-Series A (Plan 7)'!$H$10:$H$59</definedName>
    <definedName name="XDO_?FINAL_PER_NET?657?">'SCPOF-Series A (Plan 7)'!$H$10:$H$71</definedName>
    <definedName name="XDO_?FINAL_PER_NET?658?">'SCPOF-Series A (Plan 7)'!$H$10:$H$82</definedName>
    <definedName name="XDO_?FINAL_PER_NET?659?">'SCPOF-Series A (Plan 7)'!$H$10:$H$91</definedName>
    <definedName name="XDO_?FINAL_PER_NET?66?">SEHF!$H$10:$H$148</definedName>
    <definedName name="XDO_?FINAL_PER_NET?660?">'SCPOF-Series A (Plan 7)'!$H$10:$H$106</definedName>
    <definedName name="XDO_?FINAL_PER_NET?661?">'SCPOF-Series A (Plan 7)'!$H$10:$H$111</definedName>
    <definedName name="XDO_?FINAL_PER_NET?662?">'SFMP- Series 28'!$H$18:$H$27</definedName>
    <definedName name="XDO_?FINAL_PER_NET?663?">'SFMP- Series 28'!$H$18:$H$39</definedName>
    <definedName name="XDO_?FINAL_PER_NET?664?">'SFMP- Series 28'!$H$18:$H$62</definedName>
    <definedName name="XDO_?FINAL_PER_NET?665?">'SFMP- Series 28'!$H$18:$H$67</definedName>
    <definedName name="XDO_?FINAL_PER_NET?666?">'SCPOF-Series A (Plan 8)'!$H$10:$H$59</definedName>
    <definedName name="XDO_?FINAL_PER_NET?667?">'SCPOF-Series A (Plan 8)'!$H$10:$H$71</definedName>
    <definedName name="XDO_?FINAL_PER_NET?668?">'SCPOF-Series A (Plan 8)'!$H$10:$H$82</definedName>
    <definedName name="XDO_?FINAL_PER_NET?669?">'SCPOF-Series A (Plan 8)'!$H$10:$H$105</definedName>
    <definedName name="XDO_?FINAL_PER_NET?67?">SEHF!$H$10:$H$152</definedName>
    <definedName name="XDO_?FINAL_PER_NET?670?">'SCPOF-Series A (Plan 8)'!$H$10:$H$110</definedName>
    <definedName name="XDO_?FINAL_PER_NET?671?">'SFMP- Series 31'!$H$18:$H$25</definedName>
    <definedName name="XDO_?FINAL_PER_NET?672?">'SFMP- Series 31'!$H$18:$H$39</definedName>
    <definedName name="XDO_?FINAL_PER_NET?673?">'SFMP- Series 31'!$H$18:$H$62</definedName>
    <definedName name="XDO_?FINAL_PER_NET?674?">'SFMP- Series 31'!$H$18:$H$67</definedName>
    <definedName name="XDO_?FINAL_PER_NET?675?">'SFMP- Series 32'!$H$18:$H$26</definedName>
    <definedName name="XDO_?FINAL_PER_NET?676?">'SFMP- Series 32'!$H$18:$H$37</definedName>
    <definedName name="XDO_?FINAL_PER_NET?677?">'SFMP- Series 32'!$H$18:$H$60</definedName>
    <definedName name="XDO_?FINAL_PER_NET?678?">'SFMP- Series 32'!$H$18:$H$65</definedName>
    <definedName name="XDO_?FINAL_PER_NET?679?">'SFMP- Series 33'!$H$26</definedName>
    <definedName name="XDO_?FINAL_PER_NET?68?">SEHF!$H$10:$H$157</definedName>
    <definedName name="XDO_?FINAL_PER_NET?680?">'SFMP- Series 33'!$H$26:$H$49</definedName>
    <definedName name="XDO_?FINAL_PER_NET?681?">'SFMP- Series 33'!$H$26:$H$54</definedName>
    <definedName name="XDO_?FINAL_PER_NET?682?">'SFMP- Series 34'!$H$26</definedName>
    <definedName name="XDO_?FINAL_PER_NET?683?">'SFMP- Series 34'!$H$26:$H$49</definedName>
    <definedName name="XDO_?FINAL_PER_NET?684?">'SFMP- Series 34'!$H$26:$H$54</definedName>
    <definedName name="XDO_?FINAL_PER_NET?685?">'SMCBF-Investment Plan'!$H$10:$H$13</definedName>
    <definedName name="XDO_?FINAL_PER_NET?686?">'SMCBF-Investment Plan'!$H$10:$H$22</definedName>
    <definedName name="XDO_?FINAL_PER_NET?687?">'SMCBF-Investment Plan'!$H$10:$H$30</definedName>
    <definedName name="XDO_?FINAL_PER_NET?688?">'SMCBF-Investment Plan'!$H$10:$H$55</definedName>
    <definedName name="XDO_?FINAL_PER_NET?689?">'SMCBF-Investment Plan'!$H$10:$H$60</definedName>
    <definedName name="XDO_?FINAL_PER_NET?69?">'[1]MELS-96'!$H$48</definedName>
    <definedName name="XDO_?FINAL_PER_NET?690?">SBIRIOS!$H$10:$H$55</definedName>
    <definedName name="XDO_?FINAL_PER_NET?691?">SBIRIOS!$H$10:$H$94</definedName>
    <definedName name="XDO_?FINAL_PER_NET?692?">SBIRIOS!$H$10:$H$99</definedName>
    <definedName name="XDO_?FINAL_PER_NET?693?">#REF!</definedName>
    <definedName name="XDO_?FINAL_PER_NET?694?">#REF!</definedName>
    <definedName name="XDO_?FINAL_PER_NET?695?">#REF!</definedName>
    <definedName name="XDO_?FINAL_PER_NET?696?">#REF!</definedName>
    <definedName name="XDO_?FINAL_PER_NET?697?">#REF!</definedName>
    <definedName name="XDO_?FINAL_PER_NET?698?">#REF!</definedName>
    <definedName name="XDO_?FINAL_PER_NET?699?">#REF!</definedName>
    <definedName name="XDO_?FINAL_PER_NET?7?">'[1]MMIS-89'!$H$10:$H$54</definedName>
    <definedName name="XDO_?FINAL_PER_NET?70?">'[1]MELS-96'!$H$48:$H$53</definedName>
    <definedName name="XDO_?FINAL_PER_NET?700?">#REF!</definedName>
    <definedName name="XDO_?FINAL_PER_NET?71?">'[1]MMIS-97'!$H$48</definedName>
    <definedName name="XDO_?FINAL_PER_NET?72?">'[1]MMIS-97'!$H$48:$H$53</definedName>
    <definedName name="XDO_?FINAL_PER_NET?73?">'[1]MMIS-98 I'!$H$12</definedName>
    <definedName name="XDO_?FINAL_PER_NET?74?">'[1]MMIS-98 I'!$H$12:$H$49</definedName>
    <definedName name="XDO_?FINAL_PER_NET?75?">'[1]MMIS-98 I'!$H$12:$H$54</definedName>
    <definedName name="XDO_?FINAL_PER_NET?76?">SMIF!$H$18:$H$30</definedName>
    <definedName name="XDO_?FINAL_PER_NET?77?">SMIF!$H$18:$H$42</definedName>
    <definedName name="XDO_?FINAL_PER_NET?78?">SMIF!$H$18:$H$67</definedName>
    <definedName name="XDO_?FINAL_PER_NET?79?">SMIF!$H$18:$H$72</definedName>
    <definedName name="XDO_?FINAL_PER_NET?8?">'[1]MTSS-90'!$H$48</definedName>
    <definedName name="XDO_?FINAL_PER_NET?80?">'[1]MMIS-98 II'!$H$48</definedName>
    <definedName name="XDO_?FINAL_PER_NET?81?">'[1]MMIS-98 II'!$H$48:$H$53</definedName>
    <definedName name="XDO_?FINAL_PER_NET?82?">'[1]MGF-99'!$H$12</definedName>
    <definedName name="XDO_?FINAL_PER_NET?83?">'[1]MGF-99'!$H$12:$H$53</definedName>
    <definedName name="XDO_?FINAL_PER_NET?84?">SCOF!$H$10:$H$38</definedName>
    <definedName name="XDO_?FINAL_PER_NET?85?">SCOF!$H$10:$H$77</definedName>
    <definedName name="XDO_?FINAL_PER_NET?86?">SCOF!$H$10:$H$82</definedName>
    <definedName name="XDO_?FINAL_PER_NET?87?">STOF!$H$10:$H$14</definedName>
    <definedName name="XDO_?FINAL_PER_NET?88?">STOF!$H$10:$H$33</definedName>
    <definedName name="XDO_?FINAL_PER_NET?89?">STOF!$H$10:$H$24</definedName>
    <definedName name="XDO_?FINAL_PER_NET?9?">'[1]MTSS-90'!$H$48:$H$53</definedName>
    <definedName name="XDO_?FINAL_PER_NET?90?">STOF!$H$10:$H$29</definedName>
    <definedName name="XDO_?FINAL_PER_NET?91?">STOF!$H$10:$H$34</definedName>
    <definedName name="XDO_?FINAL_PER_NET?92?">STOF!$H$10:$H$69</definedName>
    <definedName name="XDO_?FINAL_PER_NET?93?">STOF!$H$10:$H$74</definedName>
    <definedName name="XDO_?FINAL_PER_NET?94?">SHOF!$H$10:$H$31</definedName>
    <definedName name="XDO_?FINAL_PER_NET?95?">SHOF!$H$10:$H$35</definedName>
    <definedName name="XDO_?FINAL_PER_NET?96?">SHOF!$H$10:$H$72</definedName>
    <definedName name="XDO_?FINAL_PER_NET?97?">SHOF!$H$10:$H$77</definedName>
    <definedName name="XDO_?FINAL_PER_NET?98?">SCF!$H$10:$H$56</definedName>
    <definedName name="XDO_?FINAL_PER_NET?99?">SCF!$H$10:$H$96</definedName>
    <definedName name="XDO_?FINAL_QUANTITE?">'[1]MRIS-87'!$F$48:$F$53</definedName>
    <definedName name="XDO_?FINAL_QUANTITE?1?">'[1]MTSS-88-89'!$F$48</definedName>
    <definedName name="XDO_?FINAL_QUANTITE?10?">'[1]MRIS-90'!$F$48</definedName>
    <definedName name="XDO_?FINAL_QUANTITE?100?">SCF!$F$10:$F$100</definedName>
    <definedName name="XDO_?FINAL_QUANTITE?101?">SCF!$F$10:$F$105</definedName>
    <definedName name="XDO_?FINAL_QUANTITE?102?">SNIF!$F$10:$F$121</definedName>
    <definedName name="XDO_?FINAL_QUANTITE?103?">SNIF!$F$10:$F$96</definedName>
    <definedName name="XDO_?FINAL_QUANTITE?104?">SNIF!$F$10:$F$100</definedName>
    <definedName name="XDO_?FINAL_QUANTITE?105?">SNIF!$F$10:$F$105</definedName>
    <definedName name="XDO_?FINAL_QUANTITE?106?">SMCBF!$F$10:$F$36</definedName>
    <definedName name="XDO_?FINAL_QUANTITE?107?">SMCBF!$F$10:$F$39</definedName>
    <definedName name="XDO_?FINAL_QUANTITE?108?">SMCBF!$F$10:$F$52</definedName>
    <definedName name="XDO_?FINAL_QUANTITE?109?">SMCBF!$F$10:$F$60</definedName>
    <definedName name="XDO_?FINAL_QUANTITE?11?">'[1]MRIS-90'!$F$48:$F$53</definedName>
    <definedName name="XDO_?FINAL_QUANTITE?110?">SMCBF!$F$10:$F$64</definedName>
    <definedName name="XDO_?FINAL_QUANTITE?111?">SMCBF!$F$10:$F$87</definedName>
    <definedName name="XDO_?FINAL_QUANTITE?112?">SMCBF!$F$10:$F$92</definedName>
    <definedName name="XDO_?FINAL_QUANTITE?113?">SOF!$F$48:$F$49</definedName>
    <definedName name="XDO_?FINAL_QUANTITE?114?">SOF!$F$48:$F$54</definedName>
    <definedName name="XDO_?FINAL_QUANTITE?115?">SMMDF!$F$18:$F$53</definedName>
    <definedName name="XDO_?FINAL_QUANTITE?116?">SMMDF!$F$18:$F$67</definedName>
    <definedName name="XDO_?FINAL_QUANTITE?117?">SMMDF!$F$18:$F$80</definedName>
    <definedName name="XDO_?FINAL_QUANTITE?118?">SMMDF!$F$18:$F$84</definedName>
    <definedName name="XDO_?FINAL_QUANTITE?119?">SMMDF!$F$18:$F$107</definedName>
    <definedName name="XDO_?FINAL_QUANTITE?12?">SMEEF!$F$10:$F$50</definedName>
    <definedName name="XDO_?FINAL_QUANTITE?120?">SMMDF!$F$18:$F$112</definedName>
    <definedName name="XDO_?FINAL_QUANTITE?121?">SLF!$F$26:$F$29</definedName>
    <definedName name="XDO_?FINAL_QUANTITE?122?">SLF!$F$26:$F$58</definedName>
    <definedName name="XDO_?FINAL_QUANTITE?123?">SLF!$F$26:$F$77</definedName>
    <definedName name="XDO_?FINAL_QUANTITE?124?">SLF!$F$26:$F$92</definedName>
    <definedName name="XDO_?FINAL_QUANTITE?125?">SLF!$F$26:$F$97</definedName>
    <definedName name="XDO_?FINAL_QUANTITE?126?">SDBF!$F$24:$F$29</definedName>
    <definedName name="XDO_?FINAL_QUANTITE?127?">SDBF!$F$24:$F$54</definedName>
    <definedName name="XDO_?FINAL_QUANTITE?128?">SDBF!$F$24:$F$59</definedName>
    <definedName name="XDO_?FINAL_QUANTITE?129?">SSF!$F$24:$F$25</definedName>
    <definedName name="XDO_?FINAL_QUANTITE?13?">SMEEF!$F$10:$F$55</definedName>
    <definedName name="XDO_?FINAL_QUANTITE?130?">SSF!$F$24:$F$80</definedName>
    <definedName name="XDO_?FINAL_QUANTITE?131?">SSF!$F$24:$F$102</definedName>
    <definedName name="XDO_?FINAL_QUANTITE?132?">SSF!$F$24:$F$113</definedName>
    <definedName name="XDO_?FINAL_QUANTITE?133?">SSF!$F$24:$F$128</definedName>
    <definedName name="XDO_?FINAL_QUANTITE?134?">SSF!$F$24:$F$133</definedName>
    <definedName name="XDO_?FINAL_QUANTITE?135?">SCRF!$F$18:$F$61</definedName>
    <definedName name="XDO_?FINAL_QUANTITE?136?">SCRF!$F$18:$F$75</definedName>
    <definedName name="XDO_?FINAL_QUANTITE?137?">SCRF!$F$18:$F$85</definedName>
    <definedName name="XDO_?FINAL_QUANTITE?138?">SCRF!$F$18:$F$110</definedName>
    <definedName name="XDO_?FINAL_QUANTITE?139?">SCRF!$F$18:$F$115</definedName>
    <definedName name="XDO_?FINAL_QUANTITE?14?">SMEEF!$F$10:$F$84</definedName>
    <definedName name="XDO_?FINAL_QUANTITE?140?">SFEF!$F$10</definedName>
    <definedName name="XDO_?FINAL_QUANTITE?141?">SFEF!$F$10:$F$41</definedName>
    <definedName name="XDO_?FINAL_QUANTITE?142?">SFEF!$F$10:$F$35</definedName>
    <definedName name="XDO_?FINAL_QUANTITE?143?">SFEF!$F$10:$F$42</definedName>
    <definedName name="XDO_?FINAL_QUANTITE?144?">SFEF!$F$10:$F$75</definedName>
    <definedName name="XDO_?FINAL_QUANTITE?145?">SFEF!$F$10:$F$79</definedName>
    <definedName name="XDO_?FINAL_QUANTITE?146?">SFEF!$F$10:$F$84</definedName>
    <definedName name="XDO_?FINAL_QUANTITE?147?">SDHF!$F$10:$F$34</definedName>
    <definedName name="XDO_?FINAL_QUANTITE?148?">SDHF!$F$10:$F$54</definedName>
    <definedName name="XDO_?FINAL_QUANTITE?149?">SDHF!$F$10:$F$68</definedName>
    <definedName name="XDO_?FINAL_QUANTITE?15?">SMEEF!$F$10:$F$92</definedName>
    <definedName name="XDO_?FINAL_QUANTITE?150?">SDHF!$F$10:$F$77</definedName>
    <definedName name="XDO_?FINAL_QUANTITE?151?">SDHF!$F$10:$F$102</definedName>
    <definedName name="XDO_?FINAL_QUANTITE?152?">SDHF!$F$10:$F$107</definedName>
    <definedName name="XDO_?FINAL_QUANTITE?153?">SMUSD!$F$18:$F$39</definedName>
    <definedName name="XDO_?FINAL_QUANTITE?154?">SMUSD!$F$18:$F$50</definedName>
    <definedName name="XDO_?FINAL_QUANTITE?155?">SMUSD!$F$18:$F$56</definedName>
    <definedName name="XDO_?FINAL_QUANTITE?156?">SMUSD!$F$18:$F$70</definedName>
    <definedName name="XDO_?FINAL_QUANTITE?157?">SMUSD!$F$18:$F$86</definedName>
    <definedName name="XDO_?FINAL_QUANTITE?158?">SMUSD!$F$18:$F$94</definedName>
    <definedName name="XDO_?FINAL_QUANTITE?159?">SMUSD!$F$18:$F$109</definedName>
    <definedName name="XDO_?FINAL_QUANTITE?16?">SMEEF!$F$10:$F$96</definedName>
    <definedName name="XDO_?FINAL_QUANTITE?160?">SMUSD!$F$18:$F$114</definedName>
    <definedName name="XDO_?FINAL_QUANTITE?161?">SMIDCAP!$F$10:$F$59</definedName>
    <definedName name="XDO_?FINAL_QUANTITE?162?">SMIDCAP!$F$10:$F$62</definedName>
    <definedName name="XDO_?FINAL_QUANTITE?163?">SMIDCAP!$F$10:$F$98</definedName>
    <definedName name="XDO_?FINAL_QUANTITE?164?">SMIDCAP!$F$10:$F$103</definedName>
    <definedName name="XDO_?FINAL_QUANTITE?165?">SMCMF!$F$24:$F$28</definedName>
    <definedName name="XDO_?FINAL_QUANTITE?166?">SMCMF!$F$24:$F$53</definedName>
    <definedName name="XDO_?FINAL_QUANTITE?167?">SMCMF!$F$24:$F$58</definedName>
    <definedName name="XDO_?FINAL_QUANTITE?168?">SMCOMMA!$F$10:$F$35</definedName>
    <definedName name="XDO_?FINAL_QUANTITE?169?">SMCOMMA!$F$10:$F$74</definedName>
    <definedName name="XDO_?FINAL_QUANTITE?17?">SMEEF!$F$10:$F$101</definedName>
    <definedName name="XDO_?FINAL_QUANTITE?170?">SMCOMMA!$F$10:$F$79</definedName>
    <definedName name="XDO_?FINAL_QUANTITE?171?">SMGF!$F$24:$F$28</definedName>
    <definedName name="XDO_?FINAL_QUANTITE?172?">SMGF!$F$24:$F$53</definedName>
    <definedName name="XDO_?FINAL_QUANTITE?173?">SMGF!$F$24:$F$58</definedName>
    <definedName name="XDO_?FINAL_QUANTITE?174?">SMMULTI!$F$10:$F$55</definedName>
    <definedName name="XDO_?FINAL_QUANTITE?175?">SMMULTI!$F$10:$F$58</definedName>
    <definedName name="XDO_?FINAL_QUANTITE?176?">SMMULTI!$F$10:$F$94</definedName>
    <definedName name="XDO_?FINAL_QUANTITE?177?">SMMULTI!$F$10:$F$99</definedName>
    <definedName name="XDO_?FINAL_QUANTITE?178?">SMAAF!$F$10:$F$59</definedName>
    <definedName name="XDO_?FINAL_QUANTITE?179?">SMAAF!$F$10:$F$76</definedName>
    <definedName name="XDO_?FINAL_QUANTITE?18?">'[1]MELS-91'!$F$12</definedName>
    <definedName name="XDO_?FINAL_QUANTITE?180?">SMAAF!$F$10:$F$93</definedName>
    <definedName name="XDO_?FINAL_QUANTITE?181?">SMAAF!$F$10:$F$103</definedName>
    <definedName name="XDO_?FINAL_QUANTITE?182?">SMAAF!$F$10:$F$108</definedName>
    <definedName name="XDO_?FINAL_QUANTITE?183?">SBLUECHIP!$F$10:$F$67</definedName>
    <definedName name="XDO_?FINAL_QUANTITE?184?">SBLUECHIP!$F$10:$F$106</definedName>
    <definedName name="XDO_?FINAL_QUANTITE?185?">SBLUECHIP!$F$10:$F$111</definedName>
    <definedName name="XDO_?FINAL_QUANTITE?186?">SAOF!$F$10:$F$73</definedName>
    <definedName name="XDO_?FINAL_QUANTITE?187?">SAOF!$F$10:$F$88</definedName>
    <definedName name="XDO_?FINAL_QUANTITE?188?">SAOF!$F$10:$F$95</definedName>
    <definedName name="XDO_?FINAL_QUANTITE?189?">SAOF!$F$10:$F$126</definedName>
    <definedName name="XDO_?FINAL_QUANTITE?19?">'[1]MELS-91'!$F$12:$F$49</definedName>
    <definedName name="XDO_?FINAL_QUANTITE?190?">SAOF!$F$10:$F$130</definedName>
    <definedName name="XDO_?FINAL_QUANTITE?191?">SAOF!$F$10:$F$135</definedName>
    <definedName name="XDO_?FINAL_QUANTITE?192?">SIF!$F$10:$F$37</definedName>
    <definedName name="XDO_?FINAL_QUANTITE?193?">SIF!$F$10:$F$76</definedName>
    <definedName name="XDO_?FINAL_QUANTITE?194?">SIF!$F$10:$F$81</definedName>
    <definedName name="XDO_?FINAL_QUANTITE?195?">SMLDF!$F$18:$F$62</definedName>
    <definedName name="XDO_?FINAL_QUANTITE?196?">SMLDF!$F$18:$F$67</definedName>
    <definedName name="XDO_?FINAL_QUANTITE?197?">SMLDF!$F$18:$F$77</definedName>
    <definedName name="XDO_?FINAL_QUANTITE?198?">SMLDF!$F$18:$F$83</definedName>
    <definedName name="XDO_?FINAL_QUANTITE?199?">SMLDF!$F$18:$F$92</definedName>
    <definedName name="XDO_?FINAL_QUANTITE?2?">'[1]MTSS-88-89'!$F$48:$F$53</definedName>
    <definedName name="XDO_?FINAL_QUANTITE?20?">'[1]MELS-91'!$F$12:$F$54</definedName>
    <definedName name="XDO_?FINAL_QUANTITE?200?">SMLDF!$F$18:$F$106</definedName>
    <definedName name="XDO_?FINAL_QUANTITE?201?">SMLDF!$F$18:$F$112</definedName>
    <definedName name="XDO_?FINAL_QUANTITE?202?">SMLDF!$F$18:$F$118</definedName>
    <definedName name="XDO_?FINAL_QUANTITE?203?">SMLDF!$F$18:$F$133</definedName>
    <definedName name="XDO_?FINAL_QUANTITE?204?">SMLDF!$F$18:$F$138</definedName>
    <definedName name="XDO_?FINAL_QUANTITE?205?">SSTDF!$F$18:$F$101</definedName>
    <definedName name="XDO_?FINAL_QUANTITE?206?">SSTDF!$F$18:$F$105</definedName>
    <definedName name="XDO_?FINAL_QUANTITE?207?">SSTDF!$F$18:$F$113</definedName>
    <definedName name="XDO_?FINAL_QUANTITE?208?">SSTDF!$F$18:$F$123</definedName>
    <definedName name="XDO_?FINAL_QUANTITE?209?">SSTDF!$F$18:$F$136</definedName>
    <definedName name="XDO_?FINAL_QUANTITE?21?">'[1]MMIS-91'!$F$10:$F$11</definedName>
    <definedName name="XDO_?FINAL_QUANTITE?210?">SSTDF!$F$18:$F$145</definedName>
    <definedName name="XDO_?FINAL_QUANTITE?211?">SSTDF!$F$18:$F$160</definedName>
    <definedName name="XDO_?FINAL_QUANTITE?212?">SSTDF!$F$18:$F$165</definedName>
    <definedName name="XDO_?FINAL_QUANTITE?213?">'SETF-Gold'!$F$42</definedName>
    <definedName name="XDO_?FINAL_QUANTITE?214?">'SETF-Gold'!$F$42:$F$50</definedName>
    <definedName name="XDO_?FINAL_QUANTITE?215?">'SETF-Gold'!$F$42:$F$55</definedName>
    <definedName name="XDO_?FINAL_QUANTITE?216?">SPSU!$F$10:$F$31</definedName>
    <definedName name="XDO_?FINAL_QUANTITE?217?">SPSU!$F$10:$F$70</definedName>
    <definedName name="XDO_?FINAL_QUANTITE?218?">SPSU!$F$10:$F$75</definedName>
    <definedName name="XDO_?FINAL_QUANTITE?219?">SGF!$F$40</definedName>
    <definedName name="XDO_?FINAL_QUANTITE?22?">'[1]MMIS-91'!$F$10:$F$25</definedName>
    <definedName name="XDO_?FINAL_QUANTITE?220?">SGF!$F$40:$F$50</definedName>
    <definedName name="XDO_?FINAL_QUANTITE?221?">SGF!$F$40:$F$55</definedName>
    <definedName name="XDO_?FINAL_QUANTITE?222?">'STAF-II'!$F$10:$F$35</definedName>
    <definedName name="XDO_?FINAL_QUANTITE?223?">'STAF-II'!$F$10:$F$39</definedName>
    <definedName name="XDO_?FINAL_QUANTITE?224?">'STAF-II'!$F$10:$F$76</definedName>
    <definedName name="XDO_?FINAL_QUANTITE?225?">'STAF-II'!$F$10:$F$81</definedName>
    <definedName name="XDO_?FINAL_QUANTITE?226?">'SETF-SENSEX'!$F$10:$F$39</definedName>
    <definedName name="XDO_?FINAL_QUANTITE?227?">'SETF-SENSEX'!$F$10:$F$78</definedName>
    <definedName name="XDO_?FINAL_QUANTITE?228?">'SETF-SENSEX'!$F$10:$F$83</definedName>
    <definedName name="XDO_?FINAL_QUANTITE?229?">SSCF!$F$10:$F$62</definedName>
    <definedName name="XDO_?FINAL_QUANTITE?23?">'[1]MMIS-91'!$F$10:$F$62</definedName>
    <definedName name="XDO_?FINAL_QUANTITE?230?">SSCF!$F$10:$F$61</definedName>
    <definedName name="XDO_?FINAL_QUANTITE?231?">SSCF!$F$10:$F$99</definedName>
    <definedName name="XDO_?FINAL_QUANTITE?232?">SSCF!$F$10:$F$104</definedName>
    <definedName name="XDO_?FINAL_QUANTITE?233?">SBPF!$F$18:$F$96</definedName>
    <definedName name="XDO_?FINAL_QUANTITE?234?">SBPF!$F$18:$F$101</definedName>
    <definedName name="XDO_?FINAL_QUANTITE?235?">SBPF!$F$18:$F$111</definedName>
    <definedName name="XDO_?FINAL_QUANTITE?236?">SBPF!$F$18:$F$117</definedName>
    <definedName name="XDO_?FINAL_QUANTITE?237?">SBPF!$F$18:$F$140</definedName>
    <definedName name="XDO_?FINAL_QUANTITE?238?">SBPF!$F$18:$F$145</definedName>
    <definedName name="XDO_?FINAL_QUANTITE?239?">'STAF-III'!$F$10:$F$36</definedName>
    <definedName name="XDO_?FINAL_QUANTITE?24?">'[1]MMIS-91'!$F$10:$F$67</definedName>
    <definedName name="XDO_?FINAL_QUANTITE?240?">'STAF-III'!$F$10:$F$75</definedName>
    <definedName name="XDO_?FINAL_QUANTITE?241?">'STAF-III'!$F$10:$F$80</definedName>
    <definedName name="XDO_?FINAL_QUANTITE?242?">'SEOF-I'!$F$10:$F$45</definedName>
    <definedName name="XDO_?FINAL_QUANTITE?243?">'SEOF-I'!$F$10:$F$84</definedName>
    <definedName name="XDO_?FINAL_QUANTITE?244?">'SEOF-I'!$F$10:$F$89</definedName>
    <definedName name="XDO_?FINAL_QUANTITE?245?">'SLTAF-I'!$F$10:$F$37</definedName>
    <definedName name="XDO_?FINAL_QUANTITE?246?">'SLTAF-I'!$F$10:$F$76</definedName>
    <definedName name="XDO_?FINAL_QUANTITE?247?">'SLTAF-I'!$F$10:$F$81</definedName>
    <definedName name="XDO_?FINAL_QUANTITE?248?">'SLTAF-II'!$F$10:$F$39</definedName>
    <definedName name="XDO_?FINAL_QUANTITE?249?">'SLTAF-II'!$F$10:$F$78</definedName>
    <definedName name="XDO_?FINAL_QUANTITE?25?">[1]MTPL!$F$10</definedName>
    <definedName name="XDO_?FINAL_QUANTITE?250?">'SLTAF-II'!$F$10:$F$83</definedName>
    <definedName name="XDO_?FINAL_QUANTITE?251?">SBFS!$F$10:$F$30</definedName>
    <definedName name="XDO_?FINAL_QUANTITE?252?">SBFS!$F$10:$F$33</definedName>
    <definedName name="XDO_?FINAL_QUANTITE?253?">SBFS!$F$10:$F$69</definedName>
    <definedName name="XDO_?FINAL_QUANTITE?254?">SBFS!$F$10:$F$74</definedName>
    <definedName name="XDO_?FINAL_QUANTITE?255?">SDAAF!$F$10:$F$40</definedName>
    <definedName name="XDO_?FINAL_QUANTITE?256?">SDAAF!$F$10:$F$77</definedName>
    <definedName name="XDO_?FINAL_QUANTITE?257?">SDAAF!$F$10:$F$81</definedName>
    <definedName name="XDO_?FINAL_QUANTITE?258?">SDAAF!$F$10:$F$86</definedName>
    <definedName name="XDO_?FINAL_QUANTITE?259?">'SETF-NN50'!$F$10:$F$59</definedName>
    <definedName name="XDO_?FINAL_QUANTITE?26?">[1]MTPL!$F$10:$F$49</definedName>
    <definedName name="XDO_?FINAL_QUANTITE?260?">'SETF-NN50'!$F$10:$F$98</definedName>
    <definedName name="XDO_?FINAL_QUANTITE?261?">'SETF-NN50'!$F$10:$F$103</definedName>
    <definedName name="XDO_?FINAL_QUANTITE?262?">'SETF-NBank'!$F$10:$F$76</definedName>
    <definedName name="XDO_?FINAL_QUANTITE?263?">'SETF-NBank'!$F$10:$F$60</definedName>
    <definedName name="XDO_?FINAL_QUANTITE?264?">'SETF-NBank'!$F$10:$F$65</definedName>
    <definedName name="XDO_?FINAL_QUANTITE?265?">'SETF-BSE 100'!$F$10:$F$165</definedName>
    <definedName name="XDO_?FINAL_QUANTITE?266?">'SETF-BSE 100'!$F$10:$F$149</definedName>
    <definedName name="XDO_?FINAL_QUANTITE?267?">'SETF-BSE 100'!$F$10:$F$154</definedName>
    <definedName name="XDO_?FINAL_QUANTITE?268?">SESF!$F$10:$F$81</definedName>
    <definedName name="XDO_?FINAL_QUANTITE?269?">SESF!$F$10:$F$84</definedName>
    <definedName name="XDO_?FINAL_QUANTITE?27?">[1]MTPL!$F$10:$F$54</definedName>
    <definedName name="XDO_?FINAL_QUANTITE?270?">SESF!$F$10:$F$94</definedName>
    <definedName name="XDO_?FINAL_QUANTITE?271?">SESF!$F$10:$F$98</definedName>
    <definedName name="XDO_?FINAL_QUANTITE?272?">SESF!$F$10:$F$106</definedName>
    <definedName name="XDO_?FINAL_QUANTITE?273?">SESF!$F$10:$F$130</definedName>
    <definedName name="XDO_?FINAL_QUANTITE?274?">SESF!$F$10:$F$134</definedName>
    <definedName name="XDO_?FINAL_QUANTITE?275?">SESF!$F$10:$F$139</definedName>
    <definedName name="XDO_?FINAL_QUANTITE?276?">'SETF-Nifty 50'!$F$10:$F$114</definedName>
    <definedName name="XDO_?FINAL_QUANTITE?277?">'SETF-Nifty 50'!$F$10:$F$98</definedName>
    <definedName name="XDO_?FINAL_QUANTITE?278?">'SETF-Nifty 50'!$F$10:$F$103</definedName>
    <definedName name="XDO_?FINAL_QUANTITE?279?">'SEOF-IV'!$F$10:$F$45</definedName>
    <definedName name="XDO_?FINAL_QUANTITE?28?">'[1]MEX-91'!$F$48</definedName>
    <definedName name="XDO_?FINAL_QUANTITE?280?">'SEOF-IV'!$F$10:$F$84</definedName>
    <definedName name="XDO_?FINAL_QUANTITE?281?">'SEOF-IV'!$F$10:$F$89</definedName>
    <definedName name="XDO_?FINAL_QUANTITE?282?">'SLTAF-III'!$F$10:$F$39</definedName>
    <definedName name="XDO_?FINAL_QUANTITE?283?">'SLTAF-III'!$F$10:$F$78</definedName>
    <definedName name="XDO_?FINAL_QUANTITE?284?">'SLTAF-III'!$F$10:$F$83</definedName>
    <definedName name="XDO_?FINAL_QUANTITE?285?">'SETF-10 Yr Gilt'!$F$24</definedName>
    <definedName name="XDO_?FINAL_QUANTITE?286?">'SETF-10 Yr Gilt'!$F$24:$F$49</definedName>
    <definedName name="XDO_?FINAL_QUANTITE?287?">'SETF-10 Yr Gilt'!$F$24:$F$54</definedName>
    <definedName name="XDO_?FINAL_QUANTITE?288?">'SLTAF-IV'!$F$10:$F$38</definedName>
    <definedName name="XDO_?FINAL_QUANTITE?289?">'SLTAF-IV'!$F$10:$F$42</definedName>
    <definedName name="XDO_?FINAL_QUANTITE?29?">'[1]MEX-91'!$F$48:$F$53</definedName>
    <definedName name="XDO_?FINAL_QUANTITE?290?">'SLTAF-IV'!$F$10:$F$79</definedName>
    <definedName name="XDO_?FINAL_QUANTITE?291?">'SLTAF-IV'!$F$10:$F$84</definedName>
    <definedName name="XDO_?FINAL_QUANTITE?292?">'SDAFS-XXIV'!$F$18:$F$21</definedName>
    <definedName name="XDO_?FINAL_QUANTITE?293?">'SDAFS-XXIV'!$F$18:$F$32</definedName>
    <definedName name="XDO_?FINAL_QUANTITE?294?">'SDAFS-XXIV'!$F$18:$F$41</definedName>
    <definedName name="XDO_?FINAL_QUANTITE?295?">'SDAFS-XXIV'!$F$18:$F$57</definedName>
    <definedName name="XDO_?FINAL_QUANTITE?296?">'SDAFS-XXIV'!$F$18:$F$62</definedName>
    <definedName name="XDO_?FINAL_QUANTITE?297?">'SDAFS-XXV'!$F$10:$F$31</definedName>
    <definedName name="XDO_?FINAL_QUANTITE?298?">'SDAFS-XXV'!$F$10:$F$52</definedName>
    <definedName name="XDO_?FINAL_QUANTITE?299?">'SDAFS-XXV'!$F$10:$F$66</definedName>
    <definedName name="XDO_?FINAL_QUANTITE?3?">'[1]MRIS-89'!$F$48</definedName>
    <definedName name="XDO_?FINAL_QUANTITE?30?">'[1]GIFTS B'!$F$12:$F$16</definedName>
    <definedName name="XDO_?FINAL_QUANTITE?300?">'SDAFS-XXV'!$F$10:$F$74</definedName>
    <definedName name="XDO_?FINAL_QUANTITE?301?">'SDAFS-XXV'!$F$10:$F$78</definedName>
    <definedName name="XDO_?FINAL_QUANTITE?302?">'SDAFS-XXV'!$F$10:$F$93</definedName>
    <definedName name="XDO_?FINAL_QUANTITE?303?">'SDAFS-XXV'!$F$10:$F$98</definedName>
    <definedName name="XDO_?FINAL_QUANTITE?304?">'SLTAF-V'!$F$10:$F$42</definedName>
    <definedName name="XDO_?FINAL_QUANTITE?305?">'SLTAF-V'!$F$10:$F$81</definedName>
    <definedName name="XDO_?FINAL_QUANTITE?306?">'SLTAF-V'!$F$10:$F$86</definedName>
    <definedName name="XDO_?FINAL_QUANTITE?307?">'SDFS-C-7'!$F$18:$F$28</definedName>
    <definedName name="XDO_?FINAL_QUANTITE?308?">'SDFS-C-7'!$F$18:$F$38</definedName>
    <definedName name="XDO_?FINAL_QUANTITE?309?">'SDFS-C-7'!$F$18:$F$47</definedName>
    <definedName name="XDO_?FINAL_QUANTITE?31?">'[1]GIFTS B'!$F$12:$F$53</definedName>
    <definedName name="XDO_?FINAL_QUANTITE?310?">'SDFS-C-7'!$F$18:$F$64</definedName>
    <definedName name="XDO_?FINAL_QUANTITE?311?">'SDFS-C-7'!$F$18:$F$69</definedName>
    <definedName name="XDO_?FINAL_QUANTITE?312?">'SDAFS-XXVI'!$F$10:$F$31</definedName>
    <definedName name="XDO_?FINAL_QUANTITE?313?">'SDAFS-XXVI'!$F$10:$F$50</definedName>
    <definedName name="XDO_?FINAL_QUANTITE?314?">'SDAFS-XXVI'!$F$10:$F$54</definedName>
    <definedName name="XDO_?FINAL_QUANTITE?315?">'SDAFS-XXVI'!$F$10:$F$60</definedName>
    <definedName name="XDO_?FINAL_QUANTITE?316?">'SDAFS-XXVI'!$F$10:$F$66</definedName>
    <definedName name="XDO_?FINAL_QUANTITE?317?">'SDAFS-XXVI'!$F$10:$F$75</definedName>
    <definedName name="XDO_?FINAL_QUANTITE?318?">'SDAFS-XXVI'!$F$10:$F$90</definedName>
    <definedName name="XDO_?FINAL_QUANTITE?319?">'SDAFS-XXVI'!$F$10:$F$95</definedName>
    <definedName name="XDO_?FINAL_QUANTITE?32?">'[1]GIFTS B'!$F$12:$F$58</definedName>
    <definedName name="XDO_?FINAL_QUANTITE?320?">'SDFS-C-8'!$F$18:$F$28</definedName>
    <definedName name="XDO_?FINAL_QUANTITE?321?">'SDFS-C-8'!$F$18:$F$39</definedName>
    <definedName name="XDO_?FINAL_QUANTITE?322?">'SDFS-C-8'!$F$18:$F$48</definedName>
    <definedName name="XDO_?FINAL_QUANTITE?323?">'SDFS-C-8'!$F$18:$F$65</definedName>
    <definedName name="XDO_?FINAL_QUANTITE?324?">'SDFS-C-8'!$F$18:$F$70</definedName>
    <definedName name="XDO_?FINAL_QUANTITE?325?">'SDFS-C-9'!$F$18:$F$27</definedName>
    <definedName name="XDO_?FINAL_QUANTITE?326?">'SDFS-C-9'!$F$18:$F$38</definedName>
    <definedName name="XDO_?FINAL_QUANTITE?327?">'SDFS-C-9'!$F$18:$F$47</definedName>
    <definedName name="XDO_?FINAL_QUANTITE?328?">'SDFS-C-9'!$F$18:$F$64</definedName>
    <definedName name="XDO_?FINAL_QUANTITE?329?">'SDFS-C-9'!$F$18:$F$69</definedName>
    <definedName name="XDO_?FINAL_QUANTITE?33?">'[1]GIFTS A'!$F$12</definedName>
    <definedName name="XDO_?FINAL_QUANTITE?330?">'SDFS-C-10'!$F$18:$F$29</definedName>
    <definedName name="XDO_?FINAL_QUANTITE?331?">'SDFS-C-10'!$F$18:$F$40</definedName>
    <definedName name="XDO_?FINAL_QUANTITE?332?">'SDFS-C-10'!$F$18:$F$50</definedName>
    <definedName name="XDO_?FINAL_QUANTITE?333?">'SDFS-C-10'!$F$18:$F$54</definedName>
    <definedName name="XDO_?FINAL_QUANTITE?334?">'SDFS-C-10'!$F$18:$F$69</definedName>
    <definedName name="XDO_?FINAL_QUANTITE?335?">'SDFS-C-10'!$F$18:$F$74</definedName>
    <definedName name="XDO_?FINAL_QUANTITE?336?">'SDAFS-XXVII'!$F$10:$F$33</definedName>
    <definedName name="XDO_?FINAL_QUANTITE?337?">'SDAFS-XXVII'!$F$10:$F$49</definedName>
    <definedName name="XDO_?FINAL_QUANTITE?338?">'SDAFS-XXVII'!$F$10:$F$54</definedName>
    <definedName name="XDO_?FINAL_QUANTITE?339?">'SDAFS-XXVII'!$F$10:$F$62</definedName>
    <definedName name="XDO_?FINAL_QUANTITE?34?">'[1]GIFTS A'!$F$12:$F$49</definedName>
    <definedName name="XDO_?FINAL_QUANTITE?340?">'SDAFS-XXVII'!$F$10:$F$69</definedName>
    <definedName name="XDO_?FINAL_QUANTITE?341?">'SDAFS-XXVII'!$F$10:$F$73</definedName>
    <definedName name="XDO_?FINAL_QUANTITE?342?">'SDAFS-XXVII'!$F$10:$F$88</definedName>
    <definedName name="XDO_?FINAL_QUANTITE?343?">'SDAFS-XXVII'!$F$10:$F$93</definedName>
    <definedName name="XDO_?FINAL_QUANTITE?344?">'SDFS-C-12'!$F$18:$F$26</definedName>
    <definedName name="XDO_?FINAL_QUANTITE?345?">'SDFS-C-12'!$F$18:$F$39</definedName>
    <definedName name="XDO_?FINAL_QUANTITE?346?">'SDFS-C-12'!$F$18:$F$50</definedName>
    <definedName name="XDO_?FINAL_QUANTITE?347?">'SDFS-C-12'!$F$18:$F$55</definedName>
    <definedName name="XDO_?FINAL_QUANTITE?348?">'SDFS-C-12'!$F$18:$F$70</definedName>
    <definedName name="XDO_?FINAL_QUANTITE?349?">'SDFS-C-12'!$F$18:$F$75</definedName>
    <definedName name="XDO_?FINAL_QUANTITE?35?">'[1]GIFTS A'!$F$12:$F$54</definedName>
    <definedName name="XDO_?FINAL_QUANTITE?350?">'SDFS-C-14'!$F$18:$F$27</definedName>
    <definedName name="XDO_?FINAL_QUANTITE?351?">'SDFS-C-14'!$F$18:$F$37</definedName>
    <definedName name="XDO_?FINAL_QUANTITE?352?">'SDFS-C-14'!$F$18:$F$47</definedName>
    <definedName name="XDO_?FINAL_QUANTITE?353?">'SDFS-C-14'!$F$18:$F$52</definedName>
    <definedName name="XDO_?FINAL_QUANTITE?354?">'SDFS-C-14'!$F$18:$F$67</definedName>
    <definedName name="XDO_?FINAL_QUANTITE?355?">'SDFS-C-14'!$F$18:$F$72</definedName>
    <definedName name="XDO_?FINAL_QUANTITE?356?">'SLTAF-VI'!$F$10:$F$35</definedName>
    <definedName name="XDO_?FINAL_QUANTITE?357?">'SLTAF-VI'!$F$10:$F$74</definedName>
    <definedName name="XDO_?FINAL_QUANTITE?358?">'SLTAF-VI'!$F$10:$F$79</definedName>
    <definedName name="XDO_?FINAL_QUANTITE?359?">'SDAFS-XXVIII'!$F$10:$F$34</definedName>
    <definedName name="XDO_?FINAL_QUANTITE?36?">SLMF!$F$10:$F$65</definedName>
    <definedName name="XDO_?FINAL_QUANTITE?360?">'SDAFS-XXVIII'!$F$10:$F$53</definedName>
    <definedName name="XDO_?FINAL_QUANTITE?361?">'SDAFS-XXVIII'!$F$10:$F$64</definedName>
    <definedName name="XDO_?FINAL_QUANTITE?362?">'SDAFS-XXVIII'!$F$10:$F$71</definedName>
    <definedName name="XDO_?FINAL_QUANTITE?363?">'SDAFS-XXVIII'!$F$10:$F$88</definedName>
    <definedName name="XDO_?FINAL_QUANTITE?364?">'SDAFS-XXVIII'!$F$10:$F$93</definedName>
    <definedName name="XDO_?FINAL_QUANTITE?365?">'SDFS-C-16'!$F$18:$F$32</definedName>
    <definedName name="XDO_?FINAL_QUANTITE?366?">'SDFS-C-16'!$F$18:$F$43</definedName>
    <definedName name="XDO_?FINAL_QUANTITE?367?">'SDFS-C-16'!$F$18:$F$56</definedName>
    <definedName name="XDO_?FINAL_QUANTITE?368?">'SDFS-C-16'!$F$18:$F$73</definedName>
    <definedName name="XDO_?FINAL_QUANTITE?369?">'SDFS-C-16'!$F$18:$F$78</definedName>
    <definedName name="XDO_?FINAL_QUANTITE?37?">SLMF!$F$10:$F$71</definedName>
    <definedName name="XDO_?FINAL_QUANTITE?370?">'SDFS-C-18'!$F$18:$F$36</definedName>
    <definedName name="XDO_?FINAL_QUANTITE?371?">'SDFS-C-18'!$F$18:$F$49</definedName>
    <definedName name="XDO_?FINAL_QUANTITE?372?">'SDFS-C-18'!$F$18:$F$61</definedName>
    <definedName name="XDO_?FINAL_QUANTITE?373?">'SDFS-C-18'!$F$18:$F$78</definedName>
    <definedName name="XDO_?FINAL_QUANTITE?374?">'SDFS-C-18'!$F$18:$F$83</definedName>
    <definedName name="XDO_?FINAL_QUANTITE?375?">'SDFS-C-19'!$F$18:$F$29</definedName>
    <definedName name="XDO_?FINAL_QUANTITE?376?">'SDFS-C-19'!$F$18:$F$39</definedName>
    <definedName name="XDO_?FINAL_QUANTITE?377?">'SDFS-C-19'!$F$18:$F$50</definedName>
    <definedName name="XDO_?FINAL_QUANTITE?378?">'SDFS-C-19'!$F$18:$F$67</definedName>
    <definedName name="XDO_?FINAL_QUANTITE?379?">'SDFS-C-19'!$F$18:$F$72</definedName>
    <definedName name="XDO_?FINAL_QUANTITE?38?">SLMF!$F$10:$F$108</definedName>
    <definedName name="XDO_?FINAL_QUANTITE?380?">'SDAFS-XXIX'!$F$10:$F$34</definedName>
    <definedName name="XDO_?FINAL_QUANTITE?381?">'SDAFS-XXIX'!$F$10:$F$55</definedName>
    <definedName name="XDO_?FINAL_QUANTITE?382?">'SDAFS-XXIX'!$F$10:$F$66</definedName>
    <definedName name="XDO_?FINAL_QUANTITE?383?">'SDAFS-XXIX'!$F$10:$F$74</definedName>
    <definedName name="XDO_?FINAL_QUANTITE?384?">'SDAFS-XXIX'!$F$10:$F$91</definedName>
    <definedName name="XDO_?FINAL_QUANTITE?385?">'SDAFS-XXIX'!$F$10:$F$96</definedName>
    <definedName name="XDO_?FINAL_QUANTITE?386?">'SDFS-C-20'!$F$18:$F$28</definedName>
    <definedName name="XDO_?FINAL_QUANTITE?387?">'SDFS-C-20'!$F$18:$F$39</definedName>
    <definedName name="XDO_?FINAL_QUANTITE?388?">'SDFS-C-20'!$F$18:$F$51</definedName>
    <definedName name="XDO_?FINAL_QUANTITE?389?">'SDFS-C-20'!$F$18:$F$68</definedName>
    <definedName name="XDO_?FINAL_QUANTITE?39?">SLMF!$F$10:$F$113</definedName>
    <definedName name="XDO_?FINAL_QUANTITE?390?">'SDFS-C-20'!$F$18:$F$73</definedName>
    <definedName name="XDO_?FINAL_QUANTITE?391?">'SDFS-C-21'!$F$18:$F$29</definedName>
    <definedName name="XDO_?FINAL_QUANTITE?392?">'SDFS-C-21'!$F$18:$F$35</definedName>
    <definedName name="XDO_?FINAL_QUANTITE?393?">'SDFS-C-21'!$F$18:$F$41</definedName>
    <definedName name="XDO_?FINAL_QUANTITE?394?">'SDFS-C-21'!$F$18:$F$54</definedName>
    <definedName name="XDO_?FINAL_QUANTITE?395?">'SDFS-C-21'!$F$18:$F$71</definedName>
    <definedName name="XDO_?FINAL_QUANTITE?396?">'SDFS-C-21'!$F$18:$F$76</definedName>
    <definedName name="XDO_?FINAL_QUANTITE?397?">'SDFS-C-22'!$F$18:$F$29</definedName>
    <definedName name="XDO_?FINAL_QUANTITE?398?">'SDFS-C-22'!$F$18:$F$39</definedName>
    <definedName name="XDO_?FINAL_QUANTITE?399?">'SDFS-C-22'!$F$18:$F$49</definedName>
    <definedName name="XDO_?FINAL_QUANTITE?4?">'[1]MRIS-89'!$F$48:$F$53</definedName>
    <definedName name="XDO_?FINAL_QUANTITE?40?">SLTEF!$F$10:$F$65</definedName>
    <definedName name="XDO_?FINAL_QUANTITE?400?">'SDFS-C-22'!$F$18:$F$66</definedName>
    <definedName name="XDO_?FINAL_QUANTITE?401?">'SDFS-C-22'!$F$18:$F$71</definedName>
    <definedName name="XDO_?FINAL_QUANTITE?402?">'SDFS-C-23'!$F$18:$F$34</definedName>
    <definedName name="XDO_?FINAL_QUANTITE?403?">'SDFS-C-23'!$F$18:$F$53</definedName>
    <definedName name="XDO_?FINAL_QUANTITE?404?">'SDFS-C-23'!$F$18:$F$70</definedName>
    <definedName name="XDO_?FINAL_QUANTITE?405?">'SDFS-C-23'!$F$18:$F$75</definedName>
    <definedName name="XDO_?FINAL_QUANTITE?406?">'SETF-SN50'!$F$10:$F$114</definedName>
    <definedName name="XDO_?FINAL_QUANTITE?407?">'SETF-SN50'!$F$10:$F$98</definedName>
    <definedName name="XDO_?FINAL_QUANTITE?408?">'SETF-SN50'!$F$10:$F$103</definedName>
    <definedName name="XDO_?FINAL_QUANTITE?409?">'SDFS-C-24'!$F$18:$F$29</definedName>
    <definedName name="XDO_?FINAL_QUANTITE?41?">SLTEF!$F$10:$F$68</definedName>
    <definedName name="XDO_?FINAL_QUANTITE?410?">'SDFS-C-24'!$F$18:$F$33</definedName>
    <definedName name="XDO_?FINAL_QUANTITE?411?">'SDFS-C-24'!$F$18:$F$48</definedName>
    <definedName name="XDO_?FINAL_QUANTITE?412?">'SDFS-C-24'!$F$18:$F$65</definedName>
    <definedName name="XDO_?FINAL_QUANTITE?413?">'SDFS-C-24'!$F$18:$F$70</definedName>
    <definedName name="XDO_?FINAL_QUANTITE?414?">'SDFS-C-25'!$F$18:$F$34</definedName>
    <definedName name="XDO_?FINAL_QUANTITE?415?">'SDFS-C-25'!$F$18:$F$40</definedName>
    <definedName name="XDO_?FINAL_QUANTITE?416?">'SDFS-C-25'!$F$18:$F$52</definedName>
    <definedName name="XDO_?FINAL_QUANTITE?417?">'SDFS-C-25'!$F$18:$F$56</definedName>
    <definedName name="XDO_?FINAL_QUANTITE?418?">'SDFS-C-25'!$F$18:$F$71</definedName>
    <definedName name="XDO_?FINAL_QUANTITE?419?">'SDFS-C-25'!$F$18:$F$76</definedName>
    <definedName name="XDO_?FINAL_QUANTITE?42?">SLTEF!$F$10:$F$104</definedName>
    <definedName name="XDO_?FINAL_QUANTITE?420?">'SDAFS-XXX'!$F$10:$F$34</definedName>
    <definedName name="XDO_?FINAL_QUANTITE?421?">'SDAFS-XXX'!$F$10:$F$55</definedName>
    <definedName name="XDO_?FINAL_QUANTITE?422?">'SDAFS-XXX'!$F$10:$F$72</definedName>
    <definedName name="XDO_?FINAL_QUANTITE?423?">'SDAFS-XXX'!$F$10:$F$87</definedName>
    <definedName name="XDO_?FINAL_QUANTITE?424?">'SDAFS-XXX'!$F$10:$F$92</definedName>
    <definedName name="XDO_?FINAL_QUANTITE?425?">'SDFS-C-26'!$F$18:$F$32</definedName>
    <definedName name="XDO_?FINAL_QUANTITE?426?">'SDFS-C-26'!$F$18:$F$48</definedName>
    <definedName name="XDO_?FINAL_QUANTITE?427?">'SDFS-C-26'!$F$18:$F$52</definedName>
    <definedName name="XDO_?FINAL_QUANTITE?428?">'SDFS-C-26'!$F$18:$F$67</definedName>
    <definedName name="XDO_?FINAL_QUANTITE?429?">'SDFS-C-26'!$F$18:$F$72</definedName>
    <definedName name="XDO_?FINAL_QUANTITE?43?">SLTEF!$F$10:$F$109</definedName>
    <definedName name="XDO_?FINAL_QUANTITE?430?">'SDFS-C-27'!$F$18:$F$29</definedName>
    <definedName name="XDO_?FINAL_QUANTITE?431?">'SDFS-C-27'!$F$18:$F$46</definedName>
    <definedName name="XDO_?FINAL_QUANTITE?432?">'SDFS-C-27'!$F$18:$F$50</definedName>
    <definedName name="XDO_?FINAL_QUANTITE?433?">'SDFS-C-27'!$F$18:$F$65</definedName>
    <definedName name="XDO_?FINAL_QUANTITE?434?">'SDFS-C-27'!$F$18:$F$70</definedName>
    <definedName name="XDO_?FINAL_QUANTITE?435?">'SDFS-C-28'!$F$18:$F$32</definedName>
    <definedName name="XDO_?FINAL_QUANTITE?436?">'SDFS-C-28'!$F$18:$F$42</definedName>
    <definedName name="XDO_?FINAL_QUANTITE?437?">'SDFS-C-28'!$F$18:$F$52</definedName>
    <definedName name="XDO_?FINAL_QUANTITE?438?">'SDFS-C-28'!$F$18:$F$69</definedName>
    <definedName name="XDO_?FINAL_QUANTITE?439?">'SDFS-C-28'!$F$18:$F$74</definedName>
    <definedName name="XDO_?FINAL_QUANTITE?44?">'[1]MRIS-93'!$F$12:$F$17</definedName>
    <definedName name="XDO_?FINAL_QUANTITE?440?">'SDFS-C-30'!$F$18:$F$32</definedName>
    <definedName name="XDO_?FINAL_QUANTITE?441?">'SDFS-C-30'!$F$18:$F$50</definedName>
    <definedName name="XDO_?FINAL_QUANTITE?442?">'SDFS-C-30'!$F$18:$F$67</definedName>
    <definedName name="XDO_?FINAL_QUANTITE?443?">'SDFS-C-30'!$F$18:$F$72</definedName>
    <definedName name="XDO_?FINAL_QUANTITE?444?">'SETF-Quality'!$F$10:$F$39</definedName>
    <definedName name="XDO_?FINAL_QUANTITE?445?">'SETF-Quality'!$F$10:$F$78</definedName>
    <definedName name="XDO_?FINAL_QUANTITE?446?">'SETF-Quality'!$F$10:$F$83</definedName>
    <definedName name="XDO_?FINAL_QUANTITE?447?">'SDFS-C-32'!$F$18:$F$37</definedName>
    <definedName name="XDO_?FINAL_QUANTITE?448?">'SDFS-C-32'!$F$18:$F$54</definedName>
    <definedName name="XDO_?FINAL_QUANTITE?449?">'SDFS-C-32'!$F$18:$F$58</definedName>
    <definedName name="XDO_?FINAL_QUANTITE?45?">'[1]MRIS-93'!$F$12:$F$54</definedName>
    <definedName name="XDO_?FINAL_QUANTITE?450?">'SDFS-C-32'!$F$18:$F$73</definedName>
    <definedName name="XDO_?FINAL_QUANTITE?451?">'SDFS-C-32'!$F$18:$F$78</definedName>
    <definedName name="XDO_?FINAL_QUANTITE?452?">'SDFS-C-33'!$F$18:$F$38</definedName>
    <definedName name="XDO_?FINAL_QUANTITE?453?">'SDFS-C-33'!$F$18:$F$56</definedName>
    <definedName name="XDO_?FINAL_QUANTITE?454?">'SDFS-C-33'!$F$18:$F$60</definedName>
    <definedName name="XDO_?FINAL_QUANTITE?455?">'SDFS-C-33'!$F$18:$F$75</definedName>
    <definedName name="XDO_?FINAL_QUANTITE?456?">'SDFS-C-33'!$F$18:$F$80</definedName>
    <definedName name="XDO_?FINAL_QUANTITE?457?">'SDFS-C-34'!$F$18:$F$32</definedName>
    <definedName name="XDO_?FINAL_QUANTITE?458?">'SDFS-C-34'!$F$18:$F$50</definedName>
    <definedName name="XDO_?FINAL_QUANTITE?459?">'SDFS-C-34'!$F$18:$F$67</definedName>
    <definedName name="XDO_?FINAL_QUANTITE?46?">'[1]MRIS-93'!$F$12:$F$59</definedName>
    <definedName name="XDO_?FINAL_QUANTITE?460?">'SDFS-C-34'!$F$18:$F$72</definedName>
    <definedName name="XDO_?FINAL_QUANTITE?461?">'SDFS-C-35'!$F$18:$F$33</definedName>
    <definedName name="XDO_?FINAL_QUANTITE?462?">'SDFS-C-35'!$F$18:$F$50</definedName>
    <definedName name="XDO_?FINAL_QUANTITE?463?">'SDFS-C-35'!$F$18:$F$67</definedName>
    <definedName name="XDO_?FINAL_QUANTITE?464?">'SDFS-C-35'!$F$18:$F$72</definedName>
    <definedName name="XDO_?FINAL_QUANTITE?465?">'SDFS-C-38'!$F$18:$F$28</definedName>
    <definedName name="XDO_?FINAL_QUANTITE?466?">'SDFS-C-38'!$F$18:$F$45</definedName>
    <definedName name="XDO_?FINAL_QUANTITE?467?">'SDFS-C-38'!$F$18:$F$56</definedName>
    <definedName name="XDO_?FINAL_QUANTITE?468?">'SDFS-C-38'!$F$18:$F$60</definedName>
    <definedName name="XDO_?FINAL_QUANTITE?469?">'SDFS-C-38'!$F$18:$F$75</definedName>
    <definedName name="XDO_?FINAL_QUANTITE?47?">'[1]MTP-94'!$F$12</definedName>
    <definedName name="XDO_?FINAL_QUANTITE?470?">'SDFS-C-38'!$F$18:$F$80</definedName>
    <definedName name="XDO_?FINAL_QUANTITE?471?">SCBF!$F$18:$F$133</definedName>
    <definedName name="XDO_?FINAL_QUANTITE?472?">SCBF!$F$18:$F$137</definedName>
    <definedName name="XDO_?FINAL_QUANTITE?473?">SCBF!$F$18:$F$146</definedName>
    <definedName name="XDO_?FINAL_QUANTITE?474?">SCBF!$F$18:$F$158</definedName>
    <definedName name="XDO_?FINAL_QUANTITE?475?">SCBF!$F$18:$F$171</definedName>
    <definedName name="XDO_?FINAL_QUANTITE?476?">SCBF!$F$18:$F$182</definedName>
    <definedName name="XDO_?FINAL_QUANTITE?477?">SCBF!$F$18:$F$197</definedName>
    <definedName name="XDO_?FINAL_QUANTITE?478?">SCBF!$F$18:$F$202</definedName>
    <definedName name="XDO_?FINAL_QUANTITE?479?">'SDFS-C-40'!$F$18:$F$28</definedName>
    <definedName name="XDO_?FINAL_QUANTITE?48?">'[1]MTP-94'!$F$12:$F$49</definedName>
    <definedName name="XDO_?FINAL_QUANTITE?480?">'SDFS-C-40'!$F$18:$F$39</definedName>
    <definedName name="XDO_?FINAL_QUANTITE?481?">'SDFS-C-40'!$F$18:$F$47</definedName>
    <definedName name="XDO_?FINAL_QUANTITE?482?">'SDFS-C-40'!$F$18:$F$64</definedName>
    <definedName name="XDO_?FINAL_QUANTITE?483?">'SDFS-C-40'!$F$18:$F$69</definedName>
    <definedName name="XDO_?FINAL_QUANTITE?484?">'SDFS-C-41'!$F$18:$F$32</definedName>
    <definedName name="XDO_?FINAL_QUANTITE?485?">'SDFS-C-41'!$F$18:$F$43</definedName>
    <definedName name="XDO_?FINAL_QUANTITE?486?">'SDFS-C-41'!$F$18:$F$54</definedName>
    <definedName name="XDO_?FINAL_QUANTITE?487?">'SDFS-C-41'!$F$18:$F$71</definedName>
    <definedName name="XDO_?FINAL_QUANTITE?488?">'SDFS-C-41'!$F$18:$F$76</definedName>
    <definedName name="XDO_?FINAL_QUANTITE?489?">'SDFS-C-43'!$F$18:$F$28</definedName>
    <definedName name="XDO_?FINAL_QUANTITE?49?">'[1]MTP-94'!$F$12:$F$54</definedName>
    <definedName name="XDO_?FINAL_QUANTITE?490?">'SDFS-C-43'!$F$18:$F$41</definedName>
    <definedName name="XDO_?FINAL_QUANTITE?491?">'SDFS-C-43'!$F$18:$F$50</definedName>
    <definedName name="XDO_?FINAL_QUANTITE?492?">'SDFS-C-43'!$F$18:$F$67</definedName>
    <definedName name="XDO_?FINAL_QUANTITE?493?">'SDFS-C-43'!$F$18:$F$72</definedName>
    <definedName name="XDO_?FINAL_QUANTITE?494?">'SDFS-C-44'!$F$18:$F$28</definedName>
    <definedName name="XDO_?FINAL_QUANTITE?495?">'SDFS-C-44'!$F$18:$F$39</definedName>
    <definedName name="XDO_?FINAL_QUANTITE?496?">'SDFS-C-44'!$F$18:$F$48</definedName>
    <definedName name="XDO_?FINAL_QUANTITE?497?">'SDFS-C-44'!$F$18:$F$65</definedName>
    <definedName name="XDO_?FINAL_QUANTITE?498?">'SDFS-C-44'!$F$18:$F$70</definedName>
    <definedName name="XDO_?FINAL_QUANTITE?499?">'SCPOF-A1'!$F$10:$F$58</definedName>
    <definedName name="XDO_?FINAL_QUANTITE?5?">'[1]MMIS-89'!$F$10</definedName>
    <definedName name="XDO_?FINAL_QUANTITE?50?">SMGLF!$F$10:$F$31</definedName>
    <definedName name="XDO_?FINAL_QUANTITE?500?">'SCPOF-A1'!$F$10:$F$74</definedName>
    <definedName name="XDO_?FINAL_QUANTITE?501?">'SCPOF-A1'!$F$10:$F$78</definedName>
    <definedName name="XDO_?FINAL_QUANTITE?502?">'SCPOF-A1'!$F$10:$F$93</definedName>
    <definedName name="XDO_?FINAL_QUANTITE?503?">'SCPOF-A1'!$F$10:$F$108</definedName>
    <definedName name="XDO_?FINAL_QUANTITE?504?">'SCPOF-A1'!$F$10:$F$113</definedName>
    <definedName name="XDO_?FINAL_QUANTITE?505?">'SDFS-C-46'!$F$18:$F$25</definedName>
    <definedName name="XDO_?FINAL_QUANTITE?506?">'SDFS-C-46'!$F$18:$F$29</definedName>
    <definedName name="XDO_?FINAL_QUANTITE?507?">'SDFS-C-46'!$F$18:$F$39</definedName>
    <definedName name="XDO_?FINAL_QUANTITE?508?">'SDFS-C-46'!$F$18:$F$46</definedName>
    <definedName name="XDO_?FINAL_QUANTITE?509?">'SDFS-C-46'!$F$18:$F$50</definedName>
    <definedName name="XDO_?FINAL_QUANTITE?51?">SMGLF!$F$10:$F$52</definedName>
    <definedName name="XDO_?FINAL_QUANTITE?510?">'SDFS-C-46'!$F$18:$F$65</definedName>
    <definedName name="XDO_?FINAL_QUANTITE?511?">'SDFS-C-46'!$F$18:$F$70</definedName>
    <definedName name="XDO_?FINAL_QUANTITE?512?">SEMVF!$F$10:$F$121</definedName>
    <definedName name="XDO_?FINAL_QUANTITE?513?">SEMVF!$F$10:$F$96</definedName>
    <definedName name="XDO_?FINAL_QUANTITE?514?">SEMVF!$F$10:$F$100</definedName>
    <definedName name="XDO_?FINAL_QUANTITE?515?">SEMVF!$F$10:$F$105</definedName>
    <definedName name="XDO_?FINAL_QUANTITE?516?">'SDFS-C-48'!$F$18:$F$34</definedName>
    <definedName name="XDO_?FINAL_QUANTITE?517?">'SDFS-C-48'!$F$18:$F$44</definedName>
    <definedName name="XDO_?FINAL_QUANTITE?518?">'SDFS-C-48'!$F$18:$F$53</definedName>
    <definedName name="XDO_?FINAL_QUANTITE?519?">'SDFS-C-48'!$F$18:$F$70</definedName>
    <definedName name="XDO_?FINAL_QUANTITE?52?">SMGLF!$F$10:$F$46</definedName>
    <definedName name="XDO_?FINAL_QUANTITE?520?">'SDFS-C-48'!$F$18:$F$75</definedName>
    <definedName name="XDO_?FINAL_QUANTITE?521?">'SDFS-C-49'!$F$18:$F$27</definedName>
    <definedName name="XDO_?FINAL_QUANTITE?522?">'SDFS-C-49'!$F$18:$F$38</definedName>
    <definedName name="XDO_?FINAL_QUANTITE?523?">'SDFS-C-49'!$F$18:$F$47</definedName>
    <definedName name="XDO_?FINAL_QUANTITE?524?">'SDFS-C-49'!$F$18:$F$51</definedName>
    <definedName name="XDO_?FINAL_QUANTITE?525?">'SDFS-C-49'!$F$18:$F$66</definedName>
    <definedName name="XDO_?FINAL_QUANTITE?526?">'SDFS-C-49'!$F$18:$F$71</definedName>
    <definedName name="XDO_?FINAL_QUANTITE?527?">'SCPOF-Series A (Plan 2)'!$F$10:$F$59</definedName>
    <definedName name="XDO_?FINAL_QUANTITE?528?">'SCPOF-Series A (Plan 2)'!$F$10:$F$74</definedName>
    <definedName name="XDO_?FINAL_QUANTITE?529?">'SCPOF-Series A (Plan 2)'!$F$10:$F$84</definedName>
    <definedName name="XDO_?FINAL_QUANTITE?53?">SMGLF!$F$10:$F$87</definedName>
    <definedName name="XDO_?FINAL_QUANTITE?530?">'SCPOF-Series A (Plan 2)'!$F$10:$F$93</definedName>
    <definedName name="XDO_?FINAL_QUANTITE?531?">'SCPOF-Series A (Plan 2)'!$F$10:$F$108</definedName>
    <definedName name="XDO_?FINAL_QUANTITE?532?">'SCPOF-Series A (Plan 2)'!$F$10:$F$113</definedName>
    <definedName name="XDO_?FINAL_QUANTITE?533?">'SDFS-C-50'!$F$18:$F$26</definedName>
    <definedName name="XDO_?FINAL_QUANTITE?534?">'SDFS-C-50'!$F$18:$F$40</definedName>
    <definedName name="XDO_?FINAL_QUANTITE?535?">'SDFS-C-50'!$F$18:$F$48</definedName>
    <definedName name="XDO_?FINAL_QUANTITE?536?">'SDFS-C-50'!$F$18:$F$65</definedName>
    <definedName name="XDO_?FINAL_QUANTITE?537?">'SDFS-C-50'!$F$18:$F$70</definedName>
    <definedName name="XDO_?FINAL_QUANTITE?538?">'SFMP- Series 1'!$F$26:$F$31</definedName>
    <definedName name="XDO_?FINAL_QUANTITE?539?">'SFMP- Series 1'!$F$26:$F$39</definedName>
    <definedName name="XDO_?FINAL_QUANTITE?54?">SMGLF!$F$10:$F$92</definedName>
    <definedName name="XDO_?FINAL_QUANTITE?540?">'SFMP- Series 1'!$F$26:$F$56</definedName>
    <definedName name="XDO_?FINAL_QUANTITE?541?">'SFMP- Series 1'!$F$26:$F$61</definedName>
    <definedName name="XDO_?FINAL_QUANTITE?542?">'SFMP- Series 2'!$F$18:$F$29</definedName>
    <definedName name="XDO_?FINAL_QUANTITE?543?">'SFMP- Series 2'!$F$18:$F$45</definedName>
    <definedName name="XDO_?FINAL_QUANTITE?544?">'SFMP- Series 2'!$F$18:$F$62</definedName>
    <definedName name="XDO_?FINAL_QUANTITE?545?">'SFMP- Series 2'!$F$18:$F$67</definedName>
    <definedName name="XDO_?FINAL_QUANTITE?546?">'SFMP- Series 3'!$F$18:$F$29</definedName>
    <definedName name="XDO_?FINAL_QUANTITE?547?">'SFMP- Series 3'!$F$18:$F$45</definedName>
    <definedName name="XDO_?FINAL_QUANTITE?548?">'SFMP- Series 3'!$F$18:$F$62</definedName>
    <definedName name="XDO_?FINAL_QUANTITE?549?">'SFMP- Series 3'!$F$18:$F$67</definedName>
    <definedName name="XDO_?FINAL_QUANTITE?55?">'[1]MBF-94'!$F$10</definedName>
    <definedName name="XDO_?FINAL_QUANTITE?550?">'SCPOF-Series A (Plan 3)'!$F$10:$F$59</definedName>
    <definedName name="XDO_?FINAL_QUANTITE?551?">'SCPOF-Series A (Plan 3)'!$F$10:$F$76</definedName>
    <definedName name="XDO_?FINAL_QUANTITE?552?">'SCPOF-Series A (Plan 3)'!$F$10:$F$87</definedName>
    <definedName name="XDO_?FINAL_QUANTITE?553?">'SCPOF-Series A (Plan 3)'!$F$10:$F$110</definedName>
    <definedName name="XDO_?FINAL_QUANTITE?554?">'SCPOF-Series A (Plan 3)'!$F$10:$F$115</definedName>
    <definedName name="XDO_?FINAL_QUANTITE?555?">'SFMP- Series 6'!$F$26:$F$29</definedName>
    <definedName name="XDO_?FINAL_QUANTITE?556?">'SFMP- Series 6'!$F$26:$F$36</definedName>
    <definedName name="XDO_?FINAL_QUANTITE?557?">'SFMP- Series 6'!$F$26:$F$53</definedName>
    <definedName name="XDO_?FINAL_QUANTITE?558?">'SFMP- Series 6'!$F$26:$F$58</definedName>
    <definedName name="XDO_?FINAL_QUANTITE?559?">'SFMP- Series 7'!$F$18:$F$32</definedName>
    <definedName name="XDO_?FINAL_QUANTITE?56?">'[1]MBF-94'!$F$10:$F$19</definedName>
    <definedName name="XDO_?FINAL_QUANTITE?560?">'SFMP- Series 7'!$F$18:$F$47</definedName>
    <definedName name="XDO_?FINAL_QUANTITE?561?">'SFMP- Series 7'!$F$18:$F$64</definedName>
    <definedName name="XDO_?FINAL_QUANTITE?562?">'SFMP- Series 7'!$F$18:$F$69</definedName>
    <definedName name="XDO_?FINAL_QUANTITE?563?">'SFMP- Series 8'!$F$18:$F$32</definedName>
    <definedName name="XDO_?FINAL_QUANTITE?564?">'SFMP- Series 8'!$F$18:$F$47</definedName>
    <definedName name="XDO_?FINAL_QUANTITE?565?">'SFMP- Series 8'!$F$18:$F$64</definedName>
    <definedName name="XDO_?FINAL_QUANTITE?566?">'SFMP- Series 8'!$F$18:$F$69</definedName>
    <definedName name="XDO_?FINAL_QUANTITE?567?">'SCPOF-Series A (Plan 4)'!$F$10:$F$59</definedName>
    <definedName name="XDO_?FINAL_QUANTITE?568?">'SCPOF-Series A (Plan 4)'!$F$10:$F$75</definedName>
    <definedName name="XDO_?FINAL_QUANTITE?569?">'SCPOF-Series A (Plan 4)'!$F$10:$F$86</definedName>
    <definedName name="XDO_?FINAL_QUANTITE?57?">'[1]MBF-94'!$F$10:$F$56</definedName>
    <definedName name="XDO_?FINAL_QUANTITE?570?">'SCPOF-Series A (Plan 4)'!$F$10:$F$109</definedName>
    <definedName name="XDO_?FINAL_QUANTITE?571?">'SCPOF-Series A (Plan 4)'!$F$10:$F$114</definedName>
    <definedName name="XDO_?FINAL_QUANTITE?572?">'SFMP- Series 9'!$F$18:$F$31</definedName>
    <definedName name="XDO_?FINAL_QUANTITE?573?">'SFMP- Series 9'!$F$18:$F$47</definedName>
    <definedName name="XDO_?FINAL_QUANTITE?574?">'SFMP- Series 9'!$F$18:$F$64</definedName>
    <definedName name="XDO_?FINAL_QUANTITE?575?">'SFMP- Series 9'!$F$18:$F$69</definedName>
    <definedName name="XDO_?FINAL_QUANTITE?576?">'SFMP- Series 10'!$F$18:$F$31</definedName>
    <definedName name="XDO_?FINAL_QUANTITE?577?">'SFMP- Series 10'!$F$18:$F$46</definedName>
    <definedName name="XDO_?FINAL_QUANTITE?578?">'SFMP- Series 10'!$F$18:$F$50</definedName>
    <definedName name="XDO_?FINAL_QUANTITE?579?">'SFMP- Series 10'!$F$18:$F$65</definedName>
    <definedName name="XDO_?FINAL_QUANTITE?58?">'[1]MBF-94'!$F$10:$F$61</definedName>
    <definedName name="XDO_?FINAL_QUANTITE?580?">'SFMP- Series 10'!$F$18:$F$70</definedName>
    <definedName name="XDO_?FINAL_QUANTITE?581?">'SFMP- Series 11'!$F$18:$F$36</definedName>
    <definedName name="XDO_?FINAL_QUANTITE?582?">'SFMP- Series 11'!$F$18:$F$52</definedName>
    <definedName name="XDO_?FINAL_QUANTITE?583?">'SFMP- Series 11'!$F$18:$F$56</definedName>
    <definedName name="XDO_?FINAL_QUANTITE?584?">'SFMP- Series 11'!$F$18:$F$71</definedName>
    <definedName name="XDO_?FINAL_QUANTITE?585?">'SFMP- Series 11'!$F$18:$F$76</definedName>
    <definedName name="XDO_?FINAL_QUANTITE?586?">'SFMP- Series 12'!$F$18:$F$31</definedName>
    <definedName name="XDO_?FINAL_QUANTITE?587?">'SFMP- Series 12'!$F$18:$F$46</definedName>
    <definedName name="XDO_?FINAL_QUANTITE?588?">'SFMP- Series 12'!$F$18:$F$50</definedName>
    <definedName name="XDO_?FINAL_QUANTITE?589?">'SFMP- Series 12'!$F$18:$F$65</definedName>
    <definedName name="XDO_?FINAL_QUANTITE?59?">'[1]MELS-95'!$F$48</definedName>
    <definedName name="XDO_?FINAL_QUANTITE?590?">'SFMP- Series 12'!$F$18:$F$70</definedName>
    <definedName name="XDO_?FINAL_QUANTITE?591?">'SFMP- Series 13'!$F$18:$F$31</definedName>
    <definedName name="XDO_?FINAL_QUANTITE?592?">'SFMP- Series 13'!$F$18:$F$47</definedName>
    <definedName name="XDO_?FINAL_QUANTITE?593?">'SFMP- Series 13'!$F$18:$F$64</definedName>
    <definedName name="XDO_?FINAL_QUANTITE?594?">'SFMP- Series 13'!$F$18:$F$69</definedName>
    <definedName name="XDO_?FINAL_QUANTITE?595?">'SFMP- Series 14'!$F$18:$F$31</definedName>
    <definedName name="XDO_?FINAL_QUANTITE?596?">'SFMP- Series 14'!$F$18:$F$46</definedName>
    <definedName name="XDO_?FINAL_QUANTITE?597?">'SFMP- Series 14'!$F$18:$F$50</definedName>
    <definedName name="XDO_?FINAL_QUANTITE?598?">'SFMP- Series 14'!$F$18:$F$65</definedName>
    <definedName name="XDO_?FINAL_QUANTITE?599?">'SFMP- Series 14'!$F$18:$F$70</definedName>
    <definedName name="XDO_?FINAL_QUANTITE?6?">'[1]MMIS-89'!$F$10:$F$49</definedName>
    <definedName name="XDO_?FINAL_QUANTITE?60?">'[1]MELS-95'!$F$48:$F$53</definedName>
    <definedName name="XDO_?FINAL_QUANTITE?600?">'SFMP- Series 15'!$F$18:$F$29</definedName>
    <definedName name="XDO_?FINAL_QUANTITE?601?">'SFMP- Series 15'!$F$18:$F$44</definedName>
    <definedName name="XDO_?FINAL_QUANTITE?602?">'SFMP- Series 15'!$F$18:$F$48</definedName>
    <definedName name="XDO_?FINAL_QUANTITE?603?">'SFMP- Series 15'!$F$18:$F$63</definedName>
    <definedName name="XDO_?FINAL_QUANTITE?604?">'SFMP- Series 15'!$F$18:$F$68</definedName>
    <definedName name="XDO_?FINAL_QUANTITE?605?">'SFMP- Series 16'!$F$18:$F$34</definedName>
    <definedName name="XDO_?FINAL_QUANTITE?606?">'SFMP- Series 16'!$F$18:$F$49</definedName>
    <definedName name="XDO_?FINAL_QUANTITE?607?">'SFMP- Series 16'!$F$18:$F$66</definedName>
    <definedName name="XDO_?FINAL_QUANTITE?608?">'SFMP- Series 16'!$F$18:$F$71</definedName>
    <definedName name="XDO_?FINAL_QUANTITE?609?">'SFMP- Series 17'!$F$18:$F$30</definedName>
    <definedName name="XDO_?FINAL_QUANTITE?61?">SEHF!$F$10:$F$51</definedName>
    <definedName name="XDO_?FINAL_QUANTITE?610?">'SFMP- Series 17'!$F$18:$F$45</definedName>
    <definedName name="XDO_?FINAL_QUANTITE?611?">'SFMP- Series 17'!$F$18:$F$62</definedName>
    <definedName name="XDO_?FINAL_QUANTITE?612?">'SFMP- Series 17'!$F$18:$F$67</definedName>
    <definedName name="XDO_?FINAL_QUANTITE?613?">'SCPOF-Series A (Plan 5)'!$F$10:$F$59</definedName>
    <definedName name="XDO_?FINAL_QUANTITE?614?">'SCPOF-Series A (Plan 5)'!$F$10:$F$79</definedName>
    <definedName name="XDO_?FINAL_QUANTITE?615?">'SCPOF-Series A (Plan 5)'!$F$10:$F$89</definedName>
    <definedName name="XDO_?FINAL_QUANTITE?616?">'SCPOF-Series A (Plan 5)'!$F$10:$F$112</definedName>
    <definedName name="XDO_?FINAL_QUANTITE?617?">'SCPOF-Series A (Plan 5)'!$F$10:$F$117</definedName>
    <definedName name="XDO_?FINAL_QUANTITE?618?">'SFMP- Series 18'!$F$18:$F$30</definedName>
    <definedName name="XDO_?FINAL_QUANTITE?619?">'SFMP- Series 18'!$F$18:$F$45</definedName>
    <definedName name="XDO_?FINAL_QUANTITE?62?">SEHF!$F$10:$F$56</definedName>
    <definedName name="XDO_?FINAL_QUANTITE?620?">'SFMP- Series 18'!$F$18:$F$62</definedName>
    <definedName name="XDO_?FINAL_QUANTITE?621?">'SFMP- Series 18'!$F$18:$F$67</definedName>
    <definedName name="XDO_?FINAL_QUANTITE?622?">'SCPOF-Series A (Plan 6)'!$F$10:$F$59</definedName>
    <definedName name="XDO_?FINAL_QUANTITE?623?">'SCPOF-Series A (Plan 6)'!$F$10:$F$78</definedName>
    <definedName name="XDO_?FINAL_QUANTITE?624?">'SCPOF-Series A (Plan 6)'!$F$10:$F$95</definedName>
    <definedName name="XDO_?FINAL_QUANTITE?625?">'SCPOF-Series A (Plan 6)'!$F$10:$F$110</definedName>
    <definedName name="XDO_?FINAL_QUANTITE?626?">'SCPOF-Series A (Plan 6)'!$F$10:$F$115</definedName>
    <definedName name="XDO_?FINAL_QUANTITE?627?">'SFMP- Series 19'!$F$18:$F$32</definedName>
    <definedName name="XDO_?FINAL_QUANTITE?628?">'SFMP- Series 19'!$F$18:$F$63</definedName>
    <definedName name="XDO_?FINAL_QUANTITE?629?">'SFMP- Series 19'!$F$18:$F$68</definedName>
    <definedName name="XDO_?FINAL_QUANTITE?63?">SEHF!$F$10:$F$99</definedName>
    <definedName name="XDO_?FINAL_QUANTITE?630?">'SFMP- Series 20'!$F$18:$F$31</definedName>
    <definedName name="XDO_?FINAL_QUANTITE?631?">'SFMP- Series 20'!$F$18:$F$62</definedName>
    <definedName name="XDO_?FINAL_QUANTITE?632?">'SFMP- Series 20'!$F$18:$F$67</definedName>
    <definedName name="XDO_?FINAL_QUANTITE?633?">'SFMP- Series 21'!$F$18:$F$30</definedName>
    <definedName name="XDO_?FINAL_QUANTITE?634?">'SFMP- Series 21'!$F$18:$F$61</definedName>
    <definedName name="XDO_?FINAL_QUANTITE?635?">'SFMP- Series 21'!$F$18:$F$66</definedName>
    <definedName name="XDO_?FINAL_QUANTITE?636?">'SFMP- Series 22'!$F$18:$F$30</definedName>
    <definedName name="XDO_?FINAL_QUANTITE?637?">'SFMP- Series 22'!$F$18:$F$61</definedName>
    <definedName name="XDO_?FINAL_QUANTITE?638?">'SFMP- Series 22'!$F$18:$F$66</definedName>
    <definedName name="XDO_?FINAL_QUANTITE?639?">'SFMP- Series 23'!$F$18:$F$30</definedName>
    <definedName name="XDO_?FINAL_QUANTITE?64?">SEHF!$F$10:$F$112</definedName>
    <definedName name="XDO_?FINAL_QUANTITE?640?">'SFMP- Series 23'!$F$18:$F$61</definedName>
    <definedName name="XDO_?FINAL_QUANTITE?641?">'SFMP- Series 23'!$F$18:$F$66</definedName>
    <definedName name="XDO_?FINAL_QUANTITE?642?">'SFMP- Series 24'!$F$18:$F$30</definedName>
    <definedName name="XDO_?FINAL_QUANTITE?643?">'SFMP- Series 24'!$F$18:$F$61</definedName>
    <definedName name="XDO_?FINAL_QUANTITE?644?">'SFMP- Series 24'!$F$18:$F$66</definedName>
    <definedName name="XDO_?FINAL_QUANTITE?645?">'SFMP- Series 25'!$F$18:$F$29</definedName>
    <definedName name="XDO_?FINAL_QUANTITE?646?">'SFMP- Series 25'!$F$18:$F$60</definedName>
    <definedName name="XDO_?FINAL_QUANTITE?647?">'SFMP- Series 25'!$F$18:$F$65</definedName>
    <definedName name="XDO_?FINAL_QUANTITE?648?">'SFMP- Series 26'!$F$18:$F$30</definedName>
    <definedName name="XDO_?FINAL_QUANTITE?649?">'SFMP- Series 26'!$F$18:$F$61</definedName>
    <definedName name="XDO_?FINAL_QUANTITE?65?">SEHF!$F$10:$F$125</definedName>
    <definedName name="XDO_?FINAL_QUANTITE?650?">'SFMP- Series 26'!$F$18:$F$66</definedName>
    <definedName name="XDO_?FINAL_QUANTITE?651?">'SFMP- Series 27'!$F$18:$F$28</definedName>
    <definedName name="XDO_?FINAL_QUANTITE?652?">'SFMP- Series 27'!$F$18:$F$38</definedName>
    <definedName name="XDO_?FINAL_QUANTITE?653?">'SFMP- Series 27'!$F$18:$F$45</definedName>
    <definedName name="XDO_?FINAL_QUANTITE?654?">'SFMP- Series 27'!$F$18:$F$62</definedName>
    <definedName name="XDO_?FINAL_QUANTITE?655?">'SFMP- Series 27'!$F$18:$F$67</definedName>
    <definedName name="XDO_?FINAL_QUANTITE?656?">'SCPOF-Series A (Plan 7)'!$F$10:$F$59</definedName>
    <definedName name="XDO_?FINAL_QUANTITE?657?">'SCPOF-Series A (Plan 7)'!$F$10:$F$71</definedName>
    <definedName name="XDO_?FINAL_QUANTITE?658?">'SCPOF-Series A (Plan 7)'!$F$10:$F$82</definedName>
    <definedName name="XDO_?FINAL_QUANTITE?659?">'SCPOF-Series A (Plan 7)'!$F$10:$F$91</definedName>
    <definedName name="XDO_?FINAL_QUANTITE?66?">SEHF!$F$10:$F$148</definedName>
    <definedName name="XDO_?FINAL_QUANTITE?660?">'SCPOF-Series A (Plan 7)'!$F$10:$F$106</definedName>
    <definedName name="XDO_?FINAL_QUANTITE?661?">'SCPOF-Series A (Plan 7)'!$F$10:$F$111</definedName>
    <definedName name="XDO_?FINAL_QUANTITE?662?">'SFMP- Series 28'!$F$18:$F$27</definedName>
    <definedName name="XDO_?FINAL_QUANTITE?663?">'SFMP- Series 28'!$F$18:$F$39</definedName>
    <definedName name="XDO_?FINAL_QUANTITE?664?">'SFMP- Series 28'!$F$18:$F$62</definedName>
    <definedName name="XDO_?FINAL_QUANTITE?665?">'SFMP- Series 28'!$F$18:$F$67</definedName>
    <definedName name="XDO_?FINAL_QUANTITE?666?">'SCPOF-Series A (Plan 8)'!$F$10:$F$59</definedName>
    <definedName name="XDO_?FINAL_QUANTITE?667?">'SCPOF-Series A (Plan 8)'!$F$10:$F$71</definedName>
    <definedName name="XDO_?FINAL_QUANTITE?668?">'SCPOF-Series A (Plan 8)'!$F$10:$F$82</definedName>
    <definedName name="XDO_?FINAL_QUANTITE?669?">'SCPOF-Series A (Plan 8)'!$F$10:$F$105</definedName>
    <definedName name="XDO_?FINAL_QUANTITE?67?">SEHF!$F$10:$F$152</definedName>
    <definedName name="XDO_?FINAL_QUANTITE?670?">'SCPOF-Series A (Plan 8)'!$F$10:$F$110</definedName>
    <definedName name="XDO_?FINAL_QUANTITE?671?">'SFMP- Series 31'!$F$18:$F$25</definedName>
    <definedName name="XDO_?FINAL_QUANTITE?672?">'SFMP- Series 31'!$F$18:$F$39</definedName>
    <definedName name="XDO_?FINAL_QUANTITE?673?">'SFMP- Series 31'!$F$18:$F$62</definedName>
    <definedName name="XDO_?FINAL_QUANTITE?674?">'SFMP- Series 31'!$F$18:$F$67</definedName>
    <definedName name="XDO_?FINAL_QUANTITE?675?">'SFMP- Series 32'!$F$18:$F$26</definedName>
    <definedName name="XDO_?FINAL_QUANTITE?676?">'SFMP- Series 32'!$F$18:$F$37</definedName>
    <definedName name="XDO_?FINAL_QUANTITE?677?">'SFMP- Series 32'!$F$18:$F$60</definedName>
    <definedName name="XDO_?FINAL_QUANTITE?678?">'SFMP- Series 32'!$F$18:$F$65</definedName>
    <definedName name="XDO_?FINAL_QUANTITE?679?">'SFMP- Series 33'!$F$26</definedName>
    <definedName name="XDO_?FINAL_QUANTITE?68?">SEHF!$F$10:$F$157</definedName>
    <definedName name="XDO_?FINAL_QUANTITE?680?">'SFMP- Series 33'!$F$26:$F$49</definedName>
    <definedName name="XDO_?FINAL_QUANTITE?681?">'SFMP- Series 33'!$F$26:$F$54</definedName>
    <definedName name="XDO_?FINAL_QUANTITE?682?">'SFMP- Series 34'!$F$26</definedName>
    <definedName name="XDO_?FINAL_QUANTITE?683?">'SFMP- Series 34'!$F$26:$F$49</definedName>
    <definedName name="XDO_?FINAL_QUANTITE?684?">'SFMP- Series 34'!$F$26:$F$54</definedName>
    <definedName name="XDO_?FINAL_QUANTITE?685?">'SMCBF-Investment Plan'!$F$10:$F$13</definedName>
    <definedName name="XDO_?FINAL_QUANTITE?686?">'SMCBF-Investment Plan'!$F$10:$F$22</definedName>
    <definedName name="XDO_?FINAL_QUANTITE?687?">'SMCBF-Investment Plan'!$F$10:$F$30</definedName>
    <definedName name="XDO_?FINAL_QUANTITE?688?">'SMCBF-Investment Plan'!$F$10:$F$55</definedName>
    <definedName name="XDO_?FINAL_QUANTITE?689?">'SMCBF-Investment Plan'!$F$10:$F$60</definedName>
    <definedName name="XDO_?FINAL_QUANTITE?69?">'[1]MELS-96'!$F$48</definedName>
    <definedName name="XDO_?FINAL_QUANTITE?690?">SBIRIOS!$F$10:$F$55</definedName>
    <definedName name="XDO_?FINAL_QUANTITE?691?">SBIRIOS!$F$10:$F$94</definedName>
    <definedName name="XDO_?FINAL_QUANTITE?692?">SBIRIOS!$F$10:$F$99</definedName>
    <definedName name="XDO_?FINAL_QUANTITE?693?">#REF!</definedName>
    <definedName name="XDO_?FINAL_QUANTITE?694?">#REF!</definedName>
    <definedName name="XDO_?FINAL_QUANTITE?695?">#REF!</definedName>
    <definedName name="XDO_?FINAL_QUANTITE?696?">#REF!</definedName>
    <definedName name="XDO_?FINAL_QUANTITE?697?">#REF!</definedName>
    <definedName name="XDO_?FINAL_QUANTITE?698?">#REF!</definedName>
    <definedName name="XDO_?FINAL_QUANTITE?699?">#REF!</definedName>
    <definedName name="XDO_?FINAL_QUANTITE?7?">'[1]MMIS-89'!$F$10:$F$54</definedName>
    <definedName name="XDO_?FINAL_QUANTITE?70?">'[1]MELS-96'!$F$48:$F$53</definedName>
    <definedName name="XDO_?FINAL_QUANTITE?700?">#REF!</definedName>
    <definedName name="XDO_?FINAL_QUANTITE?71?">'[1]MMIS-97'!$F$48</definedName>
    <definedName name="XDO_?FINAL_QUANTITE?72?">'[1]MMIS-97'!$F$48:$F$53</definedName>
    <definedName name="XDO_?FINAL_QUANTITE?73?">'[1]MMIS-98 I'!$F$12</definedName>
    <definedName name="XDO_?FINAL_QUANTITE?74?">'[1]MMIS-98 I'!$F$12:$F$49</definedName>
    <definedName name="XDO_?FINAL_QUANTITE?75?">'[1]MMIS-98 I'!$F$12:$F$54</definedName>
    <definedName name="XDO_?FINAL_QUANTITE?76?">SMIF!$F$18:$F$30</definedName>
    <definedName name="XDO_?FINAL_QUANTITE?77?">SMIF!$F$18:$F$42</definedName>
    <definedName name="XDO_?FINAL_QUANTITE?78?">SMIF!$F$18:$F$67</definedName>
    <definedName name="XDO_?FINAL_QUANTITE?79?">SMIF!$F$18:$F$72</definedName>
    <definedName name="XDO_?FINAL_QUANTITE?8?">'[1]MTSS-90'!$F$48</definedName>
    <definedName name="XDO_?FINAL_QUANTITE?80?">'[1]MMIS-98 II'!$F$48</definedName>
    <definedName name="XDO_?FINAL_QUANTITE?81?">'[1]MMIS-98 II'!$F$48:$F$53</definedName>
    <definedName name="XDO_?FINAL_QUANTITE?82?">'[1]MGF-99'!$F$12</definedName>
    <definedName name="XDO_?FINAL_QUANTITE?83?">'[1]MGF-99'!$F$12:$F$53</definedName>
    <definedName name="XDO_?FINAL_QUANTITE?84?">SCOF!$F$10:$F$38</definedName>
    <definedName name="XDO_?FINAL_QUANTITE?85?">SCOF!$F$10:$F$77</definedName>
    <definedName name="XDO_?FINAL_QUANTITE?86?">SCOF!$F$10:$F$82</definedName>
    <definedName name="XDO_?FINAL_QUANTITE?87?">STOF!$F$10:$F$14</definedName>
    <definedName name="XDO_?FINAL_QUANTITE?88?">STOF!$F$10:$F$33</definedName>
    <definedName name="XDO_?FINAL_QUANTITE?89?">STOF!$F$10:$F$24</definedName>
    <definedName name="XDO_?FINAL_QUANTITE?9?">'[1]MTSS-90'!$F$48:$F$53</definedName>
    <definedName name="XDO_?FINAL_QUANTITE?90?">STOF!$F$10:$F$29</definedName>
    <definedName name="XDO_?FINAL_QUANTITE?91?">STOF!$F$10:$F$34</definedName>
    <definedName name="XDO_?FINAL_QUANTITE?92?">STOF!$F$10:$F$69</definedName>
    <definedName name="XDO_?FINAL_QUANTITE?93?">STOF!$F$10:$F$74</definedName>
    <definedName name="XDO_?FINAL_QUANTITE?94?">SHOF!$F$10:$F$31</definedName>
    <definedName name="XDO_?FINAL_QUANTITE?95?">SHOF!$F$10:$F$35</definedName>
    <definedName name="XDO_?FINAL_QUANTITE?96?">SHOF!$F$10:$F$72</definedName>
    <definedName name="XDO_?FINAL_QUANTITE?97?">SHOF!$F$10:$F$77</definedName>
    <definedName name="XDO_?FINAL_QUANTITE?98?">SCF!$F$10:$F$56</definedName>
    <definedName name="XDO_?FINAL_QUANTITE?99?">SCF!$F$10:$F$96</definedName>
    <definedName name="XDO_?LONG_DESC?">'[1]MRIS-87'!$D$3</definedName>
    <definedName name="XDO_?NAMC?">'[1]MRIS-87'!#REF!</definedName>
    <definedName name="XDO_?NAMC?1?">'[1]MTSS-88-89'!#REF!</definedName>
    <definedName name="XDO_?NAMC?10?">'[1]MEX-91'!#REF!</definedName>
    <definedName name="XDO_?NAMC?100?">'SDFS-C-26'!#REF!</definedName>
    <definedName name="XDO_?NAMC?101?">'SDFS-C-27'!#REF!</definedName>
    <definedName name="XDO_?NAMC?102?">'SDFS-C-28'!#REF!</definedName>
    <definedName name="XDO_?NAMC?103?">'SDFS-C-30'!#REF!</definedName>
    <definedName name="XDO_?NAMC?104?">'SETF-Quality'!#REF!</definedName>
    <definedName name="XDO_?NAMC?105?">'SDFS-C-32'!#REF!</definedName>
    <definedName name="XDO_?NAMC?106?">'SDFS-C-33'!#REF!</definedName>
    <definedName name="XDO_?NAMC?107?">'SDFS-C-34'!#REF!</definedName>
    <definedName name="XDO_?NAMC?108?">'SDFS-C-35'!#REF!</definedName>
    <definedName name="XDO_?NAMC?109?">'SDFS-C-38'!#REF!</definedName>
    <definedName name="XDO_?NAMC?11?">'[1]GIFTS B'!#REF!</definedName>
    <definedName name="XDO_?NAMC?110?">SCBF!#REF!</definedName>
    <definedName name="XDO_?NAMC?111?">'SDFS-C-40'!#REF!</definedName>
    <definedName name="XDO_?NAMC?112?">'SDFS-C-41'!#REF!</definedName>
    <definedName name="XDO_?NAMC?113?">'SDFS-C-43'!#REF!</definedName>
    <definedName name="XDO_?NAMC?114?">'SDFS-C-44'!#REF!</definedName>
    <definedName name="XDO_?NAMC?115?">'SCPOF-A1'!#REF!</definedName>
    <definedName name="XDO_?NAMC?116?">'SDFS-C-46'!#REF!</definedName>
    <definedName name="XDO_?NAMC?117?">SEMVF!#REF!</definedName>
    <definedName name="XDO_?NAMC?118?">'SDFS-C-48'!#REF!</definedName>
    <definedName name="XDO_?NAMC?119?">'SDFS-C-49'!#REF!</definedName>
    <definedName name="XDO_?NAMC?12?">'[1]GIFTS A'!#REF!</definedName>
    <definedName name="XDO_?NAMC?120?">'SCPOF-Series A (Plan 2)'!#REF!</definedName>
    <definedName name="XDO_?NAMC?121?">'SDFS-C-50'!#REF!</definedName>
    <definedName name="XDO_?NAMC?122?">'SFMP- Series 1'!#REF!</definedName>
    <definedName name="XDO_?NAMC?123?">'SFMP- Series 2'!#REF!</definedName>
    <definedName name="XDO_?NAMC?124?">'SFMP- Series 3'!#REF!</definedName>
    <definedName name="XDO_?NAMC?125?">'SCPOF-Series A (Plan 3)'!#REF!</definedName>
    <definedName name="XDO_?NAMC?126?">'SFMP- Series 6'!#REF!</definedName>
    <definedName name="XDO_?NAMC?127?">'SFMP- Series 7'!#REF!</definedName>
    <definedName name="XDO_?NAMC?128?">'SFMP- Series 8'!#REF!</definedName>
    <definedName name="XDO_?NAMC?129?">'SCPOF-Series A (Plan 4)'!#REF!</definedName>
    <definedName name="XDO_?NAMC?13?">SLMF!#REF!</definedName>
    <definedName name="XDO_?NAMC?130?">'SFMP- Series 9'!#REF!</definedName>
    <definedName name="XDO_?NAMC?131?">'SFMP- Series 10'!#REF!</definedName>
    <definedName name="XDO_?NAMC?132?">'SFMP- Series 11'!#REF!</definedName>
    <definedName name="XDO_?NAMC?133?">'SFMP- Series 12'!#REF!</definedName>
    <definedName name="XDO_?NAMC?134?">'SFMP- Series 13'!#REF!</definedName>
    <definedName name="XDO_?NAMC?135?">'SFMP- Series 14'!#REF!</definedName>
    <definedName name="XDO_?NAMC?136?">'SFMP- Series 15'!#REF!</definedName>
    <definedName name="XDO_?NAMC?137?">'SFMP- Series 16'!#REF!</definedName>
    <definedName name="XDO_?NAMC?138?">'SFMP- Series 17'!#REF!</definedName>
    <definedName name="XDO_?NAMC?139?">'SCPOF-Series A (Plan 5)'!#REF!</definedName>
    <definedName name="XDO_?NAMC?14?">SLTEF!#REF!</definedName>
    <definedName name="XDO_?NAMC?140?">'SFMP- Series 18'!#REF!</definedName>
    <definedName name="XDO_?NAMC?141?">'SCPOF-Series A (Plan 6)'!#REF!</definedName>
    <definedName name="XDO_?NAMC?142?">'SFMP- Series 19'!#REF!</definedName>
    <definedName name="XDO_?NAMC?143?">'SFMP- Series 20'!#REF!</definedName>
    <definedName name="XDO_?NAMC?144?">'SFMP- Series 21'!#REF!</definedName>
    <definedName name="XDO_?NAMC?145?">'SFMP- Series 22'!#REF!</definedName>
    <definedName name="XDO_?NAMC?146?">'SFMP- Series 23'!#REF!</definedName>
    <definedName name="XDO_?NAMC?147?">'SFMP- Series 24'!#REF!</definedName>
    <definedName name="XDO_?NAMC?148?">'SFMP- Series 25'!#REF!</definedName>
    <definedName name="XDO_?NAMC?149?">'SFMP- Series 26'!#REF!</definedName>
    <definedName name="XDO_?NAMC?15?">'[1]MRIS-93'!#REF!</definedName>
    <definedName name="XDO_?NAMC?150?">'SFMP- Series 27'!#REF!</definedName>
    <definedName name="XDO_?NAMC?151?">'SCPOF-Series A (Plan 7)'!#REF!</definedName>
    <definedName name="XDO_?NAMC?152?">'SFMP- Series 28'!#REF!</definedName>
    <definedName name="XDO_?NAMC?153?">'SCPOF-Series A (Plan 8)'!#REF!</definedName>
    <definedName name="XDO_?NAMC?154?">'SFMP- Series 31'!#REF!</definedName>
    <definedName name="XDO_?NAMC?155?">'SFMP- Series 32'!#REF!</definedName>
    <definedName name="XDO_?NAMC?156?">'SFMP- Series 33'!#REF!</definedName>
    <definedName name="XDO_?NAMC?157?">'SFMP- Series 34'!#REF!</definedName>
    <definedName name="XDO_?NAMC?158?">'SMCBF-Investment Plan'!#REF!</definedName>
    <definedName name="XDO_?NAMC?159?">SBIRIOS!#REF!</definedName>
    <definedName name="XDO_?NAMC?16?">'[1]MTP-94'!#REF!</definedName>
    <definedName name="XDO_?NAMC?160?">#REF!</definedName>
    <definedName name="XDO_?NAMC?161?">#REF!</definedName>
    <definedName name="XDO_?NAMC?162?">#REF!</definedName>
    <definedName name="XDO_?NAMC?163?">#REF!</definedName>
    <definedName name="XDO_?NAMC?17?">SMGLF!#REF!</definedName>
    <definedName name="XDO_?NAMC?18?">'[1]MBF-94'!#REF!</definedName>
    <definedName name="XDO_?NAMC?19?">'[1]MELS-95'!#REF!</definedName>
    <definedName name="XDO_?NAMC?2?">'[1]MRIS-89'!#REF!</definedName>
    <definedName name="XDO_?NAMC?20?">SEHF!#REF!</definedName>
    <definedName name="XDO_?NAMC?21?">'[1]MELS-96'!#REF!</definedName>
    <definedName name="XDO_?NAMC?22?">'[1]MMIS-97'!#REF!</definedName>
    <definedName name="XDO_?NAMC?23?">'[1]MMIS-98 I'!#REF!</definedName>
    <definedName name="XDO_?NAMC?24?">SMIF!#REF!</definedName>
    <definedName name="XDO_?NAMC?25?">'[1]MMIS-98 II'!#REF!</definedName>
    <definedName name="XDO_?NAMC?26?">'[1]MGF-99'!#REF!</definedName>
    <definedName name="XDO_?NAMC?27?">SCOF!#REF!</definedName>
    <definedName name="XDO_?NAMC?28?">STOF!#REF!</definedName>
    <definedName name="XDO_?NAMC?29?">SHOF!#REF!</definedName>
    <definedName name="XDO_?NAMC?3?">'[1]MMIS-89'!#REF!</definedName>
    <definedName name="XDO_?NAMC?30?">SCF!#REF!</definedName>
    <definedName name="XDO_?NAMC?31?">SNIF!#REF!</definedName>
    <definedName name="XDO_?NAMC?32?">SMCBF!#REF!</definedName>
    <definedName name="XDO_?NAMC?33?">SOF!#REF!</definedName>
    <definedName name="XDO_?NAMC?34?">SMMDF!#REF!</definedName>
    <definedName name="XDO_?NAMC?35?">SLF!#REF!</definedName>
    <definedName name="XDO_?NAMC?36?">SDBF!#REF!</definedName>
    <definedName name="XDO_?NAMC?37?">SSF!#REF!</definedName>
    <definedName name="XDO_?NAMC?38?">SCRF!#REF!</definedName>
    <definedName name="XDO_?NAMC?39?">SFEF!#REF!</definedName>
    <definedName name="XDO_?NAMC?4?">'[1]MTSS-90'!#REF!</definedName>
    <definedName name="XDO_?NAMC?40?">SDHF!#REF!</definedName>
    <definedName name="XDO_?NAMC?41?">SMUSD!#REF!</definedName>
    <definedName name="XDO_?NAMC?42?">SMIDCAP!#REF!</definedName>
    <definedName name="XDO_?NAMC?43?">SMCMF!#REF!</definedName>
    <definedName name="XDO_?NAMC?44?">SMCOMMA!#REF!</definedName>
    <definedName name="XDO_?NAMC?45?">SMGF!#REF!</definedName>
    <definedName name="XDO_?NAMC?46?">SMMULTI!#REF!</definedName>
    <definedName name="XDO_?NAMC?47?">SMAAF!#REF!</definedName>
    <definedName name="XDO_?NAMC?48?">SBLUECHIP!#REF!</definedName>
    <definedName name="XDO_?NAMC?49?">SAOF!#REF!</definedName>
    <definedName name="XDO_?NAMC?5?">'[1]MRIS-90'!#REF!</definedName>
    <definedName name="XDO_?NAMC?50?">SIF!#REF!</definedName>
    <definedName name="XDO_?NAMC?51?">SMLDF!#REF!</definedName>
    <definedName name="XDO_?NAMC?52?">SSTDF!#REF!</definedName>
    <definedName name="XDO_?NAMC?53?">'SETF-Gold'!#REF!</definedName>
    <definedName name="XDO_?NAMC?54?">SPSU!#REF!</definedName>
    <definedName name="XDO_?NAMC?55?">SGF!#REF!</definedName>
    <definedName name="XDO_?NAMC?56?">'STAF-II'!#REF!</definedName>
    <definedName name="XDO_?NAMC?57?">'SETF-SENSEX'!#REF!</definedName>
    <definedName name="XDO_?NAMC?58?">SSCF!#REF!</definedName>
    <definedName name="XDO_?NAMC?59?">SBPF!#REF!</definedName>
    <definedName name="XDO_?NAMC?6?">SMEEF!#REF!</definedName>
    <definedName name="XDO_?NAMC?60?">'STAF-III'!#REF!</definedName>
    <definedName name="XDO_?NAMC?61?">'SEOF-I'!#REF!</definedName>
    <definedName name="XDO_?NAMC?62?">'SLTAF-I'!#REF!</definedName>
    <definedName name="XDO_?NAMC?63?">'SLTAF-II'!#REF!</definedName>
    <definedName name="XDO_?NAMC?64?">SBFS!#REF!</definedName>
    <definedName name="XDO_?NAMC?65?">SDAAF!#REF!</definedName>
    <definedName name="XDO_?NAMC?66?">'SETF-NN50'!#REF!</definedName>
    <definedName name="XDO_?NAMC?67?">'SETF-NBank'!#REF!</definedName>
    <definedName name="XDO_?NAMC?68?">'SETF-BSE 100'!#REF!</definedName>
    <definedName name="XDO_?NAMC?69?">SESF!#REF!</definedName>
    <definedName name="XDO_?NAMC?7?">'[1]MELS-91'!#REF!</definedName>
    <definedName name="XDO_?NAMC?70?">'SETF-Nifty 50'!#REF!</definedName>
    <definedName name="XDO_?NAMC?71?">'SEOF-IV'!#REF!</definedName>
    <definedName name="XDO_?NAMC?72?">'SLTAF-III'!#REF!</definedName>
    <definedName name="XDO_?NAMC?73?">'SETF-10 Yr Gilt'!#REF!</definedName>
    <definedName name="XDO_?NAMC?74?">'SLTAF-IV'!#REF!</definedName>
    <definedName name="XDO_?NAMC?75?">'SDAFS-XXIV'!#REF!</definedName>
    <definedName name="XDO_?NAMC?76?">'SDAFS-XXV'!#REF!</definedName>
    <definedName name="XDO_?NAMC?77?">'SLTAF-V'!#REF!</definedName>
    <definedName name="XDO_?NAMC?78?">'SDFS-C-7'!#REF!</definedName>
    <definedName name="XDO_?NAMC?79?">'SDAFS-XXVI'!#REF!</definedName>
    <definedName name="XDO_?NAMC?8?">'[1]MMIS-91'!#REF!</definedName>
    <definedName name="XDO_?NAMC?80?">'SDFS-C-8'!#REF!</definedName>
    <definedName name="XDO_?NAMC?81?">'SDFS-C-9'!#REF!</definedName>
    <definedName name="XDO_?NAMC?82?">'SDFS-C-10'!#REF!</definedName>
    <definedName name="XDO_?NAMC?83?">'SDAFS-XXVII'!#REF!</definedName>
    <definedName name="XDO_?NAMC?84?">'SDFS-C-12'!#REF!</definedName>
    <definedName name="XDO_?NAMC?85?">'SDFS-C-14'!#REF!</definedName>
    <definedName name="XDO_?NAMC?86?">'SLTAF-VI'!#REF!</definedName>
    <definedName name="XDO_?NAMC?87?">'SDAFS-XXVIII'!#REF!</definedName>
    <definedName name="XDO_?NAMC?88?">'SDFS-C-16'!#REF!</definedName>
    <definedName name="XDO_?NAMC?89?">'SDFS-C-18'!#REF!</definedName>
    <definedName name="XDO_?NAMC?9?">[1]MTPL!#REF!</definedName>
    <definedName name="XDO_?NAMC?90?">'SDFS-C-19'!#REF!</definedName>
    <definedName name="XDO_?NAMC?91?">'SDAFS-XXIX'!#REF!</definedName>
    <definedName name="XDO_?NAMC?92?">'SDFS-C-20'!#REF!</definedName>
    <definedName name="XDO_?NAMC?93?">'SDFS-C-21'!#REF!</definedName>
    <definedName name="XDO_?NAMC?94?">'SDFS-C-22'!#REF!</definedName>
    <definedName name="XDO_?NAMC?95?">'SDFS-C-23'!#REF!</definedName>
    <definedName name="XDO_?NAMC?96?">'SETF-SN50'!#REF!</definedName>
    <definedName name="XDO_?NAMC?97?">'SDFS-C-24'!#REF!</definedName>
    <definedName name="XDO_?NAMC?98?">'SDFS-C-25'!#REF!</definedName>
    <definedName name="XDO_?NAMC?99?">'SDAFS-XXX'!#REF!</definedName>
    <definedName name="XDO_?NAMCNAME?">'[1]MRIS-87'!$C$2:$C$48</definedName>
    <definedName name="XDO_?NAMCNAME?1?">'[1]MTSS-88-89'!$C$2:$C$48</definedName>
    <definedName name="XDO_?NAMCNAME?10?">'[1]MEX-91'!$C$2:$C$48</definedName>
    <definedName name="XDO_?NAMCNAME?100?">'SDFS-C-26'!$C$2:$C$32</definedName>
    <definedName name="XDO_?NAMCNAME?101?">'SDFS-C-27'!$C$2:$C$29</definedName>
    <definedName name="XDO_?NAMCNAME?102?">'SDFS-C-28'!$C$2:$C$32</definedName>
    <definedName name="XDO_?NAMCNAME?103?">'SDFS-C-30'!$C$2:$C$32</definedName>
    <definedName name="XDO_?NAMCNAME?104?">'SETF-Quality'!$C$2:$C$39</definedName>
    <definedName name="XDO_?NAMCNAME?105?">'SDFS-C-32'!$C$2:$C$37</definedName>
    <definedName name="XDO_?NAMCNAME?106?">'SDFS-C-33'!$C$2:$C$38</definedName>
    <definedName name="XDO_?NAMCNAME?107?">'SDFS-C-34'!$C$2:$C$32</definedName>
    <definedName name="XDO_?NAMCNAME?108?">'SDFS-C-35'!$C$2:$C$33</definedName>
    <definedName name="XDO_?NAMCNAME?109?">'SDFS-C-38'!$C$2:$C$28</definedName>
    <definedName name="XDO_?NAMCNAME?11?">'[1]GIFTS B'!$C$2:$C$16</definedName>
    <definedName name="XDO_?NAMCNAME?110?">SCBF!$C$2:$C$133</definedName>
    <definedName name="XDO_?NAMCNAME?111?">'SDFS-C-40'!$C$2:$C$28</definedName>
    <definedName name="XDO_?NAMCNAME?112?">'SDFS-C-41'!$C$2:$C$32</definedName>
    <definedName name="XDO_?NAMCNAME?113?">'SDFS-C-43'!$C$2:$C$28</definedName>
    <definedName name="XDO_?NAMCNAME?114?">'SDFS-C-44'!$C$2:$C$28</definedName>
    <definedName name="XDO_?NAMCNAME?115?">'SCPOF-A1'!$C$2:$C$58</definedName>
    <definedName name="XDO_?NAMCNAME?116?">'SDFS-C-46'!$C$2:$C$25</definedName>
    <definedName name="XDO_?NAMCNAME?117?">SEMVF!$C$2:$C$121</definedName>
    <definedName name="XDO_?NAMCNAME?118?">'SDFS-C-48'!$C$2:$C$34</definedName>
    <definedName name="XDO_?NAMCNAME?119?">'SDFS-C-49'!$C$2:$C$27</definedName>
    <definedName name="XDO_?NAMCNAME?12?">'[1]GIFTS A'!$C$2:$C$12</definedName>
    <definedName name="XDO_?NAMCNAME?120?">'SCPOF-Series A (Plan 2)'!$C$2:$C$59</definedName>
    <definedName name="XDO_?NAMCNAME?121?">'SDFS-C-50'!$C$2:$C$26</definedName>
    <definedName name="XDO_?NAMCNAME?122?">'SFMP- Series 1'!$C$2:$C$31</definedName>
    <definedName name="XDO_?NAMCNAME?123?">'SFMP- Series 2'!$C$2:$C$29</definedName>
    <definedName name="XDO_?NAMCNAME?124?">'SFMP- Series 3'!$C$2:$C$29</definedName>
    <definedName name="XDO_?NAMCNAME?125?">'SCPOF-Series A (Plan 3)'!$C$2:$C$59</definedName>
    <definedName name="XDO_?NAMCNAME?126?">'SFMP- Series 6'!$C$2:$C$29</definedName>
    <definedName name="XDO_?NAMCNAME?127?">'SFMP- Series 7'!$C$2:$C$32</definedName>
    <definedName name="XDO_?NAMCNAME?128?">'SFMP- Series 8'!$C$2:$C$32</definedName>
    <definedName name="XDO_?NAMCNAME?129?">'SCPOF-Series A (Plan 4)'!$C$2:$C$59</definedName>
    <definedName name="XDO_?NAMCNAME?13?">SLMF!$C$2:$C$65</definedName>
    <definedName name="XDO_?NAMCNAME?130?">'SFMP- Series 9'!$C$2:$C$31</definedName>
    <definedName name="XDO_?NAMCNAME?131?">'SFMP- Series 10'!$C$2:$C$31</definedName>
    <definedName name="XDO_?NAMCNAME?132?">'SFMP- Series 11'!$C$2:$C$36</definedName>
    <definedName name="XDO_?NAMCNAME?133?">'SFMP- Series 12'!$C$2:$C$31</definedName>
    <definedName name="XDO_?NAMCNAME?134?">'SFMP- Series 13'!$C$2:$C$31</definedName>
    <definedName name="XDO_?NAMCNAME?135?">'SFMP- Series 14'!$C$2:$C$31</definedName>
    <definedName name="XDO_?NAMCNAME?136?">'SFMP- Series 15'!$C$2:$C$29</definedName>
    <definedName name="XDO_?NAMCNAME?137?">'SFMP- Series 16'!$C$2:$C$34</definedName>
    <definedName name="XDO_?NAMCNAME?138?">'SFMP- Series 17'!$C$2:$C$30</definedName>
    <definedName name="XDO_?NAMCNAME?139?">'SCPOF-Series A (Plan 5)'!$C$2:$C$59</definedName>
    <definedName name="XDO_?NAMCNAME?14?">SLTEF!$C$2:$C$65</definedName>
    <definedName name="XDO_?NAMCNAME?140?">'SFMP- Series 18'!$C$2:$C$30</definedName>
    <definedName name="XDO_?NAMCNAME?141?">'SCPOF-Series A (Plan 6)'!$C$2:$C$59</definedName>
    <definedName name="XDO_?NAMCNAME?142?">'SFMP- Series 19'!$C$2:$C$32</definedName>
    <definedName name="XDO_?NAMCNAME?143?">'SFMP- Series 20'!$C$2:$C$31</definedName>
    <definedName name="XDO_?NAMCNAME?144?">'SFMP- Series 21'!$C$2:$C$30</definedName>
    <definedName name="XDO_?NAMCNAME?145?">'SFMP- Series 22'!$C$2:$C$30</definedName>
    <definedName name="XDO_?NAMCNAME?146?">'SFMP- Series 23'!$C$2:$C$30</definedName>
    <definedName name="XDO_?NAMCNAME?147?">'SFMP- Series 24'!$C$2:$C$30</definedName>
    <definedName name="XDO_?NAMCNAME?148?">'SFMP- Series 25'!$C$2:$C$29</definedName>
    <definedName name="XDO_?NAMCNAME?149?">'SFMP- Series 26'!$C$2:$C$30</definedName>
    <definedName name="XDO_?NAMCNAME?15?">'[1]MRIS-93'!$C$2:$C$17</definedName>
    <definedName name="XDO_?NAMCNAME?150?">'SFMP- Series 27'!$C$2:$C$28</definedName>
    <definedName name="XDO_?NAMCNAME?151?">'SCPOF-Series A (Plan 7)'!$C$2:$C$59</definedName>
    <definedName name="XDO_?NAMCNAME?152?">'SFMP- Series 28'!$C$2:$C$27</definedName>
    <definedName name="XDO_?NAMCNAME?153?">'SCPOF-Series A (Plan 8)'!$C$2:$C$59</definedName>
    <definedName name="XDO_?NAMCNAME?154?">'SFMP- Series 31'!$C$2:$C$25</definedName>
    <definedName name="XDO_?NAMCNAME?155?">'SFMP- Series 32'!$C$2:$C$26</definedName>
    <definedName name="XDO_?NAMCNAME?156?">'SFMP- Series 33'!$C$2:$C$26</definedName>
    <definedName name="XDO_?NAMCNAME?157?">'SFMP- Series 34'!$C$2:$C$26</definedName>
    <definedName name="XDO_?NAMCNAME?158?">'SMCBF-Investment Plan'!$C$2:$C$13</definedName>
    <definedName name="XDO_?NAMCNAME?159?">SBIRIOS!$C$2:$C$55</definedName>
    <definedName name="XDO_?NAMCNAME?16?">'[1]MTP-94'!$C$2:$C$12</definedName>
    <definedName name="XDO_?NAMCNAME?160?">#REF!</definedName>
    <definedName name="XDO_?NAMCNAME?161?">#REF!</definedName>
    <definedName name="XDO_?NAMCNAME?162?">#REF!</definedName>
    <definedName name="XDO_?NAMCNAME?163?">#REF!</definedName>
    <definedName name="XDO_?NAMCNAME?17?">SMGLF!$C$2:$C$31</definedName>
    <definedName name="XDO_?NAMCNAME?18?">'[1]MBF-94'!$C$2:$C$10</definedName>
    <definedName name="XDO_?NAMCNAME?19?">'[1]MELS-95'!$C$2:$C$48</definedName>
    <definedName name="XDO_?NAMCNAME?2?">'[1]MRIS-89'!$C$2:$C$48</definedName>
    <definedName name="XDO_?NAMCNAME?20?">SEHF!$C$2:$C$51</definedName>
    <definedName name="XDO_?NAMCNAME?21?">'[1]MELS-96'!$C$2:$C$48</definedName>
    <definedName name="XDO_?NAMCNAME?22?">'[1]MMIS-97'!$C$2:$C$48</definedName>
    <definedName name="XDO_?NAMCNAME?23?">'[1]MMIS-98 I'!$C$2:$C$12</definedName>
    <definedName name="XDO_?NAMCNAME?24?">SMIF!$C$2:$C$30</definedName>
    <definedName name="XDO_?NAMCNAME?25?">'[1]MMIS-98 II'!$C$2:$C$48</definedName>
    <definedName name="XDO_?NAMCNAME?26?">'[1]MGF-99'!$C$2:$C$12</definedName>
    <definedName name="XDO_?NAMCNAME?27?">SCOF!$C$2:$C$38</definedName>
    <definedName name="XDO_?NAMCNAME?28?">STOF!$C$2:$C$14</definedName>
    <definedName name="XDO_?NAMCNAME?29?">SHOF!$C$2:$C$31</definedName>
    <definedName name="XDO_?NAMCNAME?3?">'[1]MMIS-89'!$C$2:$C$10</definedName>
    <definedName name="XDO_?NAMCNAME?30?">SCF!$C$2:$C$56</definedName>
    <definedName name="XDO_?NAMCNAME?31?">SNIF!$C$2:$C$121</definedName>
    <definedName name="XDO_?NAMCNAME?32?">SMCBF!$C$2:$C$36</definedName>
    <definedName name="XDO_?NAMCNAME?33?">SOF!$C$2:$C$49</definedName>
    <definedName name="XDO_?NAMCNAME?34?">SMMDF!$C$2:$C$53</definedName>
    <definedName name="XDO_?NAMCNAME?35?">SLF!$C$2:$C$29</definedName>
    <definedName name="XDO_?NAMCNAME?36?">SDBF!$C$2:$C$29</definedName>
    <definedName name="XDO_?NAMCNAME?37?">SSF!$C$2:$C$25</definedName>
    <definedName name="XDO_?NAMCNAME?38?">SCRF!$C$2:$C$61</definedName>
    <definedName name="XDO_?NAMCNAME?39?">SFEF!$C$2:$C$10</definedName>
    <definedName name="XDO_?NAMCNAME?4?">'[1]MTSS-90'!$C$2:$C$48</definedName>
    <definedName name="XDO_?NAMCNAME?40?">SDHF!$C$2:$C$34</definedName>
    <definedName name="XDO_?NAMCNAME?41?">SMUSD!$C$2:$C$39</definedName>
    <definedName name="XDO_?NAMCNAME?42?">SMIDCAP!$C$2:$C$59</definedName>
    <definedName name="XDO_?NAMCNAME?43?">SMCMF!$C$2:$C$28</definedName>
    <definedName name="XDO_?NAMCNAME?44?">SMCOMMA!$C$2:$C$35</definedName>
    <definedName name="XDO_?NAMCNAME?45?">SMGF!$C$2:$C$28</definedName>
    <definedName name="XDO_?NAMCNAME?46?">SMMULTI!$C$2:$C$55</definedName>
    <definedName name="XDO_?NAMCNAME?47?">SMAAF!$C$2:$C$59</definedName>
    <definedName name="XDO_?NAMCNAME?48?">SBLUECHIP!$C$2:$C$67</definedName>
    <definedName name="XDO_?NAMCNAME?49?">SAOF!$C$2:$C$73</definedName>
    <definedName name="XDO_?NAMCNAME?5?">'[1]MRIS-90'!$C$2:$C$48</definedName>
    <definedName name="XDO_?NAMCNAME?50?">SIF!$C$2:$C$37</definedName>
    <definedName name="XDO_?NAMCNAME?51?">SMLDF!$C$2:$C$62</definedName>
    <definedName name="XDO_?NAMCNAME?52?">SSTDF!$C$2:$C$101</definedName>
    <definedName name="XDO_?NAMCNAME?53?">'SETF-Gold'!$C$2:$C$42</definedName>
    <definedName name="XDO_?NAMCNAME?54?">SPSU!$C$2:$C$31</definedName>
    <definedName name="XDO_?NAMCNAME?55?">SGF!$C$2:$C$40</definedName>
    <definedName name="XDO_?NAMCNAME?56?">'STAF-II'!$C$2:$C$35</definedName>
    <definedName name="XDO_?NAMCNAME?57?">'SETF-SENSEX'!$C$2:$C$39</definedName>
    <definedName name="XDO_?NAMCNAME?58?">SSCF!$C$2:$C$62</definedName>
    <definedName name="XDO_?NAMCNAME?59?">SBPF!$C$2:$C$96</definedName>
    <definedName name="XDO_?NAMCNAME?6?">SMEEF!$C$2:$C$50</definedName>
    <definedName name="XDO_?NAMCNAME?60?">'STAF-III'!$C$2:$C$36</definedName>
    <definedName name="XDO_?NAMCNAME?61?">'SEOF-I'!$C$2:$C$45</definedName>
    <definedName name="XDO_?NAMCNAME?62?">'SLTAF-I'!$C$2:$C$37</definedName>
    <definedName name="XDO_?NAMCNAME?63?">'SLTAF-II'!$C$2:$C$39</definedName>
    <definedName name="XDO_?NAMCNAME?64?">SBFS!$C$2:$C$30</definedName>
    <definedName name="XDO_?NAMCNAME?65?">SDAAF!$C$2:$C$40</definedName>
    <definedName name="XDO_?NAMCNAME?66?">'SETF-NN50'!$C$2:$C$59</definedName>
    <definedName name="XDO_?NAMCNAME?67?">'SETF-NBank'!$C$2:$C$76</definedName>
    <definedName name="XDO_?NAMCNAME?68?">'SETF-BSE 100'!$C$2:$C$165</definedName>
    <definedName name="XDO_?NAMCNAME?69?">SESF!$C$2:$C$81</definedName>
    <definedName name="XDO_?NAMCNAME?7?">'[1]MELS-91'!$C$2:$C$12</definedName>
    <definedName name="XDO_?NAMCNAME?70?">'SETF-Nifty 50'!$C$2:$C$114</definedName>
    <definedName name="XDO_?NAMCNAME?71?">'SEOF-IV'!$C$2:$C$45</definedName>
    <definedName name="XDO_?NAMCNAME?72?">'SLTAF-III'!$C$2:$C$39</definedName>
    <definedName name="XDO_?NAMCNAME?73?">'SETF-10 Yr Gilt'!$C$2:$C$24</definedName>
    <definedName name="XDO_?NAMCNAME?74?">'SLTAF-IV'!$C$2:$C$38</definedName>
    <definedName name="XDO_?NAMCNAME?75?">'SDAFS-XXIV'!$C$2:$C$21</definedName>
    <definedName name="XDO_?NAMCNAME?76?">'SDAFS-XXV'!$C$2:$C$31</definedName>
    <definedName name="XDO_?NAMCNAME?77?">'SLTAF-V'!$C$2:$C$42</definedName>
    <definedName name="XDO_?NAMCNAME?78?">'SDFS-C-7'!$C$2:$C$28</definedName>
    <definedName name="XDO_?NAMCNAME?79?">'SDAFS-XXVI'!$C$2:$C$31</definedName>
    <definedName name="XDO_?NAMCNAME?8?">'[1]MMIS-91'!$C$2:$C$11</definedName>
    <definedName name="XDO_?NAMCNAME?80?">'SDFS-C-8'!$C$2:$C$28</definedName>
    <definedName name="XDO_?NAMCNAME?81?">'SDFS-C-9'!$C$2:$C$27</definedName>
    <definedName name="XDO_?NAMCNAME?82?">'SDFS-C-10'!$C$2:$C$29</definedName>
    <definedName name="XDO_?NAMCNAME?83?">'SDAFS-XXVII'!$C$2:$C$33</definedName>
    <definedName name="XDO_?NAMCNAME?84?">'SDFS-C-12'!$C$2:$C$26</definedName>
    <definedName name="XDO_?NAMCNAME?85?">'SDFS-C-14'!$C$2:$C$27</definedName>
    <definedName name="XDO_?NAMCNAME?86?">'SLTAF-VI'!$C$2:$C$35</definedName>
    <definedName name="XDO_?NAMCNAME?87?">'SDAFS-XXVIII'!$C$2:$C$34</definedName>
    <definedName name="XDO_?NAMCNAME?88?">'SDFS-C-16'!$C$2:$C$32</definedName>
    <definedName name="XDO_?NAMCNAME?89?">'SDFS-C-18'!$C$2:$C$36</definedName>
    <definedName name="XDO_?NAMCNAME?9?">[1]MTPL!$C$2:$C$10</definedName>
    <definedName name="XDO_?NAMCNAME?90?">'SDFS-C-19'!$C$2:$C$29</definedName>
    <definedName name="XDO_?NAMCNAME?91?">'SDAFS-XXIX'!$C$2:$C$34</definedName>
    <definedName name="XDO_?NAMCNAME?92?">'SDFS-C-20'!$C$2:$C$28</definedName>
    <definedName name="XDO_?NAMCNAME?93?">'SDFS-C-21'!$C$2:$C$29</definedName>
    <definedName name="XDO_?NAMCNAME?94?">'SDFS-C-22'!$C$2:$C$29</definedName>
    <definedName name="XDO_?NAMCNAME?95?">'SDFS-C-23'!$C$2:$C$34</definedName>
    <definedName name="XDO_?NAMCNAME?96?">'SETF-SN50'!$C$2:$C$114</definedName>
    <definedName name="XDO_?NAMCNAME?97?">'SDFS-C-24'!$C$2:$C$29</definedName>
    <definedName name="XDO_?NAMCNAME?98?">'SDFS-C-25'!$C$2:$C$34</definedName>
    <definedName name="XDO_?NAMCNAME?99?">'SDAFS-XXX'!$C$2:$C$34</definedName>
    <definedName name="XDO_?NDATE?">'[1]MRIS-87'!#REF!</definedName>
    <definedName name="XDO_?NDATE?1?">'[1]MTSS-88-89'!#REF!</definedName>
    <definedName name="XDO_?NDATE?10?">'[1]MEX-91'!#REF!</definedName>
    <definedName name="XDO_?NDATE?100?">'SDFS-C-26'!#REF!</definedName>
    <definedName name="XDO_?NDATE?101?">'SDFS-C-27'!#REF!</definedName>
    <definedName name="XDO_?NDATE?102?">'SDFS-C-28'!#REF!</definedName>
    <definedName name="XDO_?NDATE?103?">'SDFS-C-30'!#REF!</definedName>
    <definedName name="XDO_?NDATE?104?">'SETF-Quality'!#REF!</definedName>
    <definedName name="XDO_?NDATE?105?">'SDFS-C-32'!#REF!</definedName>
    <definedName name="XDO_?NDATE?106?">'SDFS-C-33'!#REF!</definedName>
    <definedName name="XDO_?NDATE?107?">'SDFS-C-34'!#REF!</definedName>
    <definedName name="XDO_?NDATE?108?">'SDFS-C-35'!#REF!</definedName>
    <definedName name="XDO_?NDATE?109?">'SDFS-C-38'!#REF!</definedName>
    <definedName name="XDO_?NDATE?11?">'[1]GIFTS B'!#REF!</definedName>
    <definedName name="XDO_?NDATE?110?">SCBF!#REF!</definedName>
    <definedName name="XDO_?NDATE?111?">'SDFS-C-40'!#REF!</definedName>
    <definedName name="XDO_?NDATE?112?">'SDFS-C-41'!#REF!</definedName>
    <definedName name="XDO_?NDATE?113?">'SDFS-C-43'!#REF!</definedName>
    <definedName name="XDO_?NDATE?114?">'SDFS-C-44'!#REF!</definedName>
    <definedName name="XDO_?NDATE?115?">'SCPOF-A1'!#REF!</definedName>
    <definedName name="XDO_?NDATE?116?">'SDFS-C-46'!#REF!</definedName>
    <definedName name="XDO_?NDATE?117?">SEMVF!#REF!</definedName>
    <definedName name="XDO_?NDATE?118?">'SDFS-C-48'!#REF!</definedName>
    <definedName name="XDO_?NDATE?119?">'SDFS-C-49'!#REF!</definedName>
    <definedName name="XDO_?NDATE?12?">'[1]GIFTS A'!#REF!</definedName>
    <definedName name="XDO_?NDATE?120?">'SCPOF-Series A (Plan 2)'!#REF!</definedName>
    <definedName name="XDO_?NDATE?121?">'SDFS-C-50'!#REF!</definedName>
    <definedName name="XDO_?NDATE?122?">'SFMP- Series 1'!#REF!</definedName>
    <definedName name="XDO_?NDATE?123?">'SFMP- Series 2'!#REF!</definedName>
    <definedName name="XDO_?NDATE?124?">'SFMP- Series 3'!#REF!</definedName>
    <definedName name="XDO_?NDATE?125?">'SCPOF-Series A (Plan 3)'!#REF!</definedName>
    <definedName name="XDO_?NDATE?126?">'SFMP- Series 6'!#REF!</definedName>
    <definedName name="XDO_?NDATE?127?">'SFMP- Series 7'!#REF!</definedName>
    <definedName name="XDO_?NDATE?128?">'SFMP- Series 8'!#REF!</definedName>
    <definedName name="XDO_?NDATE?129?">'SCPOF-Series A (Plan 4)'!#REF!</definedName>
    <definedName name="XDO_?NDATE?13?">SLMF!#REF!</definedName>
    <definedName name="XDO_?NDATE?130?">'SFMP- Series 9'!#REF!</definedName>
    <definedName name="XDO_?NDATE?131?">'SFMP- Series 10'!#REF!</definedName>
    <definedName name="XDO_?NDATE?132?">'SFMP- Series 11'!#REF!</definedName>
    <definedName name="XDO_?NDATE?133?">'SFMP- Series 12'!#REF!</definedName>
    <definedName name="XDO_?NDATE?134?">'SFMP- Series 13'!#REF!</definedName>
    <definedName name="XDO_?NDATE?135?">'SFMP- Series 14'!#REF!</definedName>
    <definedName name="XDO_?NDATE?136?">'SFMP- Series 15'!#REF!</definedName>
    <definedName name="XDO_?NDATE?137?">'SFMP- Series 16'!#REF!</definedName>
    <definedName name="XDO_?NDATE?138?">'SFMP- Series 17'!#REF!</definedName>
    <definedName name="XDO_?NDATE?139?">'SCPOF-Series A (Plan 5)'!#REF!</definedName>
    <definedName name="XDO_?NDATE?14?">SLTEF!#REF!</definedName>
    <definedName name="XDO_?NDATE?140?">'SFMP- Series 18'!#REF!</definedName>
    <definedName name="XDO_?NDATE?141?">'SCPOF-Series A (Plan 6)'!#REF!</definedName>
    <definedName name="XDO_?NDATE?142?">'SFMP- Series 19'!#REF!</definedName>
    <definedName name="XDO_?NDATE?143?">'SFMP- Series 20'!#REF!</definedName>
    <definedName name="XDO_?NDATE?144?">'SFMP- Series 21'!#REF!</definedName>
    <definedName name="XDO_?NDATE?145?">'SFMP- Series 22'!#REF!</definedName>
    <definedName name="XDO_?NDATE?146?">'SFMP- Series 23'!#REF!</definedName>
    <definedName name="XDO_?NDATE?147?">'SFMP- Series 24'!#REF!</definedName>
    <definedName name="XDO_?NDATE?148?">'SFMP- Series 25'!#REF!</definedName>
    <definedName name="XDO_?NDATE?149?">'SFMP- Series 26'!#REF!</definedName>
    <definedName name="XDO_?NDATE?15?">'[1]MRIS-93'!#REF!</definedName>
    <definedName name="XDO_?NDATE?150?">'SFMP- Series 27'!#REF!</definedName>
    <definedName name="XDO_?NDATE?151?">'SCPOF-Series A (Plan 7)'!#REF!</definedName>
    <definedName name="XDO_?NDATE?152?">'SFMP- Series 28'!#REF!</definedName>
    <definedName name="XDO_?NDATE?153?">'SCPOF-Series A (Plan 8)'!#REF!</definedName>
    <definedName name="XDO_?NDATE?154?">'SFMP- Series 31'!#REF!</definedName>
    <definedName name="XDO_?NDATE?155?">'SFMP- Series 32'!#REF!</definedName>
    <definedName name="XDO_?NDATE?156?">'SFMP- Series 33'!#REF!</definedName>
    <definedName name="XDO_?NDATE?157?">'SFMP- Series 34'!#REF!</definedName>
    <definedName name="XDO_?NDATE?158?">'SMCBF-Investment Plan'!#REF!</definedName>
    <definedName name="XDO_?NDATE?159?">SBIRIOS!#REF!</definedName>
    <definedName name="XDO_?NDATE?16?">'[1]MTP-94'!#REF!</definedName>
    <definedName name="XDO_?NDATE?160?">#REF!</definedName>
    <definedName name="XDO_?NDATE?161?">#REF!</definedName>
    <definedName name="XDO_?NDATE?162?">#REF!</definedName>
    <definedName name="XDO_?NDATE?163?">#REF!</definedName>
    <definedName name="XDO_?NDATE?17?">SMGLF!#REF!</definedName>
    <definedName name="XDO_?NDATE?18?">'[1]MBF-94'!#REF!</definedName>
    <definedName name="XDO_?NDATE?19?">'[1]MELS-95'!#REF!</definedName>
    <definedName name="XDO_?NDATE?2?">'[1]MRIS-89'!#REF!</definedName>
    <definedName name="XDO_?NDATE?20?">SEHF!#REF!</definedName>
    <definedName name="XDO_?NDATE?21?">'[1]MELS-96'!#REF!</definedName>
    <definedName name="XDO_?NDATE?22?">'[1]MMIS-97'!#REF!</definedName>
    <definedName name="XDO_?NDATE?23?">'[1]MMIS-98 I'!#REF!</definedName>
    <definedName name="XDO_?NDATE?24?">SMIF!#REF!</definedName>
    <definedName name="XDO_?NDATE?25?">'[1]MMIS-98 II'!#REF!</definedName>
    <definedName name="XDO_?NDATE?26?">'[1]MGF-99'!#REF!</definedName>
    <definedName name="XDO_?NDATE?27?">SCOF!#REF!</definedName>
    <definedName name="XDO_?NDATE?28?">STOF!#REF!</definedName>
    <definedName name="XDO_?NDATE?29?">SHOF!#REF!</definedName>
    <definedName name="XDO_?NDATE?3?">'[1]MMIS-89'!#REF!</definedName>
    <definedName name="XDO_?NDATE?30?">SCF!#REF!</definedName>
    <definedName name="XDO_?NDATE?31?">SNIF!#REF!</definedName>
    <definedName name="XDO_?NDATE?32?">SMCBF!#REF!</definedName>
    <definedName name="XDO_?NDATE?33?">SOF!#REF!</definedName>
    <definedName name="XDO_?NDATE?34?">SMMDF!#REF!</definedName>
    <definedName name="XDO_?NDATE?35?">SLF!#REF!</definedName>
    <definedName name="XDO_?NDATE?36?">SDBF!#REF!</definedName>
    <definedName name="XDO_?NDATE?37?">SSF!#REF!</definedName>
    <definedName name="XDO_?NDATE?38?">SCRF!#REF!</definedName>
    <definedName name="XDO_?NDATE?39?">SFEF!#REF!</definedName>
    <definedName name="XDO_?NDATE?4?">'[1]MTSS-90'!#REF!</definedName>
    <definedName name="XDO_?NDATE?40?">SDHF!#REF!</definedName>
    <definedName name="XDO_?NDATE?41?">SMUSD!#REF!</definedName>
    <definedName name="XDO_?NDATE?42?">SMIDCAP!#REF!</definedName>
    <definedName name="XDO_?NDATE?43?">SMCMF!#REF!</definedName>
    <definedName name="XDO_?NDATE?44?">SMCOMMA!#REF!</definedName>
    <definedName name="XDO_?NDATE?45?">SMGF!#REF!</definedName>
    <definedName name="XDO_?NDATE?46?">SMMULTI!#REF!</definedName>
    <definedName name="XDO_?NDATE?47?">SMAAF!#REF!</definedName>
    <definedName name="XDO_?NDATE?48?">SBLUECHIP!#REF!</definedName>
    <definedName name="XDO_?NDATE?49?">SAOF!#REF!</definedName>
    <definedName name="XDO_?NDATE?5?">'[1]MRIS-90'!#REF!</definedName>
    <definedName name="XDO_?NDATE?50?">SIF!#REF!</definedName>
    <definedName name="XDO_?NDATE?51?">SMLDF!#REF!</definedName>
    <definedName name="XDO_?NDATE?52?">SSTDF!#REF!</definedName>
    <definedName name="XDO_?NDATE?53?">'SETF-Gold'!#REF!</definedName>
    <definedName name="XDO_?NDATE?54?">SPSU!#REF!</definedName>
    <definedName name="XDO_?NDATE?55?">SGF!#REF!</definedName>
    <definedName name="XDO_?NDATE?56?">'STAF-II'!#REF!</definedName>
    <definedName name="XDO_?NDATE?57?">'SETF-SENSEX'!#REF!</definedName>
    <definedName name="XDO_?NDATE?58?">SSCF!#REF!</definedName>
    <definedName name="XDO_?NDATE?59?">SBPF!#REF!</definedName>
    <definedName name="XDO_?NDATE?6?">SMEEF!#REF!</definedName>
    <definedName name="XDO_?NDATE?60?">'STAF-III'!#REF!</definedName>
    <definedName name="XDO_?NDATE?61?">'SEOF-I'!#REF!</definedName>
    <definedName name="XDO_?NDATE?62?">'SLTAF-I'!#REF!</definedName>
    <definedName name="XDO_?NDATE?63?">'SLTAF-II'!#REF!</definedName>
    <definedName name="XDO_?NDATE?64?">SBFS!#REF!</definedName>
    <definedName name="XDO_?NDATE?65?">SDAAF!#REF!</definedName>
    <definedName name="XDO_?NDATE?66?">'SETF-NN50'!#REF!</definedName>
    <definedName name="XDO_?NDATE?67?">'SETF-NBank'!#REF!</definedName>
    <definedName name="XDO_?NDATE?68?">'SETF-BSE 100'!#REF!</definedName>
    <definedName name="XDO_?NDATE?69?">SESF!#REF!</definedName>
    <definedName name="XDO_?NDATE?7?">'[1]MELS-91'!#REF!</definedName>
    <definedName name="XDO_?NDATE?70?">'SETF-Nifty 50'!#REF!</definedName>
    <definedName name="XDO_?NDATE?71?">'SEOF-IV'!#REF!</definedName>
    <definedName name="XDO_?NDATE?72?">'SLTAF-III'!#REF!</definedName>
    <definedName name="XDO_?NDATE?73?">'SETF-10 Yr Gilt'!#REF!</definedName>
    <definedName name="XDO_?NDATE?74?">'SLTAF-IV'!#REF!</definedName>
    <definedName name="XDO_?NDATE?75?">'SDAFS-XXIV'!#REF!</definedName>
    <definedName name="XDO_?NDATE?76?">'SDAFS-XXV'!#REF!</definedName>
    <definedName name="XDO_?NDATE?77?">'SLTAF-V'!#REF!</definedName>
    <definedName name="XDO_?NDATE?78?">'SDFS-C-7'!#REF!</definedName>
    <definedName name="XDO_?NDATE?79?">'SDAFS-XXVI'!#REF!</definedName>
    <definedName name="XDO_?NDATE?8?">'[1]MMIS-91'!#REF!</definedName>
    <definedName name="XDO_?NDATE?80?">'SDFS-C-8'!#REF!</definedName>
    <definedName name="XDO_?NDATE?81?">'SDFS-C-9'!#REF!</definedName>
    <definedName name="XDO_?NDATE?82?">'SDFS-C-10'!#REF!</definedName>
    <definedName name="XDO_?NDATE?83?">'SDAFS-XXVII'!#REF!</definedName>
    <definedName name="XDO_?NDATE?84?">'SDFS-C-12'!#REF!</definedName>
    <definedName name="XDO_?NDATE?85?">'SDFS-C-14'!#REF!</definedName>
    <definedName name="XDO_?NDATE?86?">'SLTAF-VI'!#REF!</definedName>
    <definedName name="XDO_?NDATE?87?">'SDAFS-XXVIII'!#REF!</definedName>
    <definedName name="XDO_?NDATE?88?">'SDFS-C-16'!#REF!</definedName>
    <definedName name="XDO_?NDATE?89?">'SDFS-C-18'!#REF!</definedName>
    <definedName name="XDO_?NDATE?9?">[1]MTPL!#REF!</definedName>
    <definedName name="XDO_?NDATE?90?">'SDFS-C-19'!#REF!</definedName>
    <definedName name="XDO_?NDATE?91?">'SDAFS-XXIX'!#REF!</definedName>
    <definedName name="XDO_?NDATE?92?">'SDFS-C-20'!#REF!</definedName>
    <definedName name="XDO_?NDATE?93?">'SDFS-C-21'!#REF!</definedName>
    <definedName name="XDO_?NDATE?94?">'SDFS-C-22'!#REF!</definedName>
    <definedName name="XDO_?NDATE?95?">'SDFS-C-23'!#REF!</definedName>
    <definedName name="XDO_?NDATE?96?">'SETF-SN50'!#REF!</definedName>
    <definedName name="XDO_?NDATE?97?">'SDFS-C-24'!#REF!</definedName>
    <definedName name="XDO_?NDATE?98?">'SDFS-C-25'!#REF!</definedName>
    <definedName name="XDO_?NDATE?99?">'SDAFS-XXX'!#REF!</definedName>
    <definedName name="XDO_?NNPTF?">'[1]MRIS-87'!#REF!</definedName>
    <definedName name="XDO_?NNPTF?1?">'[1]MTSS-88-89'!#REF!</definedName>
    <definedName name="XDO_?NNPTF?10?">'[1]MEX-91'!#REF!</definedName>
    <definedName name="XDO_?NNPTF?100?">'SDFS-C-26'!#REF!</definedName>
    <definedName name="XDO_?NNPTF?101?">'SDFS-C-27'!#REF!</definedName>
    <definedName name="XDO_?NNPTF?102?">'SDFS-C-28'!#REF!</definedName>
    <definedName name="XDO_?NNPTF?103?">'SDFS-C-30'!#REF!</definedName>
    <definedName name="XDO_?NNPTF?104?">'SETF-Quality'!#REF!</definedName>
    <definedName name="XDO_?NNPTF?105?">'SDFS-C-32'!#REF!</definedName>
    <definedName name="XDO_?NNPTF?106?">'SDFS-C-33'!#REF!</definedName>
    <definedName name="XDO_?NNPTF?107?">'SDFS-C-34'!#REF!</definedName>
    <definedName name="XDO_?NNPTF?108?">'SDFS-C-35'!#REF!</definedName>
    <definedName name="XDO_?NNPTF?109?">'SDFS-C-38'!#REF!</definedName>
    <definedName name="XDO_?NNPTF?11?">'[1]GIFTS B'!#REF!</definedName>
    <definedName name="XDO_?NNPTF?110?">SCBF!#REF!</definedName>
    <definedName name="XDO_?NNPTF?111?">'SDFS-C-40'!#REF!</definedName>
    <definedName name="XDO_?NNPTF?112?">'SDFS-C-41'!#REF!</definedName>
    <definedName name="XDO_?NNPTF?113?">'SDFS-C-43'!#REF!</definedName>
    <definedName name="XDO_?NNPTF?114?">'SDFS-C-44'!#REF!</definedName>
    <definedName name="XDO_?NNPTF?115?">'SCPOF-A1'!#REF!</definedName>
    <definedName name="XDO_?NNPTF?116?">'SDFS-C-46'!#REF!</definedName>
    <definedName name="XDO_?NNPTF?117?">SEMVF!#REF!</definedName>
    <definedName name="XDO_?NNPTF?118?">'SDFS-C-48'!#REF!</definedName>
    <definedName name="XDO_?NNPTF?119?">'SDFS-C-49'!#REF!</definedName>
    <definedName name="XDO_?NNPTF?12?">'[1]GIFTS A'!#REF!</definedName>
    <definedName name="XDO_?NNPTF?120?">'SCPOF-Series A (Plan 2)'!#REF!</definedName>
    <definedName name="XDO_?NNPTF?121?">'SDFS-C-50'!#REF!</definedName>
    <definedName name="XDO_?NNPTF?122?">'SFMP- Series 1'!#REF!</definedName>
    <definedName name="XDO_?NNPTF?123?">'SFMP- Series 2'!#REF!</definedName>
    <definedName name="XDO_?NNPTF?124?">'SFMP- Series 3'!#REF!</definedName>
    <definedName name="XDO_?NNPTF?125?">'SCPOF-Series A (Plan 3)'!#REF!</definedName>
    <definedName name="XDO_?NNPTF?126?">'SFMP- Series 6'!#REF!</definedName>
    <definedName name="XDO_?NNPTF?127?">'SFMP- Series 7'!#REF!</definedName>
    <definedName name="XDO_?NNPTF?128?">'SFMP- Series 8'!#REF!</definedName>
    <definedName name="XDO_?NNPTF?129?">'SCPOF-Series A (Plan 4)'!#REF!</definedName>
    <definedName name="XDO_?NNPTF?13?">SLMF!#REF!</definedName>
    <definedName name="XDO_?NNPTF?130?">'SFMP- Series 9'!#REF!</definedName>
    <definedName name="XDO_?NNPTF?131?">'SFMP- Series 10'!#REF!</definedName>
    <definedName name="XDO_?NNPTF?132?">'SFMP- Series 11'!#REF!</definedName>
    <definedName name="XDO_?NNPTF?133?">'SFMP- Series 12'!#REF!</definedName>
    <definedName name="XDO_?NNPTF?134?">'SFMP- Series 13'!#REF!</definedName>
    <definedName name="XDO_?NNPTF?135?">'SFMP- Series 14'!#REF!</definedName>
    <definedName name="XDO_?NNPTF?136?">'SFMP- Series 15'!#REF!</definedName>
    <definedName name="XDO_?NNPTF?137?">'SFMP- Series 16'!#REF!</definedName>
    <definedName name="XDO_?NNPTF?138?">'SFMP- Series 17'!#REF!</definedName>
    <definedName name="XDO_?NNPTF?139?">'SCPOF-Series A (Plan 5)'!#REF!</definedName>
    <definedName name="XDO_?NNPTF?14?">SLTEF!#REF!</definedName>
    <definedName name="XDO_?NNPTF?140?">'SFMP- Series 18'!#REF!</definedName>
    <definedName name="XDO_?NNPTF?141?">'SCPOF-Series A (Plan 6)'!#REF!</definedName>
    <definedName name="XDO_?NNPTF?142?">'SFMP- Series 19'!#REF!</definedName>
    <definedName name="XDO_?NNPTF?143?">'SFMP- Series 20'!#REF!</definedName>
    <definedName name="XDO_?NNPTF?144?">'SFMP- Series 21'!#REF!</definedName>
    <definedName name="XDO_?NNPTF?145?">'SFMP- Series 22'!#REF!</definedName>
    <definedName name="XDO_?NNPTF?146?">'SFMP- Series 23'!#REF!</definedName>
    <definedName name="XDO_?NNPTF?147?">'SFMP- Series 24'!#REF!</definedName>
    <definedName name="XDO_?NNPTF?148?">'SFMP- Series 25'!#REF!</definedName>
    <definedName name="XDO_?NNPTF?149?">'SFMP- Series 26'!#REF!</definedName>
    <definedName name="XDO_?NNPTF?15?">'[1]MRIS-93'!#REF!</definedName>
    <definedName name="XDO_?NNPTF?150?">'SFMP- Series 27'!#REF!</definedName>
    <definedName name="XDO_?NNPTF?151?">'SCPOF-Series A (Plan 7)'!#REF!</definedName>
    <definedName name="XDO_?NNPTF?152?">'SFMP- Series 28'!#REF!</definedName>
    <definedName name="XDO_?NNPTF?153?">'SCPOF-Series A (Plan 8)'!#REF!</definedName>
    <definedName name="XDO_?NNPTF?154?">'SFMP- Series 31'!#REF!</definedName>
    <definedName name="XDO_?NNPTF?155?">'SFMP- Series 32'!#REF!</definedName>
    <definedName name="XDO_?NNPTF?156?">'SFMP- Series 33'!#REF!</definedName>
    <definedName name="XDO_?NNPTF?157?">'SFMP- Series 34'!#REF!</definedName>
    <definedName name="XDO_?NNPTF?158?">'SMCBF-Investment Plan'!#REF!</definedName>
    <definedName name="XDO_?NNPTF?159?">SBIRIOS!#REF!</definedName>
    <definedName name="XDO_?NNPTF?16?">'[1]MTP-94'!#REF!</definedName>
    <definedName name="XDO_?NNPTF?160?">#REF!</definedName>
    <definedName name="XDO_?NNPTF?161?">#REF!</definedName>
    <definedName name="XDO_?NNPTF?162?">#REF!</definedName>
    <definedName name="XDO_?NNPTF?163?">#REF!</definedName>
    <definedName name="XDO_?NNPTF?17?">SMGLF!#REF!</definedName>
    <definedName name="XDO_?NNPTF?18?">'[1]MBF-94'!#REF!</definedName>
    <definedName name="XDO_?NNPTF?19?">'[1]MELS-95'!#REF!</definedName>
    <definedName name="XDO_?NNPTF?2?">'[1]MRIS-89'!#REF!</definedName>
    <definedName name="XDO_?NNPTF?20?">SEHF!#REF!</definedName>
    <definedName name="XDO_?NNPTF?21?">'[1]MELS-96'!#REF!</definedName>
    <definedName name="XDO_?NNPTF?22?">'[1]MMIS-97'!#REF!</definedName>
    <definedName name="XDO_?NNPTF?23?">'[1]MMIS-98 I'!#REF!</definedName>
    <definedName name="XDO_?NNPTF?24?">SMIF!#REF!</definedName>
    <definedName name="XDO_?NNPTF?25?">'[1]MMIS-98 II'!#REF!</definedName>
    <definedName name="XDO_?NNPTF?26?">'[1]MGF-99'!#REF!</definedName>
    <definedName name="XDO_?NNPTF?27?">SCOF!#REF!</definedName>
    <definedName name="XDO_?NNPTF?28?">STOF!#REF!</definedName>
    <definedName name="XDO_?NNPTF?29?">SHOF!#REF!</definedName>
    <definedName name="XDO_?NNPTF?3?">'[1]MMIS-89'!#REF!</definedName>
    <definedName name="XDO_?NNPTF?30?">SCF!#REF!</definedName>
    <definedName name="XDO_?NNPTF?31?">SNIF!#REF!</definedName>
    <definedName name="XDO_?NNPTF?32?">SMCBF!#REF!</definedName>
    <definedName name="XDO_?NNPTF?33?">SOF!#REF!</definedName>
    <definedName name="XDO_?NNPTF?34?">SMMDF!#REF!</definedName>
    <definedName name="XDO_?NNPTF?35?">SLF!#REF!</definedName>
    <definedName name="XDO_?NNPTF?36?">SDBF!#REF!</definedName>
    <definedName name="XDO_?NNPTF?37?">SSF!#REF!</definedName>
    <definedName name="XDO_?NNPTF?38?">SCRF!#REF!</definedName>
    <definedName name="XDO_?NNPTF?39?">SFEF!#REF!</definedName>
    <definedName name="XDO_?NNPTF?4?">'[1]MTSS-90'!#REF!</definedName>
    <definedName name="XDO_?NNPTF?40?">SDHF!#REF!</definedName>
    <definedName name="XDO_?NNPTF?41?">SMUSD!#REF!</definedName>
    <definedName name="XDO_?NNPTF?42?">SMIDCAP!#REF!</definedName>
    <definedName name="XDO_?NNPTF?43?">SMCMF!#REF!</definedName>
    <definedName name="XDO_?NNPTF?44?">SMCOMMA!#REF!</definedName>
    <definedName name="XDO_?NNPTF?45?">SMGF!#REF!</definedName>
    <definedName name="XDO_?NNPTF?46?">SMMULTI!#REF!</definedName>
    <definedName name="XDO_?NNPTF?47?">SMAAF!#REF!</definedName>
    <definedName name="XDO_?NNPTF?48?">SBLUECHIP!#REF!</definedName>
    <definedName name="XDO_?NNPTF?49?">SAOF!#REF!</definedName>
    <definedName name="XDO_?NNPTF?5?">'[1]MRIS-90'!#REF!</definedName>
    <definedName name="XDO_?NNPTF?50?">SIF!#REF!</definedName>
    <definedName name="XDO_?NNPTF?51?">SMLDF!#REF!</definedName>
    <definedName name="XDO_?NNPTF?52?">SSTDF!#REF!</definedName>
    <definedName name="XDO_?NNPTF?53?">'SETF-Gold'!#REF!</definedName>
    <definedName name="XDO_?NNPTF?54?">SPSU!#REF!</definedName>
    <definedName name="XDO_?NNPTF?55?">SGF!#REF!</definedName>
    <definedName name="XDO_?NNPTF?56?">'STAF-II'!#REF!</definedName>
    <definedName name="XDO_?NNPTF?57?">'SETF-SENSEX'!#REF!</definedName>
    <definedName name="XDO_?NNPTF?58?">SSCF!#REF!</definedName>
    <definedName name="XDO_?NNPTF?59?">SBPF!#REF!</definedName>
    <definedName name="XDO_?NNPTF?6?">SMEEF!#REF!</definedName>
    <definedName name="XDO_?NNPTF?60?">'STAF-III'!#REF!</definedName>
    <definedName name="XDO_?NNPTF?61?">'SEOF-I'!#REF!</definedName>
    <definedName name="XDO_?NNPTF?62?">'SLTAF-I'!#REF!</definedName>
    <definedName name="XDO_?NNPTF?63?">'SLTAF-II'!#REF!</definedName>
    <definedName name="XDO_?NNPTF?64?">SBFS!#REF!</definedName>
    <definedName name="XDO_?NNPTF?65?">SDAAF!#REF!</definedName>
    <definedName name="XDO_?NNPTF?66?">'SETF-NN50'!#REF!</definedName>
    <definedName name="XDO_?NNPTF?67?">'SETF-NBank'!#REF!</definedName>
    <definedName name="XDO_?NNPTF?68?">'SETF-BSE 100'!#REF!</definedName>
    <definedName name="XDO_?NNPTF?69?">SESF!#REF!</definedName>
    <definedName name="XDO_?NNPTF?7?">'[1]MELS-91'!#REF!</definedName>
    <definedName name="XDO_?NNPTF?70?">'SETF-Nifty 50'!#REF!</definedName>
    <definedName name="XDO_?NNPTF?71?">'SEOF-IV'!#REF!</definedName>
    <definedName name="XDO_?NNPTF?72?">'SLTAF-III'!#REF!</definedName>
    <definedName name="XDO_?NNPTF?73?">'SETF-10 Yr Gilt'!#REF!</definedName>
    <definedName name="XDO_?NNPTF?74?">'SLTAF-IV'!#REF!</definedName>
    <definedName name="XDO_?NNPTF?75?">'SDAFS-XXIV'!#REF!</definedName>
    <definedName name="XDO_?NNPTF?76?">'SDAFS-XXV'!#REF!</definedName>
    <definedName name="XDO_?NNPTF?77?">'SLTAF-V'!#REF!</definedName>
    <definedName name="XDO_?NNPTF?78?">'SDFS-C-7'!#REF!</definedName>
    <definedName name="XDO_?NNPTF?79?">'SDAFS-XXVI'!#REF!</definedName>
    <definedName name="XDO_?NNPTF?8?">'[1]MMIS-91'!#REF!</definedName>
    <definedName name="XDO_?NNPTF?80?">'SDFS-C-8'!#REF!</definedName>
    <definedName name="XDO_?NNPTF?81?">'SDFS-C-9'!#REF!</definedName>
    <definedName name="XDO_?NNPTF?82?">'SDFS-C-10'!#REF!</definedName>
    <definedName name="XDO_?NNPTF?83?">'SDAFS-XXVII'!#REF!</definedName>
    <definedName name="XDO_?NNPTF?84?">'SDFS-C-12'!#REF!</definedName>
    <definedName name="XDO_?NNPTF?85?">'SDFS-C-14'!#REF!</definedName>
    <definedName name="XDO_?NNPTF?86?">'SLTAF-VI'!#REF!</definedName>
    <definedName name="XDO_?NNPTF?87?">'SDAFS-XXVIII'!#REF!</definedName>
    <definedName name="XDO_?NNPTF?88?">'SDFS-C-16'!#REF!</definedName>
    <definedName name="XDO_?NNPTF?89?">'SDFS-C-18'!#REF!</definedName>
    <definedName name="XDO_?NNPTF?9?">[1]MTPL!#REF!</definedName>
    <definedName name="XDO_?NNPTF?90?">'SDFS-C-19'!#REF!</definedName>
    <definedName name="XDO_?NNPTF?91?">'SDAFS-XXIX'!#REF!</definedName>
    <definedName name="XDO_?NNPTF?92?">'SDFS-C-20'!#REF!</definedName>
    <definedName name="XDO_?NNPTF?93?">'SDFS-C-21'!#REF!</definedName>
    <definedName name="XDO_?NNPTF?94?">'SDFS-C-22'!#REF!</definedName>
    <definedName name="XDO_?NNPTF?95?">'SDFS-C-23'!#REF!</definedName>
    <definedName name="XDO_?NNPTF?96?">'SETF-SN50'!#REF!</definedName>
    <definedName name="XDO_?NNPTF?97?">'SDFS-C-24'!#REF!</definedName>
    <definedName name="XDO_?NNPTF?98?">'SDFS-C-25'!#REF!</definedName>
    <definedName name="XDO_?NNPTF?99?">'SDAFS-XXX'!#REF!</definedName>
    <definedName name="XDO_?NOVAL?">'[1]MRIS-87'!$B$48:$B$53</definedName>
    <definedName name="XDO_?NOVAL?1?">'[1]MTSS-88-89'!$B$48</definedName>
    <definedName name="XDO_?NOVAL?10?">'[1]MRIS-90'!$B$48</definedName>
    <definedName name="XDO_?NOVAL?100?">SCF!$B$10:$B$100</definedName>
    <definedName name="XDO_?NOVAL?101?">SCF!$B$10:$B$105</definedName>
    <definedName name="XDO_?NOVAL?102?">SNIF!$B$10:$B$121</definedName>
    <definedName name="XDO_?NOVAL?103?">SNIF!$B$10:$B$96</definedName>
    <definedName name="XDO_?NOVAL?104?">SNIF!$B$10:$B$100</definedName>
    <definedName name="XDO_?NOVAL?105?">SNIF!$B$10:$B$105</definedName>
    <definedName name="XDO_?NOVAL?106?">SMCBF!$B$10:$B$36</definedName>
    <definedName name="XDO_?NOVAL?107?">SMCBF!$B$10:$B$39</definedName>
    <definedName name="XDO_?NOVAL?108?">SMCBF!$B$10:$B$52</definedName>
    <definedName name="XDO_?NOVAL?109?">SMCBF!$B$10:$B$60</definedName>
    <definedName name="XDO_?NOVAL?11?">'[1]MRIS-90'!$B$48:$B$53</definedName>
    <definedName name="XDO_?NOVAL?110?">SMCBF!$B$10:$B$64</definedName>
    <definedName name="XDO_?NOVAL?111?">SMCBF!$B$10:$B$87</definedName>
    <definedName name="XDO_?NOVAL?112?">SMCBF!$B$10:$B$92</definedName>
    <definedName name="XDO_?NOVAL?113?">SOF!$B$48:$B$49</definedName>
    <definedName name="XDO_?NOVAL?114?">SOF!$B$48:$B$54</definedName>
    <definedName name="XDO_?NOVAL?115?">SMMDF!$B$18:$B$53</definedName>
    <definedName name="XDO_?NOVAL?116?">SMMDF!$B$18:$B$67</definedName>
    <definedName name="XDO_?NOVAL?117?">SMMDF!$B$18:$B$80</definedName>
    <definedName name="XDO_?NOVAL?118?">SMMDF!$B$18:$B$84</definedName>
    <definedName name="XDO_?NOVAL?119?">SMMDF!$B$18:$B$107</definedName>
    <definedName name="XDO_?NOVAL?12?">SMEEF!$B$10:$B$50</definedName>
    <definedName name="XDO_?NOVAL?120?">SMMDF!$B$18:$B$112</definedName>
    <definedName name="XDO_?NOVAL?121?">SLF!$B$26:$B$29</definedName>
    <definedName name="XDO_?NOVAL?122?">SLF!$B$26:$B$58</definedName>
    <definedName name="XDO_?NOVAL?123?">SLF!$B$26:$B$77</definedName>
    <definedName name="XDO_?NOVAL?124?">SLF!$B$26:$B$92</definedName>
    <definedName name="XDO_?NOVAL?125?">SLF!$B$26:$B$97</definedName>
    <definedName name="XDO_?NOVAL?126?">SDBF!$B$24:$B$29</definedName>
    <definedName name="XDO_?NOVAL?127?">SDBF!$B$24:$B$54</definedName>
    <definedName name="XDO_?NOVAL?128?">SDBF!$B$24:$B$59</definedName>
    <definedName name="XDO_?NOVAL?129?">SSF!$B$24:$B$25</definedName>
    <definedName name="XDO_?NOVAL?13?">SMEEF!$B$10:$B$55</definedName>
    <definedName name="XDO_?NOVAL?130?">SSF!$B$24:$B$80</definedName>
    <definedName name="XDO_?NOVAL?131?">SSF!$B$24:$B$102</definedName>
    <definedName name="XDO_?NOVAL?132?">SSF!$B$24:$B$113</definedName>
    <definedName name="XDO_?NOVAL?133?">SSF!$B$24:$B$128</definedName>
    <definedName name="XDO_?NOVAL?134?">SSF!$B$24:$B$133</definedName>
    <definedName name="XDO_?NOVAL?135?">SCRF!$B$18:$B$61</definedName>
    <definedName name="XDO_?NOVAL?136?">SCRF!$B$18:$B$75</definedName>
    <definedName name="XDO_?NOVAL?137?">SCRF!$B$18:$B$85</definedName>
    <definedName name="XDO_?NOVAL?138?">SCRF!$B$18:$B$110</definedName>
    <definedName name="XDO_?NOVAL?139?">SCRF!$B$18:$B$115</definedName>
    <definedName name="XDO_?NOVAL?14?">SMEEF!$B$10:$B$84</definedName>
    <definedName name="XDO_?NOVAL?140?">SFEF!$B$10</definedName>
    <definedName name="XDO_?NOVAL?141?">SFEF!$B$10:$B$41</definedName>
    <definedName name="XDO_?NOVAL?142?">SFEF!$B$10:$B$35</definedName>
    <definedName name="XDO_?NOVAL?143?">SFEF!$B$10:$B$42</definedName>
    <definedName name="XDO_?NOVAL?144?">SFEF!$B$10:$B$75</definedName>
    <definedName name="XDO_?NOVAL?145?">SFEF!$B$10:$B$79</definedName>
    <definedName name="XDO_?NOVAL?146?">SFEF!$B$10:$B$84</definedName>
    <definedName name="XDO_?NOVAL?147?">SDHF!$B$10:$B$34</definedName>
    <definedName name="XDO_?NOVAL?148?">SDHF!$B$10:$B$54</definedName>
    <definedName name="XDO_?NOVAL?149?">SDHF!$B$10:$B$68</definedName>
    <definedName name="XDO_?NOVAL?15?">SMEEF!$B$10:$B$92</definedName>
    <definedName name="XDO_?NOVAL?150?">SDHF!$B$10:$B$77</definedName>
    <definedName name="XDO_?NOVAL?151?">SDHF!$B$10:$B$102</definedName>
    <definedName name="XDO_?NOVAL?152?">SDHF!$B$10:$B$107</definedName>
    <definedName name="XDO_?NOVAL?153?">SMUSD!$B$18:$B$39</definedName>
    <definedName name="XDO_?NOVAL?154?">SMUSD!$B$18:$B$50</definedName>
    <definedName name="XDO_?NOVAL?155?">SMUSD!$B$18:$B$56</definedName>
    <definedName name="XDO_?NOVAL?156?">SMUSD!$B$18:$B$70</definedName>
    <definedName name="XDO_?NOVAL?157?">SMUSD!$B$18:$B$86</definedName>
    <definedName name="XDO_?NOVAL?158?">SMUSD!$B$18:$B$94</definedName>
    <definedName name="XDO_?NOVAL?159?">SMUSD!$B$18:$B$109</definedName>
    <definedName name="XDO_?NOVAL?16?">SMEEF!$B$10:$B$96</definedName>
    <definedName name="XDO_?NOVAL?160?">SMUSD!$B$18:$B$114</definedName>
    <definedName name="XDO_?NOVAL?161?">SMIDCAP!$B$10:$B$59</definedName>
    <definedName name="XDO_?NOVAL?162?">SMIDCAP!$B$10:$B$62</definedName>
    <definedName name="XDO_?NOVAL?163?">SMIDCAP!$B$10:$B$98</definedName>
    <definedName name="XDO_?NOVAL?164?">SMIDCAP!$B$10:$B$103</definedName>
    <definedName name="XDO_?NOVAL?165?">SMCMF!$B$24:$B$28</definedName>
    <definedName name="XDO_?NOVAL?166?">SMCMF!$B$24:$B$53</definedName>
    <definedName name="XDO_?NOVAL?167?">SMCMF!$B$24:$B$58</definedName>
    <definedName name="XDO_?NOVAL?168?">SMCOMMA!$B$10:$B$35</definedName>
    <definedName name="XDO_?NOVAL?169?">SMCOMMA!$B$10:$B$74</definedName>
    <definedName name="XDO_?NOVAL?17?">SMEEF!$B$10:$B$101</definedName>
    <definedName name="XDO_?NOVAL?170?">SMCOMMA!$B$10:$B$79</definedName>
    <definedName name="XDO_?NOVAL?171?">SMGF!$B$24:$B$28</definedName>
    <definedName name="XDO_?NOVAL?172?">SMGF!$B$24:$B$53</definedName>
    <definedName name="XDO_?NOVAL?173?">SMGF!$B$24:$B$58</definedName>
    <definedName name="XDO_?NOVAL?174?">SMMULTI!$B$10:$B$55</definedName>
    <definedName name="XDO_?NOVAL?175?">SMMULTI!$B$10:$B$58</definedName>
    <definedName name="XDO_?NOVAL?176?">SMMULTI!$B$10:$B$94</definedName>
    <definedName name="XDO_?NOVAL?177?">SMMULTI!$B$10:$B$99</definedName>
    <definedName name="XDO_?NOVAL?178?">SMAAF!$B$10:$B$59</definedName>
    <definedName name="XDO_?NOVAL?179?">SMAAF!$B$10:$B$76</definedName>
    <definedName name="XDO_?NOVAL?18?">'[1]MELS-91'!$B$12</definedName>
    <definedName name="XDO_?NOVAL?180?">SMAAF!$B$10:$B$93</definedName>
    <definedName name="XDO_?NOVAL?181?">SMAAF!$B$10:$B$103</definedName>
    <definedName name="XDO_?NOVAL?182?">SMAAF!$B$10:$B$108</definedName>
    <definedName name="XDO_?NOVAL?183?">SBLUECHIP!$B$10:$B$67</definedName>
    <definedName name="XDO_?NOVAL?184?">SBLUECHIP!$B$10:$B$106</definedName>
    <definedName name="XDO_?NOVAL?185?">SBLUECHIP!$B$10:$B$111</definedName>
    <definedName name="XDO_?NOVAL?186?">SAOF!$B$10:$B$73</definedName>
    <definedName name="XDO_?NOVAL?187?">SAOF!$B$10:$B$88</definedName>
    <definedName name="XDO_?NOVAL?188?">SAOF!$B$10:$B$95</definedName>
    <definedName name="XDO_?NOVAL?189?">SAOF!$B$10:$B$126</definedName>
    <definedName name="XDO_?NOVAL?19?">'[1]MELS-91'!$B$12:$B$49</definedName>
    <definedName name="XDO_?NOVAL?190?">SAOF!$B$10:$B$130</definedName>
    <definedName name="XDO_?NOVAL?191?">SAOF!$B$10:$B$135</definedName>
    <definedName name="XDO_?NOVAL?192?">SIF!$B$10:$B$37</definedName>
    <definedName name="XDO_?NOVAL?193?">SIF!$B$10:$B$76</definedName>
    <definedName name="XDO_?NOVAL?194?">SIF!$B$10:$B$81</definedName>
    <definedName name="XDO_?NOVAL?195?">SMLDF!$B$18:$B$62</definedName>
    <definedName name="XDO_?NOVAL?196?">SMLDF!$B$18:$B$67</definedName>
    <definedName name="XDO_?NOVAL?197?">SMLDF!$B$18:$B$77</definedName>
    <definedName name="XDO_?NOVAL?198?">SMLDF!$B$18:$B$83</definedName>
    <definedName name="XDO_?NOVAL?199?">SMLDF!$B$18:$B$92</definedName>
    <definedName name="XDO_?NOVAL?2?">'[1]MTSS-88-89'!$B$48:$B$53</definedName>
    <definedName name="XDO_?NOVAL?20?">'[1]MELS-91'!$B$12:$B$54</definedName>
    <definedName name="XDO_?NOVAL?200?">SMLDF!$B$18:$B$106</definedName>
    <definedName name="XDO_?NOVAL?201?">SMLDF!$B$18:$B$112</definedName>
    <definedName name="XDO_?NOVAL?202?">SMLDF!$B$18:$B$118</definedName>
    <definedName name="XDO_?NOVAL?203?">SMLDF!$B$18:$B$133</definedName>
    <definedName name="XDO_?NOVAL?204?">SMLDF!$B$18:$B$138</definedName>
    <definedName name="XDO_?NOVAL?205?">SSTDF!$B$18:$B$101</definedName>
    <definedName name="XDO_?NOVAL?206?">SSTDF!$B$18:$B$105</definedName>
    <definedName name="XDO_?NOVAL?207?">SSTDF!$B$18:$B$113</definedName>
    <definedName name="XDO_?NOVAL?208?">SSTDF!$B$18:$B$123</definedName>
    <definedName name="XDO_?NOVAL?209?">SSTDF!$B$18:$B$136</definedName>
    <definedName name="XDO_?NOVAL?21?">'[1]MMIS-91'!$B$10:$B$11</definedName>
    <definedName name="XDO_?NOVAL?210?">SSTDF!$B$18:$B$145</definedName>
    <definedName name="XDO_?NOVAL?211?">SSTDF!$B$18:$B$160</definedName>
    <definedName name="XDO_?NOVAL?212?">SSTDF!$B$18:$B$165</definedName>
    <definedName name="XDO_?NOVAL?213?">'SETF-Gold'!$B$42</definedName>
    <definedName name="XDO_?NOVAL?214?">'SETF-Gold'!$B$42:$B$50</definedName>
    <definedName name="XDO_?NOVAL?215?">'SETF-Gold'!$B$42:$B$55</definedName>
    <definedName name="XDO_?NOVAL?216?">SPSU!$B$10:$B$31</definedName>
    <definedName name="XDO_?NOVAL?217?">SPSU!$B$10:$B$70</definedName>
    <definedName name="XDO_?NOVAL?218?">SPSU!$B$10:$B$75</definedName>
    <definedName name="XDO_?NOVAL?219?">SGF!$B$40</definedName>
    <definedName name="XDO_?NOVAL?22?">'[1]MMIS-91'!$B$10:$B$25</definedName>
    <definedName name="XDO_?NOVAL?220?">SGF!$B$40:$B$50</definedName>
    <definedName name="XDO_?NOVAL?221?">SGF!$B$40:$B$55</definedName>
    <definedName name="XDO_?NOVAL?222?">'STAF-II'!$B$10:$B$35</definedName>
    <definedName name="XDO_?NOVAL?223?">'STAF-II'!$B$10:$B$39</definedName>
    <definedName name="XDO_?NOVAL?224?">'STAF-II'!$B$10:$B$76</definedName>
    <definedName name="XDO_?NOVAL?225?">'STAF-II'!$B$10:$B$81</definedName>
    <definedName name="XDO_?NOVAL?226?">'SETF-SENSEX'!$B$10:$B$39</definedName>
    <definedName name="XDO_?NOVAL?227?">'SETF-SENSEX'!$B$10:$B$78</definedName>
    <definedName name="XDO_?NOVAL?228?">'SETF-SENSEX'!$B$10:$B$83</definedName>
    <definedName name="XDO_?NOVAL?229?">SSCF!$B$10:$B$62</definedName>
    <definedName name="XDO_?NOVAL?23?">'[1]MMIS-91'!$B$10:$B$62</definedName>
    <definedName name="XDO_?NOVAL?230?">SSCF!$B$10:$B$61</definedName>
    <definedName name="XDO_?NOVAL?231?">SSCF!$B$10:$B$99</definedName>
    <definedName name="XDO_?NOVAL?232?">SSCF!$B$10:$B$104</definedName>
    <definedName name="XDO_?NOVAL?233?">SBPF!$B$18:$B$96</definedName>
    <definedName name="XDO_?NOVAL?234?">SBPF!$B$18:$B$101</definedName>
    <definedName name="XDO_?NOVAL?235?">SBPF!$B$18:$B$111</definedName>
    <definedName name="XDO_?NOVAL?236?">SBPF!$B$18:$B$117</definedName>
    <definedName name="XDO_?NOVAL?237?">SBPF!$B$18:$B$140</definedName>
    <definedName name="XDO_?NOVAL?238?">SBPF!$B$18:$B$145</definedName>
    <definedName name="XDO_?NOVAL?239?">'STAF-III'!$B$10:$B$36</definedName>
    <definedName name="XDO_?NOVAL?24?">'[1]MMIS-91'!$B$10:$B$67</definedName>
    <definedName name="XDO_?NOVAL?240?">'STAF-III'!$B$10:$B$75</definedName>
    <definedName name="XDO_?NOVAL?241?">'STAF-III'!$B$10:$B$80</definedName>
    <definedName name="XDO_?NOVAL?242?">'SEOF-I'!$B$10:$B$45</definedName>
    <definedName name="XDO_?NOVAL?243?">'SEOF-I'!$B$10:$B$84</definedName>
    <definedName name="XDO_?NOVAL?244?">'SEOF-I'!$B$10:$B$89</definedName>
    <definedName name="XDO_?NOVAL?245?">'SLTAF-I'!$B$10:$B$37</definedName>
    <definedName name="XDO_?NOVAL?246?">'SLTAF-I'!$B$10:$B$76</definedName>
    <definedName name="XDO_?NOVAL?247?">'SLTAF-I'!$B$10:$B$81</definedName>
    <definedName name="XDO_?NOVAL?248?">'SLTAF-II'!$B$10:$B$39</definedName>
    <definedName name="XDO_?NOVAL?249?">'SLTAF-II'!$B$10:$B$78</definedName>
    <definedName name="XDO_?NOVAL?25?">[1]MTPL!$B$10</definedName>
    <definedName name="XDO_?NOVAL?250?">'SLTAF-II'!$B$10:$B$83</definedName>
    <definedName name="XDO_?NOVAL?251?">SBFS!$B$10:$B$30</definedName>
    <definedName name="XDO_?NOVAL?252?">SBFS!$B$10:$B$33</definedName>
    <definedName name="XDO_?NOVAL?253?">SBFS!$B$10:$B$69</definedName>
    <definedName name="XDO_?NOVAL?254?">SBFS!$B$10:$B$74</definedName>
    <definedName name="XDO_?NOVAL?255?">SDAAF!$B$10:$B$40</definedName>
    <definedName name="XDO_?NOVAL?256?">SDAAF!$B$10:$B$77</definedName>
    <definedName name="XDO_?NOVAL?257?">SDAAF!$B$10:$B$81</definedName>
    <definedName name="XDO_?NOVAL?258?">SDAAF!$B$10:$B$86</definedName>
    <definedName name="XDO_?NOVAL?259?">'SETF-NN50'!$B$10:$B$59</definedName>
    <definedName name="XDO_?NOVAL?26?">[1]MTPL!$B$10:$B$49</definedName>
    <definedName name="XDO_?NOVAL?260?">'SETF-NN50'!$B$10:$B$98</definedName>
    <definedName name="XDO_?NOVAL?261?">'SETF-NN50'!$B$10:$B$103</definedName>
    <definedName name="XDO_?NOVAL?262?">'SETF-NBank'!$B$10:$B$76</definedName>
    <definedName name="XDO_?NOVAL?263?">'SETF-NBank'!$B$10:$B$60</definedName>
    <definedName name="XDO_?NOVAL?264?">'SETF-NBank'!$B$10:$B$65</definedName>
    <definedName name="XDO_?NOVAL?265?">'SETF-BSE 100'!$B$10:$B$165</definedName>
    <definedName name="XDO_?NOVAL?266?">'SETF-BSE 100'!$B$10:$B$149</definedName>
    <definedName name="XDO_?NOVAL?267?">'SETF-BSE 100'!$B$10:$B$154</definedName>
    <definedName name="XDO_?NOVAL?268?">SESF!$B$10:$B$81</definedName>
    <definedName name="XDO_?NOVAL?269?">SESF!$B$10:$B$84</definedName>
    <definedName name="XDO_?NOVAL?27?">[1]MTPL!$B$10:$B$54</definedName>
    <definedName name="XDO_?NOVAL?270?">SESF!$B$10:$B$94</definedName>
    <definedName name="XDO_?NOVAL?271?">SESF!$B$10:$B$98</definedName>
    <definedName name="XDO_?NOVAL?272?">SESF!$B$10:$B$106</definedName>
    <definedName name="XDO_?NOVAL?273?">SESF!$B$10:$B$130</definedName>
    <definedName name="XDO_?NOVAL?274?">SESF!$B$10:$B$134</definedName>
    <definedName name="XDO_?NOVAL?275?">SESF!$B$10:$B$139</definedName>
    <definedName name="XDO_?NOVAL?276?">'SETF-Nifty 50'!$B$10:$B$114</definedName>
    <definedName name="XDO_?NOVAL?277?">'SETF-Nifty 50'!$B$10:$B$98</definedName>
    <definedName name="XDO_?NOVAL?278?">'SETF-Nifty 50'!$B$10:$B$103</definedName>
    <definedName name="XDO_?NOVAL?279?">'SEOF-IV'!$B$10:$B$45</definedName>
    <definedName name="XDO_?NOVAL?28?">'[1]MEX-91'!$B$48</definedName>
    <definedName name="XDO_?NOVAL?280?">'SEOF-IV'!$B$10:$B$84</definedName>
    <definedName name="XDO_?NOVAL?281?">'SEOF-IV'!$B$10:$B$89</definedName>
    <definedName name="XDO_?NOVAL?282?">'SLTAF-III'!$B$10:$B$39</definedName>
    <definedName name="XDO_?NOVAL?283?">'SLTAF-III'!$B$10:$B$78</definedName>
    <definedName name="XDO_?NOVAL?284?">'SLTAF-III'!$B$10:$B$83</definedName>
    <definedName name="XDO_?NOVAL?285?">'SETF-10 Yr Gilt'!$B$24</definedName>
    <definedName name="XDO_?NOVAL?286?">'SETF-10 Yr Gilt'!$B$24:$B$49</definedName>
    <definedName name="XDO_?NOVAL?287?">'SETF-10 Yr Gilt'!$B$24:$B$54</definedName>
    <definedName name="XDO_?NOVAL?288?">'SLTAF-IV'!$B$10:$B$38</definedName>
    <definedName name="XDO_?NOVAL?289?">'SLTAF-IV'!$B$10:$B$42</definedName>
    <definedName name="XDO_?NOVAL?29?">'[1]MEX-91'!$B$48:$B$53</definedName>
    <definedName name="XDO_?NOVAL?290?">'SLTAF-IV'!$B$10:$B$79</definedName>
    <definedName name="XDO_?NOVAL?291?">'SLTAF-IV'!$B$10:$B$84</definedName>
    <definedName name="XDO_?NOVAL?292?">'SDAFS-XXIV'!$B$18:$B$21</definedName>
    <definedName name="XDO_?NOVAL?293?">'SDAFS-XXIV'!$B$18:$B$32</definedName>
    <definedName name="XDO_?NOVAL?294?">'SDAFS-XXIV'!$B$18:$B$41</definedName>
    <definedName name="XDO_?NOVAL?295?">'SDAFS-XXIV'!$B$18:$B$57</definedName>
    <definedName name="XDO_?NOVAL?296?">'SDAFS-XXIV'!$B$18:$B$62</definedName>
    <definedName name="XDO_?NOVAL?297?">'SDAFS-XXV'!$B$10:$B$31</definedName>
    <definedName name="XDO_?NOVAL?298?">'SDAFS-XXV'!$B$10:$B$52</definedName>
    <definedName name="XDO_?NOVAL?299?">'SDAFS-XXV'!$B$10:$B$66</definedName>
    <definedName name="XDO_?NOVAL?3?">'[1]MRIS-89'!$B$48</definedName>
    <definedName name="XDO_?NOVAL?30?">'[1]GIFTS B'!$B$12:$B$16</definedName>
    <definedName name="XDO_?NOVAL?300?">'SDAFS-XXV'!$B$10:$B$74</definedName>
    <definedName name="XDO_?NOVAL?301?">'SDAFS-XXV'!$B$10:$B$78</definedName>
    <definedName name="XDO_?NOVAL?302?">'SDAFS-XXV'!$B$10:$B$93</definedName>
    <definedName name="XDO_?NOVAL?303?">'SDAFS-XXV'!$B$10:$B$98</definedName>
    <definedName name="XDO_?NOVAL?304?">'SLTAF-V'!$B$10:$B$42</definedName>
    <definedName name="XDO_?NOVAL?305?">'SLTAF-V'!$B$10:$B$81</definedName>
    <definedName name="XDO_?NOVAL?306?">'SLTAF-V'!$B$10:$B$86</definedName>
    <definedName name="XDO_?NOVAL?307?">'SDFS-C-7'!$B$18:$B$28</definedName>
    <definedName name="XDO_?NOVAL?308?">'SDFS-C-7'!$B$18:$B$38</definedName>
    <definedName name="XDO_?NOVAL?309?">'SDFS-C-7'!$B$18:$B$47</definedName>
    <definedName name="XDO_?NOVAL?31?">'[1]GIFTS B'!$B$12:$B$53</definedName>
    <definedName name="XDO_?NOVAL?310?">'SDFS-C-7'!$B$18:$B$64</definedName>
    <definedName name="XDO_?NOVAL?311?">'SDFS-C-7'!$B$18:$B$69</definedName>
    <definedName name="XDO_?NOVAL?312?">'SDAFS-XXVI'!$B$10:$B$31</definedName>
    <definedName name="XDO_?NOVAL?313?">'SDAFS-XXVI'!$B$10:$B$50</definedName>
    <definedName name="XDO_?NOVAL?314?">'SDAFS-XXVI'!$B$10:$B$54</definedName>
    <definedName name="XDO_?NOVAL?315?">'SDAFS-XXVI'!$B$10:$B$60</definedName>
    <definedName name="XDO_?NOVAL?316?">'SDAFS-XXVI'!$B$10:$B$66</definedName>
    <definedName name="XDO_?NOVAL?317?">'SDAFS-XXVI'!$B$10:$B$75</definedName>
    <definedName name="XDO_?NOVAL?318?">'SDAFS-XXVI'!$B$10:$B$90</definedName>
    <definedName name="XDO_?NOVAL?319?">'SDAFS-XXVI'!$B$10:$B$95</definedName>
    <definedName name="XDO_?NOVAL?32?">'[1]GIFTS B'!$B$12:$B$58</definedName>
    <definedName name="XDO_?NOVAL?320?">'SDFS-C-8'!$B$18:$B$28</definedName>
    <definedName name="XDO_?NOVAL?321?">'SDFS-C-8'!$B$18:$B$39</definedName>
    <definedName name="XDO_?NOVAL?322?">'SDFS-C-8'!$B$18:$B$48</definedName>
    <definedName name="XDO_?NOVAL?323?">'SDFS-C-8'!$B$18:$B$65</definedName>
    <definedName name="XDO_?NOVAL?324?">'SDFS-C-8'!$B$18:$B$70</definedName>
    <definedName name="XDO_?NOVAL?325?">'SDFS-C-9'!$B$18:$B$27</definedName>
    <definedName name="XDO_?NOVAL?326?">'SDFS-C-9'!$B$18:$B$38</definedName>
    <definedName name="XDO_?NOVAL?327?">'SDFS-C-9'!$B$18:$B$47</definedName>
    <definedName name="XDO_?NOVAL?328?">'SDFS-C-9'!$B$18:$B$64</definedName>
    <definedName name="XDO_?NOVAL?329?">'SDFS-C-9'!$B$18:$B$69</definedName>
    <definedName name="XDO_?NOVAL?33?">'[1]GIFTS A'!$B$12</definedName>
    <definedName name="XDO_?NOVAL?330?">'SDFS-C-10'!$B$18:$B$29</definedName>
    <definedName name="XDO_?NOVAL?331?">'SDFS-C-10'!$B$18:$B$40</definedName>
    <definedName name="XDO_?NOVAL?332?">'SDFS-C-10'!$B$18:$B$50</definedName>
    <definedName name="XDO_?NOVAL?333?">'SDFS-C-10'!$B$18:$B$54</definedName>
    <definedName name="XDO_?NOVAL?334?">'SDFS-C-10'!$B$18:$B$69</definedName>
    <definedName name="XDO_?NOVAL?335?">'SDFS-C-10'!$B$18:$B$74</definedName>
    <definedName name="XDO_?NOVAL?336?">'SDAFS-XXVII'!$B$10:$B$33</definedName>
    <definedName name="XDO_?NOVAL?337?">'SDAFS-XXVII'!$B$10:$B$49</definedName>
    <definedName name="XDO_?NOVAL?338?">'SDAFS-XXVII'!$B$10:$B$54</definedName>
    <definedName name="XDO_?NOVAL?339?">'SDAFS-XXVII'!$B$10:$B$62</definedName>
    <definedName name="XDO_?NOVAL?34?">'[1]GIFTS A'!$B$12:$B$49</definedName>
    <definedName name="XDO_?NOVAL?340?">'SDAFS-XXVII'!$B$10:$B$69</definedName>
    <definedName name="XDO_?NOVAL?341?">'SDAFS-XXVII'!$B$10:$B$73</definedName>
    <definedName name="XDO_?NOVAL?342?">'SDAFS-XXVII'!$B$10:$B$88</definedName>
    <definedName name="XDO_?NOVAL?343?">'SDAFS-XXVII'!$B$10:$B$93</definedName>
    <definedName name="XDO_?NOVAL?344?">'SDFS-C-12'!$B$18:$B$26</definedName>
    <definedName name="XDO_?NOVAL?345?">'SDFS-C-12'!$B$18:$B$39</definedName>
    <definedName name="XDO_?NOVAL?346?">'SDFS-C-12'!$B$18:$B$50</definedName>
    <definedName name="XDO_?NOVAL?347?">'SDFS-C-12'!$B$18:$B$55</definedName>
    <definedName name="XDO_?NOVAL?348?">'SDFS-C-12'!$B$18:$B$70</definedName>
    <definedName name="XDO_?NOVAL?349?">'SDFS-C-12'!$B$18:$B$75</definedName>
    <definedName name="XDO_?NOVAL?35?">'[1]GIFTS A'!$B$12:$B$54</definedName>
    <definedName name="XDO_?NOVAL?350?">'SDFS-C-14'!$B$18:$B$27</definedName>
    <definedName name="XDO_?NOVAL?351?">'SDFS-C-14'!$B$18:$B$37</definedName>
    <definedName name="XDO_?NOVAL?352?">'SDFS-C-14'!$B$18:$B$47</definedName>
    <definedName name="XDO_?NOVAL?353?">'SDFS-C-14'!$B$18:$B$52</definedName>
    <definedName name="XDO_?NOVAL?354?">'SDFS-C-14'!$B$18:$B$67</definedName>
    <definedName name="XDO_?NOVAL?355?">'SDFS-C-14'!$B$18:$B$72</definedName>
    <definedName name="XDO_?NOVAL?356?">'SLTAF-VI'!$B$10:$B$35</definedName>
    <definedName name="XDO_?NOVAL?357?">'SLTAF-VI'!$B$10:$B$74</definedName>
    <definedName name="XDO_?NOVAL?358?">'SLTAF-VI'!$B$10:$B$79</definedName>
    <definedName name="XDO_?NOVAL?359?">'SDAFS-XXVIII'!$B$10:$B$34</definedName>
    <definedName name="XDO_?NOVAL?36?">SLMF!$B$10:$B$65</definedName>
    <definedName name="XDO_?NOVAL?360?">'SDAFS-XXVIII'!$B$10:$B$53</definedName>
    <definedName name="XDO_?NOVAL?361?">'SDAFS-XXVIII'!$B$10:$B$64</definedName>
    <definedName name="XDO_?NOVAL?362?">'SDAFS-XXVIII'!$B$10:$B$71</definedName>
    <definedName name="XDO_?NOVAL?363?">'SDAFS-XXVIII'!$B$10:$B$88</definedName>
    <definedName name="XDO_?NOVAL?364?">'SDAFS-XXVIII'!$B$10:$B$93</definedName>
    <definedName name="XDO_?NOVAL?365?">'SDFS-C-16'!$B$18:$B$32</definedName>
    <definedName name="XDO_?NOVAL?366?">'SDFS-C-16'!$B$18:$B$43</definedName>
    <definedName name="XDO_?NOVAL?367?">'SDFS-C-16'!$B$18:$B$56</definedName>
    <definedName name="XDO_?NOVAL?368?">'SDFS-C-16'!$B$18:$B$73</definedName>
    <definedName name="XDO_?NOVAL?369?">'SDFS-C-16'!$B$18:$B$78</definedName>
    <definedName name="XDO_?NOVAL?37?">SLMF!$B$10:$B$71</definedName>
    <definedName name="XDO_?NOVAL?370?">'SDFS-C-18'!$B$18:$B$36</definedName>
    <definedName name="XDO_?NOVAL?371?">'SDFS-C-18'!$B$18:$B$49</definedName>
    <definedName name="XDO_?NOVAL?372?">'SDFS-C-18'!$B$18:$B$61</definedName>
    <definedName name="XDO_?NOVAL?373?">'SDFS-C-18'!$B$18:$B$78</definedName>
    <definedName name="XDO_?NOVAL?374?">'SDFS-C-18'!$B$18:$B$83</definedName>
    <definedName name="XDO_?NOVAL?375?">'SDFS-C-19'!$B$18:$B$29</definedName>
    <definedName name="XDO_?NOVAL?376?">'SDFS-C-19'!$B$18:$B$39</definedName>
    <definedName name="XDO_?NOVAL?377?">'SDFS-C-19'!$B$18:$B$50</definedName>
    <definedName name="XDO_?NOVAL?378?">'SDFS-C-19'!$B$18:$B$67</definedName>
    <definedName name="XDO_?NOVAL?379?">'SDFS-C-19'!$B$18:$B$72</definedName>
    <definedName name="XDO_?NOVAL?38?">SLMF!$B$10:$B$108</definedName>
    <definedName name="XDO_?NOVAL?380?">'SDAFS-XXIX'!$B$10:$B$34</definedName>
    <definedName name="XDO_?NOVAL?381?">'SDAFS-XXIX'!$B$10:$B$55</definedName>
    <definedName name="XDO_?NOVAL?382?">'SDAFS-XXIX'!$B$10:$B$66</definedName>
    <definedName name="XDO_?NOVAL?383?">'SDAFS-XXIX'!$B$10:$B$74</definedName>
    <definedName name="XDO_?NOVAL?384?">'SDAFS-XXIX'!$B$10:$B$91</definedName>
    <definedName name="XDO_?NOVAL?385?">'SDAFS-XXIX'!$B$10:$B$96</definedName>
    <definedName name="XDO_?NOVAL?386?">'SDFS-C-20'!$B$18:$B$28</definedName>
    <definedName name="XDO_?NOVAL?387?">'SDFS-C-20'!$B$18:$B$39</definedName>
    <definedName name="XDO_?NOVAL?388?">'SDFS-C-20'!$B$18:$B$51</definedName>
    <definedName name="XDO_?NOVAL?389?">'SDFS-C-20'!$B$18:$B$68</definedName>
    <definedName name="XDO_?NOVAL?39?">SLMF!$B$10:$B$113</definedName>
    <definedName name="XDO_?NOVAL?390?">'SDFS-C-20'!$B$18:$B$73</definedName>
    <definedName name="XDO_?NOVAL?391?">'SDFS-C-21'!$B$18:$B$29</definedName>
    <definedName name="XDO_?NOVAL?392?">'SDFS-C-21'!$B$18:$B$35</definedName>
    <definedName name="XDO_?NOVAL?393?">'SDFS-C-21'!$B$18:$B$41</definedName>
    <definedName name="XDO_?NOVAL?394?">'SDFS-C-21'!$B$18:$B$54</definedName>
    <definedName name="XDO_?NOVAL?395?">'SDFS-C-21'!$B$18:$B$71</definedName>
    <definedName name="XDO_?NOVAL?396?">'SDFS-C-21'!$B$18:$B$76</definedName>
    <definedName name="XDO_?NOVAL?397?">'SDFS-C-22'!$B$18:$B$29</definedName>
    <definedName name="XDO_?NOVAL?398?">'SDFS-C-22'!$B$18:$B$39</definedName>
    <definedName name="XDO_?NOVAL?399?">'SDFS-C-22'!$B$18:$B$49</definedName>
    <definedName name="XDO_?NOVAL?4?">'[1]MRIS-89'!$B$48:$B$53</definedName>
    <definedName name="XDO_?NOVAL?40?">SLTEF!$B$10:$B$65</definedName>
    <definedName name="XDO_?NOVAL?400?">'SDFS-C-22'!$B$18:$B$66</definedName>
    <definedName name="XDO_?NOVAL?401?">'SDFS-C-22'!$B$18:$B$71</definedName>
    <definedName name="XDO_?NOVAL?402?">'SDFS-C-23'!$B$18:$B$34</definedName>
    <definedName name="XDO_?NOVAL?403?">'SDFS-C-23'!$B$18:$B$53</definedName>
    <definedName name="XDO_?NOVAL?404?">'SDFS-C-23'!$B$18:$B$70</definedName>
    <definedName name="XDO_?NOVAL?405?">'SDFS-C-23'!$B$18:$B$75</definedName>
    <definedName name="XDO_?NOVAL?406?">'SETF-SN50'!$B$10:$B$114</definedName>
    <definedName name="XDO_?NOVAL?407?">'SETF-SN50'!$B$10:$B$98</definedName>
    <definedName name="XDO_?NOVAL?408?">'SETF-SN50'!$B$10:$B$103</definedName>
    <definedName name="XDO_?NOVAL?409?">'SDFS-C-24'!$B$18:$B$29</definedName>
    <definedName name="XDO_?NOVAL?41?">SLTEF!$B$10:$B$68</definedName>
    <definedName name="XDO_?NOVAL?410?">'SDFS-C-24'!$B$18:$B$33</definedName>
    <definedName name="XDO_?NOVAL?411?">'SDFS-C-24'!$B$18:$B$48</definedName>
    <definedName name="XDO_?NOVAL?412?">'SDFS-C-24'!$B$18:$B$65</definedName>
    <definedName name="XDO_?NOVAL?413?">'SDFS-C-24'!$B$18:$B$70</definedName>
    <definedName name="XDO_?NOVAL?414?">'SDFS-C-25'!$B$18:$B$34</definedName>
    <definedName name="XDO_?NOVAL?415?">'SDFS-C-25'!$B$18:$B$40</definedName>
    <definedName name="XDO_?NOVAL?416?">'SDFS-C-25'!$B$18:$B$52</definedName>
    <definedName name="XDO_?NOVAL?417?">'SDFS-C-25'!$B$18:$B$56</definedName>
    <definedName name="XDO_?NOVAL?418?">'SDFS-C-25'!$B$18:$B$71</definedName>
    <definedName name="XDO_?NOVAL?419?">'SDFS-C-25'!$B$18:$B$76</definedName>
    <definedName name="XDO_?NOVAL?42?">SLTEF!$B$10:$B$104</definedName>
    <definedName name="XDO_?NOVAL?420?">'SDAFS-XXX'!$B$10:$B$34</definedName>
    <definedName name="XDO_?NOVAL?421?">'SDAFS-XXX'!$B$10:$B$55</definedName>
    <definedName name="XDO_?NOVAL?422?">'SDAFS-XXX'!$B$10:$B$72</definedName>
    <definedName name="XDO_?NOVAL?423?">'SDAFS-XXX'!$B$10:$B$87</definedName>
    <definedName name="XDO_?NOVAL?424?">'SDAFS-XXX'!$B$10:$B$92</definedName>
    <definedName name="XDO_?NOVAL?425?">'SDFS-C-26'!$B$18:$B$32</definedName>
    <definedName name="XDO_?NOVAL?426?">'SDFS-C-26'!$B$18:$B$48</definedName>
    <definedName name="XDO_?NOVAL?427?">'SDFS-C-26'!$B$18:$B$52</definedName>
    <definedName name="XDO_?NOVAL?428?">'SDFS-C-26'!$B$18:$B$67</definedName>
    <definedName name="XDO_?NOVAL?429?">'SDFS-C-26'!$B$18:$B$72</definedName>
    <definedName name="XDO_?NOVAL?43?">SLTEF!$B$10:$B$109</definedName>
    <definedName name="XDO_?NOVAL?430?">'SDFS-C-27'!$B$18:$B$29</definedName>
    <definedName name="XDO_?NOVAL?431?">'SDFS-C-27'!$B$18:$B$46</definedName>
    <definedName name="XDO_?NOVAL?432?">'SDFS-C-27'!$B$18:$B$50</definedName>
    <definedName name="XDO_?NOVAL?433?">'SDFS-C-27'!$B$18:$B$65</definedName>
    <definedName name="XDO_?NOVAL?434?">'SDFS-C-27'!$B$18:$B$70</definedName>
    <definedName name="XDO_?NOVAL?435?">'SDFS-C-28'!$B$18:$B$32</definedName>
    <definedName name="XDO_?NOVAL?436?">'SDFS-C-28'!$B$18:$B$42</definedName>
    <definedName name="XDO_?NOVAL?437?">'SDFS-C-28'!$B$18:$B$52</definedName>
    <definedName name="XDO_?NOVAL?438?">'SDFS-C-28'!$B$18:$B$69</definedName>
    <definedName name="XDO_?NOVAL?439?">'SDFS-C-28'!$B$18:$B$74</definedName>
    <definedName name="XDO_?NOVAL?44?">'[1]MRIS-93'!$B$12:$B$17</definedName>
    <definedName name="XDO_?NOVAL?440?">'SDFS-C-30'!$B$18:$B$32</definedName>
    <definedName name="XDO_?NOVAL?441?">'SDFS-C-30'!$B$18:$B$50</definedName>
    <definedName name="XDO_?NOVAL?442?">'SDFS-C-30'!$B$18:$B$67</definedName>
    <definedName name="XDO_?NOVAL?443?">'SDFS-C-30'!$B$18:$B$72</definedName>
    <definedName name="XDO_?NOVAL?444?">'SETF-Quality'!$B$10:$B$39</definedName>
    <definedName name="XDO_?NOVAL?445?">'SETF-Quality'!$B$10:$B$78</definedName>
    <definedName name="XDO_?NOVAL?446?">'SETF-Quality'!$B$10:$B$83</definedName>
    <definedName name="XDO_?NOVAL?447?">'SDFS-C-32'!$B$18:$B$37</definedName>
    <definedName name="XDO_?NOVAL?448?">'SDFS-C-32'!$B$18:$B$54</definedName>
    <definedName name="XDO_?NOVAL?449?">'SDFS-C-32'!$B$18:$B$58</definedName>
    <definedName name="XDO_?NOVAL?45?">'[1]MRIS-93'!$B$12:$B$54</definedName>
    <definedName name="XDO_?NOVAL?450?">'SDFS-C-32'!$B$18:$B$73</definedName>
    <definedName name="XDO_?NOVAL?451?">'SDFS-C-32'!$B$18:$B$78</definedName>
    <definedName name="XDO_?NOVAL?452?">'SDFS-C-33'!$B$18:$B$38</definedName>
    <definedName name="XDO_?NOVAL?453?">'SDFS-C-33'!$B$18:$B$56</definedName>
    <definedName name="XDO_?NOVAL?454?">'SDFS-C-33'!$B$18:$B$60</definedName>
    <definedName name="XDO_?NOVAL?455?">'SDFS-C-33'!$B$18:$B$75</definedName>
    <definedName name="XDO_?NOVAL?456?">'SDFS-C-33'!$B$18:$B$80</definedName>
    <definedName name="XDO_?NOVAL?457?">'SDFS-C-34'!$B$18:$B$32</definedName>
    <definedName name="XDO_?NOVAL?458?">'SDFS-C-34'!$B$18:$B$50</definedName>
    <definedName name="XDO_?NOVAL?459?">'SDFS-C-34'!$B$18:$B$67</definedName>
    <definedName name="XDO_?NOVAL?46?">'[1]MRIS-93'!$B$12:$B$59</definedName>
    <definedName name="XDO_?NOVAL?460?">'SDFS-C-34'!$B$18:$B$72</definedName>
    <definedName name="XDO_?NOVAL?461?">'SDFS-C-35'!$B$18:$B$33</definedName>
    <definedName name="XDO_?NOVAL?462?">'SDFS-C-35'!$B$18:$B$50</definedName>
    <definedName name="XDO_?NOVAL?463?">'SDFS-C-35'!$B$18:$B$67</definedName>
    <definedName name="XDO_?NOVAL?464?">'SDFS-C-35'!$B$18:$B$72</definedName>
    <definedName name="XDO_?NOVAL?465?">'SDFS-C-38'!$B$18:$B$28</definedName>
    <definedName name="XDO_?NOVAL?466?">'SDFS-C-38'!$B$18:$B$45</definedName>
    <definedName name="XDO_?NOVAL?467?">'SDFS-C-38'!$B$18:$B$56</definedName>
    <definedName name="XDO_?NOVAL?468?">'SDFS-C-38'!$B$18:$B$60</definedName>
    <definedName name="XDO_?NOVAL?469?">'SDFS-C-38'!$B$18:$B$75</definedName>
    <definedName name="XDO_?NOVAL?47?">'[1]MTP-94'!$B$12</definedName>
    <definedName name="XDO_?NOVAL?470?">'SDFS-C-38'!$B$18:$B$80</definedName>
    <definedName name="XDO_?NOVAL?471?">SCBF!$B$18:$B$133</definedName>
    <definedName name="XDO_?NOVAL?472?">SCBF!$B$18:$B$137</definedName>
    <definedName name="XDO_?NOVAL?473?">SCBF!$B$18:$B$146</definedName>
    <definedName name="XDO_?NOVAL?474?">SCBF!$B$18:$B$158</definedName>
    <definedName name="XDO_?NOVAL?475?">SCBF!$B$18:$B$171</definedName>
    <definedName name="XDO_?NOVAL?476?">SCBF!$B$18:$B$182</definedName>
    <definedName name="XDO_?NOVAL?477?">SCBF!$B$18:$B$197</definedName>
    <definedName name="XDO_?NOVAL?478?">SCBF!$B$18:$B$202</definedName>
    <definedName name="XDO_?NOVAL?479?">'SDFS-C-40'!$B$18:$B$28</definedName>
    <definedName name="XDO_?NOVAL?48?">'[1]MTP-94'!$B$12:$B$49</definedName>
    <definedName name="XDO_?NOVAL?480?">'SDFS-C-40'!$B$18:$B$39</definedName>
    <definedName name="XDO_?NOVAL?481?">'SDFS-C-40'!$B$18:$B$47</definedName>
    <definedName name="XDO_?NOVAL?482?">'SDFS-C-40'!$B$18:$B$64</definedName>
    <definedName name="XDO_?NOVAL?483?">'SDFS-C-40'!$B$18:$B$69</definedName>
    <definedName name="XDO_?NOVAL?484?">'SDFS-C-41'!$B$18:$B$32</definedName>
    <definedName name="XDO_?NOVAL?485?">'SDFS-C-41'!$B$18:$B$43</definedName>
    <definedName name="XDO_?NOVAL?486?">'SDFS-C-41'!$B$18:$B$54</definedName>
    <definedName name="XDO_?NOVAL?487?">'SDFS-C-41'!$B$18:$B$71</definedName>
    <definedName name="XDO_?NOVAL?488?">'SDFS-C-41'!$B$18:$B$76</definedName>
    <definedName name="XDO_?NOVAL?489?">'SDFS-C-43'!$B$18:$B$28</definedName>
    <definedName name="XDO_?NOVAL?49?">'[1]MTP-94'!$B$12:$B$54</definedName>
    <definedName name="XDO_?NOVAL?490?">'SDFS-C-43'!$B$18:$B$41</definedName>
    <definedName name="XDO_?NOVAL?491?">'SDFS-C-43'!$B$18:$B$50</definedName>
    <definedName name="XDO_?NOVAL?492?">'SDFS-C-43'!$B$18:$B$67</definedName>
    <definedName name="XDO_?NOVAL?493?">'SDFS-C-43'!$B$18:$B$72</definedName>
    <definedName name="XDO_?NOVAL?494?">'SDFS-C-44'!$B$18:$B$28</definedName>
    <definedName name="XDO_?NOVAL?495?">'SDFS-C-44'!$B$18:$B$39</definedName>
    <definedName name="XDO_?NOVAL?496?">'SDFS-C-44'!$B$18:$B$48</definedName>
    <definedName name="XDO_?NOVAL?497?">'SDFS-C-44'!$B$18:$B$65</definedName>
    <definedName name="XDO_?NOVAL?498?">'SDFS-C-44'!$B$18:$B$70</definedName>
    <definedName name="XDO_?NOVAL?499?">'SCPOF-A1'!$B$10:$B$58</definedName>
    <definedName name="XDO_?NOVAL?5?">'[1]MMIS-89'!$B$10</definedName>
    <definedName name="XDO_?NOVAL?50?">SMGLF!$B$10:$B$31</definedName>
    <definedName name="XDO_?NOVAL?500?">'SCPOF-A1'!$B$10:$B$74</definedName>
    <definedName name="XDO_?NOVAL?501?">'SCPOF-A1'!$B$10:$B$78</definedName>
    <definedName name="XDO_?NOVAL?502?">'SCPOF-A1'!$B$10:$B$93</definedName>
    <definedName name="XDO_?NOVAL?503?">'SCPOF-A1'!$B$10:$B$108</definedName>
    <definedName name="XDO_?NOVAL?504?">'SCPOF-A1'!$B$10:$B$113</definedName>
    <definedName name="XDO_?NOVAL?505?">'SDFS-C-46'!$B$18:$B$25</definedName>
    <definedName name="XDO_?NOVAL?506?">'SDFS-C-46'!$B$18:$B$29</definedName>
    <definedName name="XDO_?NOVAL?507?">'SDFS-C-46'!$B$18:$B$39</definedName>
    <definedName name="XDO_?NOVAL?508?">'SDFS-C-46'!$B$18:$B$46</definedName>
    <definedName name="XDO_?NOVAL?509?">'SDFS-C-46'!$B$18:$B$50</definedName>
    <definedName name="XDO_?NOVAL?51?">SMGLF!$B$10:$B$52</definedName>
    <definedName name="XDO_?NOVAL?510?">'SDFS-C-46'!$B$18:$B$65</definedName>
    <definedName name="XDO_?NOVAL?511?">'SDFS-C-46'!$B$18:$B$70</definedName>
    <definedName name="XDO_?NOVAL?512?">SEMVF!$B$10:$B$121</definedName>
    <definedName name="XDO_?NOVAL?513?">SEMVF!$B$10:$B$96</definedName>
    <definedName name="XDO_?NOVAL?514?">SEMVF!$B$10:$B$100</definedName>
    <definedName name="XDO_?NOVAL?515?">SEMVF!$B$10:$B$105</definedName>
    <definedName name="XDO_?NOVAL?516?">'SDFS-C-48'!$B$18:$B$34</definedName>
    <definedName name="XDO_?NOVAL?517?">'SDFS-C-48'!$B$18:$B$44</definedName>
    <definedName name="XDO_?NOVAL?518?">'SDFS-C-48'!$B$18:$B$53</definedName>
    <definedName name="XDO_?NOVAL?519?">'SDFS-C-48'!$B$18:$B$70</definedName>
    <definedName name="XDO_?NOVAL?52?">SMGLF!$B$10:$B$46</definedName>
    <definedName name="XDO_?NOVAL?520?">'SDFS-C-48'!$B$18:$B$75</definedName>
    <definedName name="XDO_?NOVAL?521?">'SDFS-C-49'!$B$18:$B$27</definedName>
    <definedName name="XDO_?NOVAL?522?">'SDFS-C-49'!$B$18:$B$38</definedName>
    <definedName name="XDO_?NOVAL?523?">'SDFS-C-49'!$B$18:$B$47</definedName>
    <definedName name="XDO_?NOVAL?524?">'SDFS-C-49'!$B$18:$B$51</definedName>
    <definedName name="XDO_?NOVAL?525?">'SDFS-C-49'!$B$18:$B$66</definedName>
    <definedName name="XDO_?NOVAL?526?">'SDFS-C-49'!$B$18:$B$71</definedName>
    <definedName name="XDO_?NOVAL?527?">'SCPOF-Series A (Plan 2)'!$B$10:$B$59</definedName>
    <definedName name="XDO_?NOVAL?528?">'SCPOF-Series A (Plan 2)'!$B$10:$B$74</definedName>
    <definedName name="XDO_?NOVAL?529?">'SCPOF-Series A (Plan 2)'!$B$10:$B$84</definedName>
    <definedName name="XDO_?NOVAL?53?">SMGLF!$B$10:$B$87</definedName>
    <definedName name="XDO_?NOVAL?530?">'SCPOF-Series A (Plan 2)'!$B$10:$B$93</definedName>
    <definedName name="XDO_?NOVAL?531?">'SCPOF-Series A (Plan 2)'!$B$10:$B$108</definedName>
    <definedName name="XDO_?NOVAL?532?">'SCPOF-Series A (Plan 2)'!$B$10:$B$113</definedName>
    <definedName name="XDO_?NOVAL?533?">'SDFS-C-50'!$B$18:$B$26</definedName>
    <definedName name="XDO_?NOVAL?534?">'SDFS-C-50'!$B$18:$B$40</definedName>
    <definedName name="XDO_?NOVAL?535?">'SDFS-C-50'!$B$18:$B$48</definedName>
    <definedName name="XDO_?NOVAL?536?">'SDFS-C-50'!$B$18:$B$65</definedName>
    <definedName name="XDO_?NOVAL?537?">'SDFS-C-50'!$B$18:$B$70</definedName>
    <definedName name="XDO_?NOVAL?538?">'SFMP- Series 1'!$B$26:$B$31</definedName>
    <definedName name="XDO_?NOVAL?539?">'SFMP- Series 1'!$B$26:$B$39</definedName>
    <definedName name="XDO_?NOVAL?54?">SMGLF!$B$10:$B$92</definedName>
    <definedName name="XDO_?NOVAL?540?">'SFMP- Series 1'!$B$26:$B$56</definedName>
    <definedName name="XDO_?NOVAL?541?">'SFMP- Series 1'!$B$26:$B$61</definedName>
    <definedName name="XDO_?NOVAL?542?">'SFMP- Series 2'!$B$18:$B$29</definedName>
    <definedName name="XDO_?NOVAL?543?">'SFMP- Series 2'!$B$18:$B$45</definedName>
    <definedName name="XDO_?NOVAL?544?">'SFMP- Series 2'!$B$18:$B$62</definedName>
    <definedName name="XDO_?NOVAL?545?">'SFMP- Series 2'!$B$18:$B$67</definedName>
    <definedName name="XDO_?NOVAL?546?">'SFMP- Series 3'!$B$18:$B$29</definedName>
    <definedName name="XDO_?NOVAL?547?">'SFMP- Series 3'!$B$18:$B$45</definedName>
    <definedName name="XDO_?NOVAL?548?">'SFMP- Series 3'!$B$18:$B$62</definedName>
    <definedName name="XDO_?NOVAL?549?">'SFMP- Series 3'!$B$18:$B$67</definedName>
    <definedName name="XDO_?NOVAL?55?">'[1]MBF-94'!$B$10</definedName>
    <definedName name="XDO_?NOVAL?550?">'SCPOF-Series A (Plan 3)'!$B$10:$B$59</definedName>
    <definedName name="XDO_?NOVAL?551?">'SCPOF-Series A (Plan 3)'!$B$10:$B$76</definedName>
    <definedName name="XDO_?NOVAL?552?">'SCPOF-Series A (Plan 3)'!$B$10:$B$87</definedName>
    <definedName name="XDO_?NOVAL?553?">'SCPOF-Series A (Plan 3)'!$B$10:$B$110</definedName>
    <definedName name="XDO_?NOVAL?554?">'SCPOF-Series A (Plan 3)'!$B$10:$B$115</definedName>
    <definedName name="XDO_?NOVAL?555?">'SFMP- Series 6'!$B$26:$B$29</definedName>
    <definedName name="XDO_?NOVAL?556?">'SFMP- Series 6'!$B$26:$B$36</definedName>
    <definedName name="XDO_?NOVAL?557?">'SFMP- Series 6'!$B$26:$B$53</definedName>
    <definedName name="XDO_?NOVAL?558?">'SFMP- Series 6'!$B$26:$B$58</definedName>
    <definedName name="XDO_?NOVAL?559?">'SFMP- Series 7'!$B$18:$B$32</definedName>
    <definedName name="XDO_?NOVAL?56?">'[1]MBF-94'!$B$10:$B$19</definedName>
    <definedName name="XDO_?NOVAL?560?">'SFMP- Series 7'!$B$18:$B$47</definedName>
    <definedName name="XDO_?NOVAL?561?">'SFMP- Series 7'!$B$18:$B$64</definedName>
    <definedName name="XDO_?NOVAL?562?">'SFMP- Series 7'!$B$18:$B$69</definedName>
    <definedName name="XDO_?NOVAL?563?">'SFMP- Series 8'!$B$18:$B$32</definedName>
    <definedName name="XDO_?NOVAL?564?">'SFMP- Series 8'!$B$18:$B$47</definedName>
    <definedName name="XDO_?NOVAL?565?">'SFMP- Series 8'!$B$18:$B$64</definedName>
    <definedName name="XDO_?NOVAL?566?">'SFMP- Series 8'!$B$18:$B$69</definedName>
    <definedName name="XDO_?NOVAL?567?">'SCPOF-Series A (Plan 4)'!$B$10:$B$59</definedName>
    <definedName name="XDO_?NOVAL?568?">'SCPOF-Series A (Plan 4)'!$B$10:$B$75</definedName>
    <definedName name="XDO_?NOVAL?569?">'SCPOF-Series A (Plan 4)'!$B$10:$B$86</definedName>
    <definedName name="XDO_?NOVAL?57?">'[1]MBF-94'!$B$10:$B$56</definedName>
    <definedName name="XDO_?NOVAL?570?">'SCPOF-Series A (Plan 4)'!$B$10:$B$109</definedName>
    <definedName name="XDO_?NOVAL?571?">'SCPOF-Series A (Plan 4)'!$B$10:$B$114</definedName>
    <definedName name="XDO_?NOVAL?572?">'SFMP- Series 9'!$B$18:$B$31</definedName>
    <definedName name="XDO_?NOVAL?573?">'SFMP- Series 9'!$B$18:$B$47</definedName>
    <definedName name="XDO_?NOVAL?574?">'SFMP- Series 9'!$B$18:$B$64</definedName>
    <definedName name="XDO_?NOVAL?575?">'SFMP- Series 9'!$B$18:$B$69</definedName>
    <definedName name="XDO_?NOVAL?576?">'SFMP- Series 10'!$B$18:$B$31</definedName>
    <definedName name="XDO_?NOVAL?577?">'SFMP- Series 10'!$B$18:$B$46</definedName>
    <definedName name="XDO_?NOVAL?578?">'SFMP- Series 10'!$B$18:$B$50</definedName>
    <definedName name="XDO_?NOVAL?579?">'SFMP- Series 10'!$B$18:$B$65</definedName>
    <definedName name="XDO_?NOVAL?58?">'[1]MBF-94'!$B$10:$B$61</definedName>
    <definedName name="XDO_?NOVAL?580?">'SFMP- Series 10'!$B$18:$B$70</definedName>
    <definedName name="XDO_?NOVAL?581?">'SFMP- Series 11'!$B$18:$B$36</definedName>
    <definedName name="XDO_?NOVAL?582?">'SFMP- Series 11'!$B$18:$B$52</definedName>
    <definedName name="XDO_?NOVAL?583?">'SFMP- Series 11'!$B$18:$B$56</definedName>
    <definedName name="XDO_?NOVAL?584?">'SFMP- Series 11'!$B$18:$B$71</definedName>
    <definedName name="XDO_?NOVAL?585?">'SFMP- Series 11'!$B$18:$B$76</definedName>
    <definedName name="XDO_?NOVAL?586?">'SFMP- Series 12'!$B$18:$B$31</definedName>
    <definedName name="XDO_?NOVAL?587?">'SFMP- Series 12'!$B$18:$B$46</definedName>
    <definedName name="XDO_?NOVAL?588?">'SFMP- Series 12'!$B$18:$B$50</definedName>
    <definedName name="XDO_?NOVAL?589?">'SFMP- Series 12'!$B$18:$B$65</definedName>
    <definedName name="XDO_?NOVAL?59?">'[1]MELS-95'!$B$48</definedName>
    <definedName name="XDO_?NOVAL?590?">'SFMP- Series 12'!$B$18:$B$70</definedName>
    <definedName name="XDO_?NOVAL?591?">'SFMP- Series 13'!$B$18:$B$31</definedName>
    <definedName name="XDO_?NOVAL?592?">'SFMP- Series 13'!$B$18:$B$47</definedName>
    <definedName name="XDO_?NOVAL?593?">'SFMP- Series 13'!$B$18:$B$64</definedName>
    <definedName name="XDO_?NOVAL?594?">'SFMP- Series 13'!$B$18:$B$69</definedName>
    <definedName name="XDO_?NOVAL?595?">'SFMP- Series 14'!$B$18:$B$31</definedName>
    <definedName name="XDO_?NOVAL?596?">'SFMP- Series 14'!$B$18:$B$46</definedName>
    <definedName name="XDO_?NOVAL?597?">'SFMP- Series 14'!$B$18:$B$50</definedName>
    <definedName name="XDO_?NOVAL?598?">'SFMP- Series 14'!$B$18:$B$65</definedName>
    <definedName name="XDO_?NOVAL?599?">'SFMP- Series 14'!$B$18:$B$70</definedName>
    <definedName name="XDO_?NOVAL?6?">'[1]MMIS-89'!$B$10:$B$49</definedName>
    <definedName name="XDO_?NOVAL?60?">'[1]MELS-95'!$B$48:$B$53</definedName>
    <definedName name="XDO_?NOVAL?600?">'SFMP- Series 15'!$B$18:$B$29</definedName>
    <definedName name="XDO_?NOVAL?601?">'SFMP- Series 15'!$B$18:$B$44</definedName>
    <definedName name="XDO_?NOVAL?602?">'SFMP- Series 15'!$B$18:$B$48</definedName>
    <definedName name="XDO_?NOVAL?603?">'SFMP- Series 15'!$B$18:$B$63</definedName>
    <definedName name="XDO_?NOVAL?604?">'SFMP- Series 15'!$B$18:$B$68</definedName>
    <definedName name="XDO_?NOVAL?605?">'SFMP- Series 16'!$B$18:$B$34</definedName>
    <definedName name="XDO_?NOVAL?606?">'SFMP- Series 16'!$B$18:$B$49</definedName>
    <definedName name="XDO_?NOVAL?607?">'SFMP- Series 16'!$B$18:$B$66</definedName>
    <definedName name="XDO_?NOVAL?608?">'SFMP- Series 16'!$B$18:$B$71</definedName>
    <definedName name="XDO_?NOVAL?609?">'SFMP- Series 17'!$B$18:$B$30</definedName>
    <definedName name="XDO_?NOVAL?61?">SEHF!$B$10:$B$51</definedName>
    <definedName name="XDO_?NOVAL?610?">'SFMP- Series 17'!$B$18:$B$45</definedName>
    <definedName name="XDO_?NOVAL?611?">'SFMP- Series 17'!$B$18:$B$62</definedName>
    <definedName name="XDO_?NOVAL?612?">'SFMP- Series 17'!$B$18:$B$67</definedName>
    <definedName name="XDO_?NOVAL?613?">'SCPOF-Series A (Plan 5)'!$B$10:$B$59</definedName>
    <definedName name="XDO_?NOVAL?614?">'SCPOF-Series A (Plan 5)'!$B$10:$B$79</definedName>
    <definedName name="XDO_?NOVAL?615?">'SCPOF-Series A (Plan 5)'!$B$10:$B$89</definedName>
    <definedName name="XDO_?NOVAL?616?">'SCPOF-Series A (Plan 5)'!$B$10:$B$112</definedName>
    <definedName name="XDO_?NOVAL?617?">'SCPOF-Series A (Plan 5)'!$B$10:$B$117</definedName>
    <definedName name="XDO_?NOVAL?618?">'SFMP- Series 18'!$B$18:$B$30</definedName>
    <definedName name="XDO_?NOVAL?619?">'SFMP- Series 18'!$B$18:$B$45</definedName>
    <definedName name="XDO_?NOVAL?62?">SEHF!$B$10:$B$56</definedName>
    <definedName name="XDO_?NOVAL?620?">'SFMP- Series 18'!$B$18:$B$62</definedName>
    <definedName name="XDO_?NOVAL?621?">'SFMP- Series 18'!$B$18:$B$67</definedName>
    <definedName name="XDO_?NOVAL?622?">'SCPOF-Series A (Plan 6)'!$B$10:$B$59</definedName>
    <definedName name="XDO_?NOVAL?623?">'SCPOF-Series A (Plan 6)'!$B$10:$B$78</definedName>
    <definedName name="XDO_?NOVAL?624?">'SCPOF-Series A (Plan 6)'!$B$10:$B$95</definedName>
    <definedName name="XDO_?NOVAL?625?">'SCPOF-Series A (Plan 6)'!$B$10:$B$110</definedName>
    <definedName name="XDO_?NOVAL?626?">'SCPOF-Series A (Plan 6)'!$B$10:$B$115</definedName>
    <definedName name="XDO_?NOVAL?627?">'SFMP- Series 19'!$B$18:$B$32</definedName>
    <definedName name="XDO_?NOVAL?628?">'SFMP- Series 19'!$B$18:$B$63</definedName>
    <definedName name="XDO_?NOVAL?629?">'SFMP- Series 19'!$B$18:$B$68</definedName>
    <definedName name="XDO_?NOVAL?63?">SEHF!$B$10:$B$99</definedName>
    <definedName name="XDO_?NOVAL?630?">'SFMP- Series 20'!$B$18:$B$31</definedName>
    <definedName name="XDO_?NOVAL?631?">'SFMP- Series 20'!$B$18:$B$62</definedName>
    <definedName name="XDO_?NOVAL?632?">'SFMP- Series 20'!$B$18:$B$67</definedName>
    <definedName name="XDO_?NOVAL?633?">'SFMP- Series 21'!$B$18:$B$30</definedName>
    <definedName name="XDO_?NOVAL?634?">'SFMP- Series 21'!$B$18:$B$61</definedName>
    <definedName name="XDO_?NOVAL?635?">'SFMP- Series 21'!$B$18:$B$66</definedName>
    <definedName name="XDO_?NOVAL?636?">'SFMP- Series 22'!$B$18:$B$30</definedName>
    <definedName name="XDO_?NOVAL?637?">'SFMP- Series 22'!$B$18:$B$61</definedName>
    <definedName name="XDO_?NOVAL?638?">'SFMP- Series 22'!$B$18:$B$66</definedName>
    <definedName name="XDO_?NOVAL?639?">'SFMP- Series 23'!$B$18:$B$30</definedName>
    <definedName name="XDO_?NOVAL?64?">SEHF!$B$10:$B$112</definedName>
    <definedName name="XDO_?NOVAL?640?">'SFMP- Series 23'!$B$18:$B$61</definedName>
    <definedName name="XDO_?NOVAL?641?">'SFMP- Series 23'!$B$18:$B$66</definedName>
    <definedName name="XDO_?NOVAL?642?">'SFMP- Series 24'!$B$18:$B$30</definedName>
    <definedName name="XDO_?NOVAL?643?">'SFMP- Series 24'!$B$18:$B$61</definedName>
    <definedName name="XDO_?NOVAL?644?">'SFMP- Series 24'!$B$18:$B$66</definedName>
    <definedName name="XDO_?NOVAL?645?">'SFMP- Series 25'!$B$18:$B$29</definedName>
    <definedName name="XDO_?NOVAL?646?">'SFMP- Series 25'!$B$18:$B$60</definedName>
    <definedName name="XDO_?NOVAL?647?">'SFMP- Series 25'!$B$18:$B$65</definedName>
    <definedName name="XDO_?NOVAL?648?">'SFMP- Series 26'!$B$18:$B$30</definedName>
    <definedName name="XDO_?NOVAL?649?">'SFMP- Series 26'!$B$18:$B$61</definedName>
    <definedName name="XDO_?NOVAL?65?">SEHF!$B$10:$B$125</definedName>
    <definedName name="XDO_?NOVAL?650?">'SFMP- Series 26'!$B$18:$B$66</definedName>
    <definedName name="XDO_?NOVAL?651?">'SFMP- Series 27'!$B$18:$B$28</definedName>
    <definedName name="XDO_?NOVAL?652?">'SFMP- Series 27'!$B$18:$B$38</definedName>
    <definedName name="XDO_?NOVAL?653?">'SFMP- Series 27'!$B$18:$B$45</definedName>
    <definedName name="XDO_?NOVAL?654?">'SFMP- Series 27'!$B$18:$B$62</definedName>
    <definedName name="XDO_?NOVAL?655?">'SFMP- Series 27'!$B$18:$B$67</definedName>
    <definedName name="XDO_?NOVAL?656?">'SCPOF-Series A (Plan 7)'!$B$10:$B$59</definedName>
    <definedName name="XDO_?NOVAL?657?">'SCPOF-Series A (Plan 7)'!$B$10:$B$71</definedName>
    <definedName name="XDO_?NOVAL?658?">'SCPOF-Series A (Plan 7)'!$B$10:$B$82</definedName>
    <definedName name="XDO_?NOVAL?659?">'SCPOF-Series A (Plan 7)'!$B$10:$B$91</definedName>
    <definedName name="XDO_?NOVAL?66?">SEHF!$B$10:$B$148</definedName>
    <definedName name="XDO_?NOVAL?660?">'SCPOF-Series A (Plan 7)'!$B$10:$B$106</definedName>
    <definedName name="XDO_?NOVAL?661?">'SCPOF-Series A (Plan 7)'!$B$10:$B$111</definedName>
    <definedName name="XDO_?NOVAL?662?">'SFMP- Series 28'!$B$18:$B$27</definedName>
    <definedName name="XDO_?NOVAL?663?">'SFMP- Series 28'!$B$18:$B$39</definedName>
    <definedName name="XDO_?NOVAL?664?">'SFMP- Series 28'!$B$18:$B$62</definedName>
    <definedName name="XDO_?NOVAL?665?">'SFMP- Series 28'!$B$18:$B$67</definedName>
    <definedName name="XDO_?NOVAL?666?">'SCPOF-Series A (Plan 8)'!$B$10:$B$59</definedName>
    <definedName name="XDO_?NOVAL?667?">'SCPOF-Series A (Plan 8)'!$B$10:$B$71</definedName>
    <definedName name="XDO_?NOVAL?668?">'SCPOF-Series A (Plan 8)'!$B$10:$B$82</definedName>
    <definedName name="XDO_?NOVAL?669?">'SCPOF-Series A (Plan 8)'!$B$10:$B$105</definedName>
    <definedName name="XDO_?NOVAL?67?">SEHF!$B$10:$B$152</definedName>
    <definedName name="XDO_?NOVAL?670?">'SCPOF-Series A (Plan 8)'!$B$10:$B$110</definedName>
    <definedName name="XDO_?NOVAL?671?">'SFMP- Series 31'!$B$18:$B$25</definedName>
    <definedName name="XDO_?NOVAL?672?">'SFMP- Series 31'!$B$18:$B$39</definedName>
    <definedName name="XDO_?NOVAL?673?">'SFMP- Series 31'!$B$18:$B$62</definedName>
    <definedName name="XDO_?NOVAL?674?">'SFMP- Series 31'!$B$18:$B$67</definedName>
    <definedName name="XDO_?NOVAL?675?">'SFMP- Series 32'!$B$18:$B$26</definedName>
    <definedName name="XDO_?NOVAL?676?">'SFMP- Series 32'!$B$18:$B$37</definedName>
    <definedName name="XDO_?NOVAL?677?">'SFMP- Series 32'!$B$18:$B$60</definedName>
    <definedName name="XDO_?NOVAL?678?">'SFMP- Series 32'!$B$18:$B$65</definedName>
    <definedName name="XDO_?NOVAL?679?">'SFMP- Series 33'!$B$26</definedName>
    <definedName name="XDO_?NOVAL?68?">SEHF!$B$10:$B$157</definedName>
    <definedName name="XDO_?NOVAL?680?">'SFMP- Series 33'!$B$26:$B$49</definedName>
    <definedName name="XDO_?NOVAL?681?">'SFMP- Series 33'!$B$26:$B$54</definedName>
    <definedName name="XDO_?NOVAL?682?">'SFMP- Series 34'!$B$26</definedName>
    <definedName name="XDO_?NOVAL?683?">'SFMP- Series 34'!$B$26:$B$49</definedName>
    <definedName name="XDO_?NOVAL?684?">'SFMP- Series 34'!$B$26:$B$54</definedName>
    <definedName name="XDO_?NOVAL?685?">'SMCBF-Investment Plan'!$B$10:$B$13</definedName>
    <definedName name="XDO_?NOVAL?686?">'SMCBF-Investment Plan'!$B$10:$B$22</definedName>
    <definedName name="XDO_?NOVAL?687?">'SMCBF-Investment Plan'!$B$10:$B$30</definedName>
    <definedName name="XDO_?NOVAL?688?">'SMCBF-Investment Plan'!$B$10:$B$55</definedName>
    <definedName name="XDO_?NOVAL?689?">'SMCBF-Investment Plan'!$B$10:$B$60</definedName>
    <definedName name="XDO_?NOVAL?69?">'[1]MELS-96'!$B$48</definedName>
    <definedName name="XDO_?NOVAL?690?">SBIRIOS!$B$10:$B$55</definedName>
    <definedName name="XDO_?NOVAL?691?">SBIRIOS!$B$10:$B$94</definedName>
    <definedName name="XDO_?NOVAL?692?">SBIRIOS!$B$10:$B$99</definedName>
    <definedName name="XDO_?NOVAL?693?">#REF!</definedName>
    <definedName name="XDO_?NOVAL?694?">#REF!</definedName>
    <definedName name="XDO_?NOVAL?695?">#REF!</definedName>
    <definedName name="XDO_?NOVAL?696?">#REF!</definedName>
    <definedName name="XDO_?NOVAL?697?">#REF!</definedName>
    <definedName name="XDO_?NOVAL?698?">#REF!</definedName>
    <definedName name="XDO_?NOVAL?699?">#REF!</definedName>
    <definedName name="XDO_?NOVAL?7?">'[1]MMIS-89'!$B$10:$B$54</definedName>
    <definedName name="XDO_?NOVAL?70?">'[1]MELS-96'!$B$48:$B$53</definedName>
    <definedName name="XDO_?NOVAL?700?">#REF!</definedName>
    <definedName name="XDO_?NOVAL?71?">'[1]MMIS-97'!$B$48</definedName>
    <definedName name="XDO_?NOVAL?72?">'[1]MMIS-97'!$B$48:$B$53</definedName>
    <definedName name="XDO_?NOVAL?73?">'[1]MMIS-98 I'!$B$12</definedName>
    <definedName name="XDO_?NOVAL?74?">'[1]MMIS-98 I'!$B$12:$B$49</definedName>
    <definedName name="XDO_?NOVAL?75?">'[1]MMIS-98 I'!$B$12:$B$54</definedName>
    <definedName name="XDO_?NOVAL?76?">SMIF!$B$18:$B$30</definedName>
    <definedName name="XDO_?NOVAL?77?">SMIF!$B$18:$B$42</definedName>
    <definedName name="XDO_?NOVAL?78?">SMIF!$B$18:$B$67</definedName>
    <definedName name="XDO_?NOVAL?79?">SMIF!$B$18:$B$72</definedName>
    <definedName name="XDO_?NOVAL?8?">'[1]MTSS-90'!$B$48</definedName>
    <definedName name="XDO_?NOVAL?80?">'[1]MMIS-98 II'!$B$48</definedName>
    <definedName name="XDO_?NOVAL?81?">'[1]MMIS-98 II'!$B$48:$B$53</definedName>
    <definedName name="XDO_?NOVAL?82?">'[1]MGF-99'!$B$12</definedName>
    <definedName name="XDO_?NOVAL?83?">'[1]MGF-99'!$B$12:$B$53</definedName>
    <definedName name="XDO_?NOVAL?84?">SCOF!$B$10:$B$38</definedName>
    <definedName name="XDO_?NOVAL?85?">SCOF!$B$10:$B$77</definedName>
    <definedName name="XDO_?NOVAL?86?">SCOF!$B$10:$B$82</definedName>
    <definedName name="XDO_?NOVAL?87?">STOF!$B$10:$B$14</definedName>
    <definedName name="XDO_?NOVAL?88?">STOF!$B$10:$B$33</definedName>
    <definedName name="XDO_?NOVAL?89?">STOF!$B$10:$B$24</definedName>
    <definedName name="XDO_?NOVAL?9?">'[1]MTSS-90'!$B$48:$B$53</definedName>
    <definedName name="XDO_?NOVAL?90?">STOF!$B$10:$B$29</definedName>
    <definedName name="XDO_?NOVAL?91?">STOF!$B$10:$B$34</definedName>
    <definedName name="XDO_?NOVAL?92?">STOF!$B$10:$B$69</definedName>
    <definedName name="XDO_?NOVAL?93?">STOF!$B$10:$B$74</definedName>
    <definedName name="XDO_?NOVAL?94?">SHOF!$B$10:$B$31</definedName>
    <definedName name="XDO_?NOVAL?95?">SHOF!$B$10:$B$35</definedName>
    <definedName name="XDO_?NOVAL?96?">SHOF!$B$10:$B$72</definedName>
    <definedName name="XDO_?NOVAL?97?">SHOF!$B$10:$B$77</definedName>
    <definedName name="XDO_?NOVAL?98?">SCF!$B$10:$B$56</definedName>
    <definedName name="XDO_?NOVAL?99?">SCF!$B$10:$B$96</definedName>
    <definedName name="XDO_?NPTF?">'[1]MRIS-87'!$D$2:$D$48</definedName>
    <definedName name="XDO_?NPTF?1?">'[1]MTSS-88-89'!$D$2:$D$48</definedName>
    <definedName name="XDO_?NPTF?10?">'[1]MEX-91'!$D$2:$D$48</definedName>
    <definedName name="XDO_?NPTF?100?">'SDFS-C-26'!$D$2:$D$32</definedName>
    <definedName name="XDO_?NPTF?101?">'SDFS-C-27'!$D$2:$D$29</definedName>
    <definedName name="XDO_?NPTF?102?">'SDFS-C-28'!$D$2:$D$32</definedName>
    <definedName name="XDO_?NPTF?103?">'SDFS-C-30'!$D$2:$D$32</definedName>
    <definedName name="XDO_?NPTF?104?">'SETF-Quality'!$D$2:$D$39</definedName>
    <definedName name="XDO_?NPTF?105?">'SDFS-C-32'!$D$2:$D$37</definedName>
    <definedName name="XDO_?NPTF?106?">'SDFS-C-33'!$D$2:$D$38</definedName>
    <definedName name="XDO_?NPTF?107?">'SDFS-C-34'!$D$2:$D$32</definedName>
    <definedName name="XDO_?NPTF?108?">'SDFS-C-35'!$D$2:$D$33</definedName>
    <definedName name="XDO_?NPTF?109?">'SDFS-C-38'!$D$2:$D$28</definedName>
    <definedName name="XDO_?NPTF?11?">'[1]GIFTS B'!$D$2:$D$16</definedName>
    <definedName name="XDO_?NPTF?110?">SCBF!$D$2:$D$133</definedName>
    <definedName name="XDO_?NPTF?111?">'SDFS-C-40'!$D$2:$D$28</definedName>
    <definedName name="XDO_?NPTF?112?">'SDFS-C-41'!$D$2:$D$32</definedName>
    <definedName name="XDO_?NPTF?113?">'SDFS-C-43'!$D$2:$D$28</definedName>
    <definedName name="XDO_?NPTF?114?">'SDFS-C-44'!$D$2:$D$28</definedName>
    <definedName name="XDO_?NPTF?115?">'SCPOF-A1'!$D$2:$D$58</definedName>
    <definedName name="XDO_?NPTF?116?">'SDFS-C-46'!$D$2:$D$25</definedName>
    <definedName name="XDO_?NPTF?117?">SEMVF!$D$2:$D$121</definedName>
    <definedName name="XDO_?NPTF?118?">'SDFS-C-48'!$D$2:$D$34</definedName>
    <definedName name="XDO_?NPTF?119?">'SDFS-C-49'!$D$2:$D$27</definedName>
    <definedName name="XDO_?NPTF?12?">'[1]GIFTS A'!$D$2:$D$12</definedName>
    <definedName name="XDO_?NPTF?120?">'SCPOF-Series A (Plan 2)'!$D$2:$D$59</definedName>
    <definedName name="XDO_?NPTF?121?">'SDFS-C-50'!$D$2:$D$26</definedName>
    <definedName name="XDO_?NPTF?122?">'SFMP- Series 1'!$D$2:$D$31</definedName>
    <definedName name="XDO_?NPTF?123?">'SFMP- Series 2'!$D$2:$D$29</definedName>
    <definedName name="XDO_?NPTF?124?">'SFMP- Series 3'!$D$2:$D$29</definedName>
    <definedName name="XDO_?NPTF?125?">'SCPOF-Series A (Plan 3)'!$D$2:$D$59</definedName>
    <definedName name="XDO_?NPTF?126?">'SFMP- Series 6'!$D$2:$D$29</definedName>
    <definedName name="XDO_?NPTF?127?">'SFMP- Series 7'!$D$2:$D$32</definedName>
    <definedName name="XDO_?NPTF?128?">'SFMP- Series 8'!$D$2:$D$32</definedName>
    <definedName name="XDO_?NPTF?129?">'SCPOF-Series A (Plan 4)'!$D$2:$D$59</definedName>
    <definedName name="XDO_?NPTF?13?">SLMF!$D$2:$D$65</definedName>
    <definedName name="XDO_?NPTF?130?">'SFMP- Series 9'!$D$2:$D$31</definedName>
    <definedName name="XDO_?NPTF?131?">'SFMP- Series 10'!$D$2:$D$31</definedName>
    <definedName name="XDO_?NPTF?132?">'SFMP- Series 11'!$D$2:$D$36</definedName>
    <definedName name="XDO_?NPTF?133?">'SFMP- Series 12'!$D$2:$D$31</definedName>
    <definedName name="XDO_?NPTF?134?">'SFMP- Series 13'!$D$2:$D$31</definedName>
    <definedName name="XDO_?NPTF?135?">'SFMP- Series 14'!$D$2:$D$31</definedName>
    <definedName name="XDO_?NPTF?136?">'SFMP- Series 15'!$D$2:$D$29</definedName>
    <definedName name="XDO_?NPTF?137?">'SFMP- Series 16'!$D$2:$D$34</definedName>
    <definedName name="XDO_?NPTF?138?">'SFMP- Series 17'!$D$2:$D$30</definedName>
    <definedName name="XDO_?NPTF?139?">'SCPOF-Series A (Plan 5)'!$D$2:$D$59</definedName>
    <definedName name="XDO_?NPTF?14?">SLTEF!$D$2:$D$65</definedName>
    <definedName name="XDO_?NPTF?140?">'SFMP- Series 18'!$D$2:$D$30</definedName>
    <definedName name="XDO_?NPTF?141?">'SCPOF-Series A (Plan 6)'!$D$2:$D$59</definedName>
    <definedName name="XDO_?NPTF?142?">'SFMP- Series 19'!$D$2:$D$32</definedName>
    <definedName name="XDO_?NPTF?143?">'SFMP- Series 20'!$D$2:$D$31</definedName>
    <definedName name="XDO_?NPTF?144?">'SFMP- Series 21'!$D$2:$D$30</definedName>
    <definedName name="XDO_?NPTF?145?">'SFMP- Series 22'!$D$2:$D$30</definedName>
    <definedName name="XDO_?NPTF?146?">'SFMP- Series 23'!$D$2:$D$30</definedName>
    <definedName name="XDO_?NPTF?147?">'SFMP- Series 24'!$D$2:$D$30</definedName>
    <definedName name="XDO_?NPTF?148?">'SFMP- Series 25'!$D$2:$D$29</definedName>
    <definedName name="XDO_?NPTF?149?">'SFMP- Series 26'!$D$2:$D$30</definedName>
    <definedName name="XDO_?NPTF?15?">'[1]MRIS-93'!$D$2:$D$17</definedName>
    <definedName name="XDO_?NPTF?150?">'SFMP- Series 27'!$D$2:$D$28</definedName>
    <definedName name="XDO_?NPTF?151?">'SCPOF-Series A (Plan 7)'!$D$2:$D$59</definedName>
    <definedName name="XDO_?NPTF?152?">'SFMP- Series 28'!$D$2:$D$27</definedName>
    <definedName name="XDO_?NPTF?153?">'SCPOF-Series A (Plan 8)'!$D$2:$D$59</definedName>
    <definedName name="XDO_?NPTF?154?">'SFMP- Series 31'!$D$2:$D$25</definedName>
    <definedName name="XDO_?NPTF?155?">'SFMP- Series 32'!$D$2:$D$26</definedName>
    <definedName name="XDO_?NPTF?156?">'SFMP- Series 33'!$D$2:$D$26</definedName>
    <definedName name="XDO_?NPTF?157?">'SFMP- Series 34'!$D$2:$D$26</definedName>
    <definedName name="XDO_?NPTF?158?">'SMCBF-Investment Plan'!$D$2:$D$13</definedName>
    <definedName name="XDO_?NPTF?159?">SBIRIOS!$D$2:$D$55</definedName>
    <definedName name="XDO_?NPTF?16?">'[1]MTP-94'!$D$2:$D$12</definedName>
    <definedName name="XDO_?NPTF?160?">#REF!</definedName>
    <definedName name="XDO_?NPTF?161?">#REF!</definedName>
    <definedName name="XDO_?NPTF?162?">#REF!</definedName>
    <definedName name="XDO_?NPTF?163?">#REF!</definedName>
    <definedName name="XDO_?NPTF?17?">SMGLF!$D$2:$D$31</definedName>
    <definedName name="XDO_?NPTF?18?">'[1]MBF-94'!$D$2:$D$10</definedName>
    <definedName name="XDO_?NPTF?19?">'[1]MELS-95'!$D$2:$D$48</definedName>
    <definedName name="XDO_?NPTF?2?">'[1]MRIS-89'!$D$2:$D$48</definedName>
    <definedName name="XDO_?NPTF?20?">SEHF!$D$2:$D$51</definedName>
    <definedName name="XDO_?NPTF?21?">'[1]MELS-96'!$D$2:$D$48</definedName>
    <definedName name="XDO_?NPTF?22?">'[1]MMIS-97'!$D$2:$D$48</definedName>
    <definedName name="XDO_?NPTF?23?">'[1]MMIS-98 I'!$D$2:$D$12</definedName>
    <definedName name="XDO_?NPTF?24?">SMIF!$D$2:$D$30</definedName>
    <definedName name="XDO_?NPTF?25?">'[1]MMIS-98 II'!$D$2:$D$48</definedName>
    <definedName name="XDO_?NPTF?26?">'[1]MGF-99'!$D$2:$D$12</definedName>
    <definedName name="XDO_?NPTF?27?">SCOF!$D$2:$D$38</definedName>
    <definedName name="XDO_?NPTF?28?">STOF!$D$2:$D$14</definedName>
    <definedName name="XDO_?NPTF?29?">SHOF!$D$2:$D$31</definedName>
    <definedName name="XDO_?NPTF?3?">'[1]MMIS-89'!$D$2:$D$10</definedName>
    <definedName name="XDO_?NPTF?30?">SCF!$D$2:$D$56</definedName>
    <definedName name="XDO_?NPTF?31?">SNIF!$D$2:$D$121</definedName>
    <definedName name="XDO_?NPTF?32?">SMCBF!$D$2:$D$36</definedName>
    <definedName name="XDO_?NPTF?33?">SOF!$D$2:$D$49</definedName>
    <definedName name="XDO_?NPTF?34?">SMMDF!$D$2:$D$53</definedName>
    <definedName name="XDO_?NPTF?35?">SLF!$D$2:$D$29</definedName>
    <definedName name="XDO_?NPTF?36?">SDBF!$D$2:$D$29</definedName>
    <definedName name="XDO_?NPTF?37?">SSF!$D$2:$D$25</definedName>
    <definedName name="XDO_?NPTF?38?">SCRF!$D$2:$D$61</definedName>
    <definedName name="XDO_?NPTF?39?">SFEF!$D$2:$D$10</definedName>
    <definedName name="XDO_?NPTF?4?">'[1]MTSS-90'!$D$2:$D$48</definedName>
    <definedName name="XDO_?NPTF?40?">SDHF!$D$2:$D$34</definedName>
    <definedName name="XDO_?NPTF?41?">SMUSD!$D$2:$D$39</definedName>
    <definedName name="XDO_?NPTF?42?">SMIDCAP!$D$2:$D$59</definedName>
    <definedName name="XDO_?NPTF?43?">SMCMF!$D$2:$D$28</definedName>
    <definedName name="XDO_?NPTF?44?">SMCOMMA!$D$2:$D$35</definedName>
    <definedName name="XDO_?NPTF?45?">SMGF!$D$2:$D$28</definedName>
    <definedName name="XDO_?NPTF?46?">SMMULTI!$D$2:$D$55</definedName>
    <definedName name="XDO_?NPTF?47?">SMAAF!$D$2:$D$59</definedName>
    <definedName name="XDO_?NPTF?48?">SBLUECHIP!$D$2:$D$67</definedName>
    <definedName name="XDO_?NPTF?49?">SAOF!$D$2:$D$73</definedName>
    <definedName name="XDO_?NPTF?5?">'[1]MRIS-90'!$D$2:$D$48</definedName>
    <definedName name="XDO_?NPTF?50?">SIF!$D$2:$D$37</definedName>
    <definedName name="XDO_?NPTF?51?">SMLDF!$D$2:$D$62</definedName>
    <definedName name="XDO_?NPTF?52?">SSTDF!$D$2:$D$101</definedName>
    <definedName name="XDO_?NPTF?53?">'SETF-Gold'!$D$2:$D$42</definedName>
    <definedName name="XDO_?NPTF?54?">SPSU!$D$2:$D$31</definedName>
    <definedName name="XDO_?NPTF?55?">SGF!$D$2:$D$40</definedName>
    <definedName name="XDO_?NPTF?56?">'STAF-II'!$D$2:$D$35</definedName>
    <definedName name="XDO_?NPTF?57?">'SETF-SENSEX'!$D$2:$D$39</definedName>
    <definedName name="XDO_?NPTF?58?">SSCF!$D$2:$D$62</definedName>
    <definedName name="XDO_?NPTF?59?">SBPF!$D$2:$D$96</definedName>
    <definedName name="XDO_?NPTF?6?">SMEEF!$D$2:$D$50</definedName>
    <definedName name="XDO_?NPTF?60?">'STAF-III'!$D$2:$D$36</definedName>
    <definedName name="XDO_?NPTF?61?">'SEOF-I'!$D$2:$D$45</definedName>
    <definedName name="XDO_?NPTF?62?">'SLTAF-I'!$D$2:$D$37</definedName>
    <definedName name="XDO_?NPTF?63?">'SLTAF-II'!$D$2:$D$39</definedName>
    <definedName name="XDO_?NPTF?64?">SBFS!$D$2:$D$30</definedName>
    <definedName name="XDO_?NPTF?65?">SDAAF!$D$2:$D$40</definedName>
    <definedName name="XDO_?NPTF?66?">'SETF-NN50'!$D$2:$D$59</definedName>
    <definedName name="XDO_?NPTF?67?">'SETF-NBank'!$D$2:$D$76</definedName>
    <definedName name="XDO_?NPTF?68?">'SETF-BSE 100'!$D$2:$D$165</definedName>
    <definedName name="XDO_?NPTF?69?">SESF!$D$2:$D$81</definedName>
    <definedName name="XDO_?NPTF?7?">'[1]MELS-91'!$D$2:$D$12</definedName>
    <definedName name="XDO_?NPTF?70?">'SETF-Nifty 50'!$D$2:$D$114</definedName>
    <definedName name="XDO_?NPTF?71?">'SEOF-IV'!$D$2:$D$45</definedName>
    <definedName name="XDO_?NPTF?72?">'SLTAF-III'!$D$2:$D$39</definedName>
    <definedName name="XDO_?NPTF?73?">'SETF-10 Yr Gilt'!$D$2:$D$24</definedName>
    <definedName name="XDO_?NPTF?74?">'SLTAF-IV'!$D$2:$D$38</definedName>
    <definedName name="XDO_?NPTF?75?">'SDAFS-XXIV'!$D$2:$D$21</definedName>
    <definedName name="XDO_?NPTF?76?">'SDAFS-XXV'!$D$2:$D$31</definedName>
    <definedName name="XDO_?NPTF?77?">'SLTAF-V'!$D$2:$D$42</definedName>
    <definedName name="XDO_?NPTF?78?">'SDFS-C-7'!$D$2:$D$28</definedName>
    <definedName name="XDO_?NPTF?79?">'SDAFS-XXVI'!$D$2:$D$31</definedName>
    <definedName name="XDO_?NPTF?8?">'[1]MMIS-91'!$D$2:$D$11</definedName>
    <definedName name="XDO_?NPTF?80?">'SDFS-C-8'!$D$2:$D$28</definedName>
    <definedName name="XDO_?NPTF?81?">'SDFS-C-9'!$D$2:$D$27</definedName>
    <definedName name="XDO_?NPTF?82?">'SDFS-C-10'!$D$2:$D$29</definedName>
    <definedName name="XDO_?NPTF?83?">'SDAFS-XXVII'!$D$2:$D$33</definedName>
    <definedName name="XDO_?NPTF?84?">'SDFS-C-12'!$D$2:$D$26</definedName>
    <definedName name="XDO_?NPTF?85?">'SDFS-C-14'!$D$2:$D$27</definedName>
    <definedName name="XDO_?NPTF?86?">'SLTAF-VI'!$D$2:$D$35</definedName>
    <definedName name="XDO_?NPTF?87?">'SDAFS-XXVIII'!$D$2:$D$34</definedName>
    <definedName name="XDO_?NPTF?88?">'SDFS-C-16'!$D$2:$D$32</definedName>
    <definedName name="XDO_?NPTF?89?">'SDFS-C-18'!$D$2:$D$36</definedName>
    <definedName name="XDO_?NPTF?9?">[1]MTPL!$D$2:$D$10</definedName>
    <definedName name="XDO_?NPTF?90?">'SDFS-C-19'!$D$2:$D$29</definedName>
    <definedName name="XDO_?NPTF?91?">'SDAFS-XXIX'!$D$2:$D$34</definedName>
    <definedName name="XDO_?NPTF?92?">'SDFS-C-20'!$D$2:$D$28</definedName>
    <definedName name="XDO_?NPTF?93?">'SDFS-C-21'!$D$2:$D$29</definedName>
    <definedName name="XDO_?NPTF?94?">'SDFS-C-22'!$D$2:$D$29</definedName>
    <definedName name="XDO_?NPTF?95?">'SDFS-C-23'!$D$2:$D$34</definedName>
    <definedName name="XDO_?NPTF?96?">'SETF-SN50'!$D$2:$D$114</definedName>
    <definedName name="XDO_?NPTF?97?">'SDFS-C-24'!$D$2:$D$29</definedName>
    <definedName name="XDO_?NPTF?98?">'SDFS-C-25'!$D$2:$D$34</definedName>
    <definedName name="XDO_?NPTF?99?">'SDAFS-XXX'!$D$2:$D$34</definedName>
    <definedName name="XDO_?RATING?">'[1]MRIS-87'!$E$48:$E$53</definedName>
    <definedName name="XDO_?RATING?1?">'[1]MTSS-88-89'!$E$48</definedName>
    <definedName name="XDO_?RATING?10?">'[1]MRIS-90'!$E$48</definedName>
    <definedName name="XDO_?RATING?100?">SCF!$E$10:$E$100</definedName>
    <definedName name="XDO_?RATING?101?">SCF!$E$10:$E$105</definedName>
    <definedName name="XDO_?RATING?102?">SNIF!$E$10:$E$121</definedName>
    <definedName name="XDO_?RATING?103?">SNIF!$E$10:$E$96</definedName>
    <definedName name="XDO_?RATING?104?">SNIF!$E$10:$E$100</definedName>
    <definedName name="XDO_?RATING?105?">SNIF!$E$10:$E$105</definedName>
    <definedName name="XDO_?RATING?106?">SMCBF!$E$10:$E$36</definedName>
    <definedName name="XDO_?RATING?107?">SMCBF!$E$10:$E$39</definedName>
    <definedName name="XDO_?RATING?108?">SMCBF!$E$10:$E$52</definedName>
    <definedName name="XDO_?RATING?109?">SMCBF!$E$10:$E$60</definedName>
    <definedName name="XDO_?RATING?11?">'[1]MRIS-90'!$E$48:$E$53</definedName>
    <definedName name="XDO_?RATING?110?">SMCBF!$E$10:$E$64</definedName>
    <definedName name="XDO_?RATING?111?">SMCBF!$E$10:$E$87</definedName>
    <definedName name="XDO_?RATING?112?">SMCBF!$E$10:$E$92</definedName>
    <definedName name="XDO_?RATING?113?">SOF!$E$48:$E$49</definedName>
    <definedName name="XDO_?RATING?114?">SOF!$E$48:$E$54</definedName>
    <definedName name="XDO_?RATING?115?">SMMDF!$E$18:$E$53</definedName>
    <definedName name="XDO_?RATING?116?">SMMDF!$E$18:$E$67</definedName>
    <definedName name="XDO_?RATING?117?">SMMDF!$E$18:$E$80</definedName>
    <definedName name="XDO_?RATING?118?">SMMDF!$E$18:$E$84</definedName>
    <definedName name="XDO_?RATING?119?">SMMDF!$E$18:$E$107</definedName>
    <definedName name="XDO_?RATING?12?">SMEEF!$E$10:$E$50</definedName>
    <definedName name="XDO_?RATING?120?">SMMDF!$E$18:$E$112</definedName>
    <definedName name="XDO_?RATING?121?">SLF!$E$26:$E$29</definedName>
    <definedName name="XDO_?RATING?122?">SLF!$E$26:$E$58</definedName>
    <definedName name="XDO_?RATING?123?">SLF!$E$26:$E$77</definedName>
    <definedName name="XDO_?RATING?124?">SLF!$E$26:$E$92</definedName>
    <definedName name="XDO_?RATING?125?">SLF!$E$26:$E$97</definedName>
    <definedName name="XDO_?RATING?126?">SDBF!$E$24:$E$29</definedName>
    <definedName name="XDO_?RATING?127?">SDBF!$E$24:$E$54</definedName>
    <definedName name="XDO_?RATING?128?">SDBF!$E$24:$E$59</definedName>
    <definedName name="XDO_?RATING?129?">SSF!$E$24:$E$25</definedName>
    <definedName name="XDO_?RATING?13?">SMEEF!$E$10:$E$55</definedName>
    <definedName name="XDO_?RATING?130?">SSF!$E$24:$E$80</definedName>
    <definedName name="XDO_?RATING?131?">SSF!$E$24:$E$102</definedName>
    <definedName name="XDO_?RATING?132?">SSF!$E$24:$E$113</definedName>
    <definedName name="XDO_?RATING?133?">SSF!$E$24:$E$128</definedName>
    <definedName name="XDO_?RATING?134?">SSF!$E$24:$E$133</definedName>
    <definedName name="XDO_?RATING?135?">SCRF!$E$18:$E$61</definedName>
    <definedName name="XDO_?RATING?136?">SCRF!$E$18:$E$75</definedName>
    <definedName name="XDO_?RATING?137?">SCRF!$E$18:$E$85</definedName>
    <definedName name="XDO_?RATING?138?">SCRF!$E$18:$E$110</definedName>
    <definedName name="XDO_?RATING?139?">SCRF!$E$18:$E$115</definedName>
    <definedName name="XDO_?RATING?14?">SMEEF!$E$10:$E$84</definedName>
    <definedName name="XDO_?RATING?140?">SFEF!$E$10</definedName>
    <definedName name="XDO_?RATING?141?">SFEF!$E$10:$E$41</definedName>
    <definedName name="XDO_?RATING?142?">SFEF!$E$10:$E$35</definedName>
    <definedName name="XDO_?RATING?143?">SFEF!$E$10:$E$42</definedName>
    <definedName name="XDO_?RATING?144?">SFEF!$E$10:$E$75</definedName>
    <definedName name="XDO_?RATING?145?">SFEF!$E$10:$E$79</definedName>
    <definedName name="XDO_?RATING?146?">SFEF!$E$10:$E$84</definedName>
    <definedName name="XDO_?RATING?147?">SDHF!$E$10:$E$34</definedName>
    <definedName name="XDO_?RATING?148?">SDHF!$E$10:$E$54</definedName>
    <definedName name="XDO_?RATING?149?">SDHF!$E$10:$E$68</definedName>
    <definedName name="XDO_?RATING?15?">SMEEF!$E$10:$E$92</definedName>
    <definedName name="XDO_?RATING?150?">SDHF!$E$10:$E$77</definedName>
    <definedName name="XDO_?RATING?151?">SDHF!$E$10:$E$102</definedName>
    <definedName name="XDO_?RATING?152?">SDHF!$E$10:$E$107</definedName>
    <definedName name="XDO_?RATING?153?">SMUSD!$E$18:$E$39</definedName>
    <definedName name="XDO_?RATING?154?">SMUSD!$E$18:$E$50</definedName>
    <definedName name="XDO_?RATING?155?">SMUSD!$E$18:$E$56</definedName>
    <definedName name="XDO_?RATING?156?">SMUSD!$E$18:$E$70</definedName>
    <definedName name="XDO_?RATING?157?">SMUSD!$E$18:$E$86</definedName>
    <definedName name="XDO_?RATING?158?">SMUSD!$E$18:$E$94</definedName>
    <definedName name="XDO_?RATING?159?">SMUSD!$E$18:$E$109</definedName>
    <definedName name="XDO_?RATING?16?">SMEEF!$E$10:$E$96</definedName>
    <definedName name="XDO_?RATING?160?">SMUSD!$E$18:$E$114</definedName>
    <definedName name="XDO_?RATING?161?">SMIDCAP!$E$10:$E$59</definedName>
    <definedName name="XDO_?RATING?162?">SMIDCAP!$E$10:$E$62</definedName>
    <definedName name="XDO_?RATING?163?">SMIDCAP!$E$10:$E$98</definedName>
    <definedName name="XDO_?RATING?164?">SMIDCAP!$E$10:$E$103</definedName>
    <definedName name="XDO_?RATING?165?">SMCMF!$E$24:$E$28</definedName>
    <definedName name="XDO_?RATING?166?">SMCMF!$E$24:$E$53</definedName>
    <definedName name="XDO_?RATING?167?">SMCMF!$E$24:$E$58</definedName>
    <definedName name="XDO_?RATING?168?">SMCOMMA!$E$10:$E$35</definedName>
    <definedName name="XDO_?RATING?169?">SMCOMMA!$E$10:$E$74</definedName>
    <definedName name="XDO_?RATING?17?">SMEEF!$E$10:$E$101</definedName>
    <definedName name="XDO_?RATING?170?">SMCOMMA!$E$10:$E$79</definedName>
    <definedName name="XDO_?RATING?171?">SMGF!$E$24:$E$28</definedName>
    <definedName name="XDO_?RATING?172?">SMGF!$E$24:$E$53</definedName>
    <definedName name="XDO_?RATING?173?">SMGF!$E$24:$E$58</definedName>
    <definedName name="XDO_?RATING?174?">SMMULTI!$E$10:$E$55</definedName>
    <definedName name="XDO_?RATING?175?">SMMULTI!$E$10:$E$58</definedName>
    <definedName name="XDO_?RATING?176?">SMMULTI!$E$10:$E$94</definedName>
    <definedName name="XDO_?RATING?177?">SMMULTI!$E$10:$E$99</definedName>
    <definedName name="XDO_?RATING?178?">SMAAF!$E$10:$E$59</definedName>
    <definedName name="XDO_?RATING?179?">SMAAF!$E$10:$E$76</definedName>
    <definedName name="XDO_?RATING?18?">'[1]MELS-91'!$E$12</definedName>
    <definedName name="XDO_?RATING?180?">SMAAF!$E$10:$E$93</definedName>
    <definedName name="XDO_?RATING?181?">SMAAF!$E$10:$E$103</definedName>
    <definedName name="XDO_?RATING?182?">SMAAF!$E$10:$E$108</definedName>
    <definedName name="XDO_?RATING?183?">SBLUECHIP!$E$10:$E$67</definedName>
    <definedName name="XDO_?RATING?184?">SBLUECHIP!$E$10:$E$106</definedName>
    <definedName name="XDO_?RATING?185?">SBLUECHIP!$E$10:$E$111</definedName>
    <definedName name="XDO_?RATING?186?">SAOF!$E$10:$E$73</definedName>
    <definedName name="XDO_?RATING?187?">SAOF!$E$10:$E$88</definedName>
    <definedName name="XDO_?RATING?188?">SAOF!$E$10:$E$95</definedName>
    <definedName name="XDO_?RATING?189?">SAOF!$E$10:$E$126</definedName>
    <definedName name="XDO_?RATING?19?">'[1]MELS-91'!$E$12:$E$49</definedName>
    <definedName name="XDO_?RATING?190?">SAOF!$E$10:$E$130</definedName>
    <definedName name="XDO_?RATING?191?">SAOF!$E$10:$E$135</definedName>
    <definedName name="XDO_?RATING?192?">SIF!$E$10:$E$37</definedName>
    <definedName name="XDO_?RATING?193?">SIF!$E$10:$E$76</definedName>
    <definedName name="XDO_?RATING?194?">SIF!$E$10:$E$81</definedName>
    <definedName name="XDO_?RATING?195?">SMLDF!$E$18:$E$62</definedName>
    <definedName name="XDO_?RATING?196?">SMLDF!$E$18:$E$67</definedName>
    <definedName name="XDO_?RATING?197?">SMLDF!$E$18:$E$77</definedName>
    <definedName name="XDO_?RATING?198?">SMLDF!$E$18:$E$83</definedName>
    <definedName name="XDO_?RATING?199?">SMLDF!$E$18:$E$92</definedName>
    <definedName name="XDO_?RATING?2?">'[1]MTSS-88-89'!$E$48:$E$53</definedName>
    <definedName name="XDO_?RATING?20?">'[1]MELS-91'!$E$12:$E$54</definedName>
    <definedName name="XDO_?RATING?200?">SMLDF!$E$18:$E$106</definedName>
    <definedName name="XDO_?RATING?201?">SMLDF!$E$18:$E$112</definedName>
    <definedName name="XDO_?RATING?202?">SMLDF!$E$18:$E$118</definedName>
    <definedName name="XDO_?RATING?203?">SMLDF!$E$18:$E$133</definedName>
    <definedName name="XDO_?RATING?204?">SMLDF!$E$18:$E$138</definedName>
    <definedName name="XDO_?RATING?205?">SSTDF!$E$18:$E$101</definedName>
    <definedName name="XDO_?RATING?206?">SSTDF!$E$18:$E$105</definedName>
    <definedName name="XDO_?RATING?207?">SSTDF!$E$18:$E$113</definedName>
    <definedName name="XDO_?RATING?208?">SSTDF!$E$18:$E$123</definedName>
    <definedName name="XDO_?RATING?209?">SSTDF!$E$18:$E$136</definedName>
    <definedName name="XDO_?RATING?21?">'[1]MMIS-91'!$E$10:$E$11</definedName>
    <definedName name="XDO_?RATING?210?">SSTDF!$E$18:$E$145</definedName>
    <definedName name="XDO_?RATING?211?">SSTDF!$E$18:$E$160</definedName>
    <definedName name="XDO_?RATING?212?">SSTDF!$E$18:$E$165</definedName>
    <definedName name="XDO_?RATING?213?">'SETF-Gold'!$E$42</definedName>
    <definedName name="XDO_?RATING?214?">'SETF-Gold'!$E$42:$E$50</definedName>
    <definedName name="XDO_?RATING?215?">'SETF-Gold'!$E$42:$E$55</definedName>
    <definedName name="XDO_?RATING?216?">SPSU!$E$10:$E$31</definedName>
    <definedName name="XDO_?RATING?217?">SPSU!$E$10:$E$70</definedName>
    <definedName name="XDO_?RATING?218?">SPSU!$E$10:$E$75</definedName>
    <definedName name="XDO_?RATING?219?">SGF!$E$40</definedName>
    <definedName name="XDO_?RATING?22?">'[1]MMIS-91'!$E$10:$E$25</definedName>
    <definedName name="XDO_?RATING?220?">SGF!$E$40:$E$50</definedName>
    <definedName name="XDO_?RATING?221?">SGF!$E$40:$E$55</definedName>
    <definedName name="XDO_?RATING?222?">'STAF-II'!$E$10:$E$35</definedName>
    <definedName name="XDO_?RATING?223?">'STAF-II'!$E$10:$E$39</definedName>
    <definedName name="XDO_?RATING?224?">'STAF-II'!$E$10:$E$76</definedName>
    <definedName name="XDO_?RATING?225?">'STAF-II'!$E$10:$E$81</definedName>
    <definedName name="XDO_?RATING?226?">'SETF-SENSEX'!$E$10:$E$39</definedName>
    <definedName name="XDO_?RATING?227?">'SETF-SENSEX'!$E$10:$E$78</definedName>
    <definedName name="XDO_?RATING?228?">'SETF-SENSEX'!$E$10:$E$83</definedName>
    <definedName name="XDO_?RATING?229?">SSCF!$E$10:$E$62</definedName>
    <definedName name="XDO_?RATING?23?">'[1]MMIS-91'!$E$10:$E$62</definedName>
    <definedName name="XDO_?RATING?230?">SSCF!$E$10:$E$61</definedName>
    <definedName name="XDO_?RATING?231?">SSCF!$E$10:$E$99</definedName>
    <definedName name="XDO_?RATING?232?">SSCF!$E$10:$E$104</definedName>
    <definedName name="XDO_?RATING?233?">SBPF!$E$18:$E$96</definedName>
    <definedName name="XDO_?RATING?234?">SBPF!$E$18:$E$101</definedName>
    <definedName name="XDO_?RATING?235?">SBPF!$E$18:$E$111</definedName>
    <definedName name="XDO_?RATING?236?">SBPF!$E$18:$E$117</definedName>
    <definedName name="XDO_?RATING?237?">SBPF!$E$18:$E$140</definedName>
    <definedName name="XDO_?RATING?238?">SBPF!$E$18:$E$145</definedName>
    <definedName name="XDO_?RATING?239?">'STAF-III'!$E$10:$E$36</definedName>
    <definedName name="XDO_?RATING?24?">'[1]MMIS-91'!$E$10:$E$67</definedName>
    <definedName name="XDO_?RATING?240?">'STAF-III'!$E$10:$E$75</definedName>
    <definedName name="XDO_?RATING?241?">'STAF-III'!$E$10:$E$80</definedName>
    <definedName name="XDO_?RATING?242?">'SEOF-I'!$E$10:$E$45</definedName>
    <definedName name="XDO_?RATING?243?">'SEOF-I'!$E$10:$E$84</definedName>
    <definedName name="XDO_?RATING?244?">'SEOF-I'!$E$10:$E$89</definedName>
    <definedName name="XDO_?RATING?245?">'SLTAF-I'!$E$10:$E$37</definedName>
    <definedName name="XDO_?RATING?246?">'SLTAF-I'!$E$10:$E$76</definedName>
    <definedName name="XDO_?RATING?247?">'SLTAF-I'!$E$10:$E$81</definedName>
    <definedName name="XDO_?RATING?248?">'SLTAF-II'!$E$10:$E$39</definedName>
    <definedName name="XDO_?RATING?249?">'SLTAF-II'!$E$10:$E$78</definedName>
    <definedName name="XDO_?RATING?25?">[1]MTPL!$E$10</definedName>
    <definedName name="XDO_?RATING?250?">'SLTAF-II'!$E$10:$E$83</definedName>
    <definedName name="XDO_?RATING?251?">SBFS!$E$10:$E$30</definedName>
    <definedName name="XDO_?RATING?252?">SBFS!$E$10:$E$33</definedName>
    <definedName name="XDO_?RATING?253?">SBFS!$E$10:$E$69</definedName>
    <definedName name="XDO_?RATING?254?">SBFS!$E$10:$E$74</definedName>
    <definedName name="XDO_?RATING?255?">SDAAF!$E$10:$E$40</definedName>
    <definedName name="XDO_?RATING?256?">SDAAF!$E$10:$E$77</definedName>
    <definedName name="XDO_?RATING?257?">SDAAF!$E$10:$E$81</definedName>
    <definedName name="XDO_?RATING?258?">SDAAF!$E$10:$E$86</definedName>
    <definedName name="XDO_?RATING?259?">'SETF-NN50'!$E$10:$E$59</definedName>
    <definedName name="XDO_?RATING?26?">[1]MTPL!$E$10:$E$49</definedName>
    <definedName name="XDO_?RATING?260?">'SETF-NN50'!$E$10:$E$98</definedName>
    <definedName name="XDO_?RATING?261?">'SETF-NN50'!$E$10:$E$103</definedName>
    <definedName name="XDO_?RATING?262?">'SETF-NBank'!$E$10:$E$76</definedName>
    <definedName name="XDO_?RATING?263?">'SETF-NBank'!$E$10:$E$60</definedName>
    <definedName name="XDO_?RATING?264?">'SETF-NBank'!$E$10:$E$65</definedName>
    <definedName name="XDO_?RATING?265?">'SETF-BSE 100'!$E$10:$E$165</definedName>
    <definedName name="XDO_?RATING?266?">'SETF-BSE 100'!$E$10:$E$149</definedName>
    <definedName name="XDO_?RATING?267?">'SETF-BSE 100'!$E$10:$E$154</definedName>
    <definedName name="XDO_?RATING?268?">SESF!$E$10:$E$81</definedName>
    <definedName name="XDO_?RATING?269?">SESF!$E$10:$E$84</definedName>
    <definedName name="XDO_?RATING?27?">[1]MTPL!$E$10:$E$54</definedName>
    <definedName name="XDO_?RATING?270?">SESF!$E$10:$E$94</definedName>
    <definedName name="XDO_?RATING?271?">SESF!$E$10:$E$98</definedName>
    <definedName name="XDO_?RATING?272?">SESF!$E$10:$E$106</definedName>
    <definedName name="XDO_?RATING?273?">SESF!$E$10:$E$130</definedName>
    <definedName name="XDO_?RATING?274?">SESF!$E$10:$E$134</definedName>
    <definedName name="XDO_?RATING?275?">SESF!$E$10:$E$139</definedName>
    <definedName name="XDO_?RATING?276?">'SETF-Nifty 50'!$E$10:$E$114</definedName>
    <definedName name="XDO_?RATING?277?">'SETF-Nifty 50'!$E$10:$E$98</definedName>
    <definedName name="XDO_?RATING?278?">'SETF-Nifty 50'!$E$10:$E$103</definedName>
    <definedName name="XDO_?RATING?279?">'SEOF-IV'!$E$10:$E$45</definedName>
    <definedName name="XDO_?RATING?28?">'[1]MEX-91'!$E$48</definedName>
    <definedName name="XDO_?RATING?280?">'SEOF-IV'!$E$10:$E$84</definedName>
    <definedName name="XDO_?RATING?281?">'SEOF-IV'!$E$10:$E$89</definedName>
    <definedName name="XDO_?RATING?282?">'SLTAF-III'!$E$10:$E$39</definedName>
    <definedName name="XDO_?RATING?283?">'SLTAF-III'!$E$10:$E$78</definedName>
    <definedName name="XDO_?RATING?284?">'SLTAF-III'!$E$10:$E$83</definedName>
    <definedName name="XDO_?RATING?285?">'SETF-10 Yr Gilt'!$E$24</definedName>
    <definedName name="XDO_?RATING?286?">'SETF-10 Yr Gilt'!$E$24:$E$49</definedName>
    <definedName name="XDO_?RATING?287?">'SETF-10 Yr Gilt'!$E$24:$E$54</definedName>
    <definedName name="XDO_?RATING?288?">'SLTAF-IV'!$E$10:$E$38</definedName>
    <definedName name="XDO_?RATING?289?">'SLTAF-IV'!$E$10:$E$42</definedName>
    <definedName name="XDO_?RATING?29?">'[1]MEX-91'!$E$48:$E$53</definedName>
    <definedName name="XDO_?RATING?290?">'SLTAF-IV'!$E$10:$E$79</definedName>
    <definedName name="XDO_?RATING?291?">'SLTAF-IV'!$E$10:$E$84</definedName>
    <definedName name="XDO_?RATING?292?">'SDAFS-XXIV'!$E$18:$E$21</definedName>
    <definedName name="XDO_?RATING?293?">'SDAFS-XXIV'!$E$18:$E$32</definedName>
    <definedName name="XDO_?RATING?294?">'SDAFS-XXIV'!$E$18:$E$41</definedName>
    <definedName name="XDO_?RATING?295?">'SDAFS-XXIV'!$E$18:$E$57</definedName>
    <definedName name="XDO_?RATING?296?">'SDAFS-XXIV'!$E$18:$E$62</definedName>
    <definedName name="XDO_?RATING?297?">'SDAFS-XXV'!$E$10:$E$31</definedName>
    <definedName name="XDO_?RATING?298?">'SDAFS-XXV'!$E$10:$E$52</definedName>
    <definedName name="XDO_?RATING?299?">'SDAFS-XXV'!$E$10:$E$66</definedName>
    <definedName name="XDO_?RATING?3?">'[1]MRIS-89'!$E$48</definedName>
    <definedName name="XDO_?RATING?30?">'[1]GIFTS B'!$E$12:$E$16</definedName>
    <definedName name="XDO_?RATING?300?">'SDAFS-XXV'!$E$10:$E$74</definedName>
    <definedName name="XDO_?RATING?301?">'SDAFS-XXV'!$E$10:$E$78</definedName>
    <definedName name="XDO_?RATING?302?">'SDAFS-XXV'!$E$10:$E$93</definedName>
    <definedName name="XDO_?RATING?303?">'SDAFS-XXV'!$E$10:$E$98</definedName>
    <definedName name="XDO_?RATING?304?">'SLTAF-V'!$E$10:$E$42</definedName>
    <definedName name="XDO_?RATING?305?">'SLTAF-V'!$E$10:$E$81</definedName>
    <definedName name="XDO_?RATING?306?">'SLTAF-V'!$E$10:$E$86</definedName>
    <definedName name="XDO_?RATING?307?">'SDFS-C-7'!$E$18:$E$28</definedName>
    <definedName name="XDO_?RATING?308?">'SDFS-C-7'!$E$18:$E$38</definedName>
    <definedName name="XDO_?RATING?309?">'SDFS-C-7'!$E$18:$E$47</definedName>
    <definedName name="XDO_?RATING?31?">'[1]GIFTS B'!$E$12:$E$53</definedName>
    <definedName name="XDO_?RATING?310?">'SDFS-C-7'!$E$18:$E$64</definedName>
    <definedName name="XDO_?RATING?311?">'SDFS-C-7'!$E$18:$E$69</definedName>
    <definedName name="XDO_?RATING?312?">'SDAFS-XXVI'!$E$10:$E$31</definedName>
    <definedName name="XDO_?RATING?313?">'SDAFS-XXVI'!$E$10:$E$50</definedName>
    <definedName name="XDO_?RATING?314?">'SDAFS-XXVI'!$E$10:$E$54</definedName>
    <definedName name="XDO_?RATING?315?">'SDAFS-XXVI'!$E$10:$E$60</definedName>
    <definedName name="XDO_?RATING?316?">'SDAFS-XXVI'!$E$10:$E$66</definedName>
    <definedName name="XDO_?RATING?317?">'SDAFS-XXVI'!$E$10:$E$75</definedName>
    <definedName name="XDO_?RATING?318?">'SDAFS-XXVI'!$E$10:$E$90</definedName>
    <definedName name="XDO_?RATING?319?">'SDAFS-XXVI'!$E$10:$E$95</definedName>
    <definedName name="XDO_?RATING?32?">'[1]GIFTS B'!$E$12:$E$58</definedName>
    <definedName name="XDO_?RATING?320?">'SDFS-C-8'!$E$18:$E$28</definedName>
    <definedName name="XDO_?RATING?321?">'SDFS-C-8'!$E$18:$E$39</definedName>
    <definedName name="XDO_?RATING?322?">'SDFS-C-8'!$E$18:$E$48</definedName>
    <definedName name="XDO_?RATING?323?">'SDFS-C-8'!$E$18:$E$65</definedName>
    <definedName name="XDO_?RATING?324?">'SDFS-C-8'!$E$18:$E$70</definedName>
    <definedName name="XDO_?RATING?325?">'SDFS-C-9'!$E$18:$E$27</definedName>
    <definedName name="XDO_?RATING?326?">'SDFS-C-9'!$E$18:$E$38</definedName>
    <definedName name="XDO_?RATING?327?">'SDFS-C-9'!$E$18:$E$47</definedName>
    <definedName name="XDO_?RATING?328?">'SDFS-C-9'!$E$18:$E$64</definedName>
    <definedName name="XDO_?RATING?329?">'SDFS-C-9'!$E$18:$E$69</definedName>
    <definedName name="XDO_?RATING?33?">'[1]GIFTS A'!$E$12</definedName>
    <definedName name="XDO_?RATING?330?">'SDFS-C-10'!$E$18:$E$29</definedName>
    <definedName name="XDO_?RATING?331?">'SDFS-C-10'!$E$18:$E$40</definedName>
    <definedName name="XDO_?RATING?332?">'SDFS-C-10'!$E$18:$E$50</definedName>
    <definedName name="XDO_?RATING?333?">'SDFS-C-10'!$E$18:$E$54</definedName>
    <definedName name="XDO_?RATING?334?">'SDFS-C-10'!$E$18:$E$69</definedName>
    <definedName name="XDO_?RATING?335?">'SDFS-C-10'!$E$18:$E$74</definedName>
    <definedName name="XDO_?RATING?336?">'SDAFS-XXVII'!$E$10:$E$33</definedName>
    <definedName name="XDO_?RATING?337?">'SDAFS-XXVII'!$E$10:$E$49</definedName>
    <definedName name="XDO_?RATING?338?">'SDAFS-XXVII'!$E$10:$E$54</definedName>
    <definedName name="XDO_?RATING?339?">'SDAFS-XXVII'!$E$10:$E$62</definedName>
    <definedName name="XDO_?RATING?34?">'[1]GIFTS A'!$E$12:$E$49</definedName>
    <definedName name="XDO_?RATING?340?">'SDAFS-XXVII'!$E$10:$E$69</definedName>
    <definedName name="XDO_?RATING?341?">'SDAFS-XXVII'!$E$10:$E$73</definedName>
    <definedName name="XDO_?RATING?342?">'SDAFS-XXVII'!$E$10:$E$88</definedName>
    <definedName name="XDO_?RATING?343?">'SDAFS-XXVII'!$E$10:$E$93</definedName>
    <definedName name="XDO_?RATING?344?">'SDFS-C-12'!$E$18:$E$26</definedName>
    <definedName name="XDO_?RATING?345?">'SDFS-C-12'!$E$18:$E$39</definedName>
    <definedName name="XDO_?RATING?346?">'SDFS-C-12'!$E$18:$E$50</definedName>
    <definedName name="XDO_?RATING?347?">'SDFS-C-12'!$E$18:$E$55</definedName>
    <definedName name="XDO_?RATING?348?">'SDFS-C-12'!$E$18:$E$70</definedName>
    <definedName name="XDO_?RATING?349?">'SDFS-C-12'!$E$18:$E$75</definedName>
    <definedName name="XDO_?RATING?35?">'[1]GIFTS A'!$E$12:$E$54</definedName>
    <definedName name="XDO_?RATING?350?">'SDFS-C-14'!$E$18:$E$27</definedName>
    <definedName name="XDO_?RATING?351?">'SDFS-C-14'!$E$18:$E$37</definedName>
    <definedName name="XDO_?RATING?352?">'SDFS-C-14'!$E$18:$E$47</definedName>
    <definedName name="XDO_?RATING?353?">'SDFS-C-14'!$E$18:$E$52</definedName>
    <definedName name="XDO_?RATING?354?">'SDFS-C-14'!$E$18:$E$67</definedName>
    <definedName name="XDO_?RATING?355?">'SDFS-C-14'!$E$18:$E$72</definedName>
    <definedName name="XDO_?RATING?356?">'SLTAF-VI'!$E$10:$E$35</definedName>
    <definedName name="XDO_?RATING?357?">'SLTAF-VI'!$E$10:$E$74</definedName>
    <definedName name="XDO_?RATING?358?">'SLTAF-VI'!$E$10:$E$79</definedName>
    <definedName name="XDO_?RATING?359?">'SDAFS-XXVIII'!$E$10:$E$34</definedName>
    <definedName name="XDO_?RATING?36?">SLMF!$E$10:$E$65</definedName>
    <definedName name="XDO_?RATING?360?">'SDAFS-XXVIII'!$E$10:$E$53</definedName>
    <definedName name="XDO_?RATING?361?">'SDAFS-XXVIII'!$E$10:$E$64</definedName>
    <definedName name="XDO_?RATING?362?">'SDAFS-XXVIII'!$E$10:$E$71</definedName>
    <definedName name="XDO_?RATING?363?">'SDAFS-XXVIII'!$E$10:$E$88</definedName>
    <definedName name="XDO_?RATING?364?">'SDAFS-XXVIII'!$E$10:$E$93</definedName>
    <definedName name="XDO_?RATING?365?">'SDFS-C-16'!$E$18:$E$32</definedName>
    <definedName name="XDO_?RATING?366?">'SDFS-C-16'!$E$18:$E$43</definedName>
    <definedName name="XDO_?RATING?367?">'SDFS-C-16'!$E$18:$E$56</definedName>
    <definedName name="XDO_?RATING?368?">'SDFS-C-16'!$E$18:$E$73</definedName>
    <definedName name="XDO_?RATING?369?">'SDFS-C-16'!$E$18:$E$78</definedName>
    <definedName name="XDO_?RATING?37?">SLMF!$E$10:$E$71</definedName>
    <definedName name="XDO_?RATING?370?">'SDFS-C-18'!$E$18:$E$36</definedName>
    <definedName name="XDO_?RATING?371?">'SDFS-C-18'!$E$18:$E$49</definedName>
    <definedName name="XDO_?RATING?372?">'SDFS-C-18'!$E$18:$E$61</definedName>
    <definedName name="XDO_?RATING?373?">'SDFS-C-18'!$E$18:$E$78</definedName>
    <definedName name="XDO_?RATING?374?">'SDFS-C-18'!$E$18:$E$83</definedName>
    <definedName name="XDO_?RATING?375?">'SDFS-C-19'!$E$18:$E$29</definedName>
    <definedName name="XDO_?RATING?376?">'SDFS-C-19'!$E$18:$E$39</definedName>
    <definedName name="XDO_?RATING?377?">'SDFS-C-19'!$E$18:$E$50</definedName>
    <definedName name="XDO_?RATING?378?">'SDFS-C-19'!$E$18:$E$67</definedName>
    <definedName name="XDO_?RATING?379?">'SDFS-C-19'!$E$18:$E$72</definedName>
    <definedName name="XDO_?RATING?38?">SLMF!$E$10:$E$108</definedName>
    <definedName name="XDO_?RATING?380?">'SDAFS-XXIX'!$E$10:$E$34</definedName>
    <definedName name="XDO_?RATING?381?">'SDAFS-XXIX'!$E$10:$E$55</definedName>
    <definedName name="XDO_?RATING?382?">'SDAFS-XXIX'!$E$10:$E$66</definedName>
    <definedName name="XDO_?RATING?383?">'SDAFS-XXIX'!$E$10:$E$74</definedName>
    <definedName name="XDO_?RATING?384?">'SDAFS-XXIX'!$E$10:$E$91</definedName>
    <definedName name="XDO_?RATING?385?">'SDAFS-XXIX'!$E$10:$E$96</definedName>
    <definedName name="XDO_?RATING?386?">'SDFS-C-20'!$E$18:$E$28</definedName>
    <definedName name="XDO_?RATING?387?">'SDFS-C-20'!$E$18:$E$39</definedName>
    <definedName name="XDO_?RATING?388?">'SDFS-C-20'!$E$18:$E$51</definedName>
    <definedName name="XDO_?RATING?389?">'SDFS-C-20'!$E$18:$E$68</definedName>
    <definedName name="XDO_?RATING?39?">SLMF!$E$10:$E$113</definedName>
    <definedName name="XDO_?RATING?390?">'SDFS-C-20'!$E$18:$E$73</definedName>
    <definedName name="XDO_?RATING?391?">'SDFS-C-21'!$E$18:$E$29</definedName>
    <definedName name="XDO_?RATING?392?">'SDFS-C-21'!$E$18:$E$35</definedName>
    <definedName name="XDO_?RATING?393?">'SDFS-C-21'!$E$18:$E$41</definedName>
    <definedName name="XDO_?RATING?394?">'SDFS-C-21'!$E$18:$E$54</definedName>
    <definedName name="XDO_?RATING?395?">'SDFS-C-21'!$E$18:$E$71</definedName>
    <definedName name="XDO_?RATING?396?">'SDFS-C-21'!$E$18:$E$76</definedName>
    <definedName name="XDO_?RATING?397?">'SDFS-C-22'!$E$18:$E$29</definedName>
    <definedName name="XDO_?RATING?398?">'SDFS-C-22'!$E$18:$E$39</definedName>
    <definedName name="XDO_?RATING?399?">'SDFS-C-22'!$E$18:$E$49</definedName>
    <definedName name="XDO_?RATING?4?">'[1]MRIS-89'!$E$48:$E$53</definedName>
    <definedName name="XDO_?RATING?40?">SLTEF!$E$10:$E$65</definedName>
    <definedName name="XDO_?RATING?400?">'SDFS-C-22'!$E$18:$E$66</definedName>
    <definedName name="XDO_?RATING?401?">'SDFS-C-22'!$E$18:$E$71</definedName>
    <definedName name="XDO_?RATING?402?">'SDFS-C-23'!$E$18:$E$34</definedName>
    <definedName name="XDO_?RATING?403?">'SDFS-C-23'!$E$18:$E$53</definedName>
    <definedName name="XDO_?RATING?404?">'SDFS-C-23'!$E$18:$E$70</definedName>
    <definedName name="XDO_?RATING?405?">'SDFS-C-23'!$E$18:$E$75</definedName>
    <definedName name="XDO_?RATING?406?">'SETF-SN50'!$E$10:$E$114</definedName>
    <definedName name="XDO_?RATING?407?">'SETF-SN50'!$E$10:$E$98</definedName>
    <definedName name="XDO_?RATING?408?">'SETF-SN50'!$E$10:$E$103</definedName>
    <definedName name="XDO_?RATING?409?">'SDFS-C-24'!$E$18:$E$29</definedName>
    <definedName name="XDO_?RATING?41?">SLTEF!$E$10:$E$68</definedName>
    <definedName name="XDO_?RATING?410?">'SDFS-C-24'!$E$18:$E$33</definedName>
    <definedName name="XDO_?RATING?411?">'SDFS-C-24'!$E$18:$E$48</definedName>
    <definedName name="XDO_?RATING?412?">'SDFS-C-24'!$E$18:$E$65</definedName>
    <definedName name="XDO_?RATING?413?">'SDFS-C-24'!$E$18:$E$70</definedName>
    <definedName name="XDO_?RATING?414?">'SDFS-C-25'!$E$18:$E$34</definedName>
    <definedName name="XDO_?RATING?415?">'SDFS-C-25'!$E$18:$E$40</definedName>
    <definedName name="XDO_?RATING?416?">'SDFS-C-25'!$E$18:$E$52</definedName>
    <definedName name="XDO_?RATING?417?">'SDFS-C-25'!$E$18:$E$56</definedName>
    <definedName name="XDO_?RATING?418?">'SDFS-C-25'!$E$18:$E$71</definedName>
    <definedName name="XDO_?RATING?419?">'SDFS-C-25'!$E$18:$E$76</definedName>
    <definedName name="XDO_?RATING?42?">SLTEF!$E$10:$E$104</definedName>
    <definedName name="XDO_?RATING?420?">'SDAFS-XXX'!$E$10:$E$34</definedName>
    <definedName name="XDO_?RATING?421?">'SDAFS-XXX'!$E$10:$E$55</definedName>
    <definedName name="XDO_?RATING?422?">'SDAFS-XXX'!$E$10:$E$72</definedName>
    <definedName name="XDO_?RATING?423?">'SDAFS-XXX'!$E$10:$E$87</definedName>
    <definedName name="XDO_?RATING?424?">'SDAFS-XXX'!$E$10:$E$92</definedName>
    <definedName name="XDO_?RATING?425?">'SDFS-C-26'!$E$18:$E$32</definedName>
    <definedName name="XDO_?RATING?426?">'SDFS-C-26'!$E$18:$E$48</definedName>
    <definedName name="XDO_?RATING?427?">'SDFS-C-26'!$E$18:$E$52</definedName>
    <definedName name="XDO_?RATING?428?">'SDFS-C-26'!$E$18:$E$67</definedName>
    <definedName name="XDO_?RATING?429?">'SDFS-C-26'!$E$18:$E$72</definedName>
    <definedName name="XDO_?RATING?43?">SLTEF!$E$10:$E$109</definedName>
    <definedName name="XDO_?RATING?430?">'SDFS-C-27'!$E$18:$E$29</definedName>
    <definedName name="XDO_?RATING?431?">'SDFS-C-27'!$E$18:$E$46</definedName>
    <definedName name="XDO_?RATING?432?">'SDFS-C-27'!$E$18:$E$50</definedName>
    <definedName name="XDO_?RATING?433?">'SDFS-C-27'!$E$18:$E$65</definedName>
    <definedName name="XDO_?RATING?434?">'SDFS-C-27'!$E$18:$E$70</definedName>
    <definedName name="XDO_?RATING?435?">'SDFS-C-28'!$E$18:$E$32</definedName>
    <definedName name="XDO_?RATING?436?">'SDFS-C-28'!$E$18:$E$42</definedName>
    <definedName name="XDO_?RATING?437?">'SDFS-C-28'!$E$18:$E$52</definedName>
    <definedName name="XDO_?RATING?438?">'SDFS-C-28'!$E$18:$E$69</definedName>
    <definedName name="XDO_?RATING?439?">'SDFS-C-28'!$E$18:$E$74</definedName>
    <definedName name="XDO_?RATING?44?">'[1]MRIS-93'!$E$12:$E$17</definedName>
    <definedName name="XDO_?RATING?440?">'SDFS-C-30'!$E$18:$E$32</definedName>
    <definedName name="XDO_?RATING?441?">'SDFS-C-30'!$E$18:$E$50</definedName>
    <definedName name="XDO_?RATING?442?">'SDFS-C-30'!$E$18:$E$67</definedName>
    <definedName name="XDO_?RATING?443?">'SDFS-C-30'!$E$18:$E$72</definedName>
    <definedName name="XDO_?RATING?444?">'SETF-Quality'!$E$10:$E$39</definedName>
    <definedName name="XDO_?RATING?445?">'SETF-Quality'!$E$10:$E$78</definedName>
    <definedName name="XDO_?RATING?446?">'SETF-Quality'!$E$10:$E$83</definedName>
    <definedName name="XDO_?RATING?447?">'SDFS-C-32'!$E$18:$E$37</definedName>
    <definedName name="XDO_?RATING?448?">'SDFS-C-32'!$E$18:$E$54</definedName>
    <definedName name="XDO_?RATING?449?">'SDFS-C-32'!$E$18:$E$58</definedName>
    <definedName name="XDO_?RATING?45?">'[1]MRIS-93'!$E$12:$E$54</definedName>
    <definedName name="XDO_?RATING?450?">'SDFS-C-32'!$E$18:$E$73</definedName>
    <definedName name="XDO_?RATING?451?">'SDFS-C-32'!$E$18:$E$78</definedName>
    <definedName name="XDO_?RATING?452?">'SDFS-C-33'!$E$18:$E$38</definedName>
    <definedName name="XDO_?RATING?453?">'SDFS-C-33'!$E$18:$E$56</definedName>
    <definedName name="XDO_?RATING?454?">'SDFS-C-33'!$E$18:$E$60</definedName>
    <definedName name="XDO_?RATING?455?">'SDFS-C-33'!$E$18:$E$75</definedName>
    <definedName name="XDO_?RATING?456?">'SDFS-C-33'!$E$18:$E$80</definedName>
    <definedName name="XDO_?RATING?457?">'SDFS-C-34'!$E$18:$E$32</definedName>
    <definedName name="XDO_?RATING?458?">'SDFS-C-34'!$E$18:$E$50</definedName>
    <definedName name="XDO_?RATING?459?">'SDFS-C-34'!$E$18:$E$67</definedName>
    <definedName name="XDO_?RATING?46?">'[1]MRIS-93'!$E$12:$E$59</definedName>
    <definedName name="XDO_?RATING?460?">'SDFS-C-34'!$E$18:$E$72</definedName>
    <definedName name="XDO_?RATING?461?">'SDFS-C-35'!$E$18:$E$33</definedName>
    <definedName name="XDO_?RATING?462?">'SDFS-C-35'!$E$18:$E$50</definedName>
    <definedName name="XDO_?RATING?463?">'SDFS-C-35'!$E$18:$E$67</definedName>
    <definedName name="XDO_?RATING?464?">'SDFS-C-35'!$E$18:$E$72</definedName>
    <definedName name="XDO_?RATING?465?">'SDFS-C-38'!$E$18:$E$28</definedName>
    <definedName name="XDO_?RATING?466?">'SDFS-C-38'!$E$18:$E$45</definedName>
    <definedName name="XDO_?RATING?467?">'SDFS-C-38'!$E$18:$E$56</definedName>
    <definedName name="XDO_?RATING?468?">'SDFS-C-38'!$E$18:$E$60</definedName>
    <definedName name="XDO_?RATING?469?">'SDFS-C-38'!$E$18:$E$75</definedName>
    <definedName name="XDO_?RATING?47?">'[1]MTP-94'!$E$12</definedName>
    <definedName name="XDO_?RATING?470?">'SDFS-C-38'!$E$18:$E$80</definedName>
    <definedName name="XDO_?RATING?471?">SCBF!$E$18:$E$133</definedName>
    <definedName name="XDO_?RATING?472?">SCBF!$E$18:$E$137</definedName>
    <definedName name="XDO_?RATING?473?">SCBF!$E$18:$E$146</definedName>
    <definedName name="XDO_?RATING?474?">SCBF!$E$18:$E$158</definedName>
    <definedName name="XDO_?RATING?475?">SCBF!$E$18:$E$171</definedName>
    <definedName name="XDO_?RATING?476?">SCBF!$E$18:$E$182</definedName>
    <definedName name="XDO_?RATING?477?">SCBF!$E$18:$E$197</definedName>
    <definedName name="XDO_?RATING?478?">SCBF!$E$18:$E$202</definedName>
    <definedName name="XDO_?RATING?479?">'SDFS-C-40'!$E$18:$E$28</definedName>
    <definedName name="XDO_?RATING?48?">'[1]MTP-94'!$E$12:$E$49</definedName>
    <definedName name="XDO_?RATING?480?">'SDFS-C-40'!$E$18:$E$39</definedName>
    <definedName name="XDO_?RATING?481?">'SDFS-C-40'!$E$18:$E$47</definedName>
    <definedName name="XDO_?RATING?482?">'SDFS-C-40'!$E$18:$E$64</definedName>
    <definedName name="XDO_?RATING?483?">'SDFS-C-40'!$E$18:$E$69</definedName>
    <definedName name="XDO_?RATING?484?">'SDFS-C-41'!$E$18:$E$32</definedName>
    <definedName name="XDO_?RATING?485?">'SDFS-C-41'!$E$18:$E$43</definedName>
    <definedName name="XDO_?RATING?486?">'SDFS-C-41'!$E$18:$E$54</definedName>
    <definedName name="XDO_?RATING?487?">'SDFS-C-41'!$E$18:$E$71</definedName>
    <definedName name="XDO_?RATING?488?">'SDFS-C-41'!$E$18:$E$76</definedName>
    <definedName name="XDO_?RATING?489?">'SDFS-C-43'!$E$18:$E$28</definedName>
    <definedName name="XDO_?RATING?49?">'[1]MTP-94'!$E$12:$E$54</definedName>
    <definedName name="XDO_?RATING?490?">'SDFS-C-43'!$E$18:$E$41</definedName>
    <definedName name="XDO_?RATING?491?">'SDFS-C-43'!$E$18:$E$50</definedName>
    <definedName name="XDO_?RATING?492?">'SDFS-C-43'!$E$18:$E$67</definedName>
    <definedName name="XDO_?RATING?493?">'SDFS-C-43'!$E$18:$E$72</definedName>
    <definedName name="XDO_?RATING?494?">'SDFS-C-44'!$E$18:$E$28</definedName>
    <definedName name="XDO_?RATING?495?">'SDFS-C-44'!$E$18:$E$39</definedName>
    <definedName name="XDO_?RATING?496?">'SDFS-C-44'!$E$18:$E$48</definedName>
    <definedName name="XDO_?RATING?497?">'SDFS-C-44'!$E$18:$E$65</definedName>
    <definedName name="XDO_?RATING?498?">'SDFS-C-44'!$E$18:$E$70</definedName>
    <definedName name="XDO_?RATING?499?">'SCPOF-A1'!$E$10:$E$58</definedName>
    <definedName name="XDO_?RATING?5?">'[1]MMIS-89'!$E$10</definedName>
    <definedName name="XDO_?RATING?50?">SMGLF!$E$10:$E$31</definedName>
    <definedName name="XDO_?RATING?500?">'SCPOF-A1'!$E$10:$E$74</definedName>
    <definedName name="XDO_?RATING?501?">'SCPOF-A1'!$E$10:$E$78</definedName>
    <definedName name="XDO_?RATING?502?">'SCPOF-A1'!$E$10:$E$93</definedName>
    <definedName name="XDO_?RATING?503?">'SCPOF-A1'!$E$10:$E$108</definedName>
    <definedName name="XDO_?RATING?504?">'SCPOF-A1'!$E$10:$E$113</definedName>
    <definedName name="XDO_?RATING?505?">'SDFS-C-46'!$E$18:$E$25</definedName>
    <definedName name="XDO_?RATING?506?">'SDFS-C-46'!$E$18:$E$29</definedName>
    <definedName name="XDO_?RATING?507?">'SDFS-C-46'!$E$18:$E$39</definedName>
    <definedName name="XDO_?RATING?508?">'SDFS-C-46'!$E$18:$E$46</definedName>
    <definedName name="XDO_?RATING?509?">'SDFS-C-46'!$E$18:$E$50</definedName>
    <definedName name="XDO_?RATING?51?">SMGLF!$E$10:$E$52</definedName>
    <definedName name="XDO_?RATING?510?">'SDFS-C-46'!$E$18:$E$65</definedName>
    <definedName name="XDO_?RATING?511?">'SDFS-C-46'!$E$18:$E$70</definedName>
    <definedName name="XDO_?RATING?512?">SEMVF!$E$10:$E$121</definedName>
    <definedName name="XDO_?RATING?513?">SEMVF!$E$10:$E$96</definedName>
    <definedName name="XDO_?RATING?514?">SEMVF!$E$10:$E$100</definedName>
    <definedName name="XDO_?RATING?515?">SEMVF!$E$10:$E$105</definedName>
    <definedName name="XDO_?RATING?516?">'SDFS-C-48'!$E$18:$E$34</definedName>
    <definedName name="XDO_?RATING?517?">'SDFS-C-48'!$E$18:$E$44</definedName>
    <definedName name="XDO_?RATING?518?">'SDFS-C-48'!$E$18:$E$53</definedName>
    <definedName name="XDO_?RATING?519?">'SDFS-C-48'!$E$18:$E$70</definedName>
    <definedName name="XDO_?RATING?52?">SMGLF!$E$10:$E$46</definedName>
    <definedName name="XDO_?RATING?520?">'SDFS-C-48'!$E$18:$E$75</definedName>
    <definedName name="XDO_?RATING?521?">'SDFS-C-49'!$E$18:$E$27</definedName>
    <definedName name="XDO_?RATING?522?">'SDFS-C-49'!$E$18:$E$38</definedName>
    <definedName name="XDO_?RATING?523?">'SDFS-C-49'!$E$18:$E$47</definedName>
    <definedName name="XDO_?RATING?524?">'SDFS-C-49'!$E$18:$E$51</definedName>
    <definedName name="XDO_?RATING?525?">'SDFS-C-49'!$E$18:$E$66</definedName>
    <definedName name="XDO_?RATING?526?">'SDFS-C-49'!$E$18:$E$71</definedName>
    <definedName name="XDO_?RATING?527?">'SCPOF-Series A (Plan 2)'!$E$10:$E$59</definedName>
    <definedName name="XDO_?RATING?528?">'SCPOF-Series A (Plan 2)'!$E$10:$E$74</definedName>
    <definedName name="XDO_?RATING?529?">'SCPOF-Series A (Plan 2)'!$E$10:$E$84</definedName>
    <definedName name="XDO_?RATING?53?">SMGLF!$E$10:$E$87</definedName>
    <definedName name="XDO_?RATING?530?">'SCPOF-Series A (Plan 2)'!$E$10:$E$93</definedName>
    <definedName name="XDO_?RATING?531?">'SCPOF-Series A (Plan 2)'!$E$10:$E$108</definedName>
    <definedName name="XDO_?RATING?532?">'SCPOF-Series A (Plan 2)'!$E$10:$E$113</definedName>
    <definedName name="XDO_?RATING?533?">'SDFS-C-50'!$E$18:$E$26</definedName>
    <definedName name="XDO_?RATING?534?">'SDFS-C-50'!$E$18:$E$40</definedName>
    <definedName name="XDO_?RATING?535?">'SDFS-C-50'!$E$18:$E$48</definedName>
    <definedName name="XDO_?RATING?536?">'SDFS-C-50'!$E$18:$E$65</definedName>
    <definedName name="XDO_?RATING?537?">'SDFS-C-50'!$E$18:$E$70</definedName>
    <definedName name="XDO_?RATING?538?">'SFMP- Series 1'!$E$26:$E$31</definedName>
    <definedName name="XDO_?RATING?539?">'SFMP- Series 1'!$E$26:$E$39</definedName>
    <definedName name="XDO_?RATING?54?">SMGLF!$E$10:$E$92</definedName>
    <definedName name="XDO_?RATING?540?">'SFMP- Series 1'!$E$26:$E$56</definedName>
    <definedName name="XDO_?RATING?541?">'SFMP- Series 1'!$E$26:$E$61</definedName>
    <definedName name="XDO_?RATING?542?">'SFMP- Series 2'!$E$18:$E$29</definedName>
    <definedName name="XDO_?RATING?543?">'SFMP- Series 2'!$E$18:$E$45</definedName>
    <definedName name="XDO_?RATING?544?">'SFMP- Series 2'!$E$18:$E$62</definedName>
    <definedName name="XDO_?RATING?545?">'SFMP- Series 2'!$E$18:$E$67</definedName>
    <definedName name="XDO_?RATING?546?">'SFMP- Series 3'!$E$18:$E$29</definedName>
    <definedName name="XDO_?RATING?547?">'SFMP- Series 3'!$E$18:$E$45</definedName>
    <definedName name="XDO_?RATING?548?">'SFMP- Series 3'!$E$18:$E$62</definedName>
    <definedName name="XDO_?RATING?549?">'SFMP- Series 3'!$E$18:$E$67</definedName>
    <definedName name="XDO_?RATING?55?">'[1]MBF-94'!$E$10</definedName>
    <definedName name="XDO_?RATING?550?">'SCPOF-Series A (Plan 3)'!$E$10:$E$59</definedName>
    <definedName name="XDO_?RATING?551?">'SCPOF-Series A (Plan 3)'!$E$10:$E$76</definedName>
    <definedName name="XDO_?RATING?552?">'SCPOF-Series A (Plan 3)'!$E$10:$E$87</definedName>
    <definedName name="XDO_?RATING?553?">'SCPOF-Series A (Plan 3)'!$E$10:$E$110</definedName>
    <definedName name="XDO_?RATING?554?">'SCPOF-Series A (Plan 3)'!$E$10:$E$115</definedName>
    <definedName name="XDO_?RATING?555?">'SFMP- Series 6'!$E$26:$E$29</definedName>
    <definedName name="XDO_?RATING?556?">'SFMP- Series 6'!$E$26:$E$36</definedName>
    <definedName name="XDO_?RATING?557?">'SFMP- Series 6'!$E$26:$E$53</definedName>
    <definedName name="XDO_?RATING?558?">'SFMP- Series 6'!$E$26:$E$58</definedName>
    <definedName name="XDO_?RATING?559?">'SFMP- Series 7'!$E$18:$E$32</definedName>
    <definedName name="XDO_?RATING?56?">'[1]MBF-94'!$E$10:$E$19</definedName>
    <definedName name="XDO_?RATING?560?">'SFMP- Series 7'!$E$18:$E$47</definedName>
    <definedName name="XDO_?RATING?561?">'SFMP- Series 7'!$E$18:$E$64</definedName>
    <definedName name="XDO_?RATING?562?">'SFMP- Series 7'!$E$18:$E$69</definedName>
    <definedName name="XDO_?RATING?563?">'SFMP- Series 8'!$E$18:$E$32</definedName>
    <definedName name="XDO_?RATING?564?">'SFMP- Series 8'!$E$18:$E$47</definedName>
    <definedName name="XDO_?RATING?565?">'SFMP- Series 8'!$E$18:$E$64</definedName>
    <definedName name="XDO_?RATING?566?">'SFMP- Series 8'!$E$18:$E$69</definedName>
    <definedName name="XDO_?RATING?567?">'SCPOF-Series A (Plan 4)'!$E$10:$E$59</definedName>
    <definedName name="XDO_?RATING?568?">'SCPOF-Series A (Plan 4)'!$E$10:$E$75</definedName>
    <definedName name="XDO_?RATING?569?">'SCPOF-Series A (Plan 4)'!$E$10:$E$86</definedName>
    <definedName name="XDO_?RATING?57?">'[1]MBF-94'!$E$10:$E$56</definedName>
    <definedName name="XDO_?RATING?570?">'SCPOF-Series A (Plan 4)'!$E$10:$E$109</definedName>
    <definedName name="XDO_?RATING?571?">'SCPOF-Series A (Plan 4)'!$E$10:$E$114</definedName>
    <definedName name="XDO_?RATING?572?">'SFMP- Series 9'!$E$18:$E$31</definedName>
    <definedName name="XDO_?RATING?573?">'SFMP- Series 9'!$E$18:$E$47</definedName>
    <definedName name="XDO_?RATING?574?">'SFMP- Series 9'!$E$18:$E$64</definedName>
    <definedName name="XDO_?RATING?575?">'SFMP- Series 9'!$E$18:$E$69</definedName>
    <definedName name="XDO_?RATING?576?">'SFMP- Series 10'!$E$18:$E$31</definedName>
    <definedName name="XDO_?RATING?577?">'SFMP- Series 10'!$E$18:$E$46</definedName>
    <definedName name="XDO_?RATING?578?">'SFMP- Series 10'!$E$18:$E$50</definedName>
    <definedName name="XDO_?RATING?579?">'SFMP- Series 10'!$E$18:$E$65</definedName>
    <definedName name="XDO_?RATING?58?">'[1]MBF-94'!$E$10:$E$61</definedName>
    <definedName name="XDO_?RATING?580?">'SFMP- Series 10'!$E$18:$E$70</definedName>
    <definedName name="XDO_?RATING?581?">'SFMP- Series 11'!$E$18:$E$36</definedName>
    <definedName name="XDO_?RATING?582?">'SFMP- Series 11'!$E$18:$E$52</definedName>
    <definedName name="XDO_?RATING?583?">'SFMP- Series 11'!$E$18:$E$56</definedName>
    <definedName name="XDO_?RATING?584?">'SFMP- Series 11'!$E$18:$E$71</definedName>
    <definedName name="XDO_?RATING?585?">'SFMP- Series 11'!$E$18:$E$76</definedName>
    <definedName name="XDO_?RATING?586?">'SFMP- Series 12'!$E$18:$E$31</definedName>
    <definedName name="XDO_?RATING?587?">'SFMP- Series 12'!$E$18:$E$46</definedName>
    <definedName name="XDO_?RATING?588?">'SFMP- Series 12'!$E$18:$E$50</definedName>
    <definedName name="XDO_?RATING?589?">'SFMP- Series 12'!$E$18:$E$65</definedName>
    <definedName name="XDO_?RATING?59?">'[1]MELS-95'!$E$48</definedName>
    <definedName name="XDO_?RATING?590?">'SFMP- Series 12'!$E$18:$E$70</definedName>
    <definedName name="XDO_?RATING?591?">'SFMP- Series 13'!$E$18:$E$31</definedName>
    <definedName name="XDO_?RATING?592?">'SFMP- Series 13'!$E$18:$E$47</definedName>
    <definedName name="XDO_?RATING?593?">'SFMP- Series 13'!$E$18:$E$64</definedName>
    <definedName name="XDO_?RATING?594?">'SFMP- Series 13'!$E$18:$E$69</definedName>
    <definedName name="XDO_?RATING?595?">'SFMP- Series 14'!$E$18:$E$31</definedName>
    <definedName name="XDO_?RATING?596?">'SFMP- Series 14'!$E$18:$E$46</definedName>
    <definedName name="XDO_?RATING?597?">'SFMP- Series 14'!$E$18:$E$50</definedName>
    <definedName name="XDO_?RATING?598?">'SFMP- Series 14'!$E$18:$E$65</definedName>
    <definedName name="XDO_?RATING?599?">'SFMP- Series 14'!$E$18:$E$70</definedName>
    <definedName name="XDO_?RATING?6?">'[1]MMIS-89'!$E$10:$E$49</definedName>
    <definedName name="XDO_?RATING?60?">'[1]MELS-95'!$E$48:$E$53</definedName>
    <definedName name="XDO_?RATING?600?">'SFMP- Series 15'!$E$18:$E$29</definedName>
    <definedName name="XDO_?RATING?601?">'SFMP- Series 15'!$E$18:$E$44</definedName>
    <definedName name="XDO_?RATING?602?">'SFMP- Series 15'!$E$18:$E$48</definedName>
    <definedName name="XDO_?RATING?603?">'SFMP- Series 15'!$E$18:$E$63</definedName>
    <definedName name="XDO_?RATING?604?">'SFMP- Series 15'!$E$18:$E$68</definedName>
    <definedName name="XDO_?RATING?605?">'SFMP- Series 16'!$E$18:$E$34</definedName>
    <definedName name="XDO_?RATING?606?">'SFMP- Series 16'!$E$18:$E$49</definedName>
    <definedName name="XDO_?RATING?607?">'SFMP- Series 16'!$E$18:$E$66</definedName>
    <definedName name="XDO_?RATING?608?">'SFMP- Series 16'!$E$18:$E$71</definedName>
    <definedName name="XDO_?RATING?609?">'SFMP- Series 17'!$E$18:$E$30</definedName>
    <definedName name="XDO_?RATING?61?">SEHF!$E$10:$E$51</definedName>
    <definedName name="XDO_?RATING?610?">'SFMP- Series 17'!$E$18:$E$45</definedName>
    <definedName name="XDO_?RATING?611?">'SFMP- Series 17'!$E$18:$E$62</definedName>
    <definedName name="XDO_?RATING?612?">'SFMP- Series 17'!$E$18:$E$67</definedName>
    <definedName name="XDO_?RATING?613?">'SCPOF-Series A (Plan 5)'!$E$10:$E$59</definedName>
    <definedName name="XDO_?RATING?614?">'SCPOF-Series A (Plan 5)'!$E$10:$E$79</definedName>
    <definedName name="XDO_?RATING?615?">'SCPOF-Series A (Plan 5)'!$E$10:$E$89</definedName>
    <definedName name="XDO_?RATING?616?">'SCPOF-Series A (Plan 5)'!$E$10:$E$112</definedName>
    <definedName name="XDO_?RATING?617?">'SCPOF-Series A (Plan 5)'!$E$10:$E$117</definedName>
    <definedName name="XDO_?RATING?618?">'SFMP- Series 18'!$E$18:$E$30</definedName>
    <definedName name="XDO_?RATING?619?">'SFMP- Series 18'!$E$18:$E$45</definedName>
    <definedName name="XDO_?RATING?62?">SEHF!$E$10:$E$56</definedName>
    <definedName name="XDO_?RATING?620?">'SFMP- Series 18'!$E$18:$E$62</definedName>
    <definedName name="XDO_?RATING?621?">'SFMP- Series 18'!$E$18:$E$67</definedName>
    <definedName name="XDO_?RATING?622?">'SCPOF-Series A (Plan 6)'!$E$10:$E$59</definedName>
    <definedName name="XDO_?RATING?623?">'SCPOF-Series A (Plan 6)'!$E$10:$E$78</definedName>
    <definedName name="XDO_?RATING?624?">'SCPOF-Series A (Plan 6)'!$E$10:$E$95</definedName>
    <definedName name="XDO_?RATING?625?">'SCPOF-Series A (Plan 6)'!$E$10:$E$110</definedName>
    <definedName name="XDO_?RATING?626?">'SCPOF-Series A (Plan 6)'!$E$10:$E$115</definedName>
    <definedName name="XDO_?RATING?627?">'SFMP- Series 19'!$E$18:$E$32</definedName>
    <definedName name="XDO_?RATING?628?">'SFMP- Series 19'!$E$18:$E$63</definedName>
    <definedName name="XDO_?RATING?629?">'SFMP- Series 19'!$E$18:$E$68</definedName>
    <definedName name="XDO_?RATING?63?">SEHF!$E$10:$E$99</definedName>
    <definedName name="XDO_?RATING?630?">'SFMP- Series 20'!$E$18:$E$31</definedName>
    <definedName name="XDO_?RATING?631?">'SFMP- Series 20'!$E$18:$E$62</definedName>
    <definedName name="XDO_?RATING?632?">'SFMP- Series 20'!$E$18:$E$67</definedName>
    <definedName name="XDO_?RATING?633?">'SFMP- Series 21'!$E$18:$E$30</definedName>
    <definedName name="XDO_?RATING?634?">'SFMP- Series 21'!$E$18:$E$61</definedName>
    <definedName name="XDO_?RATING?635?">'SFMP- Series 21'!$E$18:$E$66</definedName>
    <definedName name="XDO_?RATING?636?">'SFMP- Series 22'!$E$18:$E$30</definedName>
    <definedName name="XDO_?RATING?637?">'SFMP- Series 22'!$E$18:$E$61</definedName>
    <definedName name="XDO_?RATING?638?">'SFMP- Series 22'!$E$18:$E$66</definedName>
    <definedName name="XDO_?RATING?639?">'SFMP- Series 23'!$E$18:$E$30</definedName>
    <definedName name="XDO_?RATING?64?">SEHF!$E$10:$E$112</definedName>
    <definedName name="XDO_?RATING?640?">'SFMP- Series 23'!$E$18:$E$61</definedName>
    <definedName name="XDO_?RATING?641?">'SFMP- Series 23'!$E$18:$E$66</definedName>
    <definedName name="XDO_?RATING?642?">'SFMP- Series 24'!$E$18:$E$30</definedName>
    <definedName name="XDO_?RATING?643?">'SFMP- Series 24'!$E$18:$E$61</definedName>
    <definedName name="XDO_?RATING?644?">'SFMP- Series 24'!$E$18:$E$66</definedName>
    <definedName name="XDO_?RATING?645?">'SFMP- Series 25'!$E$18:$E$29</definedName>
    <definedName name="XDO_?RATING?646?">'SFMP- Series 25'!$E$18:$E$60</definedName>
    <definedName name="XDO_?RATING?647?">'SFMP- Series 25'!$E$18:$E$65</definedName>
    <definedName name="XDO_?RATING?648?">'SFMP- Series 26'!$E$18:$E$30</definedName>
    <definedName name="XDO_?RATING?649?">'SFMP- Series 26'!$E$18:$E$61</definedName>
    <definedName name="XDO_?RATING?65?">SEHF!$E$10:$E$125</definedName>
    <definedName name="XDO_?RATING?650?">'SFMP- Series 26'!$E$18:$E$66</definedName>
    <definedName name="XDO_?RATING?651?">'SFMP- Series 27'!$E$18:$E$28</definedName>
    <definedName name="XDO_?RATING?652?">'SFMP- Series 27'!$E$18:$E$38</definedName>
    <definedName name="XDO_?RATING?653?">'SFMP- Series 27'!$E$18:$E$45</definedName>
    <definedName name="XDO_?RATING?654?">'SFMP- Series 27'!$E$18:$E$62</definedName>
    <definedName name="XDO_?RATING?655?">'SFMP- Series 27'!$E$18:$E$67</definedName>
    <definedName name="XDO_?RATING?656?">'SCPOF-Series A (Plan 7)'!$E$10:$E$59</definedName>
    <definedName name="XDO_?RATING?657?">'SCPOF-Series A (Plan 7)'!$E$10:$E$71</definedName>
    <definedName name="XDO_?RATING?658?">'SCPOF-Series A (Plan 7)'!$E$10:$E$82</definedName>
    <definedName name="XDO_?RATING?659?">'SCPOF-Series A (Plan 7)'!$E$10:$E$91</definedName>
    <definedName name="XDO_?RATING?66?">SEHF!$E$10:$E$148</definedName>
    <definedName name="XDO_?RATING?660?">'SCPOF-Series A (Plan 7)'!$E$10:$E$106</definedName>
    <definedName name="XDO_?RATING?661?">'SCPOF-Series A (Plan 7)'!$E$10:$E$111</definedName>
    <definedName name="XDO_?RATING?662?">'SFMP- Series 28'!$E$18:$E$27</definedName>
    <definedName name="XDO_?RATING?663?">'SFMP- Series 28'!$E$18:$E$39</definedName>
    <definedName name="XDO_?RATING?664?">'SFMP- Series 28'!$E$18:$E$62</definedName>
    <definedName name="XDO_?RATING?665?">'SFMP- Series 28'!$E$18:$E$67</definedName>
    <definedName name="XDO_?RATING?666?">'SCPOF-Series A (Plan 8)'!$E$10:$E$59</definedName>
    <definedName name="XDO_?RATING?667?">'SCPOF-Series A (Plan 8)'!$E$10:$E$71</definedName>
    <definedName name="XDO_?RATING?668?">'SCPOF-Series A (Plan 8)'!$E$10:$E$82</definedName>
    <definedName name="XDO_?RATING?669?">'SCPOF-Series A (Plan 8)'!$E$10:$E$105</definedName>
    <definedName name="XDO_?RATING?67?">SEHF!$E$10:$E$152</definedName>
    <definedName name="XDO_?RATING?670?">'SCPOF-Series A (Plan 8)'!$E$10:$E$110</definedName>
    <definedName name="XDO_?RATING?671?">'SFMP- Series 31'!$E$18:$E$25</definedName>
    <definedName name="XDO_?RATING?672?">'SFMP- Series 31'!$E$18:$E$39</definedName>
    <definedName name="XDO_?RATING?673?">'SFMP- Series 31'!$E$18:$E$62</definedName>
    <definedName name="XDO_?RATING?674?">'SFMP- Series 31'!$E$18:$E$67</definedName>
    <definedName name="XDO_?RATING?675?">'SFMP- Series 32'!$E$18:$E$26</definedName>
    <definedName name="XDO_?RATING?676?">'SFMP- Series 32'!$E$18:$E$37</definedName>
    <definedName name="XDO_?RATING?677?">'SFMP- Series 32'!$E$18:$E$60</definedName>
    <definedName name="XDO_?RATING?678?">'SFMP- Series 32'!$E$18:$E$65</definedName>
    <definedName name="XDO_?RATING?679?">'SFMP- Series 33'!$E$26</definedName>
    <definedName name="XDO_?RATING?68?">SEHF!$E$10:$E$157</definedName>
    <definedName name="XDO_?RATING?680?">'SFMP- Series 33'!$E$26:$E$49</definedName>
    <definedName name="XDO_?RATING?681?">'SFMP- Series 33'!$E$26:$E$54</definedName>
    <definedName name="XDO_?RATING?682?">'SFMP- Series 34'!$E$26</definedName>
    <definedName name="XDO_?RATING?683?">'SFMP- Series 34'!$E$26:$E$49</definedName>
    <definedName name="XDO_?RATING?684?">'SFMP- Series 34'!$E$26:$E$54</definedName>
    <definedName name="XDO_?RATING?685?">'SMCBF-Investment Plan'!$E$10:$E$13</definedName>
    <definedName name="XDO_?RATING?686?">'SMCBF-Investment Plan'!$E$10:$E$22</definedName>
    <definedName name="XDO_?RATING?687?">'SMCBF-Investment Plan'!$E$10:$E$30</definedName>
    <definedName name="XDO_?RATING?688?">'SMCBF-Investment Plan'!$E$10:$E$55</definedName>
    <definedName name="XDO_?RATING?689?">'SMCBF-Investment Plan'!$E$10:$E$60</definedName>
    <definedName name="XDO_?RATING?69?">'[1]MELS-96'!$E$48</definedName>
    <definedName name="XDO_?RATING?690?">SBIRIOS!$E$10:$E$55</definedName>
    <definedName name="XDO_?RATING?691?">SBIRIOS!$E$10:$E$94</definedName>
    <definedName name="XDO_?RATING?692?">SBIRIOS!$E$10:$E$99</definedName>
    <definedName name="XDO_?RATING?693?">#REF!</definedName>
    <definedName name="XDO_?RATING?694?">#REF!</definedName>
    <definedName name="XDO_?RATING?695?">#REF!</definedName>
    <definedName name="XDO_?RATING?696?">#REF!</definedName>
    <definedName name="XDO_?RATING?697?">#REF!</definedName>
    <definedName name="XDO_?RATING?698?">#REF!</definedName>
    <definedName name="XDO_?RATING?699?">#REF!</definedName>
    <definedName name="XDO_?RATING?7?">'[1]MMIS-89'!$E$10:$E$54</definedName>
    <definedName name="XDO_?RATING?70?">'[1]MELS-96'!$E$48:$E$53</definedName>
    <definedName name="XDO_?RATING?700?">#REF!</definedName>
    <definedName name="XDO_?RATING?71?">'[1]MMIS-97'!$E$48</definedName>
    <definedName name="XDO_?RATING?72?">'[1]MMIS-97'!$E$48:$E$53</definedName>
    <definedName name="XDO_?RATING?73?">'[1]MMIS-98 I'!$E$12</definedName>
    <definedName name="XDO_?RATING?74?">'[1]MMIS-98 I'!$E$12:$E$49</definedName>
    <definedName name="XDO_?RATING?75?">'[1]MMIS-98 I'!$E$12:$E$54</definedName>
    <definedName name="XDO_?RATING?76?">SMIF!$E$18:$E$30</definedName>
    <definedName name="XDO_?RATING?77?">SMIF!$E$18:$E$42</definedName>
    <definedName name="XDO_?RATING?78?">SMIF!$E$18:$E$67</definedName>
    <definedName name="XDO_?RATING?79?">SMIF!$E$18:$E$72</definedName>
    <definedName name="XDO_?RATING?8?">'[1]MTSS-90'!$E$48</definedName>
    <definedName name="XDO_?RATING?80?">'[1]MMIS-98 II'!$E$48</definedName>
    <definedName name="XDO_?RATING?81?">'[1]MMIS-98 II'!$E$48:$E$53</definedName>
    <definedName name="XDO_?RATING?82?">'[1]MGF-99'!$E$12</definedName>
    <definedName name="XDO_?RATING?83?">'[1]MGF-99'!$E$12:$E$53</definedName>
    <definedName name="XDO_?RATING?84?">SCOF!$E$10:$E$38</definedName>
    <definedName name="XDO_?RATING?85?">SCOF!$E$10:$E$77</definedName>
    <definedName name="XDO_?RATING?86?">SCOF!$E$10:$E$82</definedName>
    <definedName name="XDO_?RATING?87?">STOF!$E$10:$E$14</definedName>
    <definedName name="XDO_?RATING?88?">STOF!$E$10:$E$33</definedName>
    <definedName name="XDO_?RATING?89?">STOF!$E$10:$E$24</definedName>
    <definedName name="XDO_?RATING?9?">'[1]MTSS-90'!$E$48:$E$53</definedName>
    <definedName name="XDO_?RATING?90?">STOF!$E$10:$E$29</definedName>
    <definedName name="XDO_?RATING?91?">STOF!$E$10:$E$34</definedName>
    <definedName name="XDO_?RATING?92?">STOF!$E$10:$E$69</definedName>
    <definedName name="XDO_?RATING?93?">STOF!$E$10:$E$74</definedName>
    <definedName name="XDO_?RATING?94?">SHOF!$E$10:$E$31</definedName>
    <definedName name="XDO_?RATING?95?">SHOF!$E$10:$E$35</definedName>
    <definedName name="XDO_?RATING?96?">SHOF!$E$10:$E$72</definedName>
    <definedName name="XDO_?RATING?97?">SHOF!$E$10:$E$77</definedName>
    <definedName name="XDO_?RATING?98?">SCF!$E$10:$E$56</definedName>
    <definedName name="XDO_?RATING?99?">SCF!$E$10:$E$96</definedName>
    <definedName name="XDO_?REMARKS?">'[1]MRIS-87'!$J$48:$J$53</definedName>
    <definedName name="XDO_?REMARKS?1?">'[1]MTSS-88-89'!$J$48</definedName>
    <definedName name="XDO_?REMARKS?10?">'[1]MRIS-90'!$J$48</definedName>
    <definedName name="XDO_?REMARKS?100?">SCF!$J$10:$J$100</definedName>
    <definedName name="XDO_?REMARKS?101?">SCF!$J$10:$J$105</definedName>
    <definedName name="XDO_?REMARKS?102?">SNIF!$J$10:$J$121</definedName>
    <definedName name="XDO_?REMARKS?103?">SNIF!$J$10:$J$96</definedName>
    <definedName name="XDO_?REMARKS?104?">SNIF!$J$10:$J$100</definedName>
    <definedName name="XDO_?REMARKS?105?">SNIF!$J$10:$J$105</definedName>
    <definedName name="XDO_?REMARKS?106?">SMCBF!$J$10:$J$36</definedName>
    <definedName name="XDO_?REMARKS?107?">SMCBF!$J$10:$J$39</definedName>
    <definedName name="XDO_?REMARKS?108?">SMCBF!$J$10:$J$52</definedName>
    <definedName name="XDO_?REMARKS?109?">SMCBF!$J$10:$J$60</definedName>
    <definedName name="XDO_?REMARKS?11?">'[1]MRIS-90'!$J$48:$J$53</definedName>
    <definedName name="XDO_?REMARKS?110?">SMCBF!$J$10:$J$64</definedName>
    <definedName name="XDO_?REMARKS?111?">SMCBF!$J$10:$J$87</definedName>
    <definedName name="XDO_?REMARKS?112?">SMCBF!$J$10:$J$92</definedName>
    <definedName name="XDO_?REMARKS?113?">SOF!$J$48:$J$49</definedName>
    <definedName name="XDO_?REMARKS?114?">SOF!$J$48:$J$54</definedName>
    <definedName name="XDO_?REMARKS?115?">SMMDF!$J$18:$J$53</definedName>
    <definedName name="XDO_?REMARKS?116?">SMMDF!$J$18:$J$67</definedName>
    <definedName name="XDO_?REMARKS?117?">SMMDF!$J$18:$J$80</definedName>
    <definedName name="XDO_?REMARKS?118?">SMMDF!$J$18:$J$84</definedName>
    <definedName name="XDO_?REMARKS?119?">SMMDF!$J$18:$J$107</definedName>
    <definedName name="XDO_?REMARKS?12?">SMEEF!$J$10:$J$50</definedName>
    <definedName name="XDO_?REMARKS?120?">SMMDF!$J$18:$J$112</definedName>
    <definedName name="XDO_?REMARKS?121?">SLF!$J$26:$J$29</definedName>
    <definedName name="XDO_?REMARKS?122?">SLF!$J$26:$J$58</definedName>
    <definedName name="XDO_?REMARKS?123?">SLF!$J$26:$J$77</definedName>
    <definedName name="XDO_?REMARKS?124?">SLF!$J$26:$J$92</definedName>
    <definedName name="XDO_?REMARKS?125?">SLF!$J$26:$J$97</definedName>
    <definedName name="XDO_?REMARKS?126?">SDBF!$J$24:$J$29</definedName>
    <definedName name="XDO_?REMARKS?127?">SDBF!$J$24:$J$54</definedName>
    <definedName name="XDO_?REMARKS?128?">SDBF!$J$24:$J$59</definedName>
    <definedName name="XDO_?REMARKS?129?">SSF!$J$24:$J$25</definedName>
    <definedName name="XDO_?REMARKS?13?">SMEEF!$J$10:$J$55</definedName>
    <definedName name="XDO_?REMARKS?130?">SSF!$J$24:$J$80</definedName>
    <definedName name="XDO_?REMARKS?131?">SSF!$J$24:$J$102</definedName>
    <definedName name="XDO_?REMARKS?132?">SSF!$J$24:$J$113</definedName>
    <definedName name="XDO_?REMARKS?133?">SSF!$J$24:$J$128</definedName>
    <definedName name="XDO_?REMARKS?134?">SSF!$J$24:$J$133</definedName>
    <definedName name="XDO_?REMARKS?135?">SCRF!$J$18:$J$61</definedName>
    <definedName name="XDO_?REMARKS?136?">SCRF!$J$18:$J$75</definedName>
    <definedName name="XDO_?REMARKS?137?">SCRF!$J$18:$J$85</definedName>
    <definedName name="XDO_?REMARKS?138?">SCRF!$J$18:$J$110</definedName>
    <definedName name="XDO_?REMARKS?139?">SCRF!$J$18:$J$115</definedName>
    <definedName name="XDO_?REMARKS?14?">SMEEF!$J$10:$J$84</definedName>
    <definedName name="XDO_?REMARKS?140?">SFEF!$J$10</definedName>
    <definedName name="XDO_?REMARKS?141?">SFEF!$J$10:$J$41</definedName>
    <definedName name="XDO_?REMARKS?142?">SFEF!$J$10:$J$35</definedName>
    <definedName name="XDO_?REMARKS?143?">SFEF!$J$10:$J$42</definedName>
    <definedName name="XDO_?REMARKS?144?">SFEF!$J$10:$J$75</definedName>
    <definedName name="XDO_?REMARKS?145?">SFEF!$J$10:$J$79</definedName>
    <definedName name="XDO_?REMARKS?146?">SFEF!$J$10:$J$84</definedName>
    <definedName name="XDO_?REMARKS?147?">SDHF!$J$10:$J$34</definedName>
    <definedName name="XDO_?REMARKS?148?">SDHF!$J$10:$J$54</definedName>
    <definedName name="XDO_?REMARKS?149?">SDHF!$J$10:$J$68</definedName>
    <definedName name="XDO_?REMARKS?15?">SMEEF!$J$10:$J$92</definedName>
    <definedName name="XDO_?REMARKS?150?">SDHF!$J$10:$J$77</definedName>
    <definedName name="XDO_?REMARKS?151?">SDHF!$J$10:$J$102</definedName>
    <definedName name="XDO_?REMARKS?152?">SDHF!$J$10:$J$107</definedName>
    <definedName name="XDO_?REMARKS?153?">SMUSD!$J$18:$J$39</definedName>
    <definedName name="XDO_?REMARKS?154?">SMUSD!$J$18:$J$50</definedName>
    <definedName name="XDO_?REMARKS?155?">SMUSD!$J$18:$J$56</definedName>
    <definedName name="XDO_?REMARKS?156?">SMUSD!$J$18:$J$70</definedName>
    <definedName name="XDO_?REMARKS?157?">SMUSD!$J$18:$J$86</definedName>
    <definedName name="XDO_?REMARKS?158?">SMUSD!$J$18:$J$94</definedName>
    <definedName name="XDO_?REMARKS?159?">SMUSD!$J$18:$J$109</definedName>
    <definedName name="XDO_?REMARKS?16?">SMEEF!$J$10:$J$96</definedName>
    <definedName name="XDO_?REMARKS?160?">SMUSD!$J$18:$J$114</definedName>
    <definedName name="XDO_?REMARKS?161?">SMIDCAP!$J$10:$J$59</definedName>
    <definedName name="XDO_?REMARKS?162?">SMIDCAP!$J$10:$J$62</definedName>
    <definedName name="XDO_?REMARKS?163?">SMIDCAP!$J$10:$J$98</definedName>
    <definedName name="XDO_?REMARKS?164?">SMIDCAP!$J$10:$J$103</definedName>
    <definedName name="XDO_?REMARKS?165?">SMCMF!$J$24:$J$28</definedName>
    <definedName name="XDO_?REMARKS?166?">SMCMF!$J$24:$J$53</definedName>
    <definedName name="XDO_?REMARKS?167?">SMCMF!$J$24:$J$58</definedName>
    <definedName name="XDO_?REMARKS?168?">SMCOMMA!$J$10:$J$35</definedName>
    <definedName name="XDO_?REMARKS?169?">SMCOMMA!$J$10:$J$74</definedName>
    <definedName name="XDO_?REMARKS?17?">SMEEF!$J$10:$J$101</definedName>
    <definedName name="XDO_?REMARKS?170?">SMCOMMA!$J$10:$J$79</definedName>
    <definedName name="XDO_?REMARKS?171?">SMGF!$J$24:$J$28</definedName>
    <definedName name="XDO_?REMARKS?172?">SMGF!$J$24:$J$53</definedName>
    <definedName name="XDO_?REMARKS?173?">SMGF!$J$24:$J$58</definedName>
    <definedName name="XDO_?REMARKS?174?">SMMULTI!$J$10:$J$55</definedName>
    <definedName name="XDO_?REMARKS?175?">SMMULTI!$J$10:$J$58</definedName>
    <definedName name="XDO_?REMARKS?176?">SMMULTI!$J$10:$J$94</definedName>
    <definedName name="XDO_?REMARKS?177?">SMMULTI!$J$10:$J$99</definedName>
    <definedName name="XDO_?REMARKS?178?">SMAAF!$J$10:$J$59</definedName>
    <definedName name="XDO_?REMARKS?179?">SMAAF!$J$10:$J$76</definedName>
    <definedName name="XDO_?REMARKS?18?">'[1]MELS-91'!$J$12</definedName>
    <definedName name="XDO_?REMARKS?180?">SMAAF!$J$10:$J$93</definedName>
    <definedName name="XDO_?REMARKS?181?">SMAAF!$J$10:$J$103</definedName>
    <definedName name="XDO_?REMARKS?182?">SMAAF!$J$10:$J$108</definedName>
    <definedName name="XDO_?REMARKS?183?">SBLUECHIP!$J$10:$J$67</definedName>
    <definedName name="XDO_?REMARKS?184?">SBLUECHIP!$J$10:$J$106</definedName>
    <definedName name="XDO_?REMARKS?185?">SBLUECHIP!$J$10:$J$111</definedName>
    <definedName name="XDO_?REMARKS?186?">SAOF!$J$10:$J$73</definedName>
    <definedName name="XDO_?REMARKS?187?">SAOF!$J$10:$J$88</definedName>
    <definedName name="XDO_?REMARKS?188?">SAOF!$J$10:$J$95</definedName>
    <definedName name="XDO_?REMARKS?189?">SAOF!$J$10:$J$126</definedName>
    <definedName name="XDO_?REMARKS?19?">'[1]MELS-91'!$J$12:$J$49</definedName>
    <definedName name="XDO_?REMARKS?190?">SAOF!$J$10:$J$130</definedName>
    <definedName name="XDO_?REMARKS?191?">SAOF!$J$10:$J$135</definedName>
    <definedName name="XDO_?REMARKS?192?">SIF!$J$10:$J$37</definedName>
    <definedName name="XDO_?REMARKS?193?">SIF!$J$10:$J$76</definedName>
    <definedName name="XDO_?REMARKS?194?">SIF!$J$10:$J$81</definedName>
    <definedName name="XDO_?REMARKS?195?">SMLDF!$J$18:$J$62</definedName>
    <definedName name="XDO_?REMARKS?196?">SMLDF!$J$18:$J$67</definedName>
    <definedName name="XDO_?REMARKS?197?">SMLDF!$J$18:$J$77</definedName>
    <definedName name="XDO_?REMARKS?198?">SMLDF!$J$18:$J$83</definedName>
    <definedName name="XDO_?REMARKS?199?">SMLDF!$J$18:$J$92</definedName>
    <definedName name="XDO_?REMARKS?2?">'[1]MTSS-88-89'!$J$48:$J$53</definedName>
    <definedName name="XDO_?REMARKS?20?">'[1]MELS-91'!$J$12:$J$54</definedName>
    <definedName name="XDO_?REMARKS?200?">SMLDF!$J$18:$J$106</definedName>
    <definedName name="XDO_?REMARKS?201?">SMLDF!$J$18:$J$112</definedName>
    <definedName name="XDO_?REMARKS?202?">SMLDF!$J$18:$J$118</definedName>
    <definedName name="XDO_?REMARKS?203?">SMLDF!$J$18:$J$133</definedName>
    <definedName name="XDO_?REMARKS?204?">SMLDF!$J$18:$J$138</definedName>
    <definedName name="XDO_?REMARKS?205?">SSTDF!$J$18:$J$101</definedName>
    <definedName name="XDO_?REMARKS?206?">SSTDF!$J$18:$J$105</definedName>
    <definedName name="XDO_?REMARKS?207?">SSTDF!$J$18:$J$113</definedName>
    <definedName name="XDO_?REMARKS?208?">SSTDF!$J$18:$J$123</definedName>
    <definedName name="XDO_?REMARKS?209?">SSTDF!$J$18:$J$136</definedName>
    <definedName name="XDO_?REMARKS?21?">'[1]MMIS-91'!$J$10:$J$11</definedName>
    <definedName name="XDO_?REMARKS?210?">SSTDF!$J$18:$J$145</definedName>
    <definedName name="XDO_?REMARKS?211?">SSTDF!$J$18:$J$160</definedName>
    <definedName name="XDO_?REMARKS?212?">SSTDF!$J$18:$J$165</definedName>
    <definedName name="XDO_?REMARKS?213?">'SETF-Gold'!$J$42</definedName>
    <definedName name="XDO_?REMARKS?214?">'SETF-Gold'!$J$42:$J$50</definedName>
    <definedName name="XDO_?REMARKS?215?">'SETF-Gold'!$J$42:$J$55</definedName>
    <definedName name="XDO_?REMARKS?216?">SPSU!$J$10:$J$31</definedName>
    <definedName name="XDO_?REMARKS?217?">SPSU!$J$10:$J$70</definedName>
    <definedName name="XDO_?REMARKS?218?">SPSU!$J$10:$J$75</definedName>
    <definedName name="XDO_?REMARKS?219?">SGF!$J$40</definedName>
    <definedName name="XDO_?REMARKS?22?">'[1]MMIS-91'!$J$10:$J$25</definedName>
    <definedName name="XDO_?REMARKS?220?">SGF!$J$40:$J$50</definedName>
    <definedName name="XDO_?REMARKS?221?">SGF!$J$40:$J$55</definedName>
    <definedName name="XDO_?REMARKS?222?">'STAF-II'!$J$10:$J$35</definedName>
    <definedName name="XDO_?REMARKS?223?">'STAF-II'!$J$10:$J$39</definedName>
    <definedName name="XDO_?REMARKS?224?">'STAF-II'!$J$10:$J$76</definedName>
    <definedName name="XDO_?REMARKS?225?">'STAF-II'!$J$10:$J$81</definedName>
    <definedName name="XDO_?REMARKS?226?">'SETF-SENSEX'!$J$10:$J$39</definedName>
    <definedName name="XDO_?REMARKS?227?">'SETF-SENSEX'!$J$10:$J$78</definedName>
    <definedName name="XDO_?REMARKS?228?">'SETF-SENSEX'!$J$10:$J$83</definedName>
    <definedName name="XDO_?REMARKS?229?">SSCF!$J$10:$J$62</definedName>
    <definedName name="XDO_?REMARKS?23?">'[1]MMIS-91'!$J$10:$J$62</definedName>
    <definedName name="XDO_?REMARKS?230?">SSCF!$J$10:$J$61</definedName>
    <definedName name="XDO_?REMARKS?231?">SSCF!$J$10:$J$99</definedName>
    <definedName name="XDO_?REMARKS?232?">SSCF!$J$10:$J$104</definedName>
    <definedName name="XDO_?REMARKS?233?">SBPF!$J$18:$J$96</definedName>
    <definedName name="XDO_?REMARKS?234?">SBPF!$J$18:$J$101</definedName>
    <definedName name="XDO_?REMARKS?235?">SBPF!$J$18:$J$111</definedName>
    <definedName name="XDO_?REMARKS?236?">SBPF!$J$18:$J$117</definedName>
    <definedName name="XDO_?REMARKS?237?">SBPF!$J$18:$J$140</definedName>
    <definedName name="XDO_?REMARKS?238?">SBPF!$J$18:$J$145</definedName>
    <definedName name="XDO_?REMARKS?239?">'STAF-III'!$J$10:$J$36</definedName>
    <definedName name="XDO_?REMARKS?24?">'[1]MMIS-91'!$J$10:$J$67</definedName>
    <definedName name="XDO_?REMARKS?240?">'STAF-III'!$J$10:$J$75</definedName>
    <definedName name="XDO_?REMARKS?241?">'STAF-III'!$J$10:$J$80</definedName>
    <definedName name="XDO_?REMARKS?242?">'SEOF-I'!$J$10:$J$45</definedName>
    <definedName name="XDO_?REMARKS?243?">'SEOF-I'!$J$10:$J$84</definedName>
    <definedName name="XDO_?REMARKS?244?">'SEOF-I'!$J$10:$J$89</definedName>
    <definedName name="XDO_?REMARKS?245?">'SLTAF-I'!$J$10:$J$37</definedName>
    <definedName name="XDO_?REMARKS?246?">'SLTAF-I'!$J$10:$J$76</definedName>
    <definedName name="XDO_?REMARKS?247?">'SLTAF-I'!$J$10:$J$81</definedName>
    <definedName name="XDO_?REMARKS?248?">'SLTAF-II'!$J$10:$J$39</definedName>
    <definedName name="XDO_?REMARKS?249?">'SLTAF-II'!$J$10:$J$78</definedName>
    <definedName name="XDO_?REMARKS?25?">[1]MTPL!$J$10</definedName>
    <definedName name="XDO_?REMARKS?250?">'SLTAF-II'!$J$10:$J$83</definedName>
    <definedName name="XDO_?REMARKS?251?">SBFS!$J$10:$J$30</definedName>
    <definedName name="XDO_?REMARKS?252?">SBFS!$J$10:$J$33</definedName>
    <definedName name="XDO_?REMARKS?253?">SBFS!$J$10:$J$69</definedName>
    <definedName name="XDO_?REMARKS?254?">SBFS!$J$10:$J$74</definedName>
    <definedName name="XDO_?REMARKS?255?">SDAAF!$J$10:$J$40</definedName>
    <definedName name="XDO_?REMARKS?256?">SDAAF!$J$10:$J$77</definedName>
    <definedName name="XDO_?REMARKS?257?">SDAAF!$J$10:$J$81</definedName>
    <definedName name="XDO_?REMARKS?258?">SDAAF!$J$10:$J$86</definedName>
    <definedName name="XDO_?REMARKS?259?">'SETF-NN50'!$J$10:$J$59</definedName>
    <definedName name="XDO_?REMARKS?26?">[1]MTPL!$J$10:$J$49</definedName>
    <definedName name="XDO_?REMARKS?260?">'SETF-NN50'!$J$10:$J$98</definedName>
    <definedName name="XDO_?REMARKS?261?">'SETF-NN50'!$J$10:$J$103</definedName>
    <definedName name="XDO_?REMARKS?262?">'SETF-NBank'!$J$10:$J$76</definedName>
    <definedName name="XDO_?REMARKS?263?">'SETF-NBank'!$J$10:$J$60</definedName>
    <definedName name="XDO_?REMARKS?264?">'SETF-NBank'!$J$10:$J$65</definedName>
    <definedName name="XDO_?REMARKS?265?">'SETF-BSE 100'!$J$10:$J$165</definedName>
    <definedName name="XDO_?REMARKS?266?">'SETF-BSE 100'!$J$10:$J$149</definedName>
    <definedName name="XDO_?REMARKS?267?">'SETF-BSE 100'!$J$10:$J$154</definedName>
    <definedName name="XDO_?REMARKS?268?">SESF!$J$10:$J$81</definedName>
    <definedName name="XDO_?REMARKS?269?">SESF!$J$10:$J$84</definedName>
    <definedName name="XDO_?REMARKS?27?">[1]MTPL!$J$10:$J$54</definedName>
    <definedName name="XDO_?REMARKS?270?">SESF!$J$10:$J$94</definedName>
    <definedName name="XDO_?REMARKS?271?">SESF!$J$10:$J$98</definedName>
    <definedName name="XDO_?REMARKS?272?">SESF!$J$10:$J$106</definedName>
    <definedName name="XDO_?REMARKS?273?">SESF!$J$10:$J$130</definedName>
    <definedName name="XDO_?REMARKS?274?">SESF!$J$10:$J$134</definedName>
    <definedName name="XDO_?REMARKS?275?">SESF!$J$10:$J$139</definedName>
    <definedName name="XDO_?REMARKS?276?">'SETF-Nifty 50'!$J$10:$J$114</definedName>
    <definedName name="XDO_?REMARKS?277?">'SETF-Nifty 50'!$J$10:$J$98</definedName>
    <definedName name="XDO_?REMARKS?278?">'SETF-Nifty 50'!$J$10:$J$103</definedName>
    <definedName name="XDO_?REMARKS?279?">'SEOF-IV'!$J$10:$J$45</definedName>
    <definedName name="XDO_?REMARKS?28?">'[1]MEX-91'!$J$48</definedName>
    <definedName name="XDO_?REMARKS?280?">'SEOF-IV'!$J$10:$J$84</definedName>
    <definedName name="XDO_?REMARKS?281?">'SEOF-IV'!$J$10:$J$89</definedName>
    <definedName name="XDO_?REMARKS?282?">'SLTAF-III'!$J$10:$J$39</definedName>
    <definedName name="XDO_?REMARKS?283?">'SLTAF-III'!$J$10:$J$78</definedName>
    <definedName name="XDO_?REMARKS?284?">'SLTAF-III'!$J$10:$J$83</definedName>
    <definedName name="XDO_?REMARKS?285?">'SETF-10 Yr Gilt'!$J$24</definedName>
    <definedName name="XDO_?REMARKS?286?">'SETF-10 Yr Gilt'!$J$24:$J$49</definedName>
    <definedName name="XDO_?REMARKS?287?">'SETF-10 Yr Gilt'!$J$24:$J$54</definedName>
    <definedName name="XDO_?REMARKS?288?">'SLTAF-IV'!$J$10:$J$38</definedName>
    <definedName name="XDO_?REMARKS?289?">'SLTAF-IV'!$J$10:$J$42</definedName>
    <definedName name="XDO_?REMARKS?29?">'[1]MEX-91'!$J$48:$J$53</definedName>
    <definedName name="XDO_?REMARKS?290?">'SLTAF-IV'!$J$10:$J$79</definedName>
    <definedName name="XDO_?REMARKS?291?">'SLTAF-IV'!$J$10:$J$84</definedName>
    <definedName name="XDO_?REMARKS?292?">'SDAFS-XXIV'!$J$18:$J$21</definedName>
    <definedName name="XDO_?REMARKS?293?">'SDAFS-XXIV'!$J$18:$J$32</definedName>
    <definedName name="XDO_?REMARKS?294?">'SDAFS-XXIV'!$J$18:$J$41</definedName>
    <definedName name="XDO_?REMARKS?295?">'SDAFS-XXIV'!$J$18:$J$57</definedName>
    <definedName name="XDO_?REMARKS?296?">'SDAFS-XXIV'!$J$18:$J$62</definedName>
    <definedName name="XDO_?REMARKS?297?">'SDAFS-XXV'!$J$10:$J$31</definedName>
    <definedName name="XDO_?REMARKS?298?">'SDAFS-XXV'!$J$10:$J$52</definedName>
    <definedName name="XDO_?REMARKS?299?">'SDAFS-XXV'!$J$10:$J$66</definedName>
    <definedName name="XDO_?REMARKS?3?">'[1]MRIS-89'!$J$48</definedName>
    <definedName name="XDO_?REMARKS?30?">'[1]GIFTS B'!$J$12:$J$16</definedName>
    <definedName name="XDO_?REMARKS?300?">'SDAFS-XXV'!$J$10:$J$74</definedName>
    <definedName name="XDO_?REMARKS?301?">'SDAFS-XXV'!$J$10:$J$78</definedName>
    <definedName name="XDO_?REMARKS?302?">'SDAFS-XXV'!$J$10:$J$93</definedName>
    <definedName name="XDO_?REMARKS?303?">'SDAFS-XXV'!$J$10:$J$98</definedName>
    <definedName name="XDO_?REMARKS?304?">'SLTAF-V'!$J$10:$J$42</definedName>
    <definedName name="XDO_?REMARKS?305?">'SLTAF-V'!$J$10:$J$81</definedName>
    <definedName name="XDO_?REMARKS?306?">'SLTAF-V'!$J$10:$J$86</definedName>
    <definedName name="XDO_?REMARKS?307?">'SDFS-C-7'!$J$18:$J$28</definedName>
    <definedName name="XDO_?REMARKS?308?">'SDFS-C-7'!$J$18:$J$38</definedName>
    <definedName name="XDO_?REMARKS?309?">'SDFS-C-7'!$J$18:$J$47</definedName>
    <definedName name="XDO_?REMARKS?31?">'[1]GIFTS B'!$J$12:$J$53</definedName>
    <definedName name="XDO_?REMARKS?310?">'SDFS-C-7'!$J$18:$J$64</definedName>
    <definedName name="XDO_?REMARKS?311?">'SDFS-C-7'!$J$18:$J$69</definedName>
    <definedName name="XDO_?REMARKS?312?">'SDAFS-XXVI'!$J$10:$J$31</definedName>
    <definedName name="XDO_?REMARKS?313?">'SDAFS-XXVI'!$J$10:$J$50</definedName>
    <definedName name="XDO_?REMARKS?314?">'SDAFS-XXVI'!$J$10:$J$54</definedName>
    <definedName name="XDO_?REMARKS?315?">'SDAFS-XXVI'!$J$10:$J$60</definedName>
    <definedName name="XDO_?REMARKS?316?">'SDAFS-XXVI'!$J$10:$J$66</definedName>
    <definedName name="XDO_?REMARKS?317?">'SDAFS-XXVI'!$J$10:$J$75</definedName>
    <definedName name="XDO_?REMARKS?318?">'SDAFS-XXVI'!$J$10:$J$90</definedName>
    <definedName name="XDO_?REMARKS?319?">'SDAFS-XXVI'!$J$10:$J$95</definedName>
    <definedName name="XDO_?REMARKS?32?">'[1]GIFTS B'!$J$12:$J$58</definedName>
    <definedName name="XDO_?REMARKS?320?">'SDFS-C-8'!$J$18:$J$28</definedName>
    <definedName name="XDO_?REMARKS?321?">'SDFS-C-8'!$J$18:$J$39</definedName>
    <definedName name="XDO_?REMARKS?322?">'SDFS-C-8'!$J$18:$J$48</definedName>
    <definedName name="XDO_?REMARKS?323?">'SDFS-C-8'!$J$18:$J$65</definedName>
    <definedName name="XDO_?REMARKS?324?">'SDFS-C-8'!$J$18:$J$70</definedName>
    <definedName name="XDO_?REMARKS?325?">'SDFS-C-9'!$J$18:$J$27</definedName>
    <definedName name="XDO_?REMARKS?326?">'SDFS-C-9'!$J$18:$J$38</definedName>
    <definedName name="XDO_?REMARKS?327?">'SDFS-C-9'!$J$18:$J$47</definedName>
    <definedName name="XDO_?REMARKS?328?">'SDFS-C-9'!$J$18:$J$64</definedName>
    <definedName name="XDO_?REMARKS?329?">'SDFS-C-9'!$J$18:$J$69</definedName>
    <definedName name="XDO_?REMARKS?33?">'[1]GIFTS A'!$J$12</definedName>
    <definedName name="XDO_?REMARKS?330?">'SDFS-C-10'!$J$18:$J$29</definedName>
    <definedName name="XDO_?REMARKS?331?">'SDFS-C-10'!$J$18:$J$40</definedName>
    <definedName name="XDO_?REMARKS?332?">'SDFS-C-10'!$J$18:$J$50</definedName>
    <definedName name="XDO_?REMARKS?333?">'SDFS-C-10'!$J$18:$J$54</definedName>
    <definedName name="XDO_?REMARKS?334?">'SDFS-C-10'!$J$18:$J$69</definedName>
    <definedName name="XDO_?REMARKS?335?">'SDFS-C-10'!$J$18:$J$74</definedName>
    <definedName name="XDO_?REMARKS?336?">'SDAFS-XXVII'!$J$10:$J$33</definedName>
    <definedName name="XDO_?REMARKS?337?">'SDAFS-XXVII'!$J$10:$J$49</definedName>
    <definedName name="XDO_?REMARKS?338?">'SDAFS-XXVII'!$J$10:$J$54</definedName>
    <definedName name="XDO_?REMARKS?339?">'SDAFS-XXVII'!$J$10:$J$62</definedName>
    <definedName name="XDO_?REMARKS?34?">'[1]GIFTS A'!$J$12:$J$49</definedName>
    <definedName name="XDO_?REMARKS?340?">'SDAFS-XXVII'!$J$10:$J$69</definedName>
    <definedName name="XDO_?REMARKS?341?">'SDAFS-XXVII'!$J$10:$J$73</definedName>
    <definedName name="XDO_?REMARKS?342?">'SDAFS-XXVII'!$J$10:$J$88</definedName>
    <definedName name="XDO_?REMARKS?343?">'SDAFS-XXVII'!$J$10:$J$93</definedName>
    <definedName name="XDO_?REMARKS?344?">'SDFS-C-12'!$J$18:$J$26</definedName>
    <definedName name="XDO_?REMARKS?345?">'SDFS-C-12'!$J$18:$J$39</definedName>
    <definedName name="XDO_?REMARKS?346?">'SDFS-C-12'!$J$18:$J$50</definedName>
    <definedName name="XDO_?REMARKS?347?">'SDFS-C-12'!$J$18:$J$55</definedName>
    <definedName name="XDO_?REMARKS?348?">'SDFS-C-12'!$J$18:$J$70</definedName>
    <definedName name="XDO_?REMARKS?349?">'SDFS-C-12'!$J$18:$J$75</definedName>
    <definedName name="XDO_?REMARKS?35?">'[1]GIFTS A'!$J$12:$J$54</definedName>
    <definedName name="XDO_?REMARKS?350?">'SDFS-C-14'!$J$18:$J$27</definedName>
    <definedName name="XDO_?REMARKS?351?">'SDFS-C-14'!$J$18:$J$37</definedName>
    <definedName name="XDO_?REMARKS?352?">'SDFS-C-14'!$J$18:$J$47</definedName>
    <definedName name="XDO_?REMARKS?353?">'SDFS-C-14'!$J$18:$J$52</definedName>
    <definedName name="XDO_?REMARKS?354?">'SDFS-C-14'!$J$18:$J$67</definedName>
    <definedName name="XDO_?REMARKS?355?">'SDFS-C-14'!$J$18:$J$72</definedName>
    <definedName name="XDO_?REMARKS?356?">'SLTAF-VI'!$J$10:$J$35</definedName>
    <definedName name="XDO_?REMARKS?357?">'SLTAF-VI'!$J$10:$J$74</definedName>
    <definedName name="XDO_?REMARKS?358?">'SLTAF-VI'!$J$10:$J$79</definedName>
    <definedName name="XDO_?REMARKS?359?">'SDAFS-XXVIII'!$J$10:$J$34</definedName>
    <definedName name="XDO_?REMARKS?36?">SLMF!$J$10:$J$65</definedName>
    <definedName name="XDO_?REMARKS?360?">'SDAFS-XXVIII'!$J$10:$J$53</definedName>
    <definedName name="XDO_?REMARKS?361?">'SDAFS-XXVIII'!$J$10:$J$64</definedName>
    <definedName name="XDO_?REMARKS?362?">'SDAFS-XXVIII'!$J$10:$J$71</definedName>
    <definedName name="XDO_?REMARKS?363?">'SDAFS-XXVIII'!$J$10:$J$88</definedName>
    <definedName name="XDO_?REMARKS?364?">'SDAFS-XXVIII'!$J$10:$J$93</definedName>
    <definedName name="XDO_?REMARKS?365?">'SDFS-C-16'!$J$18:$J$32</definedName>
    <definedName name="XDO_?REMARKS?366?">'SDFS-C-16'!$J$18:$J$43</definedName>
    <definedName name="XDO_?REMARKS?367?">'SDFS-C-16'!$J$18:$J$56</definedName>
    <definedName name="XDO_?REMARKS?368?">'SDFS-C-16'!$J$18:$J$73</definedName>
    <definedName name="XDO_?REMARKS?369?">'SDFS-C-16'!$J$18:$J$78</definedName>
    <definedName name="XDO_?REMARKS?37?">SLMF!$J$10:$J$71</definedName>
    <definedName name="XDO_?REMARKS?370?">'SDFS-C-18'!$J$18:$J$36</definedName>
    <definedName name="XDO_?REMARKS?371?">'SDFS-C-18'!$J$18:$J$49</definedName>
    <definedName name="XDO_?REMARKS?372?">'SDFS-C-18'!$J$18:$J$61</definedName>
    <definedName name="XDO_?REMARKS?373?">'SDFS-C-18'!$J$18:$J$78</definedName>
    <definedName name="XDO_?REMARKS?374?">'SDFS-C-18'!$J$18:$J$83</definedName>
    <definedName name="XDO_?REMARKS?375?">'SDFS-C-19'!$J$18:$J$29</definedName>
    <definedName name="XDO_?REMARKS?376?">'SDFS-C-19'!$J$18:$J$39</definedName>
    <definedName name="XDO_?REMARKS?377?">'SDFS-C-19'!$J$18:$J$50</definedName>
    <definedName name="XDO_?REMARKS?378?">'SDFS-C-19'!$J$18:$J$67</definedName>
    <definedName name="XDO_?REMARKS?379?">'SDFS-C-19'!$J$18:$J$72</definedName>
    <definedName name="XDO_?REMARKS?38?">SLMF!$J$10:$J$108</definedName>
    <definedName name="XDO_?REMARKS?380?">'SDAFS-XXIX'!$J$10:$J$34</definedName>
    <definedName name="XDO_?REMARKS?381?">'SDAFS-XXIX'!$J$10:$J$55</definedName>
    <definedName name="XDO_?REMARKS?382?">'SDAFS-XXIX'!$J$10:$J$66</definedName>
    <definedName name="XDO_?REMARKS?383?">'SDAFS-XXIX'!$J$10:$J$74</definedName>
    <definedName name="XDO_?REMARKS?384?">'SDAFS-XXIX'!$J$10:$J$91</definedName>
    <definedName name="XDO_?REMARKS?385?">'SDAFS-XXIX'!$J$10:$J$96</definedName>
    <definedName name="XDO_?REMARKS?386?">'SDFS-C-20'!$J$18:$J$28</definedName>
    <definedName name="XDO_?REMARKS?387?">'SDFS-C-20'!$J$18:$J$39</definedName>
    <definedName name="XDO_?REMARKS?388?">'SDFS-C-20'!$J$18:$J$51</definedName>
    <definedName name="XDO_?REMARKS?389?">'SDFS-C-20'!$J$18:$J$68</definedName>
    <definedName name="XDO_?REMARKS?39?">SLMF!$J$10:$J$113</definedName>
    <definedName name="XDO_?REMARKS?390?">'SDFS-C-20'!$J$18:$J$73</definedName>
    <definedName name="XDO_?REMARKS?391?">'SDFS-C-21'!$J$18:$J$29</definedName>
    <definedName name="XDO_?REMARKS?392?">'SDFS-C-21'!$J$18:$J$35</definedName>
    <definedName name="XDO_?REMARKS?393?">'SDFS-C-21'!$J$18:$J$41</definedName>
    <definedName name="XDO_?REMARKS?394?">'SDFS-C-21'!$J$18:$J$54</definedName>
    <definedName name="XDO_?REMARKS?395?">'SDFS-C-21'!$J$18:$J$71</definedName>
    <definedName name="XDO_?REMARKS?396?">'SDFS-C-21'!$J$18:$J$76</definedName>
    <definedName name="XDO_?REMARKS?397?">'SDFS-C-22'!$J$18:$J$29</definedName>
    <definedName name="XDO_?REMARKS?398?">'SDFS-C-22'!$J$18:$J$39</definedName>
    <definedName name="XDO_?REMARKS?399?">'SDFS-C-22'!$J$18:$J$49</definedName>
    <definedName name="XDO_?REMARKS?4?">'[1]MRIS-89'!$J$48:$J$53</definedName>
    <definedName name="XDO_?REMARKS?40?">SLTEF!$J$10:$J$65</definedName>
    <definedName name="XDO_?REMARKS?400?">'SDFS-C-22'!$J$18:$J$66</definedName>
    <definedName name="XDO_?REMARKS?401?">'SDFS-C-22'!$J$18:$J$71</definedName>
    <definedName name="XDO_?REMARKS?402?">'SDFS-C-23'!$J$18:$J$34</definedName>
    <definedName name="XDO_?REMARKS?403?">'SDFS-C-23'!$J$18:$J$53</definedName>
    <definedName name="XDO_?REMARKS?404?">'SDFS-C-23'!$J$18:$J$70</definedName>
    <definedName name="XDO_?REMARKS?405?">'SDFS-C-23'!$J$18:$J$75</definedName>
    <definedName name="XDO_?REMARKS?406?">'SETF-SN50'!$J$10:$J$114</definedName>
    <definedName name="XDO_?REMARKS?407?">'SETF-SN50'!$J$10:$J$98</definedName>
    <definedName name="XDO_?REMARKS?408?">'SETF-SN50'!$J$10:$J$103</definedName>
    <definedName name="XDO_?REMARKS?409?">'SDFS-C-24'!$J$18:$J$29</definedName>
    <definedName name="XDO_?REMARKS?41?">SLTEF!$J$10:$J$68</definedName>
    <definedName name="XDO_?REMARKS?410?">'SDFS-C-24'!$J$18:$J$33</definedName>
    <definedName name="XDO_?REMARKS?411?">'SDFS-C-24'!$J$18:$J$48</definedName>
    <definedName name="XDO_?REMARKS?412?">'SDFS-C-24'!$J$18:$J$65</definedName>
    <definedName name="XDO_?REMARKS?413?">'SDFS-C-24'!$J$18:$J$70</definedName>
    <definedName name="XDO_?REMARKS?414?">'SDFS-C-25'!$J$18:$J$34</definedName>
    <definedName name="XDO_?REMARKS?415?">'SDFS-C-25'!$J$18:$J$40</definedName>
    <definedName name="XDO_?REMARKS?416?">'SDFS-C-25'!$J$18:$J$52</definedName>
    <definedName name="XDO_?REMARKS?417?">'SDFS-C-25'!$J$18:$J$56</definedName>
    <definedName name="XDO_?REMARKS?418?">'SDFS-C-25'!$J$18:$J$71</definedName>
    <definedName name="XDO_?REMARKS?419?">'SDFS-C-25'!$J$18:$J$76</definedName>
    <definedName name="XDO_?REMARKS?42?">SLTEF!$J$10:$J$104</definedName>
    <definedName name="XDO_?REMARKS?420?">'SDAFS-XXX'!$J$10:$J$34</definedName>
    <definedName name="XDO_?REMARKS?421?">'SDAFS-XXX'!$J$10:$J$55</definedName>
    <definedName name="XDO_?REMARKS?422?">'SDAFS-XXX'!$J$10:$J$72</definedName>
    <definedName name="XDO_?REMARKS?423?">'SDAFS-XXX'!$J$10:$J$87</definedName>
    <definedName name="XDO_?REMARKS?424?">'SDAFS-XXX'!$J$10:$J$92</definedName>
    <definedName name="XDO_?REMARKS?425?">'SDFS-C-26'!$J$18:$J$32</definedName>
    <definedName name="XDO_?REMARKS?426?">'SDFS-C-26'!$J$18:$J$48</definedName>
    <definedName name="XDO_?REMARKS?427?">'SDFS-C-26'!$J$18:$J$52</definedName>
    <definedName name="XDO_?REMARKS?428?">'SDFS-C-26'!$J$18:$J$67</definedName>
    <definedName name="XDO_?REMARKS?429?">'SDFS-C-26'!$J$18:$J$72</definedName>
    <definedName name="XDO_?REMARKS?43?">SLTEF!$J$10:$J$109</definedName>
    <definedName name="XDO_?REMARKS?430?">'SDFS-C-27'!$J$18:$J$29</definedName>
    <definedName name="XDO_?REMARKS?431?">'SDFS-C-27'!$J$18:$J$46</definedName>
    <definedName name="XDO_?REMARKS?432?">'SDFS-C-27'!$J$18:$J$50</definedName>
    <definedName name="XDO_?REMARKS?433?">'SDFS-C-27'!$J$18:$J$65</definedName>
    <definedName name="XDO_?REMARKS?434?">'SDFS-C-27'!$J$18:$J$70</definedName>
    <definedName name="XDO_?REMARKS?435?">'SDFS-C-28'!$J$18:$J$32</definedName>
    <definedName name="XDO_?REMARKS?436?">'SDFS-C-28'!$J$18:$J$42</definedName>
    <definedName name="XDO_?REMARKS?437?">'SDFS-C-28'!$J$18:$J$52</definedName>
    <definedName name="XDO_?REMARKS?438?">'SDFS-C-28'!$J$18:$J$69</definedName>
    <definedName name="XDO_?REMARKS?439?">'SDFS-C-28'!$J$18:$J$74</definedName>
    <definedName name="XDO_?REMARKS?44?">'[1]MRIS-93'!$J$12:$J$17</definedName>
    <definedName name="XDO_?REMARKS?440?">'SDFS-C-30'!$J$18:$J$32</definedName>
    <definedName name="XDO_?REMARKS?441?">'SDFS-C-30'!$J$18:$J$50</definedName>
    <definedName name="XDO_?REMARKS?442?">'SDFS-C-30'!$J$18:$J$67</definedName>
    <definedName name="XDO_?REMARKS?443?">'SDFS-C-30'!$J$18:$J$72</definedName>
    <definedName name="XDO_?REMARKS?444?">'SETF-Quality'!$J$10:$J$39</definedName>
    <definedName name="XDO_?REMARKS?445?">'SETF-Quality'!$J$10:$J$78</definedName>
    <definedName name="XDO_?REMARKS?446?">'SETF-Quality'!$J$10:$J$83</definedName>
    <definedName name="XDO_?REMARKS?447?">'SDFS-C-32'!$J$18:$J$37</definedName>
    <definedName name="XDO_?REMARKS?448?">'SDFS-C-32'!$J$18:$J$54</definedName>
    <definedName name="XDO_?REMARKS?449?">'SDFS-C-32'!$J$18:$J$58</definedName>
    <definedName name="XDO_?REMARKS?45?">'[1]MRIS-93'!$J$12:$J$54</definedName>
    <definedName name="XDO_?REMARKS?450?">'SDFS-C-32'!$J$18:$J$73</definedName>
    <definedName name="XDO_?REMARKS?451?">'SDFS-C-32'!$J$18:$J$78</definedName>
    <definedName name="XDO_?REMARKS?452?">'SDFS-C-33'!$J$18:$J$38</definedName>
    <definedName name="XDO_?REMARKS?453?">'SDFS-C-33'!$J$18:$J$56</definedName>
    <definedName name="XDO_?REMARKS?454?">'SDFS-C-33'!$J$18:$J$60</definedName>
    <definedName name="XDO_?REMARKS?455?">'SDFS-C-33'!$J$18:$J$75</definedName>
    <definedName name="XDO_?REMARKS?456?">'SDFS-C-33'!$J$18:$J$80</definedName>
    <definedName name="XDO_?REMARKS?457?">'SDFS-C-34'!$J$18:$J$32</definedName>
    <definedName name="XDO_?REMARKS?458?">'SDFS-C-34'!$J$18:$J$50</definedName>
    <definedName name="XDO_?REMARKS?459?">'SDFS-C-34'!$J$18:$J$67</definedName>
    <definedName name="XDO_?REMARKS?46?">'[1]MRIS-93'!$J$12:$J$59</definedName>
    <definedName name="XDO_?REMARKS?460?">'SDFS-C-34'!$J$18:$J$72</definedName>
    <definedName name="XDO_?REMARKS?461?">'SDFS-C-35'!$J$18:$J$33</definedName>
    <definedName name="XDO_?REMARKS?462?">'SDFS-C-35'!$J$18:$J$50</definedName>
    <definedName name="XDO_?REMARKS?463?">'SDFS-C-35'!$J$18:$J$67</definedName>
    <definedName name="XDO_?REMARKS?464?">'SDFS-C-35'!$J$18:$J$72</definedName>
    <definedName name="XDO_?REMARKS?465?">'SDFS-C-38'!$J$18:$J$28</definedName>
    <definedName name="XDO_?REMARKS?466?">'SDFS-C-38'!$J$18:$J$45</definedName>
    <definedName name="XDO_?REMARKS?467?">'SDFS-C-38'!$J$18:$J$56</definedName>
    <definedName name="XDO_?REMARKS?468?">'SDFS-C-38'!$J$18:$J$60</definedName>
    <definedName name="XDO_?REMARKS?469?">'SDFS-C-38'!$J$18:$J$75</definedName>
    <definedName name="XDO_?REMARKS?47?">'[1]MTP-94'!$J$12</definedName>
    <definedName name="XDO_?REMARKS?470?">'SDFS-C-38'!$J$18:$J$80</definedName>
    <definedName name="XDO_?REMARKS?471?">SCBF!$J$18:$J$133</definedName>
    <definedName name="XDO_?REMARKS?472?">SCBF!$J$18:$J$137</definedName>
    <definedName name="XDO_?REMARKS?473?">SCBF!$J$18:$J$146</definedName>
    <definedName name="XDO_?REMARKS?474?">SCBF!$J$18:$J$158</definedName>
    <definedName name="XDO_?REMARKS?475?">SCBF!$J$18:$J$171</definedName>
    <definedName name="XDO_?REMARKS?476?">SCBF!$J$18:$J$182</definedName>
    <definedName name="XDO_?REMARKS?477?">SCBF!$J$18:$J$197</definedName>
    <definedName name="XDO_?REMARKS?478?">SCBF!$J$18:$J$202</definedName>
    <definedName name="XDO_?REMARKS?479?">'SDFS-C-40'!$J$18:$J$28</definedName>
    <definedName name="XDO_?REMARKS?48?">'[1]MTP-94'!$J$12:$J$49</definedName>
    <definedName name="XDO_?REMARKS?480?">'SDFS-C-40'!$J$18:$J$39</definedName>
    <definedName name="XDO_?REMARKS?481?">'SDFS-C-40'!$J$18:$J$47</definedName>
    <definedName name="XDO_?REMARKS?482?">'SDFS-C-40'!$J$18:$J$64</definedName>
    <definedName name="XDO_?REMARKS?483?">'SDFS-C-40'!$J$18:$J$69</definedName>
    <definedName name="XDO_?REMARKS?484?">'SDFS-C-41'!$J$18:$J$32</definedName>
    <definedName name="XDO_?REMARKS?485?">'SDFS-C-41'!$J$18:$J$43</definedName>
    <definedName name="XDO_?REMARKS?486?">'SDFS-C-41'!$J$18:$J$54</definedName>
    <definedName name="XDO_?REMARKS?487?">'SDFS-C-41'!$J$18:$J$71</definedName>
    <definedName name="XDO_?REMARKS?488?">'SDFS-C-41'!$J$18:$J$76</definedName>
    <definedName name="XDO_?REMARKS?489?">'SDFS-C-43'!$J$18:$J$28</definedName>
    <definedName name="XDO_?REMARKS?49?">'[1]MTP-94'!$J$12:$J$54</definedName>
    <definedName name="XDO_?REMARKS?490?">'SDFS-C-43'!$J$18:$J$41</definedName>
    <definedName name="XDO_?REMARKS?491?">'SDFS-C-43'!$J$18:$J$50</definedName>
    <definedName name="XDO_?REMARKS?492?">'SDFS-C-43'!$J$18:$J$67</definedName>
    <definedName name="XDO_?REMARKS?493?">'SDFS-C-43'!$J$18:$J$72</definedName>
    <definedName name="XDO_?REMARKS?494?">'SDFS-C-44'!$J$18:$J$28</definedName>
    <definedName name="XDO_?REMARKS?495?">'SDFS-C-44'!$J$18:$J$39</definedName>
    <definedName name="XDO_?REMARKS?496?">'SDFS-C-44'!$J$18:$J$48</definedName>
    <definedName name="XDO_?REMARKS?497?">'SDFS-C-44'!$J$18:$J$65</definedName>
    <definedName name="XDO_?REMARKS?498?">'SDFS-C-44'!$J$18:$J$70</definedName>
    <definedName name="XDO_?REMARKS?499?">'SCPOF-A1'!$J$10:$J$58</definedName>
    <definedName name="XDO_?REMARKS?5?">'[1]MMIS-89'!$J$10</definedName>
    <definedName name="XDO_?REMARKS?50?">SMGLF!$J$10:$J$31</definedName>
    <definedName name="XDO_?REMARKS?500?">'SCPOF-A1'!$J$10:$J$74</definedName>
    <definedName name="XDO_?REMARKS?501?">'SCPOF-A1'!$J$10:$J$78</definedName>
    <definedName name="XDO_?REMARKS?502?">'SCPOF-A1'!$J$10:$J$93</definedName>
    <definedName name="XDO_?REMARKS?503?">'SCPOF-A1'!$J$10:$J$108</definedName>
    <definedName name="XDO_?REMARKS?504?">'SCPOF-A1'!$J$10:$J$113</definedName>
    <definedName name="XDO_?REMARKS?505?">'SDFS-C-46'!$J$18:$J$25</definedName>
    <definedName name="XDO_?REMARKS?506?">'SDFS-C-46'!$J$18:$J$29</definedName>
    <definedName name="XDO_?REMARKS?507?">'SDFS-C-46'!$J$18:$J$39</definedName>
    <definedName name="XDO_?REMARKS?508?">'SDFS-C-46'!$J$18:$J$46</definedName>
    <definedName name="XDO_?REMARKS?509?">'SDFS-C-46'!$J$18:$J$50</definedName>
    <definedName name="XDO_?REMARKS?51?">SMGLF!$J$10:$J$52</definedName>
    <definedName name="XDO_?REMARKS?510?">'SDFS-C-46'!$J$18:$J$65</definedName>
    <definedName name="XDO_?REMARKS?511?">'SDFS-C-46'!$J$18:$J$70</definedName>
    <definedName name="XDO_?REMARKS?512?">SEMVF!$J$10:$J$121</definedName>
    <definedName name="XDO_?REMARKS?513?">SEMVF!$J$10:$J$96</definedName>
    <definedName name="XDO_?REMARKS?514?">SEMVF!$J$10:$J$100</definedName>
    <definedName name="XDO_?REMARKS?515?">SEMVF!$J$10:$J$105</definedName>
    <definedName name="XDO_?REMARKS?516?">'SDFS-C-48'!$J$18:$J$34</definedName>
    <definedName name="XDO_?REMARKS?517?">'SDFS-C-48'!$J$18:$J$44</definedName>
    <definedName name="XDO_?REMARKS?518?">'SDFS-C-48'!$J$18:$J$53</definedName>
    <definedName name="XDO_?REMARKS?519?">'SDFS-C-48'!$J$18:$J$70</definedName>
    <definedName name="XDO_?REMARKS?52?">SMGLF!$J$10:$J$46</definedName>
    <definedName name="XDO_?REMARKS?520?">'SDFS-C-48'!$J$18:$J$75</definedName>
    <definedName name="XDO_?REMARKS?521?">'SDFS-C-49'!$J$18:$J$27</definedName>
    <definedName name="XDO_?REMARKS?522?">'SDFS-C-49'!$J$18:$J$38</definedName>
    <definedName name="XDO_?REMARKS?523?">'SDFS-C-49'!$J$18:$J$47</definedName>
    <definedName name="XDO_?REMARKS?524?">'SDFS-C-49'!$J$18:$J$51</definedName>
    <definedName name="XDO_?REMARKS?525?">'SDFS-C-49'!$J$18:$J$66</definedName>
    <definedName name="XDO_?REMARKS?526?">'SDFS-C-49'!$J$18:$J$71</definedName>
    <definedName name="XDO_?REMARKS?527?">'SCPOF-Series A (Plan 2)'!$J$10:$J$59</definedName>
    <definedName name="XDO_?REMARKS?528?">'SCPOF-Series A (Plan 2)'!$J$10:$J$74</definedName>
    <definedName name="XDO_?REMARKS?529?">'SCPOF-Series A (Plan 2)'!$J$10:$J$84</definedName>
    <definedName name="XDO_?REMARKS?53?">SMGLF!$J$10:$J$87</definedName>
    <definedName name="XDO_?REMARKS?530?">'SCPOF-Series A (Plan 2)'!$J$10:$J$93</definedName>
    <definedName name="XDO_?REMARKS?531?">'SCPOF-Series A (Plan 2)'!$J$10:$J$108</definedName>
    <definedName name="XDO_?REMARKS?532?">'SCPOF-Series A (Plan 2)'!$J$10:$J$113</definedName>
    <definedName name="XDO_?REMARKS?533?">'SDFS-C-50'!$J$18:$J$26</definedName>
    <definedName name="XDO_?REMARKS?534?">'SDFS-C-50'!$J$18:$J$40</definedName>
    <definedName name="XDO_?REMARKS?535?">'SDFS-C-50'!$J$18:$J$48</definedName>
    <definedName name="XDO_?REMARKS?536?">'SDFS-C-50'!$J$18:$J$65</definedName>
    <definedName name="XDO_?REMARKS?537?">'SDFS-C-50'!$J$18:$J$70</definedName>
    <definedName name="XDO_?REMARKS?538?">'SFMP- Series 1'!$J$26:$J$31</definedName>
    <definedName name="XDO_?REMARKS?539?">'SFMP- Series 1'!$J$26:$J$39</definedName>
    <definedName name="XDO_?REMARKS?54?">SMGLF!$J$10:$J$92</definedName>
    <definedName name="XDO_?REMARKS?540?">'SFMP- Series 1'!$J$26:$J$56</definedName>
    <definedName name="XDO_?REMARKS?541?">'SFMP- Series 1'!$J$26:$J$61</definedName>
    <definedName name="XDO_?REMARKS?542?">'SFMP- Series 2'!$J$18:$J$29</definedName>
    <definedName name="XDO_?REMARKS?543?">'SFMP- Series 2'!$J$18:$J$45</definedName>
    <definedName name="XDO_?REMARKS?544?">'SFMP- Series 2'!$J$18:$J$62</definedName>
    <definedName name="XDO_?REMARKS?545?">'SFMP- Series 2'!$J$18:$J$67</definedName>
    <definedName name="XDO_?REMARKS?546?">'SFMP- Series 3'!$J$18:$J$29</definedName>
    <definedName name="XDO_?REMARKS?547?">'SFMP- Series 3'!$J$18:$J$45</definedName>
    <definedName name="XDO_?REMARKS?548?">'SFMP- Series 3'!$J$18:$J$62</definedName>
    <definedName name="XDO_?REMARKS?549?">'SFMP- Series 3'!$J$18:$J$67</definedName>
    <definedName name="XDO_?REMARKS?55?">'[1]MBF-94'!$J$10</definedName>
    <definedName name="XDO_?REMARKS?550?">'SCPOF-Series A (Plan 3)'!$J$10:$J$59</definedName>
    <definedName name="XDO_?REMARKS?551?">'SCPOF-Series A (Plan 3)'!$J$10:$J$76</definedName>
    <definedName name="XDO_?REMARKS?552?">'SCPOF-Series A (Plan 3)'!$J$10:$J$87</definedName>
    <definedName name="XDO_?REMARKS?553?">'SCPOF-Series A (Plan 3)'!$J$10:$J$110</definedName>
    <definedName name="XDO_?REMARKS?554?">'SCPOF-Series A (Plan 3)'!$J$10:$J$115</definedName>
    <definedName name="XDO_?REMARKS?555?">'SFMP- Series 6'!$J$26:$J$29</definedName>
    <definedName name="XDO_?REMARKS?556?">'SFMP- Series 6'!$J$26:$J$36</definedName>
    <definedName name="XDO_?REMARKS?557?">'SFMP- Series 6'!$J$26:$J$53</definedName>
    <definedName name="XDO_?REMARKS?558?">'SFMP- Series 6'!$J$26:$J$58</definedName>
    <definedName name="XDO_?REMARKS?559?">'SFMP- Series 7'!$J$18:$J$32</definedName>
    <definedName name="XDO_?REMARKS?56?">'[1]MBF-94'!$J$10:$J$19</definedName>
    <definedName name="XDO_?REMARKS?560?">'SFMP- Series 7'!$J$18:$J$47</definedName>
    <definedName name="XDO_?REMARKS?561?">'SFMP- Series 7'!$J$18:$J$64</definedName>
    <definedName name="XDO_?REMARKS?562?">'SFMP- Series 7'!$J$18:$J$69</definedName>
    <definedName name="XDO_?REMARKS?563?">'SFMP- Series 8'!$J$18:$J$32</definedName>
    <definedName name="XDO_?REMARKS?564?">'SFMP- Series 8'!$J$18:$J$47</definedName>
    <definedName name="XDO_?REMARKS?565?">'SFMP- Series 8'!$J$18:$J$64</definedName>
    <definedName name="XDO_?REMARKS?566?">'SFMP- Series 8'!$J$18:$J$69</definedName>
    <definedName name="XDO_?REMARKS?567?">'SCPOF-Series A (Plan 4)'!$J$10:$J$59</definedName>
    <definedName name="XDO_?REMARKS?568?">'SCPOF-Series A (Plan 4)'!$J$10:$J$75</definedName>
    <definedName name="XDO_?REMARKS?569?">'SCPOF-Series A (Plan 4)'!$J$10:$J$86</definedName>
    <definedName name="XDO_?REMARKS?57?">'[1]MBF-94'!$J$10:$J$56</definedName>
    <definedName name="XDO_?REMARKS?570?">'SCPOF-Series A (Plan 4)'!$J$10:$J$109</definedName>
    <definedName name="XDO_?REMARKS?571?">'SCPOF-Series A (Plan 4)'!$J$10:$J$114</definedName>
    <definedName name="XDO_?REMARKS?572?">'SFMP- Series 9'!$J$18:$J$31</definedName>
    <definedName name="XDO_?REMARKS?573?">'SFMP- Series 9'!$J$18:$J$47</definedName>
    <definedName name="XDO_?REMARKS?574?">'SFMP- Series 9'!$J$18:$J$64</definedName>
    <definedName name="XDO_?REMARKS?575?">'SFMP- Series 9'!$J$18:$J$69</definedName>
    <definedName name="XDO_?REMARKS?576?">'SFMP- Series 10'!$J$18:$J$31</definedName>
    <definedName name="XDO_?REMARKS?577?">'SFMP- Series 10'!$J$18:$J$46</definedName>
    <definedName name="XDO_?REMARKS?578?">'SFMP- Series 10'!$J$18:$J$50</definedName>
    <definedName name="XDO_?REMARKS?579?">'SFMP- Series 10'!$J$18:$J$65</definedName>
    <definedName name="XDO_?REMARKS?58?">'[1]MBF-94'!$J$10:$J$61</definedName>
    <definedName name="XDO_?REMARKS?580?">'SFMP- Series 10'!$J$18:$J$70</definedName>
    <definedName name="XDO_?REMARKS?581?">'SFMP- Series 11'!$J$18:$J$36</definedName>
    <definedName name="XDO_?REMARKS?582?">'SFMP- Series 11'!$J$18:$J$52</definedName>
    <definedName name="XDO_?REMARKS?583?">'SFMP- Series 11'!$J$18:$J$56</definedName>
    <definedName name="XDO_?REMARKS?584?">'SFMP- Series 11'!$J$18:$J$71</definedName>
    <definedName name="XDO_?REMARKS?585?">'SFMP- Series 11'!$J$18:$J$76</definedName>
    <definedName name="XDO_?REMARKS?586?">'SFMP- Series 12'!$J$18:$J$31</definedName>
    <definedName name="XDO_?REMARKS?587?">'SFMP- Series 12'!$J$18:$J$46</definedName>
    <definedName name="XDO_?REMARKS?588?">'SFMP- Series 12'!$J$18:$J$50</definedName>
    <definedName name="XDO_?REMARKS?589?">'SFMP- Series 12'!$J$18:$J$65</definedName>
    <definedName name="XDO_?REMARKS?59?">'[1]MELS-95'!$J$48</definedName>
    <definedName name="XDO_?REMARKS?590?">'SFMP- Series 12'!$J$18:$J$70</definedName>
    <definedName name="XDO_?REMARKS?591?">'SFMP- Series 13'!$J$18:$J$31</definedName>
    <definedName name="XDO_?REMARKS?592?">'SFMP- Series 13'!$J$18:$J$47</definedName>
    <definedName name="XDO_?REMARKS?593?">'SFMP- Series 13'!$J$18:$J$64</definedName>
    <definedName name="XDO_?REMARKS?594?">'SFMP- Series 13'!$J$18:$J$69</definedName>
    <definedName name="XDO_?REMARKS?595?">'SFMP- Series 14'!$J$18:$J$31</definedName>
    <definedName name="XDO_?REMARKS?596?">'SFMP- Series 14'!$J$18:$J$46</definedName>
    <definedName name="XDO_?REMARKS?597?">'SFMP- Series 14'!$J$18:$J$50</definedName>
    <definedName name="XDO_?REMARKS?598?">'SFMP- Series 14'!$J$18:$J$65</definedName>
    <definedName name="XDO_?REMARKS?599?">'SFMP- Series 14'!$J$18:$J$70</definedName>
    <definedName name="XDO_?REMARKS?6?">'[1]MMIS-89'!$J$10:$J$49</definedName>
    <definedName name="XDO_?REMARKS?60?">'[1]MELS-95'!$J$48:$J$53</definedName>
    <definedName name="XDO_?REMARKS?600?">'SFMP- Series 15'!$J$18:$J$29</definedName>
    <definedName name="XDO_?REMARKS?601?">'SFMP- Series 15'!$J$18:$J$44</definedName>
    <definedName name="XDO_?REMARKS?602?">'SFMP- Series 15'!$J$18:$J$48</definedName>
    <definedName name="XDO_?REMARKS?603?">'SFMP- Series 15'!$J$18:$J$63</definedName>
    <definedName name="XDO_?REMARKS?604?">'SFMP- Series 15'!$J$18:$J$68</definedName>
    <definedName name="XDO_?REMARKS?605?">'SFMP- Series 16'!$J$18:$J$34</definedName>
    <definedName name="XDO_?REMARKS?606?">'SFMP- Series 16'!$J$18:$J$49</definedName>
    <definedName name="XDO_?REMARKS?607?">'SFMP- Series 16'!$J$18:$J$66</definedName>
    <definedName name="XDO_?REMARKS?608?">'SFMP- Series 16'!$J$18:$J$71</definedName>
    <definedName name="XDO_?REMARKS?609?">'SFMP- Series 17'!$J$18:$J$30</definedName>
    <definedName name="XDO_?REMARKS?61?">SEHF!$J$10:$J$51</definedName>
    <definedName name="XDO_?REMARKS?610?">'SFMP- Series 17'!$J$18:$J$45</definedName>
    <definedName name="XDO_?REMARKS?611?">'SFMP- Series 17'!$J$18:$J$62</definedName>
    <definedName name="XDO_?REMARKS?612?">'SFMP- Series 17'!$J$18:$J$67</definedName>
    <definedName name="XDO_?REMARKS?613?">'SCPOF-Series A (Plan 5)'!$J$10:$J$59</definedName>
    <definedName name="XDO_?REMARKS?614?">'SCPOF-Series A (Plan 5)'!$J$10:$J$79</definedName>
    <definedName name="XDO_?REMARKS?615?">'SCPOF-Series A (Plan 5)'!$J$10:$J$89</definedName>
    <definedName name="XDO_?REMARKS?616?">'SCPOF-Series A (Plan 5)'!$J$10:$J$112</definedName>
    <definedName name="XDO_?REMARKS?617?">'SCPOF-Series A (Plan 5)'!$J$10:$J$117</definedName>
    <definedName name="XDO_?REMARKS?618?">'SFMP- Series 18'!$J$18:$J$30</definedName>
    <definedName name="XDO_?REMARKS?619?">'SFMP- Series 18'!$J$18:$J$45</definedName>
    <definedName name="XDO_?REMARKS?62?">SEHF!$J$10:$J$56</definedName>
    <definedName name="XDO_?REMARKS?620?">'SFMP- Series 18'!$J$18:$J$62</definedName>
    <definedName name="XDO_?REMARKS?621?">'SFMP- Series 18'!$J$18:$J$67</definedName>
    <definedName name="XDO_?REMARKS?622?">'SCPOF-Series A (Plan 6)'!$J$10:$J$59</definedName>
    <definedName name="XDO_?REMARKS?623?">'SCPOF-Series A (Plan 6)'!$J$10:$J$78</definedName>
    <definedName name="XDO_?REMARKS?624?">'SCPOF-Series A (Plan 6)'!$J$10:$J$95</definedName>
    <definedName name="XDO_?REMARKS?625?">'SCPOF-Series A (Plan 6)'!$J$10:$J$110</definedName>
    <definedName name="XDO_?REMARKS?626?">'SCPOF-Series A (Plan 6)'!$J$10:$J$115</definedName>
    <definedName name="XDO_?REMARKS?627?">'SFMP- Series 19'!$J$18:$J$32</definedName>
    <definedName name="XDO_?REMARKS?628?">'SFMP- Series 19'!$J$18:$J$63</definedName>
    <definedName name="XDO_?REMARKS?629?">'SFMP- Series 19'!$J$18:$J$68</definedName>
    <definedName name="XDO_?REMARKS?63?">SEHF!$J$10:$J$99</definedName>
    <definedName name="XDO_?REMARKS?630?">'SFMP- Series 20'!$J$18:$J$31</definedName>
    <definedName name="XDO_?REMARKS?631?">'SFMP- Series 20'!$J$18:$J$62</definedName>
    <definedName name="XDO_?REMARKS?632?">'SFMP- Series 20'!$J$18:$J$67</definedName>
    <definedName name="XDO_?REMARKS?633?">'SFMP- Series 21'!$J$18:$J$30</definedName>
    <definedName name="XDO_?REMARKS?634?">'SFMP- Series 21'!$J$18:$J$61</definedName>
    <definedName name="XDO_?REMARKS?635?">'SFMP- Series 21'!$J$18:$J$66</definedName>
    <definedName name="XDO_?REMARKS?636?">'SFMP- Series 22'!$J$18:$J$30</definedName>
    <definedName name="XDO_?REMARKS?637?">'SFMP- Series 22'!$J$18:$J$61</definedName>
    <definedName name="XDO_?REMARKS?638?">'SFMP- Series 22'!$J$18:$J$66</definedName>
    <definedName name="XDO_?REMARKS?639?">'SFMP- Series 23'!$J$18:$J$30</definedName>
    <definedName name="XDO_?REMARKS?64?">SEHF!$J$10:$J$112</definedName>
    <definedName name="XDO_?REMARKS?640?">'SFMP- Series 23'!$J$18:$J$61</definedName>
    <definedName name="XDO_?REMARKS?641?">'SFMP- Series 23'!$J$18:$J$66</definedName>
    <definedName name="XDO_?REMARKS?642?">'SFMP- Series 24'!$J$18:$J$30</definedName>
    <definedName name="XDO_?REMARKS?643?">'SFMP- Series 24'!$J$18:$J$61</definedName>
    <definedName name="XDO_?REMARKS?644?">'SFMP- Series 24'!$J$18:$J$66</definedName>
    <definedName name="XDO_?REMARKS?645?">'SFMP- Series 25'!$J$18:$J$29</definedName>
    <definedName name="XDO_?REMARKS?646?">'SFMP- Series 25'!$J$18:$J$60</definedName>
    <definedName name="XDO_?REMARKS?647?">'SFMP- Series 25'!$J$18:$J$65</definedName>
    <definedName name="XDO_?REMARKS?648?">'SFMP- Series 26'!$J$18:$J$30</definedName>
    <definedName name="XDO_?REMARKS?649?">'SFMP- Series 26'!$J$18:$J$61</definedName>
    <definedName name="XDO_?REMARKS?65?">SEHF!$J$10:$J$125</definedName>
    <definedName name="XDO_?REMARKS?650?">'SFMP- Series 26'!$J$18:$J$66</definedName>
    <definedName name="XDO_?REMARKS?651?">'SFMP- Series 27'!$J$18:$J$28</definedName>
    <definedName name="XDO_?REMARKS?652?">'SFMP- Series 27'!$J$18:$J$38</definedName>
    <definedName name="XDO_?REMARKS?653?">'SFMP- Series 27'!$J$18:$J$45</definedName>
    <definedName name="XDO_?REMARKS?654?">'SFMP- Series 27'!$J$18:$J$62</definedName>
    <definedName name="XDO_?REMARKS?655?">'SFMP- Series 27'!$J$18:$J$67</definedName>
    <definedName name="XDO_?REMARKS?656?">'SCPOF-Series A (Plan 7)'!$J$10:$J$59</definedName>
    <definedName name="XDO_?REMARKS?657?">'SCPOF-Series A (Plan 7)'!$J$10:$J$71</definedName>
    <definedName name="XDO_?REMARKS?658?">'SCPOF-Series A (Plan 7)'!$J$10:$J$82</definedName>
    <definedName name="XDO_?REMARKS?659?">'SCPOF-Series A (Plan 7)'!$J$10:$J$91</definedName>
    <definedName name="XDO_?REMARKS?66?">SEHF!$J$10:$J$148</definedName>
    <definedName name="XDO_?REMARKS?660?">'SCPOF-Series A (Plan 7)'!$J$10:$J$106</definedName>
    <definedName name="XDO_?REMARKS?661?">'SCPOF-Series A (Plan 7)'!$J$10:$J$111</definedName>
    <definedName name="XDO_?REMARKS?662?">'SFMP- Series 28'!$J$18:$J$27</definedName>
    <definedName name="XDO_?REMARKS?663?">'SFMP- Series 28'!$J$18:$J$39</definedName>
    <definedName name="XDO_?REMARKS?664?">'SFMP- Series 28'!$J$18:$J$62</definedName>
    <definedName name="XDO_?REMARKS?665?">'SFMP- Series 28'!$J$18:$J$67</definedName>
    <definedName name="XDO_?REMARKS?666?">'SCPOF-Series A (Plan 8)'!$J$10:$J$59</definedName>
    <definedName name="XDO_?REMARKS?667?">'SCPOF-Series A (Plan 8)'!$J$10:$J$71</definedName>
    <definedName name="XDO_?REMARKS?668?">'SCPOF-Series A (Plan 8)'!$J$10:$J$82</definedName>
    <definedName name="XDO_?REMARKS?669?">'SCPOF-Series A (Plan 8)'!$J$10:$J$105</definedName>
    <definedName name="XDO_?REMARKS?67?">SEHF!$J$10:$J$152</definedName>
    <definedName name="XDO_?REMARKS?670?">'SCPOF-Series A (Plan 8)'!$J$10:$J$110</definedName>
    <definedName name="XDO_?REMARKS?671?">'SFMP- Series 31'!$J$18:$J$25</definedName>
    <definedName name="XDO_?REMARKS?672?">'SFMP- Series 31'!$J$18:$J$39</definedName>
    <definedName name="XDO_?REMARKS?673?">'SFMP- Series 31'!$J$18:$J$62</definedName>
    <definedName name="XDO_?REMARKS?674?">'SFMP- Series 31'!$J$18:$J$67</definedName>
    <definedName name="XDO_?REMARKS?675?">'SFMP- Series 32'!$J$18:$J$26</definedName>
    <definedName name="XDO_?REMARKS?676?">'SFMP- Series 32'!$J$18:$J$37</definedName>
    <definedName name="XDO_?REMARKS?677?">'SFMP- Series 32'!$J$18:$J$60</definedName>
    <definedName name="XDO_?REMARKS?678?">'SFMP- Series 32'!$J$18:$J$65</definedName>
    <definedName name="XDO_?REMARKS?679?">'SFMP- Series 33'!$J$26</definedName>
    <definedName name="XDO_?REMARKS?68?">SEHF!$J$10:$J$157</definedName>
    <definedName name="XDO_?REMARKS?680?">'SFMP- Series 33'!$J$26:$J$49</definedName>
    <definedName name="XDO_?REMARKS?681?">'SFMP- Series 33'!$J$26:$J$54</definedName>
    <definedName name="XDO_?REMARKS?682?">'SFMP- Series 34'!$J$26</definedName>
    <definedName name="XDO_?REMARKS?683?">'SFMP- Series 34'!$J$26:$J$49</definedName>
    <definedName name="XDO_?REMARKS?684?">'SFMP- Series 34'!$J$26:$J$54</definedName>
    <definedName name="XDO_?REMARKS?685?">'SMCBF-Investment Plan'!$J$10:$J$13</definedName>
    <definedName name="XDO_?REMARKS?686?">'SMCBF-Investment Plan'!$J$10:$J$22</definedName>
    <definedName name="XDO_?REMARKS?687?">'SMCBF-Investment Plan'!$J$10:$J$30</definedName>
    <definedName name="XDO_?REMARKS?688?">'SMCBF-Investment Plan'!$J$10:$J$55</definedName>
    <definedName name="XDO_?REMARKS?689?">'SMCBF-Investment Plan'!$J$10:$J$60</definedName>
    <definedName name="XDO_?REMARKS?69?">'[1]MELS-96'!$J$48</definedName>
    <definedName name="XDO_?REMARKS?690?">SBIRIOS!$J$10:$J$55</definedName>
    <definedName name="XDO_?REMARKS?691?">SBIRIOS!$J$10:$J$94</definedName>
    <definedName name="XDO_?REMARKS?692?">SBIRIOS!$J$10:$J$99</definedName>
    <definedName name="XDO_?REMARKS?693?">#REF!</definedName>
    <definedName name="XDO_?REMARKS?694?">#REF!</definedName>
    <definedName name="XDO_?REMARKS?695?">#REF!</definedName>
    <definedName name="XDO_?REMARKS?696?">#REF!</definedName>
    <definedName name="XDO_?REMARKS?697?">#REF!</definedName>
    <definedName name="XDO_?REMARKS?698?">#REF!</definedName>
    <definedName name="XDO_?REMARKS?699?">#REF!</definedName>
    <definedName name="XDO_?REMARKS?7?">'[1]MMIS-89'!$J$10:$J$54</definedName>
    <definedName name="XDO_?REMARKS?70?">'[1]MELS-96'!$J$48:$J$53</definedName>
    <definedName name="XDO_?REMARKS?700?">#REF!</definedName>
    <definedName name="XDO_?REMARKS?71?">'[1]MMIS-97'!$J$48</definedName>
    <definedName name="XDO_?REMARKS?72?">'[1]MMIS-97'!$J$48:$J$53</definedName>
    <definedName name="XDO_?REMARKS?73?">'[1]MMIS-98 I'!$J$12</definedName>
    <definedName name="XDO_?REMARKS?74?">'[1]MMIS-98 I'!$J$12:$J$49</definedName>
    <definedName name="XDO_?REMARKS?75?">'[1]MMIS-98 I'!$J$12:$J$54</definedName>
    <definedName name="XDO_?REMARKS?76?">SMIF!$J$18:$J$30</definedName>
    <definedName name="XDO_?REMARKS?77?">SMIF!$J$18:$J$42</definedName>
    <definedName name="XDO_?REMARKS?78?">SMIF!$J$18:$J$67</definedName>
    <definedName name="XDO_?REMARKS?79?">SMIF!$J$18:$J$72</definedName>
    <definedName name="XDO_?REMARKS?8?">'[1]MTSS-90'!$J$48</definedName>
    <definedName name="XDO_?REMARKS?80?">'[1]MMIS-98 II'!$J$48</definedName>
    <definedName name="XDO_?REMARKS?81?">'[1]MMIS-98 II'!$J$48:$J$53</definedName>
    <definedName name="XDO_?REMARKS?82?">'[1]MGF-99'!$J$12</definedName>
    <definedName name="XDO_?REMARKS?83?">'[1]MGF-99'!$J$12:$J$53</definedName>
    <definedName name="XDO_?REMARKS?84?">SCOF!$J$10:$J$38</definedName>
    <definedName name="XDO_?REMARKS?85?">SCOF!$J$10:$J$77</definedName>
    <definedName name="XDO_?REMARKS?86?">SCOF!$J$10:$J$82</definedName>
    <definedName name="XDO_?REMARKS?87?">STOF!$J$10:$J$14</definedName>
    <definedName name="XDO_?REMARKS?88?">STOF!$J$10:$J$33</definedName>
    <definedName name="XDO_?REMARKS?89?">STOF!$J$10:$J$24</definedName>
    <definedName name="XDO_?REMARKS?9?">'[1]MTSS-90'!$J$48:$J$53</definedName>
    <definedName name="XDO_?REMARKS?90?">STOF!$J$10:$J$29</definedName>
    <definedName name="XDO_?REMARKS?91?">STOF!$J$10:$J$34</definedName>
    <definedName name="XDO_?REMARKS?92?">STOF!$J$10:$J$69</definedName>
    <definedName name="XDO_?REMARKS?93?">STOF!$J$10:$J$74</definedName>
    <definedName name="XDO_?REMARKS?94?">SHOF!$J$10:$J$31</definedName>
    <definedName name="XDO_?REMARKS?95?">SHOF!$J$10:$J$35</definedName>
    <definedName name="XDO_?REMARKS?96?">SHOF!$J$10:$J$72</definedName>
    <definedName name="XDO_?REMARKS?97?">SHOF!$J$10:$J$77</definedName>
    <definedName name="XDO_?REMARKS?98?">SCF!$J$10:$J$56</definedName>
    <definedName name="XDO_?REMARKS?99?">SCF!$J$10:$J$96</definedName>
    <definedName name="XDO_?TDATE?">'[1]MRIS-87'!$D$4</definedName>
    <definedName name="XDO_?TITL?">'[1]MRIS-87'!$A$38:$A$48</definedName>
    <definedName name="XDO_?TITL?1?">'[1]MTSS-88-89'!$A$38:$A$48</definedName>
    <definedName name="XDO_?TITL?10?">'[1]MEX-91'!$A$38:$A$48</definedName>
    <definedName name="XDO_?TITL?100?">'SDFS-C-26'!$A$16:$A$32</definedName>
    <definedName name="XDO_?TITL?101?">'SDFS-C-27'!$A$16:$A$29</definedName>
    <definedName name="XDO_?TITL?102?">'SDFS-C-28'!$A$16:$A$32</definedName>
    <definedName name="XDO_?TITL?103?">'SDFS-C-30'!$A$16:$A$32</definedName>
    <definedName name="XDO_?TITL?104?">'SETF-Quality'!$A$8:$A$39</definedName>
    <definedName name="XDO_?TITL?105?">'SDFS-C-32'!$A$16:$A$37</definedName>
    <definedName name="XDO_?TITL?106?">'SDFS-C-33'!$A$16:$A$38</definedName>
    <definedName name="XDO_?TITL?107?">'SDFS-C-34'!$A$16:$A$32</definedName>
    <definedName name="XDO_?TITL?108?">'SDFS-C-35'!$A$16:$A$33</definedName>
    <definedName name="XDO_?TITL?109?">'SDFS-C-38'!$A$16:$A$28</definedName>
    <definedName name="XDO_?TITL?11?">'[1]GIFTS B'!$A$8:$A$16</definedName>
    <definedName name="XDO_?TITL?110?">SCBF!$A$16:$A$133</definedName>
    <definedName name="XDO_?TITL?111?">'SDFS-C-40'!$A$16:$A$28</definedName>
    <definedName name="XDO_?TITL?112?">'SDFS-C-41'!$A$16:$A$32</definedName>
    <definedName name="XDO_?TITL?113?">'SDFS-C-43'!$A$16:$A$28</definedName>
    <definedName name="XDO_?TITL?114?">'SDFS-C-44'!$A$16:$A$28</definedName>
    <definedName name="XDO_?TITL?115?">'SCPOF-A1'!$A$8:$A$58</definedName>
    <definedName name="XDO_?TITL?116?">'SDFS-C-46'!$A$16:$A$25</definedName>
    <definedName name="XDO_?TITL?117?">SEMVF!$A$8:$A$121</definedName>
    <definedName name="XDO_?TITL?118?">'SDFS-C-48'!$A$16:$A$34</definedName>
    <definedName name="XDO_?TITL?119?">'SDFS-C-49'!$A$16:$A$27</definedName>
    <definedName name="XDO_?TITL?12?">'[1]GIFTS A'!$A$8:$A$12</definedName>
    <definedName name="XDO_?TITL?120?">'SCPOF-Series A (Plan 2)'!$A$8:$A$59</definedName>
    <definedName name="XDO_?TITL?121?">'SDFS-C-50'!$A$16:$A$26</definedName>
    <definedName name="XDO_?TITL?122?">'SFMP- Series 1'!$A$16:$A$31</definedName>
    <definedName name="XDO_?TITL?123?">'SFMP- Series 2'!$A$16:$A$29</definedName>
    <definedName name="XDO_?TITL?124?">'SFMP- Series 3'!$A$16:$A$29</definedName>
    <definedName name="XDO_?TITL?125?">'SCPOF-Series A (Plan 3)'!$A$8:$A$59</definedName>
    <definedName name="XDO_?TITL?126?">'SFMP- Series 6'!$A$16:$A$29</definedName>
    <definedName name="XDO_?TITL?127?">'SFMP- Series 7'!$A$16:$A$32</definedName>
    <definedName name="XDO_?TITL?128?">'SFMP- Series 8'!$A$16:$A$32</definedName>
    <definedName name="XDO_?TITL?129?">'SCPOF-Series A (Plan 4)'!$A$8:$A$59</definedName>
    <definedName name="XDO_?TITL?13?">SLMF!$A$8:$A$65</definedName>
    <definedName name="XDO_?TITL?130?">'SFMP- Series 9'!$A$16:$A$31</definedName>
    <definedName name="XDO_?TITL?131?">'SFMP- Series 10'!$A$16:$A$31</definedName>
    <definedName name="XDO_?TITL?132?">'SFMP- Series 11'!$A$16:$A$36</definedName>
    <definedName name="XDO_?TITL?133?">'SFMP- Series 12'!$A$16:$A$31</definedName>
    <definedName name="XDO_?TITL?134?">'SFMP- Series 13'!$A$16:$A$31</definedName>
    <definedName name="XDO_?TITL?135?">'SFMP- Series 14'!$A$16:$A$31</definedName>
    <definedName name="XDO_?TITL?136?">'SFMP- Series 15'!$A$16:$A$29</definedName>
    <definedName name="XDO_?TITL?137?">'SFMP- Series 16'!$A$16:$A$34</definedName>
    <definedName name="XDO_?TITL?138?">'SFMP- Series 17'!$A$16:$A$30</definedName>
    <definedName name="XDO_?TITL?139?">'SCPOF-Series A (Plan 5)'!$A$8:$A$59</definedName>
    <definedName name="XDO_?TITL?14?">SLTEF!$A$8:$A$65</definedName>
    <definedName name="XDO_?TITL?140?">'SFMP- Series 18'!$A$16:$A$30</definedName>
    <definedName name="XDO_?TITL?141?">'SCPOF-Series A (Plan 6)'!$A$8:$A$59</definedName>
    <definedName name="XDO_?TITL?142?">'SFMP- Series 19'!$A$16:$A$32</definedName>
    <definedName name="XDO_?TITL?143?">'SFMP- Series 20'!$A$16:$A$31</definedName>
    <definedName name="XDO_?TITL?144?">'SFMP- Series 21'!$A$16:$A$30</definedName>
    <definedName name="XDO_?TITL?145?">'SFMP- Series 22'!$A$16:$A$30</definedName>
    <definedName name="XDO_?TITL?146?">'SFMP- Series 23'!$A$16:$A$30</definedName>
    <definedName name="XDO_?TITL?147?">'SFMP- Series 24'!$A$16:$A$30</definedName>
    <definedName name="XDO_?TITL?148?">'SFMP- Series 25'!$A$16:$A$29</definedName>
    <definedName name="XDO_?TITL?149?">'SFMP- Series 26'!$A$16:$A$30</definedName>
    <definedName name="XDO_?TITL?15?">'[1]MRIS-93'!$A$8:$A$17</definedName>
    <definedName name="XDO_?TITL?150?">'SFMP- Series 27'!$A$16:$A$28</definedName>
    <definedName name="XDO_?TITL?151?">'SCPOF-Series A (Plan 7)'!$A$8:$A$59</definedName>
    <definedName name="XDO_?TITL?152?">'SFMP- Series 28'!$A$16:$A$27</definedName>
    <definedName name="XDO_?TITL?153?">'SCPOF-Series A (Plan 8)'!$A$8:$A$59</definedName>
    <definedName name="XDO_?TITL?154?">'SFMP- Series 31'!$A$16:$A$25</definedName>
    <definedName name="XDO_?TITL?155?">'SFMP- Series 32'!$A$16:$A$26</definedName>
    <definedName name="XDO_?TITL?156?">'SFMP- Series 33'!$A$16:$A$26</definedName>
    <definedName name="XDO_?TITL?157?">'SFMP- Series 34'!$A$16:$A$26</definedName>
    <definedName name="XDO_?TITL?158?">'SMCBF-Investment Plan'!$A$8:$A$13</definedName>
    <definedName name="XDO_?TITL?159?">SBIRIOS!$A$8:$A$55</definedName>
    <definedName name="XDO_?TITL?16?">'[1]MTP-94'!$A$8:$A$12</definedName>
    <definedName name="XDO_?TITL?160?">#REF!</definedName>
    <definedName name="XDO_?TITL?161?">#REF!</definedName>
    <definedName name="XDO_?TITL?162?">#REF!</definedName>
    <definedName name="XDO_?TITL?163?">#REF!</definedName>
    <definedName name="XDO_?TITL?17?">SMGLF!$A$8:$A$31</definedName>
    <definedName name="XDO_?TITL?18?">'[1]MBF-94'!$A$8:$A$10</definedName>
    <definedName name="XDO_?TITL?19?">'[1]MELS-95'!$A$38:$A$48</definedName>
    <definedName name="XDO_?TITL?2?">'[1]MRIS-89'!$A$38:$A$48</definedName>
    <definedName name="XDO_?TITL?20?">SEHF!$A$8:$A$51</definedName>
    <definedName name="XDO_?TITL?21?">'[1]MELS-96'!$A$38:$A$48</definedName>
    <definedName name="XDO_?TITL?22?">'[1]MMIS-97'!$A$38:$A$48</definedName>
    <definedName name="XDO_?TITL?23?">'[1]MMIS-98 I'!$A$8:$A$12</definedName>
    <definedName name="XDO_?TITL?24?">SMIF!$A$16:$A$30</definedName>
    <definedName name="XDO_?TITL?25?">'[1]MMIS-98 II'!$A$38:$A$48</definedName>
    <definedName name="XDO_?TITL?26?">'[1]MGF-99'!$A$8:$A$12</definedName>
    <definedName name="XDO_?TITL?27?">SCOF!$A$8:$A$38</definedName>
    <definedName name="XDO_?TITL?28?">STOF!$A$8:$A$14</definedName>
    <definedName name="XDO_?TITL?29?">SHOF!$A$8:$A$31</definedName>
    <definedName name="XDO_?TITL?3?">'[1]MMIS-89'!$A$8:$A$10</definedName>
    <definedName name="XDO_?TITL?30?">SCF!$A$8:$A$56</definedName>
    <definedName name="XDO_?TITL?31?">SNIF!$A$8:$A$121</definedName>
    <definedName name="XDO_?TITL?32?">SMCBF!$A$8:$A$36</definedName>
    <definedName name="XDO_?TITL?33?">SOF!$A$38:$A$49</definedName>
    <definedName name="XDO_?TITL?34?">SMMDF!$A$16:$A$53</definedName>
    <definedName name="XDO_?TITL?35?">SLF!$A$16:$A$29</definedName>
    <definedName name="XDO_?TITL?36?">SDBF!$A$16:$A$29</definedName>
    <definedName name="XDO_?TITL?37?">SSF!$A$16:$A$25</definedName>
    <definedName name="XDO_?TITL?38?">SCRF!$A$16:$A$61</definedName>
    <definedName name="XDO_?TITL?39?">SFEF!$A$8:$A$10</definedName>
    <definedName name="XDO_?TITL?4?">'[1]MTSS-90'!$A$38:$A$48</definedName>
    <definedName name="XDO_?TITL?40?">SDHF!$A$8:$A$34</definedName>
    <definedName name="XDO_?TITL?41?">SMUSD!$A$16:$A$39</definedName>
    <definedName name="XDO_?TITL?42?">SMIDCAP!$A$8:$A$59</definedName>
    <definedName name="XDO_?TITL?43?">SMCMF!$A$16:$A$28</definedName>
    <definedName name="XDO_?TITL?44?">SMCOMMA!$A$8:$A$35</definedName>
    <definedName name="XDO_?TITL?45?">SMGF!$A$16:$A$28</definedName>
    <definedName name="XDO_?TITL?46?">SMMULTI!$A$8:$A$55</definedName>
    <definedName name="XDO_?TITL?47?">SMAAF!$A$8:$A$59</definedName>
    <definedName name="XDO_?TITL?48?">SBLUECHIP!$A$8:$A$67</definedName>
    <definedName name="XDO_?TITL?49?">SAOF!$A$8:$A$73</definedName>
    <definedName name="XDO_?TITL?5?">'[1]MRIS-90'!$A$38:$A$48</definedName>
    <definedName name="XDO_?TITL?50?">SIF!$A$8:$A$37</definedName>
    <definedName name="XDO_?TITL?51?">SMLDF!$A$16:$A$62</definedName>
    <definedName name="XDO_?TITL?52?">SSTDF!$A$16:$A$101</definedName>
    <definedName name="XDO_?TITL?53?">'SETF-Gold'!$A$38:$A$42</definedName>
    <definedName name="XDO_?TITL?54?">SPSU!$A$8:$A$31</definedName>
    <definedName name="XDO_?TITL?55?">SGF!$A$38:$A$40</definedName>
    <definedName name="XDO_?TITL?56?">'STAF-II'!$A$8:$A$35</definedName>
    <definedName name="XDO_?TITL?57?">'SETF-SENSEX'!$A$8:$A$39</definedName>
    <definedName name="XDO_?TITL?58?">SSCF!$A$8:$A$62</definedName>
    <definedName name="XDO_?TITL?59?">SBPF!$A$16:$A$96</definedName>
    <definedName name="XDO_?TITL?6?">SMEEF!$A$8:$A$50</definedName>
    <definedName name="XDO_?TITL?60?">'STAF-III'!$A$8:$A$36</definedName>
    <definedName name="XDO_?TITL?61?">'SEOF-I'!$A$8:$A$45</definedName>
    <definedName name="XDO_?TITL?62?">'SLTAF-I'!$A$8:$A$37</definedName>
    <definedName name="XDO_?TITL?63?">'SLTAF-II'!$A$8:$A$39</definedName>
    <definedName name="XDO_?TITL?64?">SBFS!$A$8:$A$30</definedName>
    <definedName name="XDO_?TITL?65?">SDAAF!$A$8:$A$40</definedName>
    <definedName name="XDO_?TITL?66?">'SETF-NN50'!$A$8:$A$59</definedName>
    <definedName name="XDO_?TITL?67?">'SETF-NBank'!$A$8:$A$76</definedName>
    <definedName name="XDO_?TITL?68?">'SETF-BSE 100'!$A$8:$A$165</definedName>
    <definedName name="XDO_?TITL?69?">SESF!$A$8:$A$81</definedName>
    <definedName name="XDO_?TITL?7?">'[1]MELS-91'!$A$8:$A$12</definedName>
    <definedName name="XDO_?TITL?70?">'SETF-Nifty 50'!$A$8:$A$114</definedName>
    <definedName name="XDO_?TITL?71?">'SEOF-IV'!$A$8:$A$45</definedName>
    <definedName name="XDO_?TITL?72?">'SLTAF-III'!$A$8:$A$39</definedName>
    <definedName name="XDO_?TITL?73?">'SETF-10 Yr Gilt'!$A$16:$A$24</definedName>
    <definedName name="XDO_?TITL?74?">'SLTAF-IV'!$A$8:$A$38</definedName>
    <definedName name="XDO_?TITL?75?">'SDAFS-XXIV'!$A$16:$A$21</definedName>
    <definedName name="XDO_?TITL?76?">'SDAFS-XXV'!$A$8:$A$31</definedName>
    <definedName name="XDO_?TITL?77?">'SLTAF-V'!$A$8:$A$42</definedName>
    <definedName name="XDO_?TITL?78?">'SDFS-C-7'!$A$16:$A$28</definedName>
    <definedName name="XDO_?TITL?79?">'SDAFS-XXVI'!$A$8:$A$31</definedName>
    <definedName name="XDO_?TITL?8?">'[1]MMIS-91'!$A$8:$A$11</definedName>
    <definedName name="XDO_?TITL?80?">'SDFS-C-8'!$A$16:$A$28</definedName>
    <definedName name="XDO_?TITL?81?">'SDFS-C-9'!$A$16:$A$27</definedName>
    <definedName name="XDO_?TITL?82?">'SDFS-C-10'!$A$16:$A$29</definedName>
    <definedName name="XDO_?TITL?83?">'SDAFS-XXVII'!$A$8:$A$33</definedName>
    <definedName name="XDO_?TITL?84?">'SDFS-C-12'!$A$16:$A$26</definedName>
    <definedName name="XDO_?TITL?85?">'SDFS-C-14'!$A$16:$A$27</definedName>
    <definedName name="XDO_?TITL?86?">'SLTAF-VI'!$A$8:$A$35</definedName>
    <definedName name="XDO_?TITL?87?">'SDAFS-XXVIII'!$A$8:$A$34</definedName>
    <definedName name="XDO_?TITL?88?">'SDFS-C-16'!$A$16:$A$32</definedName>
    <definedName name="XDO_?TITL?89?">'SDFS-C-18'!$A$16:$A$36</definedName>
    <definedName name="XDO_?TITL?9?">[1]MTPL!$A$8:$A$10</definedName>
    <definedName name="XDO_?TITL?90?">'SDFS-C-19'!$A$16:$A$29</definedName>
    <definedName name="XDO_?TITL?91?">'SDAFS-XXIX'!$A$8:$A$34</definedName>
    <definedName name="XDO_?TITL?92?">'SDFS-C-20'!$A$16:$A$28</definedName>
    <definedName name="XDO_?TITL?93?">'SDFS-C-21'!$A$16:$A$29</definedName>
    <definedName name="XDO_?TITL?94?">'SDFS-C-22'!$A$16:$A$29</definedName>
    <definedName name="XDO_?TITL?95?">'SDFS-C-23'!$A$16:$A$34</definedName>
    <definedName name="XDO_?TITL?96?">'SETF-SN50'!$A$8:$A$114</definedName>
    <definedName name="XDO_?TITL?97?">'SDFS-C-24'!$A$16:$A$29</definedName>
    <definedName name="XDO_?TITL?98?">'SDFS-C-25'!$A$16:$A$34</definedName>
    <definedName name="XDO_?TITL?99?">'SDAFS-XXX'!$A$8:$A$34</definedName>
    <definedName name="XDO_?YTM?">'[1]MRIS-87'!$I$48:$I$53</definedName>
    <definedName name="XDO_?YTM?1?">'[1]MTSS-88-89'!$I$48</definedName>
    <definedName name="XDO_?YTM?10?">'[1]MRIS-90'!$I$48</definedName>
    <definedName name="XDO_?YTM?100?">SCF!$I$10:$I$100</definedName>
    <definedName name="XDO_?YTM?101?">SCF!$I$10:$I$105</definedName>
    <definedName name="XDO_?YTM?102?">SNIF!$I$10:$I$121</definedName>
    <definedName name="XDO_?YTM?103?">SNIF!$I$10:$I$96</definedName>
    <definedName name="XDO_?YTM?104?">SNIF!$I$10:$I$100</definedName>
    <definedName name="XDO_?YTM?105?">SNIF!$I$10:$I$105</definedName>
    <definedName name="XDO_?YTM?106?">SMCBF!$I$10:$I$36</definedName>
    <definedName name="XDO_?YTM?107?">SMCBF!$I$10:$I$39</definedName>
    <definedName name="XDO_?YTM?108?">SMCBF!$I$10:$I$52</definedName>
    <definedName name="XDO_?YTM?109?">SMCBF!$I$10:$I$60</definedName>
    <definedName name="XDO_?YTM?11?">'[1]MRIS-90'!$I$48:$I$53</definedName>
    <definedName name="XDO_?YTM?110?">SMCBF!$I$10:$I$64</definedName>
    <definedName name="XDO_?YTM?111?">SMCBF!$I$10:$I$87</definedName>
    <definedName name="XDO_?YTM?112?">SMCBF!$I$10:$I$92</definedName>
    <definedName name="XDO_?YTM?113?">SOF!$I$48:$I$49</definedName>
    <definedName name="XDO_?YTM?114?">SOF!$I$48:$I$54</definedName>
    <definedName name="XDO_?YTM?115?">SMMDF!$I$18:$I$53</definedName>
    <definedName name="XDO_?YTM?116?">SMMDF!$I$18:$I$67</definedName>
    <definedName name="XDO_?YTM?117?">SMMDF!$I$18:$I$80</definedName>
    <definedName name="XDO_?YTM?118?">SMMDF!$I$18:$I$84</definedName>
    <definedName name="XDO_?YTM?119?">SMMDF!$I$18:$I$107</definedName>
    <definedName name="XDO_?YTM?12?">SMEEF!$I$10:$I$50</definedName>
    <definedName name="XDO_?YTM?120?">SMMDF!$I$18:$I$112</definedName>
    <definedName name="XDO_?YTM?121?">SLF!$I$26:$I$29</definedName>
    <definedName name="XDO_?YTM?122?">SLF!$I$26:$I$58</definedName>
    <definedName name="XDO_?YTM?123?">SLF!$I$26:$I$77</definedName>
    <definedName name="XDO_?YTM?124?">SLF!$I$26:$I$92</definedName>
    <definedName name="XDO_?YTM?125?">SLF!$I$26:$I$97</definedName>
    <definedName name="XDO_?YTM?126?">SDBF!$I$24:$I$29</definedName>
    <definedName name="XDO_?YTM?127?">SDBF!$I$24:$I$54</definedName>
    <definedName name="XDO_?YTM?128?">SDBF!$I$24:$I$59</definedName>
    <definedName name="XDO_?YTM?129?">SSF!$I$24:$I$25</definedName>
    <definedName name="XDO_?YTM?13?">SMEEF!$I$10:$I$55</definedName>
    <definedName name="XDO_?YTM?130?">SSF!$I$24:$I$80</definedName>
    <definedName name="XDO_?YTM?131?">SSF!$I$24:$I$102</definedName>
    <definedName name="XDO_?YTM?132?">SSF!$I$24:$I$113</definedName>
    <definedName name="XDO_?YTM?133?">SSF!$I$24:$I$128</definedName>
    <definedName name="XDO_?YTM?134?">SSF!$I$24:$I$133</definedName>
    <definedName name="XDO_?YTM?135?">SCRF!$I$18:$I$61</definedName>
    <definedName name="XDO_?YTM?136?">SCRF!$I$18:$I$75</definedName>
    <definedName name="XDO_?YTM?137?">SCRF!$I$18:$I$85</definedName>
    <definedName name="XDO_?YTM?138?">SCRF!$I$18:$I$110</definedName>
    <definedName name="XDO_?YTM?139?">SCRF!$I$18:$I$115</definedName>
    <definedName name="XDO_?YTM?14?">SMEEF!$I$10:$I$84</definedName>
    <definedName name="XDO_?YTM?140?">SFEF!$I$10</definedName>
    <definedName name="XDO_?YTM?141?">SFEF!$I$10:$I$41</definedName>
    <definedName name="XDO_?YTM?142?">SFEF!$I$10:$I$35</definedName>
    <definedName name="XDO_?YTM?143?">SFEF!$I$10:$I$42</definedName>
    <definedName name="XDO_?YTM?144?">SFEF!$I$10:$I$75</definedName>
    <definedName name="XDO_?YTM?145?">SFEF!$I$10:$I$79</definedName>
    <definedName name="XDO_?YTM?146?">SFEF!$I$10:$I$84</definedName>
    <definedName name="XDO_?YTM?147?">SDHF!$I$10:$I$34</definedName>
    <definedName name="XDO_?YTM?148?">SDHF!$I$10:$I$54</definedName>
    <definedName name="XDO_?YTM?149?">SDHF!$I$10:$I$68</definedName>
    <definedName name="XDO_?YTM?15?">SMEEF!$I$10:$I$92</definedName>
    <definedName name="XDO_?YTM?150?">SDHF!$I$10:$I$77</definedName>
    <definedName name="XDO_?YTM?151?">SDHF!$I$10:$I$102</definedName>
    <definedName name="XDO_?YTM?152?">SDHF!$I$10:$I$107</definedName>
    <definedName name="XDO_?YTM?153?">SMUSD!$I$18:$I$39</definedName>
    <definedName name="XDO_?YTM?154?">SMUSD!$I$18:$I$50</definedName>
    <definedName name="XDO_?YTM?155?">SMUSD!$I$18:$I$56</definedName>
    <definedName name="XDO_?YTM?156?">SMUSD!$I$18:$I$70</definedName>
    <definedName name="XDO_?YTM?157?">SMUSD!$I$18:$I$86</definedName>
    <definedName name="XDO_?YTM?158?">SMUSD!$I$18:$I$94</definedName>
    <definedName name="XDO_?YTM?159?">SMUSD!$I$18:$I$109</definedName>
    <definedName name="XDO_?YTM?16?">SMEEF!$I$10:$I$96</definedName>
    <definedName name="XDO_?YTM?160?">SMUSD!$I$18:$I$114</definedName>
    <definedName name="XDO_?YTM?161?">SMIDCAP!$I$10:$I$59</definedName>
    <definedName name="XDO_?YTM?162?">SMIDCAP!$I$10:$I$62</definedName>
    <definedName name="XDO_?YTM?163?">SMIDCAP!$I$10:$I$98</definedName>
    <definedName name="XDO_?YTM?164?">SMIDCAP!$I$10:$I$103</definedName>
    <definedName name="XDO_?YTM?165?">SMCMF!$I$24:$I$28</definedName>
    <definedName name="XDO_?YTM?166?">SMCMF!$I$24:$I$53</definedName>
    <definedName name="XDO_?YTM?167?">SMCMF!$I$24:$I$58</definedName>
    <definedName name="XDO_?YTM?168?">SMCOMMA!$I$10:$I$35</definedName>
    <definedName name="XDO_?YTM?169?">SMCOMMA!$I$10:$I$74</definedName>
    <definedName name="XDO_?YTM?17?">SMEEF!$I$10:$I$101</definedName>
    <definedName name="XDO_?YTM?170?">SMCOMMA!$I$10:$I$79</definedName>
    <definedName name="XDO_?YTM?171?">SMGF!$I$24:$I$28</definedName>
    <definedName name="XDO_?YTM?172?">SMGF!$I$24:$I$53</definedName>
    <definedName name="XDO_?YTM?173?">SMGF!$I$24:$I$58</definedName>
    <definedName name="XDO_?YTM?174?">SMMULTI!$I$10:$I$55</definedName>
    <definedName name="XDO_?YTM?175?">SMMULTI!$I$10:$I$58</definedName>
    <definedName name="XDO_?YTM?176?">SMMULTI!$I$10:$I$94</definedName>
    <definedName name="XDO_?YTM?177?">SMMULTI!$I$10:$I$99</definedName>
    <definedName name="XDO_?YTM?178?">SMAAF!$I$10:$I$59</definedName>
    <definedName name="XDO_?YTM?179?">SMAAF!$I$10:$I$76</definedName>
    <definedName name="XDO_?YTM?18?">'[1]MELS-91'!$I$12</definedName>
    <definedName name="XDO_?YTM?180?">SMAAF!$I$10:$I$93</definedName>
    <definedName name="XDO_?YTM?181?">SMAAF!$I$10:$I$103</definedName>
    <definedName name="XDO_?YTM?182?">SMAAF!$I$10:$I$108</definedName>
    <definedName name="XDO_?YTM?183?">SBLUECHIP!$I$10:$I$67</definedName>
    <definedName name="XDO_?YTM?184?">SBLUECHIP!$I$10:$I$106</definedName>
    <definedName name="XDO_?YTM?185?">SBLUECHIP!$I$10:$I$111</definedName>
    <definedName name="XDO_?YTM?186?">SAOF!$I$10:$I$73</definedName>
    <definedName name="XDO_?YTM?187?">SAOF!$I$10:$I$88</definedName>
    <definedName name="XDO_?YTM?188?">SAOF!$I$10:$I$95</definedName>
    <definedName name="XDO_?YTM?189?">SAOF!$I$10:$I$126</definedName>
    <definedName name="XDO_?YTM?19?">'[1]MELS-91'!$I$12:$I$49</definedName>
    <definedName name="XDO_?YTM?190?">SAOF!$I$10:$I$130</definedName>
    <definedName name="XDO_?YTM?191?">SAOF!$I$10:$I$135</definedName>
    <definedName name="XDO_?YTM?192?">SIF!$I$10:$I$37</definedName>
    <definedName name="XDO_?YTM?193?">SIF!$I$10:$I$76</definedName>
    <definedName name="XDO_?YTM?194?">SIF!$I$10:$I$81</definedName>
    <definedName name="XDO_?YTM?195?">SMLDF!$I$18:$I$62</definedName>
    <definedName name="XDO_?YTM?196?">SMLDF!$I$18:$I$67</definedName>
    <definedName name="XDO_?YTM?197?">SMLDF!$I$18:$I$77</definedName>
    <definedName name="XDO_?YTM?198?">SMLDF!$I$18:$I$83</definedName>
    <definedName name="XDO_?YTM?199?">SMLDF!$I$18:$I$92</definedName>
    <definedName name="XDO_?YTM?2?">'[1]MTSS-88-89'!$I$48:$I$53</definedName>
    <definedName name="XDO_?YTM?20?">'[1]MELS-91'!$I$12:$I$54</definedName>
    <definedName name="XDO_?YTM?200?">SMLDF!$I$18:$I$106</definedName>
    <definedName name="XDO_?YTM?201?">SMLDF!$I$18:$I$112</definedName>
    <definedName name="XDO_?YTM?202?">SMLDF!$I$18:$I$118</definedName>
    <definedName name="XDO_?YTM?203?">SMLDF!$I$18:$I$133</definedName>
    <definedName name="XDO_?YTM?204?">SMLDF!$I$18:$I$138</definedName>
    <definedName name="XDO_?YTM?205?">SSTDF!$I$18:$I$101</definedName>
    <definedName name="XDO_?YTM?206?">SSTDF!$I$18:$I$105</definedName>
    <definedName name="XDO_?YTM?207?">SSTDF!$I$18:$I$113</definedName>
    <definedName name="XDO_?YTM?208?">SSTDF!$I$18:$I$123</definedName>
    <definedName name="XDO_?YTM?209?">SSTDF!$I$18:$I$136</definedName>
    <definedName name="XDO_?YTM?21?">'[1]MMIS-91'!$I$10:$I$11</definedName>
    <definedName name="XDO_?YTM?210?">SSTDF!$I$18:$I$145</definedName>
    <definedName name="XDO_?YTM?211?">SSTDF!$I$18:$I$160</definedName>
    <definedName name="XDO_?YTM?212?">SSTDF!$I$18:$I$165</definedName>
    <definedName name="XDO_?YTM?213?">'SETF-Gold'!$I$42</definedName>
    <definedName name="XDO_?YTM?214?">'SETF-Gold'!$I$42:$I$50</definedName>
    <definedName name="XDO_?YTM?215?">'SETF-Gold'!$I$42:$I$55</definedName>
    <definedName name="XDO_?YTM?216?">SPSU!$I$10:$I$31</definedName>
    <definedName name="XDO_?YTM?217?">SPSU!$I$10:$I$70</definedName>
    <definedName name="XDO_?YTM?218?">SPSU!$I$10:$I$75</definedName>
    <definedName name="XDO_?YTM?219?">SGF!$I$40</definedName>
    <definedName name="XDO_?YTM?22?">'[1]MMIS-91'!$I$10:$I$25</definedName>
    <definedName name="XDO_?YTM?220?">SGF!$I$40:$I$50</definedName>
    <definedName name="XDO_?YTM?221?">SGF!$I$40:$I$55</definedName>
    <definedName name="XDO_?YTM?222?">'STAF-II'!$I$10:$I$35</definedName>
    <definedName name="XDO_?YTM?223?">'STAF-II'!$I$10:$I$39</definedName>
    <definedName name="XDO_?YTM?224?">'STAF-II'!$I$10:$I$76</definedName>
    <definedName name="XDO_?YTM?225?">'STAF-II'!$I$10:$I$81</definedName>
    <definedName name="XDO_?YTM?226?">'SETF-SENSEX'!$I$10:$I$39</definedName>
    <definedName name="XDO_?YTM?227?">'SETF-SENSEX'!$I$10:$I$78</definedName>
    <definedName name="XDO_?YTM?228?">'SETF-SENSEX'!$I$10:$I$83</definedName>
    <definedName name="XDO_?YTM?229?">SSCF!$I$10:$I$62</definedName>
    <definedName name="XDO_?YTM?23?">'[1]MMIS-91'!$I$10:$I$62</definedName>
    <definedName name="XDO_?YTM?230?">SSCF!$I$10:$I$61</definedName>
    <definedName name="XDO_?YTM?231?">SSCF!$I$10:$I$99</definedName>
    <definedName name="XDO_?YTM?232?">SSCF!$I$10:$I$104</definedName>
    <definedName name="XDO_?YTM?233?">SBPF!$I$18:$I$96</definedName>
    <definedName name="XDO_?YTM?234?">SBPF!$I$18:$I$101</definedName>
    <definedName name="XDO_?YTM?235?">SBPF!$I$18:$I$111</definedName>
    <definedName name="XDO_?YTM?236?">SBPF!$I$18:$I$117</definedName>
    <definedName name="XDO_?YTM?237?">SBPF!$I$18:$I$140</definedName>
    <definedName name="XDO_?YTM?238?">SBPF!$I$18:$I$145</definedName>
    <definedName name="XDO_?YTM?239?">'STAF-III'!$I$10:$I$36</definedName>
    <definedName name="XDO_?YTM?24?">'[1]MMIS-91'!$I$10:$I$67</definedName>
    <definedName name="XDO_?YTM?240?">'STAF-III'!$I$10:$I$75</definedName>
    <definedName name="XDO_?YTM?241?">'STAF-III'!$I$10:$I$80</definedName>
    <definedName name="XDO_?YTM?242?">'SEOF-I'!$I$10:$I$45</definedName>
    <definedName name="XDO_?YTM?243?">'SEOF-I'!$I$10:$I$84</definedName>
    <definedName name="XDO_?YTM?244?">'SEOF-I'!$I$10:$I$89</definedName>
    <definedName name="XDO_?YTM?245?">'SLTAF-I'!$I$10:$I$37</definedName>
    <definedName name="XDO_?YTM?246?">'SLTAF-I'!$I$10:$I$76</definedName>
    <definedName name="XDO_?YTM?247?">'SLTAF-I'!$I$10:$I$81</definedName>
    <definedName name="XDO_?YTM?248?">'SLTAF-II'!$I$10:$I$39</definedName>
    <definedName name="XDO_?YTM?249?">'SLTAF-II'!$I$10:$I$78</definedName>
    <definedName name="XDO_?YTM?25?">[1]MTPL!$I$10</definedName>
    <definedName name="XDO_?YTM?250?">'SLTAF-II'!$I$10:$I$83</definedName>
    <definedName name="XDO_?YTM?251?">SBFS!$I$10:$I$30</definedName>
    <definedName name="XDO_?YTM?252?">SBFS!$I$10:$I$33</definedName>
    <definedName name="XDO_?YTM?253?">SBFS!$I$10:$I$69</definedName>
    <definedName name="XDO_?YTM?254?">SBFS!$I$10:$I$74</definedName>
    <definedName name="XDO_?YTM?255?">SDAAF!$I$10:$I$40</definedName>
    <definedName name="XDO_?YTM?256?">SDAAF!$I$10:$I$77</definedName>
    <definedName name="XDO_?YTM?257?">SDAAF!$I$10:$I$81</definedName>
    <definedName name="XDO_?YTM?258?">SDAAF!$I$10:$I$86</definedName>
    <definedName name="XDO_?YTM?259?">'SETF-NN50'!$I$10:$I$59</definedName>
    <definedName name="XDO_?YTM?26?">[1]MTPL!$I$10:$I$49</definedName>
    <definedName name="XDO_?YTM?260?">'SETF-NN50'!$I$10:$I$98</definedName>
    <definedName name="XDO_?YTM?261?">'SETF-NN50'!$I$10:$I$103</definedName>
    <definedName name="XDO_?YTM?262?">'SETF-NBank'!$I$10:$I$76</definedName>
    <definedName name="XDO_?YTM?263?">'SETF-NBank'!$I$10:$I$60</definedName>
    <definedName name="XDO_?YTM?264?">'SETF-NBank'!$I$10:$I$65</definedName>
    <definedName name="XDO_?YTM?265?">'SETF-BSE 100'!$I$10:$I$165</definedName>
    <definedName name="XDO_?YTM?266?">'SETF-BSE 100'!$I$10:$I$149</definedName>
    <definedName name="XDO_?YTM?267?">'SETF-BSE 100'!$I$10:$I$154</definedName>
    <definedName name="XDO_?YTM?268?">SESF!$I$10:$I$81</definedName>
    <definedName name="XDO_?YTM?269?">SESF!$I$10:$I$84</definedName>
    <definedName name="XDO_?YTM?27?">[1]MTPL!$I$10:$I$54</definedName>
    <definedName name="XDO_?YTM?270?">SESF!$I$10:$I$94</definedName>
    <definedName name="XDO_?YTM?271?">SESF!$I$10:$I$98</definedName>
    <definedName name="XDO_?YTM?272?">SESF!$I$10:$I$106</definedName>
    <definedName name="XDO_?YTM?273?">SESF!$I$10:$I$130</definedName>
    <definedName name="XDO_?YTM?274?">SESF!$I$10:$I$134</definedName>
    <definedName name="XDO_?YTM?275?">SESF!$I$10:$I$139</definedName>
    <definedName name="XDO_?YTM?276?">'SETF-Nifty 50'!$I$10:$I$114</definedName>
    <definedName name="XDO_?YTM?277?">'SETF-Nifty 50'!$I$10:$I$98</definedName>
    <definedName name="XDO_?YTM?278?">'SETF-Nifty 50'!$I$10:$I$103</definedName>
    <definedName name="XDO_?YTM?279?">'SEOF-IV'!$I$10:$I$45</definedName>
    <definedName name="XDO_?YTM?28?">'[1]MEX-91'!$I$48</definedName>
    <definedName name="XDO_?YTM?280?">'SEOF-IV'!$I$10:$I$84</definedName>
    <definedName name="XDO_?YTM?281?">'SEOF-IV'!$I$10:$I$89</definedName>
    <definedName name="XDO_?YTM?282?">'SLTAF-III'!$I$10:$I$39</definedName>
    <definedName name="XDO_?YTM?283?">'SLTAF-III'!$I$10:$I$78</definedName>
    <definedName name="XDO_?YTM?284?">'SLTAF-III'!$I$10:$I$83</definedName>
    <definedName name="XDO_?YTM?285?">'SETF-10 Yr Gilt'!$I$24</definedName>
    <definedName name="XDO_?YTM?286?">'SETF-10 Yr Gilt'!$I$24:$I$49</definedName>
    <definedName name="XDO_?YTM?287?">'SETF-10 Yr Gilt'!$I$24:$I$54</definedName>
    <definedName name="XDO_?YTM?288?">'SLTAF-IV'!$I$10:$I$38</definedName>
    <definedName name="XDO_?YTM?289?">'SLTAF-IV'!$I$10:$I$42</definedName>
    <definedName name="XDO_?YTM?29?">'[1]MEX-91'!$I$48:$I$53</definedName>
    <definedName name="XDO_?YTM?290?">'SLTAF-IV'!$I$10:$I$79</definedName>
    <definedName name="XDO_?YTM?291?">'SLTAF-IV'!$I$10:$I$84</definedName>
    <definedName name="XDO_?YTM?292?">'SDAFS-XXIV'!$I$18:$I$21</definedName>
    <definedName name="XDO_?YTM?293?">'SDAFS-XXIV'!$I$18:$I$32</definedName>
    <definedName name="XDO_?YTM?294?">'SDAFS-XXIV'!$I$18:$I$41</definedName>
    <definedName name="XDO_?YTM?295?">'SDAFS-XXIV'!$I$18:$I$57</definedName>
    <definedName name="XDO_?YTM?296?">'SDAFS-XXIV'!$I$18:$I$62</definedName>
    <definedName name="XDO_?YTM?297?">'SDAFS-XXV'!$I$10:$I$31</definedName>
    <definedName name="XDO_?YTM?298?">'SDAFS-XXV'!$I$10:$I$52</definedName>
    <definedName name="XDO_?YTM?299?">'SDAFS-XXV'!$I$10:$I$66</definedName>
    <definedName name="XDO_?YTM?3?">'[1]MRIS-89'!$I$48</definedName>
    <definedName name="XDO_?YTM?30?">'[1]GIFTS B'!$I$12:$I$16</definedName>
    <definedName name="XDO_?YTM?300?">'SDAFS-XXV'!$I$10:$I$74</definedName>
    <definedName name="XDO_?YTM?301?">'SDAFS-XXV'!$I$10:$I$78</definedName>
    <definedName name="XDO_?YTM?302?">'SDAFS-XXV'!$I$10:$I$93</definedName>
    <definedName name="XDO_?YTM?303?">'SDAFS-XXV'!$I$10:$I$98</definedName>
    <definedName name="XDO_?YTM?304?">'SLTAF-V'!$I$10:$I$42</definedName>
    <definedName name="XDO_?YTM?305?">'SLTAF-V'!$I$10:$I$81</definedName>
    <definedName name="XDO_?YTM?306?">'SLTAF-V'!$I$10:$I$86</definedName>
    <definedName name="XDO_?YTM?307?">'SDFS-C-7'!$I$18:$I$28</definedName>
    <definedName name="XDO_?YTM?308?">'SDFS-C-7'!$I$18:$I$38</definedName>
    <definedName name="XDO_?YTM?309?">'SDFS-C-7'!$I$18:$I$47</definedName>
    <definedName name="XDO_?YTM?31?">'[1]GIFTS B'!$I$12:$I$53</definedName>
    <definedName name="XDO_?YTM?310?">'SDFS-C-7'!$I$18:$I$64</definedName>
    <definedName name="XDO_?YTM?311?">'SDFS-C-7'!$I$18:$I$69</definedName>
    <definedName name="XDO_?YTM?312?">'SDAFS-XXVI'!$I$10:$I$31</definedName>
    <definedName name="XDO_?YTM?313?">'SDAFS-XXVI'!$I$10:$I$50</definedName>
    <definedName name="XDO_?YTM?314?">'SDAFS-XXVI'!$I$10:$I$54</definedName>
    <definedName name="XDO_?YTM?315?">'SDAFS-XXVI'!$I$10:$I$60</definedName>
    <definedName name="XDO_?YTM?316?">'SDAFS-XXVI'!$I$10:$I$66</definedName>
    <definedName name="XDO_?YTM?317?">'SDAFS-XXVI'!$I$10:$I$75</definedName>
    <definedName name="XDO_?YTM?318?">'SDAFS-XXVI'!$I$10:$I$90</definedName>
    <definedName name="XDO_?YTM?319?">'SDAFS-XXVI'!$I$10:$I$95</definedName>
    <definedName name="XDO_?YTM?32?">'[1]GIFTS B'!$I$12:$I$58</definedName>
    <definedName name="XDO_?YTM?320?">'SDFS-C-8'!$I$18:$I$28</definedName>
    <definedName name="XDO_?YTM?321?">'SDFS-C-8'!$I$18:$I$39</definedName>
    <definedName name="XDO_?YTM?322?">'SDFS-C-8'!$I$18:$I$48</definedName>
    <definedName name="XDO_?YTM?323?">'SDFS-C-8'!$I$18:$I$65</definedName>
    <definedName name="XDO_?YTM?324?">'SDFS-C-8'!$I$18:$I$70</definedName>
    <definedName name="XDO_?YTM?325?">'SDFS-C-9'!$I$18:$I$27</definedName>
    <definedName name="XDO_?YTM?326?">'SDFS-C-9'!$I$18:$I$38</definedName>
    <definedName name="XDO_?YTM?327?">'SDFS-C-9'!$I$18:$I$47</definedName>
    <definedName name="XDO_?YTM?328?">'SDFS-C-9'!$I$18:$I$64</definedName>
    <definedName name="XDO_?YTM?329?">'SDFS-C-9'!$I$18:$I$69</definedName>
    <definedName name="XDO_?YTM?33?">'[1]GIFTS A'!$I$12</definedName>
    <definedName name="XDO_?YTM?330?">'SDFS-C-10'!$I$18:$I$29</definedName>
    <definedName name="XDO_?YTM?331?">'SDFS-C-10'!$I$18:$I$40</definedName>
    <definedName name="XDO_?YTM?332?">'SDFS-C-10'!$I$18:$I$50</definedName>
    <definedName name="XDO_?YTM?333?">'SDFS-C-10'!$I$18:$I$54</definedName>
    <definedName name="XDO_?YTM?334?">'SDFS-C-10'!$I$18:$I$69</definedName>
    <definedName name="XDO_?YTM?335?">'SDFS-C-10'!$I$18:$I$74</definedName>
    <definedName name="XDO_?YTM?336?">'SDAFS-XXVII'!$I$10:$I$33</definedName>
    <definedName name="XDO_?YTM?337?">'SDAFS-XXVII'!$I$10:$I$49</definedName>
    <definedName name="XDO_?YTM?338?">'SDAFS-XXVII'!$I$10:$I$54</definedName>
    <definedName name="XDO_?YTM?339?">'SDAFS-XXVII'!$I$10:$I$62</definedName>
    <definedName name="XDO_?YTM?34?">'[1]GIFTS A'!$I$12:$I$49</definedName>
    <definedName name="XDO_?YTM?340?">'SDAFS-XXVII'!$I$10:$I$69</definedName>
    <definedName name="XDO_?YTM?341?">'SDAFS-XXVII'!$I$10:$I$73</definedName>
    <definedName name="XDO_?YTM?342?">'SDAFS-XXVII'!$I$10:$I$88</definedName>
    <definedName name="XDO_?YTM?343?">'SDAFS-XXVII'!$I$10:$I$93</definedName>
    <definedName name="XDO_?YTM?344?">'SDFS-C-12'!$I$18:$I$26</definedName>
    <definedName name="XDO_?YTM?345?">'SDFS-C-12'!$I$18:$I$39</definedName>
    <definedName name="XDO_?YTM?346?">'SDFS-C-12'!$I$18:$I$50</definedName>
    <definedName name="XDO_?YTM?347?">'SDFS-C-12'!$I$18:$I$55</definedName>
    <definedName name="XDO_?YTM?348?">'SDFS-C-12'!$I$18:$I$70</definedName>
    <definedName name="XDO_?YTM?349?">'SDFS-C-12'!$I$18:$I$75</definedName>
    <definedName name="XDO_?YTM?35?">'[1]GIFTS A'!$I$12:$I$54</definedName>
    <definedName name="XDO_?YTM?350?">'SDFS-C-14'!$I$18:$I$27</definedName>
    <definedName name="XDO_?YTM?351?">'SDFS-C-14'!$I$18:$I$37</definedName>
    <definedName name="XDO_?YTM?352?">'SDFS-C-14'!$I$18:$I$47</definedName>
    <definedName name="XDO_?YTM?353?">'SDFS-C-14'!$I$18:$I$52</definedName>
    <definedName name="XDO_?YTM?354?">'SDFS-C-14'!$I$18:$I$67</definedName>
    <definedName name="XDO_?YTM?355?">'SDFS-C-14'!$I$18:$I$72</definedName>
    <definedName name="XDO_?YTM?356?">'SLTAF-VI'!$I$10:$I$35</definedName>
    <definedName name="XDO_?YTM?357?">'SLTAF-VI'!$I$10:$I$74</definedName>
    <definedName name="XDO_?YTM?358?">'SLTAF-VI'!$I$10:$I$79</definedName>
    <definedName name="XDO_?YTM?359?">'SDAFS-XXVIII'!$I$10:$I$34</definedName>
    <definedName name="XDO_?YTM?36?">SLMF!$I$10:$I$65</definedName>
    <definedName name="XDO_?YTM?360?">'SDAFS-XXVIII'!$I$10:$I$53</definedName>
    <definedName name="XDO_?YTM?361?">'SDAFS-XXVIII'!$I$10:$I$64</definedName>
    <definedName name="XDO_?YTM?362?">'SDAFS-XXVIII'!$I$10:$I$71</definedName>
    <definedName name="XDO_?YTM?363?">'SDAFS-XXVIII'!$I$10:$I$88</definedName>
    <definedName name="XDO_?YTM?364?">'SDAFS-XXVIII'!$I$10:$I$93</definedName>
    <definedName name="XDO_?YTM?365?">'SDFS-C-16'!$I$18:$I$32</definedName>
    <definedName name="XDO_?YTM?366?">'SDFS-C-16'!$I$18:$I$43</definedName>
    <definedName name="XDO_?YTM?367?">'SDFS-C-16'!$I$18:$I$56</definedName>
    <definedName name="XDO_?YTM?368?">'SDFS-C-16'!$I$18:$I$73</definedName>
    <definedName name="XDO_?YTM?369?">'SDFS-C-16'!$I$18:$I$78</definedName>
    <definedName name="XDO_?YTM?37?">SLMF!$I$10:$I$71</definedName>
    <definedName name="XDO_?YTM?370?">'SDFS-C-18'!$I$18:$I$36</definedName>
    <definedName name="XDO_?YTM?371?">'SDFS-C-18'!$I$18:$I$49</definedName>
    <definedName name="XDO_?YTM?372?">'SDFS-C-18'!$I$18:$I$61</definedName>
    <definedName name="XDO_?YTM?373?">'SDFS-C-18'!$I$18:$I$78</definedName>
    <definedName name="XDO_?YTM?374?">'SDFS-C-18'!$I$18:$I$83</definedName>
    <definedName name="XDO_?YTM?375?">'SDFS-C-19'!$I$18:$I$29</definedName>
    <definedName name="XDO_?YTM?376?">'SDFS-C-19'!$I$18:$I$39</definedName>
    <definedName name="XDO_?YTM?377?">'SDFS-C-19'!$I$18:$I$50</definedName>
    <definedName name="XDO_?YTM?378?">'SDFS-C-19'!$I$18:$I$67</definedName>
    <definedName name="XDO_?YTM?379?">'SDFS-C-19'!$I$18:$I$72</definedName>
    <definedName name="XDO_?YTM?38?">SLMF!$I$10:$I$108</definedName>
    <definedName name="XDO_?YTM?380?">'SDAFS-XXIX'!$I$10:$I$34</definedName>
    <definedName name="XDO_?YTM?381?">'SDAFS-XXIX'!$I$10:$I$55</definedName>
    <definedName name="XDO_?YTM?382?">'SDAFS-XXIX'!$I$10:$I$66</definedName>
    <definedName name="XDO_?YTM?383?">'SDAFS-XXIX'!$I$10:$I$74</definedName>
    <definedName name="XDO_?YTM?384?">'SDAFS-XXIX'!$I$10:$I$91</definedName>
    <definedName name="XDO_?YTM?385?">'SDAFS-XXIX'!$I$10:$I$96</definedName>
    <definedName name="XDO_?YTM?386?">'SDFS-C-20'!$I$18:$I$28</definedName>
    <definedName name="XDO_?YTM?387?">'SDFS-C-20'!$I$18:$I$39</definedName>
    <definedName name="XDO_?YTM?388?">'SDFS-C-20'!$I$18:$I$51</definedName>
    <definedName name="XDO_?YTM?389?">'SDFS-C-20'!$I$18:$I$68</definedName>
    <definedName name="XDO_?YTM?39?">SLMF!$I$10:$I$113</definedName>
    <definedName name="XDO_?YTM?390?">'SDFS-C-20'!$I$18:$I$73</definedName>
    <definedName name="XDO_?YTM?391?">'SDFS-C-21'!$I$18:$I$29</definedName>
    <definedName name="XDO_?YTM?392?">'SDFS-C-21'!$I$18:$I$35</definedName>
    <definedName name="XDO_?YTM?393?">'SDFS-C-21'!$I$18:$I$41</definedName>
    <definedName name="XDO_?YTM?394?">'SDFS-C-21'!$I$18:$I$54</definedName>
    <definedName name="XDO_?YTM?395?">'SDFS-C-21'!$I$18:$I$71</definedName>
    <definedName name="XDO_?YTM?396?">'SDFS-C-21'!$I$18:$I$76</definedName>
    <definedName name="XDO_?YTM?397?">'SDFS-C-22'!$I$18:$I$29</definedName>
    <definedName name="XDO_?YTM?398?">'SDFS-C-22'!$I$18:$I$39</definedName>
    <definedName name="XDO_?YTM?399?">'SDFS-C-22'!$I$18:$I$49</definedName>
    <definedName name="XDO_?YTM?4?">'[1]MRIS-89'!$I$48:$I$53</definedName>
    <definedName name="XDO_?YTM?40?">SLTEF!$I$10:$I$65</definedName>
    <definedName name="XDO_?YTM?400?">'SDFS-C-22'!$I$18:$I$66</definedName>
    <definedName name="XDO_?YTM?401?">'SDFS-C-22'!$I$18:$I$71</definedName>
    <definedName name="XDO_?YTM?402?">'SDFS-C-23'!$I$18:$I$34</definedName>
    <definedName name="XDO_?YTM?403?">'SDFS-C-23'!$I$18:$I$53</definedName>
    <definedName name="XDO_?YTM?404?">'SDFS-C-23'!$I$18:$I$70</definedName>
    <definedName name="XDO_?YTM?405?">'SDFS-C-23'!$I$18:$I$75</definedName>
    <definedName name="XDO_?YTM?406?">'SETF-SN50'!$I$10:$I$114</definedName>
    <definedName name="XDO_?YTM?407?">'SETF-SN50'!$I$10:$I$98</definedName>
    <definedName name="XDO_?YTM?408?">'SETF-SN50'!$I$10:$I$103</definedName>
    <definedName name="XDO_?YTM?409?">'SDFS-C-24'!$I$18:$I$29</definedName>
    <definedName name="XDO_?YTM?41?">SLTEF!$I$10:$I$68</definedName>
    <definedName name="XDO_?YTM?410?">'SDFS-C-24'!$I$18:$I$33</definedName>
    <definedName name="XDO_?YTM?411?">'SDFS-C-24'!$I$18:$I$48</definedName>
    <definedName name="XDO_?YTM?412?">'SDFS-C-24'!$I$18:$I$65</definedName>
    <definedName name="XDO_?YTM?413?">'SDFS-C-24'!$I$18:$I$70</definedName>
    <definedName name="XDO_?YTM?414?">'SDFS-C-25'!$I$18:$I$34</definedName>
    <definedName name="XDO_?YTM?415?">'SDFS-C-25'!$I$18:$I$40</definedName>
    <definedName name="XDO_?YTM?416?">'SDFS-C-25'!$I$18:$I$52</definedName>
    <definedName name="XDO_?YTM?417?">'SDFS-C-25'!$I$18:$I$56</definedName>
    <definedName name="XDO_?YTM?418?">'SDFS-C-25'!$I$18:$I$71</definedName>
    <definedName name="XDO_?YTM?419?">'SDFS-C-25'!$I$18:$I$76</definedName>
    <definedName name="XDO_?YTM?42?">SLTEF!$I$10:$I$104</definedName>
    <definedName name="XDO_?YTM?420?">'SDAFS-XXX'!$I$10:$I$34</definedName>
    <definedName name="XDO_?YTM?421?">'SDAFS-XXX'!$I$10:$I$55</definedName>
    <definedName name="XDO_?YTM?422?">'SDAFS-XXX'!$I$10:$I$72</definedName>
    <definedName name="XDO_?YTM?423?">'SDAFS-XXX'!$I$10:$I$87</definedName>
    <definedName name="XDO_?YTM?424?">'SDAFS-XXX'!$I$10:$I$92</definedName>
    <definedName name="XDO_?YTM?425?">'SDFS-C-26'!$I$18:$I$32</definedName>
    <definedName name="XDO_?YTM?426?">'SDFS-C-26'!$I$18:$I$48</definedName>
    <definedName name="XDO_?YTM?427?">'SDFS-C-26'!$I$18:$I$52</definedName>
    <definedName name="XDO_?YTM?428?">'SDFS-C-26'!$I$18:$I$67</definedName>
    <definedName name="XDO_?YTM?429?">'SDFS-C-26'!$I$18:$I$72</definedName>
    <definedName name="XDO_?YTM?43?">SLTEF!$I$10:$I$109</definedName>
    <definedName name="XDO_?YTM?430?">'SDFS-C-27'!$I$18:$I$29</definedName>
    <definedName name="XDO_?YTM?431?">'SDFS-C-27'!$I$18:$I$46</definedName>
    <definedName name="XDO_?YTM?432?">'SDFS-C-27'!$I$18:$I$50</definedName>
    <definedName name="XDO_?YTM?433?">'SDFS-C-27'!$I$18:$I$65</definedName>
    <definedName name="XDO_?YTM?434?">'SDFS-C-27'!$I$18:$I$70</definedName>
    <definedName name="XDO_?YTM?435?">'SDFS-C-28'!$I$18:$I$32</definedName>
    <definedName name="XDO_?YTM?436?">'SDFS-C-28'!$I$18:$I$42</definedName>
    <definedName name="XDO_?YTM?437?">'SDFS-C-28'!$I$18:$I$52</definedName>
    <definedName name="XDO_?YTM?438?">'SDFS-C-28'!$I$18:$I$69</definedName>
    <definedName name="XDO_?YTM?439?">'SDFS-C-28'!$I$18:$I$74</definedName>
    <definedName name="XDO_?YTM?44?">'[1]MRIS-93'!$I$12:$I$17</definedName>
    <definedName name="XDO_?YTM?440?">'SDFS-C-30'!$I$18:$I$32</definedName>
    <definedName name="XDO_?YTM?441?">'SDFS-C-30'!$I$18:$I$50</definedName>
    <definedName name="XDO_?YTM?442?">'SDFS-C-30'!$I$18:$I$67</definedName>
    <definedName name="XDO_?YTM?443?">'SDFS-C-30'!$I$18:$I$72</definedName>
    <definedName name="XDO_?YTM?444?">'SETF-Quality'!$I$10:$I$39</definedName>
    <definedName name="XDO_?YTM?445?">'SETF-Quality'!$I$10:$I$78</definedName>
    <definedName name="XDO_?YTM?446?">'SETF-Quality'!$I$10:$I$83</definedName>
    <definedName name="XDO_?YTM?447?">'SDFS-C-32'!$I$18:$I$37</definedName>
    <definedName name="XDO_?YTM?448?">'SDFS-C-32'!$I$18:$I$54</definedName>
    <definedName name="XDO_?YTM?449?">'SDFS-C-32'!$I$18:$I$58</definedName>
    <definedName name="XDO_?YTM?45?">'[1]MRIS-93'!$I$12:$I$54</definedName>
    <definedName name="XDO_?YTM?450?">'SDFS-C-32'!$I$18:$I$73</definedName>
    <definedName name="XDO_?YTM?451?">'SDFS-C-32'!$I$18:$I$78</definedName>
    <definedName name="XDO_?YTM?452?">'SDFS-C-33'!$I$18:$I$38</definedName>
    <definedName name="XDO_?YTM?453?">'SDFS-C-33'!$I$18:$I$56</definedName>
    <definedName name="XDO_?YTM?454?">'SDFS-C-33'!$I$18:$I$60</definedName>
    <definedName name="XDO_?YTM?455?">'SDFS-C-33'!$I$18:$I$75</definedName>
    <definedName name="XDO_?YTM?456?">'SDFS-C-33'!$I$18:$I$80</definedName>
    <definedName name="XDO_?YTM?457?">'SDFS-C-34'!$I$18:$I$32</definedName>
    <definedName name="XDO_?YTM?458?">'SDFS-C-34'!$I$18:$I$50</definedName>
    <definedName name="XDO_?YTM?459?">'SDFS-C-34'!$I$18:$I$67</definedName>
    <definedName name="XDO_?YTM?46?">'[1]MRIS-93'!$I$12:$I$59</definedName>
    <definedName name="XDO_?YTM?460?">'SDFS-C-34'!$I$18:$I$72</definedName>
    <definedName name="XDO_?YTM?461?">'SDFS-C-35'!$I$18:$I$33</definedName>
    <definedName name="XDO_?YTM?462?">'SDFS-C-35'!$I$18:$I$50</definedName>
    <definedName name="XDO_?YTM?463?">'SDFS-C-35'!$I$18:$I$67</definedName>
    <definedName name="XDO_?YTM?464?">'SDFS-C-35'!$I$18:$I$72</definedName>
    <definedName name="XDO_?YTM?465?">'SDFS-C-38'!$I$18:$I$28</definedName>
    <definedName name="XDO_?YTM?466?">'SDFS-C-38'!$I$18:$I$45</definedName>
    <definedName name="XDO_?YTM?467?">'SDFS-C-38'!$I$18:$I$56</definedName>
    <definedName name="XDO_?YTM?468?">'SDFS-C-38'!$I$18:$I$60</definedName>
    <definedName name="XDO_?YTM?469?">'SDFS-C-38'!$I$18:$I$75</definedName>
    <definedName name="XDO_?YTM?47?">'[1]MTP-94'!$I$12</definedName>
    <definedName name="XDO_?YTM?470?">'SDFS-C-38'!$I$18:$I$80</definedName>
    <definedName name="XDO_?YTM?471?">SCBF!$I$18:$I$133</definedName>
    <definedName name="XDO_?YTM?472?">SCBF!$I$18:$I$137</definedName>
    <definedName name="XDO_?YTM?473?">SCBF!$I$18:$I$146</definedName>
    <definedName name="XDO_?YTM?474?">SCBF!$I$18:$I$158</definedName>
    <definedName name="XDO_?YTM?475?">SCBF!$I$18:$I$171</definedName>
    <definedName name="XDO_?YTM?476?">SCBF!$I$18:$I$182</definedName>
    <definedName name="XDO_?YTM?477?">SCBF!$I$18:$I$197</definedName>
    <definedName name="XDO_?YTM?478?">SCBF!$I$18:$I$202</definedName>
    <definedName name="XDO_?YTM?479?">'SDFS-C-40'!$I$18:$I$28</definedName>
    <definedName name="XDO_?YTM?48?">'[1]MTP-94'!$I$12:$I$49</definedName>
    <definedName name="XDO_?YTM?480?">'SDFS-C-40'!$I$18:$I$39</definedName>
    <definedName name="XDO_?YTM?481?">'SDFS-C-40'!$I$18:$I$47</definedName>
    <definedName name="XDO_?YTM?482?">'SDFS-C-40'!$I$18:$I$64</definedName>
    <definedName name="XDO_?YTM?483?">'SDFS-C-40'!$I$18:$I$69</definedName>
    <definedName name="XDO_?YTM?484?">'SDFS-C-41'!$I$18:$I$32</definedName>
    <definedName name="XDO_?YTM?485?">'SDFS-C-41'!$I$18:$I$43</definedName>
    <definedName name="XDO_?YTM?486?">'SDFS-C-41'!$I$18:$I$54</definedName>
    <definedName name="XDO_?YTM?487?">'SDFS-C-41'!$I$18:$I$71</definedName>
    <definedName name="XDO_?YTM?488?">'SDFS-C-41'!$I$18:$I$76</definedName>
    <definedName name="XDO_?YTM?489?">'SDFS-C-43'!$I$18:$I$28</definedName>
    <definedName name="XDO_?YTM?49?">'[1]MTP-94'!$I$12:$I$54</definedName>
    <definedName name="XDO_?YTM?490?">'SDFS-C-43'!$I$18:$I$41</definedName>
    <definedName name="XDO_?YTM?491?">'SDFS-C-43'!$I$18:$I$50</definedName>
    <definedName name="XDO_?YTM?492?">'SDFS-C-43'!$I$18:$I$67</definedName>
    <definedName name="XDO_?YTM?493?">'SDFS-C-43'!$I$18:$I$72</definedName>
    <definedName name="XDO_?YTM?494?">'SDFS-C-44'!$I$18:$I$28</definedName>
    <definedName name="XDO_?YTM?495?">'SDFS-C-44'!$I$18:$I$39</definedName>
    <definedName name="XDO_?YTM?496?">'SDFS-C-44'!$I$18:$I$48</definedName>
    <definedName name="XDO_?YTM?497?">'SDFS-C-44'!$I$18:$I$65</definedName>
    <definedName name="XDO_?YTM?498?">'SDFS-C-44'!$I$18:$I$70</definedName>
    <definedName name="XDO_?YTM?499?">'SCPOF-A1'!$I$10:$I$58</definedName>
    <definedName name="XDO_?YTM?5?">'[1]MMIS-89'!$I$10</definedName>
    <definedName name="XDO_?YTM?50?">SMGLF!$I$10:$I$31</definedName>
    <definedName name="XDO_?YTM?500?">'SCPOF-A1'!$I$10:$I$74</definedName>
    <definedName name="XDO_?YTM?501?">'SCPOF-A1'!$I$10:$I$78</definedName>
    <definedName name="XDO_?YTM?502?">'SCPOF-A1'!$I$10:$I$93</definedName>
    <definedName name="XDO_?YTM?503?">'SCPOF-A1'!$I$10:$I$108</definedName>
    <definedName name="XDO_?YTM?504?">'SCPOF-A1'!$I$10:$I$113</definedName>
    <definedName name="XDO_?YTM?505?">'SDFS-C-46'!$I$18:$I$25</definedName>
    <definedName name="XDO_?YTM?506?">'SDFS-C-46'!$I$18:$I$29</definedName>
    <definedName name="XDO_?YTM?507?">'SDFS-C-46'!$I$18:$I$39</definedName>
    <definedName name="XDO_?YTM?508?">'SDFS-C-46'!$I$18:$I$46</definedName>
    <definedName name="XDO_?YTM?509?">'SDFS-C-46'!$I$18:$I$50</definedName>
    <definedName name="XDO_?YTM?51?">SMGLF!$I$10:$I$52</definedName>
    <definedName name="XDO_?YTM?510?">'SDFS-C-46'!$I$18:$I$65</definedName>
    <definedName name="XDO_?YTM?511?">'SDFS-C-46'!$I$18:$I$70</definedName>
    <definedName name="XDO_?YTM?512?">SEMVF!$I$10:$I$121</definedName>
    <definedName name="XDO_?YTM?513?">SEMVF!$I$10:$I$96</definedName>
    <definedName name="XDO_?YTM?514?">SEMVF!$I$10:$I$100</definedName>
    <definedName name="XDO_?YTM?515?">SEMVF!$I$10:$I$105</definedName>
    <definedName name="XDO_?YTM?516?">'SDFS-C-48'!$I$18:$I$34</definedName>
    <definedName name="XDO_?YTM?517?">'SDFS-C-48'!$I$18:$I$44</definedName>
    <definedName name="XDO_?YTM?518?">'SDFS-C-48'!$I$18:$I$53</definedName>
    <definedName name="XDO_?YTM?519?">'SDFS-C-48'!$I$18:$I$70</definedName>
    <definedName name="XDO_?YTM?52?">SMGLF!$I$10:$I$46</definedName>
    <definedName name="XDO_?YTM?520?">'SDFS-C-48'!$I$18:$I$75</definedName>
    <definedName name="XDO_?YTM?521?">'SDFS-C-49'!$I$18:$I$27</definedName>
    <definedName name="XDO_?YTM?522?">'SDFS-C-49'!$I$18:$I$38</definedName>
    <definedName name="XDO_?YTM?523?">'SDFS-C-49'!$I$18:$I$47</definedName>
    <definedName name="XDO_?YTM?524?">'SDFS-C-49'!$I$18:$I$51</definedName>
    <definedName name="XDO_?YTM?525?">'SDFS-C-49'!$I$18:$I$66</definedName>
    <definedName name="XDO_?YTM?526?">'SDFS-C-49'!$I$18:$I$71</definedName>
    <definedName name="XDO_?YTM?527?">'SCPOF-Series A (Plan 2)'!$I$10:$I$59</definedName>
    <definedName name="XDO_?YTM?528?">'SCPOF-Series A (Plan 2)'!$I$10:$I$74</definedName>
    <definedName name="XDO_?YTM?529?">'SCPOF-Series A (Plan 2)'!$I$10:$I$84</definedName>
    <definedName name="XDO_?YTM?53?">SMGLF!$I$10:$I$87</definedName>
    <definedName name="XDO_?YTM?530?">'SCPOF-Series A (Plan 2)'!$I$10:$I$93</definedName>
    <definedName name="XDO_?YTM?531?">'SCPOF-Series A (Plan 2)'!$I$10:$I$108</definedName>
    <definedName name="XDO_?YTM?532?">'SCPOF-Series A (Plan 2)'!$I$10:$I$113</definedName>
    <definedName name="XDO_?YTM?533?">'SDFS-C-50'!$I$18:$I$26</definedName>
    <definedName name="XDO_?YTM?534?">'SDFS-C-50'!$I$18:$I$40</definedName>
    <definedName name="XDO_?YTM?535?">'SDFS-C-50'!$I$18:$I$48</definedName>
    <definedName name="XDO_?YTM?536?">'SDFS-C-50'!$I$18:$I$65</definedName>
    <definedName name="XDO_?YTM?537?">'SDFS-C-50'!$I$18:$I$70</definedName>
    <definedName name="XDO_?YTM?538?">'SFMP- Series 1'!$I$26:$I$31</definedName>
    <definedName name="XDO_?YTM?539?">'SFMP- Series 1'!$I$26:$I$39</definedName>
    <definedName name="XDO_?YTM?54?">SMGLF!$I$10:$I$92</definedName>
    <definedName name="XDO_?YTM?540?">'SFMP- Series 1'!$I$26:$I$56</definedName>
    <definedName name="XDO_?YTM?541?">'SFMP- Series 1'!$I$26:$I$61</definedName>
    <definedName name="XDO_?YTM?542?">'SFMP- Series 2'!$I$18:$I$29</definedName>
    <definedName name="XDO_?YTM?543?">'SFMP- Series 2'!$I$18:$I$45</definedName>
    <definedName name="XDO_?YTM?544?">'SFMP- Series 2'!$I$18:$I$62</definedName>
    <definedName name="XDO_?YTM?545?">'SFMP- Series 2'!$I$18:$I$67</definedName>
    <definedName name="XDO_?YTM?546?">'SFMP- Series 3'!$I$18:$I$29</definedName>
    <definedName name="XDO_?YTM?547?">'SFMP- Series 3'!$I$18:$I$45</definedName>
    <definedName name="XDO_?YTM?548?">'SFMP- Series 3'!$I$18:$I$62</definedName>
    <definedName name="XDO_?YTM?549?">'SFMP- Series 3'!$I$18:$I$67</definedName>
    <definedName name="XDO_?YTM?55?">'[1]MBF-94'!$I$10</definedName>
    <definedName name="XDO_?YTM?550?">'SCPOF-Series A (Plan 3)'!$I$10:$I$59</definedName>
    <definedName name="XDO_?YTM?551?">'SCPOF-Series A (Plan 3)'!$I$10:$I$76</definedName>
    <definedName name="XDO_?YTM?552?">'SCPOF-Series A (Plan 3)'!$I$10:$I$87</definedName>
    <definedName name="XDO_?YTM?553?">'SCPOF-Series A (Plan 3)'!$I$10:$I$110</definedName>
    <definedName name="XDO_?YTM?554?">'SCPOF-Series A (Plan 3)'!$I$10:$I$115</definedName>
    <definedName name="XDO_?YTM?555?">'SFMP- Series 6'!$I$26:$I$29</definedName>
    <definedName name="XDO_?YTM?556?">'SFMP- Series 6'!$I$26:$I$36</definedName>
    <definedName name="XDO_?YTM?557?">'SFMP- Series 6'!$I$26:$I$53</definedName>
    <definedName name="XDO_?YTM?558?">'SFMP- Series 6'!$I$26:$I$58</definedName>
    <definedName name="XDO_?YTM?559?">'SFMP- Series 7'!$I$18:$I$32</definedName>
    <definedName name="XDO_?YTM?56?">'[1]MBF-94'!$I$10:$I$19</definedName>
    <definedName name="XDO_?YTM?560?">'SFMP- Series 7'!$I$18:$I$47</definedName>
    <definedName name="XDO_?YTM?561?">'SFMP- Series 7'!$I$18:$I$64</definedName>
    <definedName name="XDO_?YTM?562?">'SFMP- Series 7'!$I$18:$I$69</definedName>
    <definedName name="XDO_?YTM?563?">'SFMP- Series 8'!$I$18:$I$32</definedName>
    <definedName name="XDO_?YTM?564?">'SFMP- Series 8'!$I$18:$I$47</definedName>
    <definedName name="XDO_?YTM?565?">'SFMP- Series 8'!$I$18:$I$64</definedName>
    <definedName name="XDO_?YTM?566?">'SFMP- Series 8'!$I$18:$I$69</definedName>
    <definedName name="XDO_?YTM?567?">'SCPOF-Series A (Plan 4)'!$I$10:$I$59</definedName>
    <definedName name="XDO_?YTM?568?">'SCPOF-Series A (Plan 4)'!$I$10:$I$75</definedName>
    <definedName name="XDO_?YTM?569?">'SCPOF-Series A (Plan 4)'!$I$10:$I$86</definedName>
    <definedName name="XDO_?YTM?57?">'[1]MBF-94'!$I$10:$I$56</definedName>
    <definedName name="XDO_?YTM?570?">'SCPOF-Series A (Plan 4)'!$I$10:$I$109</definedName>
    <definedName name="XDO_?YTM?571?">'SCPOF-Series A (Plan 4)'!$I$10:$I$114</definedName>
    <definedName name="XDO_?YTM?572?">'SFMP- Series 9'!$I$18:$I$31</definedName>
    <definedName name="XDO_?YTM?573?">'SFMP- Series 9'!$I$18:$I$47</definedName>
    <definedName name="XDO_?YTM?574?">'SFMP- Series 9'!$I$18:$I$64</definedName>
    <definedName name="XDO_?YTM?575?">'SFMP- Series 9'!$I$18:$I$69</definedName>
    <definedName name="XDO_?YTM?576?">'SFMP- Series 10'!$I$18:$I$31</definedName>
    <definedName name="XDO_?YTM?577?">'SFMP- Series 10'!$I$18:$I$46</definedName>
    <definedName name="XDO_?YTM?578?">'SFMP- Series 10'!$I$18:$I$50</definedName>
    <definedName name="XDO_?YTM?579?">'SFMP- Series 10'!$I$18:$I$65</definedName>
    <definedName name="XDO_?YTM?58?">'[1]MBF-94'!$I$10:$I$61</definedName>
    <definedName name="XDO_?YTM?580?">'SFMP- Series 10'!$I$18:$I$70</definedName>
    <definedName name="XDO_?YTM?581?">'SFMP- Series 11'!$I$18:$I$36</definedName>
    <definedName name="XDO_?YTM?582?">'SFMP- Series 11'!$I$18:$I$52</definedName>
    <definedName name="XDO_?YTM?583?">'SFMP- Series 11'!$I$18:$I$56</definedName>
    <definedName name="XDO_?YTM?584?">'SFMP- Series 11'!$I$18:$I$71</definedName>
    <definedName name="XDO_?YTM?585?">'SFMP- Series 11'!$I$18:$I$76</definedName>
    <definedName name="XDO_?YTM?586?">'SFMP- Series 12'!$I$18:$I$31</definedName>
    <definedName name="XDO_?YTM?587?">'SFMP- Series 12'!$I$18:$I$46</definedName>
    <definedName name="XDO_?YTM?588?">'SFMP- Series 12'!$I$18:$I$50</definedName>
    <definedName name="XDO_?YTM?589?">'SFMP- Series 12'!$I$18:$I$65</definedName>
    <definedName name="XDO_?YTM?59?">'[1]MELS-95'!$I$48</definedName>
    <definedName name="XDO_?YTM?590?">'SFMP- Series 12'!$I$18:$I$70</definedName>
    <definedName name="XDO_?YTM?591?">'SFMP- Series 13'!$I$18:$I$31</definedName>
    <definedName name="XDO_?YTM?592?">'SFMP- Series 13'!$I$18:$I$47</definedName>
    <definedName name="XDO_?YTM?593?">'SFMP- Series 13'!$I$18:$I$64</definedName>
    <definedName name="XDO_?YTM?594?">'SFMP- Series 13'!$I$18:$I$69</definedName>
    <definedName name="XDO_?YTM?595?">'SFMP- Series 14'!$I$18:$I$31</definedName>
    <definedName name="XDO_?YTM?596?">'SFMP- Series 14'!$I$18:$I$46</definedName>
    <definedName name="XDO_?YTM?597?">'SFMP- Series 14'!$I$18:$I$50</definedName>
    <definedName name="XDO_?YTM?598?">'SFMP- Series 14'!$I$18:$I$65</definedName>
    <definedName name="XDO_?YTM?599?">'SFMP- Series 14'!$I$18:$I$70</definedName>
    <definedName name="XDO_?YTM?6?">'[1]MMIS-89'!$I$10:$I$49</definedName>
    <definedName name="XDO_?YTM?60?">'[1]MELS-95'!$I$48:$I$53</definedName>
    <definedName name="XDO_?YTM?600?">'SFMP- Series 15'!$I$18:$I$29</definedName>
    <definedName name="XDO_?YTM?601?">'SFMP- Series 15'!$I$18:$I$44</definedName>
    <definedName name="XDO_?YTM?602?">'SFMP- Series 15'!$I$18:$I$48</definedName>
    <definedName name="XDO_?YTM?603?">'SFMP- Series 15'!$I$18:$I$63</definedName>
    <definedName name="XDO_?YTM?604?">'SFMP- Series 15'!$I$18:$I$68</definedName>
    <definedName name="XDO_?YTM?605?">'SFMP- Series 16'!$I$18:$I$34</definedName>
    <definedName name="XDO_?YTM?606?">'SFMP- Series 16'!$I$18:$I$49</definedName>
    <definedName name="XDO_?YTM?607?">'SFMP- Series 16'!$I$18:$I$66</definedName>
    <definedName name="XDO_?YTM?608?">'SFMP- Series 16'!$I$18:$I$71</definedName>
    <definedName name="XDO_?YTM?609?">'SFMP- Series 17'!$I$18:$I$30</definedName>
    <definedName name="XDO_?YTM?61?">SEHF!$I$10:$I$51</definedName>
    <definedName name="XDO_?YTM?610?">'SFMP- Series 17'!$I$18:$I$45</definedName>
    <definedName name="XDO_?YTM?611?">'SFMP- Series 17'!$I$18:$I$62</definedName>
    <definedName name="XDO_?YTM?612?">'SFMP- Series 17'!$I$18:$I$67</definedName>
    <definedName name="XDO_?YTM?613?">'SCPOF-Series A (Plan 5)'!$I$10:$I$59</definedName>
    <definedName name="XDO_?YTM?614?">'SCPOF-Series A (Plan 5)'!$I$10:$I$79</definedName>
    <definedName name="XDO_?YTM?615?">'SCPOF-Series A (Plan 5)'!$I$10:$I$89</definedName>
    <definedName name="XDO_?YTM?616?">'SCPOF-Series A (Plan 5)'!$I$10:$I$112</definedName>
    <definedName name="XDO_?YTM?617?">'SCPOF-Series A (Plan 5)'!$I$10:$I$117</definedName>
    <definedName name="XDO_?YTM?618?">'SFMP- Series 18'!$I$18:$I$30</definedName>
    <definedName name="XDO_?YTM?619?">'SFMP- Series 18'!$I$18:$I$45</definedName>
    <definedName name="XDO_?YTM?62?">SEHF!$I$10:$I$56</definedName>
    <definedName name="XDO_?YTM?620?">'SFMP- Series 18'!$I$18:$I$62</definedName>
    <definedName name="XDO_?YTM?621?">'SFMP- Series 18'!$I$18:$I$67</definedName>
    <definedName name="XDO_?YTM?622?">'SCPOF-Series A (Plan 6)'!$I$10:$I$59</definedName>
    <definedName name="XDO_?YTM?623?">'SCPOF-Series A (Plan 6)'!$I$10:$I$78</definedName>
    <definedName name="XDO_?YTM?624?">'SCPOF-Series A (Plan 6)'!$I$10:$I$95</definedName>
    <definedName name="XDO_?YTM?625?">'SCPOF-Series A (Plan 6)'!$I$10:$I$110</definedName>
    <definedName name="XDO_?YTM?626?">'SCPOF-Series A (Plan 6)'!$I$10:$I$115</definedName>
    <definedName name="XDO_?YTM?627?">'SFMP- Series 19'!$I$18:$I$32</definedName>
    <definedName name="XDO_?YTM?628?">'SFMP- Series 19'!$I$18:$I$63</definedName>
    <definedName name="XDO_?YTM?629?">'SFMP- Series 19'!$I$18:$I$68</definedName>
    <definedName name="XDO_?YTM?63?">SEHF!$I$10:$I$99</definedName>
    <definedName name="XDO_?YTM?630?">'SFMP- Series 20'!$I$18:$I$31</definedName>
    <definedName name="XDO_?YTM?631?">'SFMP- Series 20'!$I$18:$I$62</definedName>
    <definedName name="XDO_?YTM?632?">'SFMP- Series 20'!$I$18:$I$67</definedName>
    <definedName name="XDO_?YTM?633?">'SFMP- Series 21'!$I$18:$I$30</definedName>
    <definedName name="XDO_?YTM?634?">'SFMP- Series 21'!$I$18:$I$61</definedName>
    <definedName name="XDO_?YTM?635?">'SFMP- Series 21'!$I$18:$I$66</definedName>
    <definedName name="XDO_?YTM?636?">'SFMP- Series 22'!$I$18:$I$30</definedName>
    <definedName name="XDO_?YTM?637?">'SFMP- Series 22'!$I$18:$I$61</definedName>
    <definedName name="XDO_?YTM?638?">'SFMP- Series 22'!$I$18:$I$66</definedName>
    <definedName name="XDO_?YTM?639?">'SFMP- Series 23'!$I$18:$I$30</definedName>
    <definedName name="XDO_?YTM?64?">SEHF!$I$10:$I$112</definedName>
    <definedName name="XDO_?YTM?640?">'SFMP- Series 23'!$I$18:$I$61</definedName>
    <definedName name="XDO_?YTM?641?">'SFMP- Series 23'!$I$18:$I$66</definedName>
    <definedName name="XDO_?YTM?642?">'SFMP- Series 24'!$I$18:$I$30</definedName>
    <definedName name="XDO_?YTM?643?">'SFMP- Series 24'!$I$18:$I$61</definedName>
    <definedName name="XDO_?YTM?644?">'SFMP- Series 24'!$I$18:$I$66</definedName>
    <definedName name="XDO_?YTM?645?">'SFMP- Series 25'!$I$18:$I$29</definedName>
    <definedName name="XDO_?YTM?646?">'SFMP- Series 25'!$I$18:$I$60</definedName>
    <definedName name="XDO_?YTM?647?">'SFMP- Series 25'!$I$18:$I$65</definedName>
    <definedName name="XDO_?YTM?648?">'SFMP- Series 26'!$I$18:$I$30</definedName>
    <definedName name="XDO_?YTM?649?">'SFMP- Series 26'!$I$18:$I$61</definedName>
    <definedName name="XDO_?YTM?65?">SEHF!$I$10:$I$125</definedName>
    <definedName name="XDO_?YTM?650?">'SFMP- Series 26'!$I$18:$I$66</definedName>
    <definedName name="XDO_?YTM?651?">'SFMP- Series 27'!$I$18:$I$28</definedName>
    <definedName name="XDO_?YTM?652?">'SFMP- Series 27'!$I$18:$I$38</definedName>
    <definedName name="XDO_?YTM?653?">'SFMP- Series 27'!$I$18:$I$45</definedName>
    <definedName name="XDO_?YTM?654?">'SFMP- Series 27'!$I$18:$I$62</definedName>
    <definedName name="XDO_?YTM?655?">'SFMP- Series 27'!$I$18:$I$67</definedName>
    <definedName name="XDO_?YTM?656?">'SCPOF-Series A (Plan 7)'!$I$10:$I$59</definedName>
    <definedName name="XDO_?YTM?657?">'SCPOF-Series A (Plan 7)'!$I$10:$I$71</definedName>
    <definedName name="XDO_?YTM?658?">'SCPOF-Series A (Plan 7)'!$I$10:$I$82</definedName>
    <definedName name="XDO_?YTM?659?">'SCPOF-Series A (Plan 7)'!$I$10:$I$91</definedName>
    <definedName name="XDO_?YTM?66?">SEHF!$I$10:$I$148</definedName>
    <definedName name="XDO_?YTM?660?">'SCPOF-Series A (Plan 7)'!$I$10:$I$106</definedName>
    <definedName name="XDO_?YTM?661?">'SCPOF-Series A (Plan 7)'!$I$10:$I$111</definedName>
    <definedName name="XDO_?YTM?662?">'SFMP- Series 28'!$I$18:$I$27</definedName>
    <definedName name="XDO_?YTM?663?">'SFMP- Series 28'!$I$18:$I$39</definedName>
    <definedName name="XDO_?YTM?664?">'SFMP- Series 28'!$I$18:$I$62</definedName>
    <definedName name="XDO_?YTM?665?">'SFMP- Series 28'!$I$18:$I$67</definedName>
    <definedName name="XDO_?YTM?666?">'SCPOF-Series A (Plan 8)'!$I$10:$I$59</definedName>
    <definedName name="XDO_?YTM?667?">'SCPOF-Series A (Plan 8)'!$I$10:$I$71</definedName>
    <definedName name="XDO_?YTM?668?">'SCPOF-Series A (Plan 8)'!$I$10:$I$82</definedName>
    <definedName name="XDO_?YTM?669?">'SCPOF-Series A (Plan 8)'!$I$10:$I$105</definedName>
    <definedName name="XDO_?YTM?67?">SEHF!$I$10:$I$152</definedName>
    <definedName name="XDO_?YTM?670?">'SCPOF-Series A (Plan 8)'!$I$10:$I$110</definedName>
    <definedName name="XDO_?YTM?671?">'SFMP- Series 31'!$I$18:$I$25</definedName>
    <definedName name="XDO_?YTM?672?">'SFMP- Series 31'!$I$18:$I$39</definedName>
    <definedName name="XDO_?YTM?673?">'SFMP- Series 31'!$I$18:$I$62</definedName>
    <definedName name="XDO_?YTM?674?">'SFMP- Series 31'!$I$18:$I$67</definedName>
    <definedName name="XDO_?YTM?675?">'SFMP- Series 32'!$I$18:$I$26</definedName>
    <definedName name="XDO_?YTM?676?">'SFMP- Series 32'!$I$18:$I$37</definedName>
    <definedName name="XDO_?YTM?677?">'SFMP- Series 32'!$I$18:$I$60</definedName>
    <definedName name="XDO_?YTM?678?">'SFMP- Series 32'!$I$18:$I$65</definedName>
    <definedName name="XDO_?YTM?679?">'SFMP- Series 33'!$I$26</definedName>
    <definedName name="XDO_?YTM?68?">SEHF!$I$10:$I$157</definedName>
    <definedName name="XDO_?YTM?680?">'SFMP- Series 33'!$I$26:$I$49</definedName>
    <definedName name="XDO_?YTM?681?">'SFMP- Series 33'!$I$26:$I$54</definedName>
    <definedName name="XDO_?YTM?682?">'SFMP- Series 34'!$I$26</definedName>
    <definedName name="XDO_?YTM?683?">'SFMP- Series 34'!$I$26:$I$49</definedName>
    <definedName name="XDO_?YTM?684?">'SFMP- Series 34'!$I$26:$I$54</definedName>
    <definedName name="XDO_?YTM?685?">'SMCBF-Investment Plan'!$I$10:$I$13</definedName>
    <definedName name="XDO_?YTM?686?">'SMCBF-Investment Plan'!$I$10:$I$22</definedName>
    <definedName name="XDO_?YTM?687?">'SMCBF-Investment Plan'!$I$10:$I$30</definedName>
    <definedName name="XDO_?YTM?688?">'SMCBF-Investment Plan'!$I$10:$I$55</definedName>
    <definedName name="XDO_?YTM?689?">'SMCBF-Investment Plan'!$I$10:$I$60</definedName>
    <definedName name="XDO_?YTM?69?">'[1]MELS-96'!$I$48</definedName>
    <definedName name="XDO_?YTM?690?">SBIRIOS!$I$10:$I$55</definedName>
    <definedName name="XDO_?YTM?691?">SBIRIOS!$I$10:$I$94</definedName>
    <definedName name="XDO_?YTM?692?">SBIRIOS!$I$10:$I$99</definedName>
    <definedName name="XDO_?YTM?693?">#REF!</definedName>
    <definedName name="XDO_?YTM?694?">#REF!</definedName>
    <definedName name="XDO_?YTM?695?">#REF!</definedName>
    <definedName name="XDO_?YTM?696?">#REF!</definedName>
    <definedName name="XDO_?YTM?697?">#REF!</definedName>
    <definedName name="XDO_?YTM?698?">#REF!</definedName>
    <definedName name="XDO_?YTM?699?">#REF!</definedName>
    <definedName name="XDO_?YTM?7?">'[1]MMIS-89'!$I$10:$I$54</definedName>
    <definedName name="XDO_?YTM?70?">'[1]MELS-96'!$I$48:$I$53</definedName>
    <definedName name="XDO_?YTM?700?">#REF!</definedName>
    <definedName name="XDO_?YTM?71?">'[1]MMIS-97'!$I$48</definedName>
    <definedName name="XDO_?YTM?72?">'[1]MMIS-97'!$I$48:$I$53</definedName>
    <definedName name="XDO_?YTM?73?">'[1]MMIS-98 I'!$I$12</definedName>
    <definedName name="XDO_?YTM?74?">'[1]MMIS-98 I'!$I$12:$I$49</definedName>
    <definedName name="XDO_?YTM?75?">'[1]MMIS-98 I'!$I$12:$I$54</definedName>
    <definedName name="XDO_?YTM?76?">SMIF!$I$18:$I$30</definedName>
    <definedName name="XDO_?YTM?77?">SMIF!$I$18:$I$42</definedName>
    <definedName name="XDO_?YTM?78?">SMIF!$I$18:$I$67</definedName>
    <definedName name="XDO_?YTM?79?">SMIF!$I$18:$I$72</definedName>
    <definedName name="XDO_?YTM?8?">'[1]MTSS-90'!$I$48</definedName>
    <definedName name="XDO_?YTM?80?">'[1]MMIS-98 II'!$I$48</definedName>
    <definedName name="XDO_?YTM?81?">'[1]MMIS-98 II'!$I$48:$I$53</definedName>
    <definedName name="XDO_?YTM?82?">'[1]MGF-99'!$I$12</definedName>
    <definedName name="XDO_?YTM?83?">'[1]MGF-99'!$I$12:$I$53</definedName>
    <definedName name="XDO_?YTM?84?">SCOF!$I$10:$I$38</definedName>
    <definedName name="XDO_?YTM?85?">SCOF!$I$10:$I$77</definedName>
    <definedName name="XDO_?YTM?86?">SCOF!$I$10:$I$82</definedName>
    <definedName name="XDO_?YTM?87?">STOF!$I$10:$I$14</definedName>
    <definedName name="XDO_?YTM?88?">STOF!$I$10:$I$33</definedName>
    <definedName name="XDO_?YTM?89?">STOF!$I$10:$I$24</definedName>
    <definedName name="XDO_?YTM?9?">'[1]MTSS-90'!$I$48:$I$53</definedName>
    <definedName name="XDO_?YTM?90?">STOF!$I$10:$I$29</definedName>
    <definedName name="XDO_?YTM?91?">STOF!$I$10:$I$34</definedName>
    <definedName name="XDO_?YTM?92?">STOF!$I$10:$I$69</definedName>
    <definedName name="XDO_?YTM?93?">STOF!$I$10:$I$74</definedName>
    <definedName name="XDO_?YTM?94?">SHOF!$I$10:$I$31</definedName>
    <definedName name="XDO_?YTM?95?">SHOF!$I$10:$I$35</definedName>
    <definedName name="XDO_?YTM?96?">SHOF!$I$10:$I$72</definedName>
    <definedName name="XDO_?YTM?97?">SHOF!$I$10:$I$77</definedName>
    <definedName name="XDO_?YTM?98?">SCF!$I$10:$I$56</definedName>
    <definedName name="XDO_?YTM?99?">SCF!$I$10:$I$96</definedName>
    <definedName name="XDO_GROUP_?G_2?">'[1]MRIS-87'!$A$2:$IV$56</definedName>
    <definedName name="XDO_GROUP_?G_2?1?">'[1]MTSS-88-89'!$A$2:$IV$56</definedName>
    <definedName name="XDO_GROUP_?G_2?10?">'[1]MEX-91'!$A$2:$IV$56</definedName>
    <definedName name="XDO_GROUP_?G_2?100?">'SDFS-C-26'!$2:$75</definedName>
    <definedName name="XDO_GROUP_?G_2?101?">'SDFS-C-27'!$2:$73</definedName>
    <definedName name="XDO_GROUP_?G_2?102?">'SDFS-C-28'!$2:$77</definedName>
    <definedName name="XDO_GROUP_?G_2?103?">'SDFS-C-30'!$2:$75</definedName>
    <definedName name="XDO_GROUP_?G_2?104?">'SETF-Quality'!$2:$86</definedName>
    <definedName name="XDO_GROUP_?G_2?105?">'SDFS-C-32'!$2:$81</definedName>
    <definedName name="XDO_GROUP_?G_2?106?">'SDFS-C-33'!$2:$83</definedName>
    <definedName name="XDO_GROUP_?G_2?107?">'SDFS-C-34'!$2:$75</definedName>
    <definedName name="XDO_GROUP_?G_2?108?">'SDFS-C-35'!$2:$75</definedName>
    <definedName name="XDO_GROUP_?G_2?109?">'SDFS-C-38'!$2:$83</definedName>
    <definedName name="XDO_GROUP_?G_2?11?">'[1]GIFTS B'!$A$2:$IV$61</definedName>
    <definedName name="XDO_GROUP_?G_2?110?">SCBF!$2:$205</definedName>
    <definedName name="XDO_GROUP_?G_2?111?">'SDFS-C-40'!$2:$72</definedName>
    <definedName name="XDO_GROUP_?G_2?112?">'SDFS-C-41'!$2:$79</definedName>
    <definedName name="XDO_GROUP_?G_2?113?">'SDFS-C-43'!$2:$75</definedName>
    <definedName name="XDO_GROUP_?G_2?114?">'SDFS-C-44'!$2:$73</definedName>
    <definedName name="XDO_GROUP_?G_2?115?">'SCPOF-A1'!$2:$116</definedName>
    <definedName name="XDO_GROUP_?G_2?116?">'SDFS-C-46'!$2:$73</definedName>
    <definedName name="XDO_GROUP_?G_2?117?">SEMVF!$2:$108</definedName>
    <definedName name="XDO_GROUP_?G_2?118?">'SDFS-C-48'!$2:$78</definedName>
    <definedName name="XDO_GROUP_?G_2?119?">'SDFS-C-49'!$2:$74</definedName>
    <definedName name="XDO_GROUP_?G_2?12?">'[1]GIFTS A'!$A$2:$IV$57</definedName>
    <definedName name="XDO_GROUP_?G_2?120?">'SCPOF-Series A (Plan 2)'!$2:$116</definedName>
    <definedName name="XDO_GROUP_?G_2?121?">'SDFS-C-50'!$2:$73</definedName>
    <definedName name="XDO_GROUP_?G_2?122?">'SFMP- Series 1'!$2:$64</definedName>
    <definedName name="XDO_GROUP_?G_2?123?">'SFMP- Series 2'!$2:$70</definedName>
    <definedName name="XDO_GROUP_?G_2?124?">'SFMP- Series 3'!$2:$70</definedName>
    <definedName name="XDO_GROUP_?G_2?125?">'SCPOF-Series A (Plan 3)'!$2:$118</definedName>
    <definedName name="XDO_GROUP_?G_2?126?">'SFMP- Series 6'!$2:$61</definedName>
    <definedName name="XDO_GROUP_?G_2?127?">'SFMP- Series 7'!$2:$72</definedName>
    <definedName name="XDO_GROUP_?G_2?128?">'SFMP- Series 8'!$2:$72</definedName>
    <definedName name="XDO_GROUP_?G_2?129?">'SCPOF-Series A (Plan 4)'!$2:$117</definedName>
    <definedName name="XDO_GROUP_?G_2?13?">SLMF!$2:$116</definedName>
    <definedName name="XDO_GROUP_?G_2?130?">'SFMP- Series 9'!$2:$72</definedName>
    <definedName name="XDO_GROUP_?G_2?131?">'SFMP- Series 10'!$2:$73</definedName>
    <definedName name="XDO_GROUP_?G_2?132?">'SFMP- Series 11'!$2:$79</definedName>
    <definedName name="XDO_GROUP_?G_2?133?">'SFMP- Series 12'!$2:$73</definedName>
    <definedName name="XDO_GROUP_?G_2?134?">'SFMP- Series 13'!$2:$72</definedName>
    <definedName name="XDO_GROUP_?G_2?135?">'SFMP- Series 14'!$2:$73</definedName>
    <definedName name="XDO_GROUP_?G_2?136?">'SFMP- Series 15'!$2:$71</definedName>
    <definedName name="XDO_GROUP_?G_2?137?">'SFMP- Series 16'!$2:$74</definedName>
    <definedName name="XDO_GROUP_?G_2?138?">'SFMP- Series 17'!$2:$70</definedName>
    <definedName name="XDO_GROUP_?G_2?139?">'SCPOF-Series A (Plan 5)'!$2:$120</definedName>
    <definedName name="XDO_GROUP_?G_2?14?">SLTEF!$2:$112</definedName>
    <definedName name="XDO_GROUP_?G_2?140?">'SFMP- Series 18'!$2:$70</definedName>
    <definedName name="XDO_GROUP_?G_2?141?">'SCPOF-Series A (Plan 6)'!$2:$118</definedName>
    <definedName name="XDO_GROUP_?G_2?142?">'SFMP- Series 19'!$2:$71</definedName>
    <definedName name="XDO_GROUP_?G_2?143?">'SFMP- Series 20'!$2:$70</definedName>
    <definedName name="XDO_GROUP_?G_2?144?">'SFMP- Series 21'!$2:$69</definedName>
    <definedName name="XDO_GROUP_?G_2?145?">'SFMP- Series 22'!$2:$69</definedName>
    <definedName name="XDO_GROUP_?G_2?146?">'SFMP- Series 23'!$2:$69</definedName>
    <definedName name="XDO_GROUP_?G_2?147?">'SFMP- Series 24'!$2:$69</definedName>
    <definedName name="XDO_GROUP_?G_2?148?">'SFMP- Series 25'!$2:$68</definedName>
    <definedName name="XDO_GROUP_?G_2?149?">'SFMP- Series 26'!$2:$69</definedName>
    <definedName name="XDO_GROUP_?G_2?15?">'[1]MRIS-93'!$A$2:$IV$62</definedName>
    <definedName name="XDO_GROUP_?G_2?150?">'SFMP- Series 27'!$2:$70</definedName>
    <definedName name="XDO_GROUP_?G_2?151?">'SCPOF-Series A (Plan 7)'!$2:$114</definedName>
    <definedName name="XDO_GROUP_?G_2?152?">'SFMP- Series 28'!$2:$70</definedName>
    <definedName name="XDO_GROUP_?G_2?153?">'SCPOF-Series A (Plan 8)'!$2:$113</definedName>
    <definedName name="XDO_GROUP_?G_2?154?">'SFMP- Series 31'!$2:$70</definedName>
    <definedName name="XDO_GROUP_?G_2?155?">'SFMP- Series 32'!$2:$68</definedName>
    <definedName name="XDO_GROUP_?G_2?156?">'SFMP- Series 33'!$2:$57</definedName>
    <definedName name="XDO_GROUP_?G_2?157?">'SFMP- Series 34'!$2:$57</definedName>
    <definedName name="XDO_GROUP_?G_2?158?">'SMCBF-Investment Plan'!$2:$63</definedName>
    <definedName name="XDO_GROUP_?G_2?159?">SBIRIOS!$2:$102</definedName>
    <definedName name="XDO_GROUP_?G_2?16?">'[1]MTP-94'!$A$2:$IV$57</definedName>
    <definedName name="XDO_GROUP_?G_2?160?">#REF!</definedName>
    <definedName name="XDO_GROUP_?G_2?161?">#REF!</definedName>
    <definedName name="XDO_GROUP_?G_2?162?">#REF!</definedName>
    <definedName name="XDO_GROUP_?G_2?163?">#REF!</definedName>
    <definedName name="XDO_GROUP_?G_2?17?">SMGLF!$2:$95</definedName>
    <definedName name="XDO_GROUP_?G_2?18?">'[1]MBF-94'!$A$2:$IV$64</definedName>
    <definedName name="XDO_GROUP_?G_2?19?">'[1]MELS-95'!$A$2:$IV$56</definedName>
    <definedName name="XDO_GROUP_?G_2?2?">'[1]MRIS-89'!$A$2:$IV$56</definedName>
    <definedName name="XDO_GROUP_?G_2?20?">SEHF!$2:$160</definedName>
    <definedName name="XDO_GROUP_?G_2?21?">'[1]MELS-96'!$A$2:$IV$56</definedName>
    <definedName name="XDO_GROUP_?G_2?22?">'[1]MMIS-97'!$A$2:$IV$56</definedName>
    <definedName name="XDO_GROUP_?G_2?23?">'[1]MMIS-98 I'!$A$2:$IV$57</definedName>
    <definedName name="XDO_GROUP_?G_2?24?">SMIF!$2:$75</definedName>
    <definedName name="XDO_GROUP_?G_2?25?">'[1]MMIS-98 II'!$A$2:$IV$56</definedName>
    <definedName name="XDO_GROUP_?G_2?26?">'[1]MGF-99'!$A$2:$IV$56</definedName>
    <definedName name="XDO_GROUP_?G_2?27?">SCOF!$2:$85</definedName>
    <definedName name="XDO_GROUP_?G_2?28?">STOF!$2:$77</definedName>
    <definedName name="XDO_GROUP_?G_2?29?">SHOF!$2:$80</definedName>
    <definedName name="XDO_GROUP_?G_2?3?">'[1]MMIS-89'!$A$2:$IV$57</definedName>
    <definedName name="XDO_GROUP_?G_2?30?">SCF!$2:$108</definedName>
    <definedName name="XDO_GROUP_?G_2?31?">SNIF!$2:$108</definedName>
    <definedName name="XDO_GROUP_?G_2?32?">SMCBF!$2:$95</definedName>
    <definedName name="XDO_GROUP_?G_2?33?">SOF!$2:$57</definedName>
    <definedName name="XDO_GROUP_?G_2?34?">SMMDF!$2:$115</definedName>
    <definedName name="XDO_GROUP_?G_2?35?">SLF!$2:$100</definedName>
    <definedName name="XDO_GROUP_?G_2?36?">SDBF!$2:$62</definedName>
    <definedName name="XDO_GROUP_?G_2?37?">SSF!$2:$136</definedName>
    <definedName name="XDO_GROUP_?G_2?38?">SCRF!$2:$118</definedName>
    <definedName name="XDO_GROUP_?G_2?39?">SFEF!$2:$87</definedName>
    <definedName name="XDO_GROUP_?G_2?4?">'[1]MTSS-90'!$A$2:$IV$56</definedName>
    <definedName name="XDO_GROUP_?G_2?40?">SDHF!$2:$110</definedName>
    <definedName name="XDO_GROUP_?G_2?41?">SMUSD!$2:$117</definedName>
    <definedName name="XDO_GROUP_?G_2?42?">SMIDCAP!$2:$106</definedName>
    <definedName name="XDO_GROUP_?G_2?43?">SMCMF!$2:$61</definedName>
    <definedName name="XDO_GROUP_?G_2?44?">SMCOMMA!$2:$82</definedName>
    <definedName name="XDO_GROUP_?G_2?45?">SMGF!$2:$61</definedName>
    <definedName name="XDO_GROUP_?G_2?46?">SMMULTI!$2:$102</definedName>
    <definedName name="XDO_GROUP_?G_2?47?">SMAAF!$2:$111</definedName>
    <definedName name="XDO_GROUP_?G_2?48?">SBLUECHIP!$2:$114</definedName>
    <definedName name="XDO_GROUP_?G_2?49?">SAOF!$2:$138</definedName>
    <definedName name="XDO_GROUP_?G_2?5?">'[1]MRIS-90'!$A$2:$IV$56</definedName>
    <definedName name="XDO_GROUP_?G_2?50?">SIF!$2:$84</definedName>
    <definedName name="XDO_GROUP_?G_2?51?">SMLDF!$2:$141</definedName>
    <definedName name="XDO_GROUP_?G_2?52?">SSTDF!$2:$168</definedName>
    <definedName name="XDO_GROUP_?G_2?53?">'SETF-Gold'!$2:$58</definedName>
    <definedName name="XDO_GROUP_?G_2?54?">SPSU!$2:$78</definedName>
    <definedName name="XDO_GROUP_?G_2?55?">SGF!$2:$58</definedName>
    <definedName name="XDO_GROUP_?G_2?56?">'STAF-II'!$2:$84</definedName>
    <definedName name="XDO_GROUP_?G_2?57?">'SETF-SENSEX'!$2:$86</definedName>
    <definedName name="XDO_GROUP_?G_2?58?">SSCF!$2:$107</definedName>
    <definedName name="XDO_GROUP_?G_2?59?">SBPF!$2:$148</definedName>
    <definedName name="XDO_GROUP_?G_2?6?">SMEEF!$2:$104</definedName>
    <definedName name="XDO_GROUP_?G_2?60?">'STAF-III'!$2:$83</definedName>
    <definedName name="XDO_GROUP_?G_2?61?">'SEOF-I'!$2:$92</definedName>
    <definedName name="XDO_GROUP_?G_2?62?">'SLTAF-I'!$2:$84</definedName>
    <definedName name="XDO_GROUP_?G_2?63?">'SLTAF-II'!$2:$86</definedName>
    <definedName name="XDO_GROUP_?G_2?64?">SBFS!$2:$77</definedName>
    <definedName name="XDO_GROUP_?G_2?65?">SDAAF!$2:$89</definedName>
    <definedName name="XDO_GROUP_?G_2?66?">'SETF-NN50'!$2:$106</definedName>
    <definedName name="XDO_GROUP_?G_2?67?">'SETF-NBank'!$2:$68</definedName>
    <definedName name="XDO_GROUP_?G_2?68?">'SETF-BSE 100'!$2:$157</definedName>
    <definedName name="XDO_GROUP_?G_2?69?">SESF!$2:$142</definedName>
    <definedName name="XDO_GROUP_?G_2?7?">'[1]MELS-91'!$A$2:$IV$57</definedName>
    <definedName name="XDO_GROUP_?G_2?70?">'SETF-Nifty 50'!$2:$106</definedName>
    <definedName name="XDO_GROUP_?G_2?71?">'SEOF-IV'!$2:$92</definedName>
    <definedName name="XDO_GROUP_?G_2?72?">'SLTAF-III'!$2:$86</definedName>
    <definedName name="XDO_GROUP_?G_2?73?">'SETF-10 Yr Gilt'!$2:$57</definedName>
    <definedName name="XDO_GROUP_?G_2?74?">'SLTAF-IV'!$2:$87</definedName>
    <definedName name="XDO_GROUP_?G_2?75?">'SDAFS-XXIV'!$2:$65</definedName>
    <definedName name="XDO_GROUP_?G_2?76?">'SDAFS-XXV'!$2:$101</definedName>
    <definedName name="XDO_GROUP_?G_2?77?">'SLTAF-V'!$2:$89</definedName>
    <definedName name="XDO_GROUP_?G_2?78?">'SDFS-C-7'!$2:$72</definedName>
    <definedName name="XDO_GROUP_?G_2?79?">'SDAFS-XXVI'!$2:$98</definedName>
    <definedName name="XDO_GROUP_?G_2?8?">'[1]MMIS-91'!$A$2:$IV$70</definedName>
    <definedName name="XDO_GROUP_?G_2?80?">'SDFS-C-8'!$2:$73</definedName>
    <definedName name="XDO_GROUP_?G_2?81?">'SDFS-C-9'!$2:$72</definedName>
    <definedName name="XDO_GROUP_?G_2?82?">'SDFS-C-10'!$2:$77</definedName>
    <definedName name="XDO_GROUP_?G_2?83?">'SDAFS-XXVII'!$2:$96</definedName>
    <definedName name="XDO_GROUP_?G_2?84?">'SDFS-C-12'!$2:$78</definedName>
    <definedName name="XDO_GROUP_?G_2?85?">'SDFS-C-14'!$2:$75</definedName>
    <definedName name="XDO_GROUP_?G_2?86?">'SLTAF-VI'!$2:$82</definedName>
    <definedName name="XDO_GROUP_?G_2?87?">'SDAFS-XXVIII'!$2:$96</definedName>
    <definedName name="XDO_GROUP_?G_2?88?">'SDFS-C-16'!$2:$81</definedName>
    <definedName name="XDO_GROUP_?G_2?89?">'SDFS-C-18'!$2:$86</definedName>
    <definedName name="XDO_GROUP_?G_2?9?">[1]MTPL!$A$2:$IV$57</definedName>
    <definedName name="XDO_GROUP_?G_2?90?">'SDFS-C-19'!$2:$75</definedName>
    <definedName name="XDO_GROUP_?G_2?91?">'SDAFS-XXIX'!$2:$99</definedName>
    <definedName name="XDO_GROUP_?G_2?92?">'SDFS-C-20'!$2:$76</definedName>
    <definedName name="XDO_GROUP_?G_2?93?">'SDFS-C-21'!$2:$79</definedName>
    <definedName name="XDO_GROUP_?G_2?94?">'SDFS-C-22'!$2:$74</definedName>
    <definedName name="XDO_GROUP_?G_2?95?">'SDFS-C-23'!$2:$78</definedName>
    <definedName name="XDO_GROUP_?G_2?96?">'SETF-SN50'!$2:$106</definedName>
    <definedName name="XDO_GROUP_?G_2?97?">'SDFS-C-24'!$2:$73</definedName>
    <definedName name="XDO_GROUP_?G_2?98?">'SDFS-C-25'!$2:$79</definedName>
    <definedName name="XDO_GROUP_?G_2?99?">'SDAFS-XXX'!$2:$95</definedName>
    <definedName name="XDO_GROUP_?G_3?">'[1]MRIS-87'!$A$38:$IV$55</definedName>
    <definedName name="XDO_GROUP_?G_3?1?">'[1]MTSS-88-89'!$A$38:$IV$55</definedName>
    <definedName name="XDO_GROUP_?G_3?10?">'[1]MEX-91'!$A$38:$IV$55</definedName>
    <definedName name="XDO_GROUP_?G_3?100?">'SDFS-C-26'!$16:$74</definedName>
    <definedName name="XDO_GROUP_?G_3?101?">'SDFS-C-27'!$16:$72</definedName>
    <definedName name="XDO_GROUP_?G_3?102?">'SDFS-C-28'!$16:$76</definedName>
    <definedName name="XDO_GROUP_?G_3?103?">'SDFS-C-30'!$16:$74</definedName>
    <definedName name="XDO_GROUP_?G_3?104?">'SETF-Quality'!$8:$85</definedName>
    <definedName name="XDO_GROUP_?G_3?105?">'SDFS-C-32'!$16:$80</definedName>
    <definedName name="XDO_GROUP_?G_3?106?">'SDFS-C-33'!$16:$82</definedName>
    <definedName name="XDO_GROUP_?G_3?107?">'SDFS-C-34'!$16:$74</definedName>
    <definedName name="XDO_GROUP_?G_3?108?">'SDFS-C-35'!$16:$74</definedName>
    <definedName name="XDO_GROUP_?G_3?109?">'SDFS-C-38'!$16:$82</definedName>
    <definedName name="XDO_GROUP_?G_3?11?">'[1]GIFTS B'!$A$8:$IV$60</definedName>
    <definedName name="XDO_GROUP_?G_3?110?">SCBF!$16:$204</definedName>
    <definedName name="XDO_GROUP_?G_3?111?">'SDFS-C-40'!$16:$71</definedName>
    <definedName name="XDO_GROUP_?G_3?112?">'SDFS-C-41'!$16:$78</definedName>
    <definedName name="XDO_GROUP_?G_3?113?">'SDFS-C-43'!$16:$74</definedName>
    <definedName name="XDO_GROUP_?G_3?114?">'SDFS-C-44'!$16:$72</definedName>
    <definedName name="XDO_GROUP_?G_3?115?">'SCPOF-A1'!$8:$115</definedName>
    <definedName name="XDO_GROUP_?G_3?116?">'SDFS-C-46'!$16:$72</definedName>
    <definedName name="XDO_GROUP_?G_3?117?">SEMVF!$8:$107</definedName>
    <definedName name="XDO_GROUP_?G_3?118?">'SDFS-C-48'!$16:$77</definedName>
    <definedName name="XDO_GROUP_?G_3?119?">'SDFS-C-49'!$16:$73</definedName>
    <definedName name="XDO_GROUP_?G_3?12?">'[1]GIFTS A'!$A$8:$IV$56</definedName>
    <definedName name="XDO_GROUP_?G_3?120?">'SCPOF-Series A (Plan 2)'!$8:$115</definedName>
    <definedName name="XDO_GROUP_?G_3?121?">'SDFS-C-50'!$16:$72</definedName>
    <definedName name="XDO_GROUP_?G_3?122?">'SFMP- Series 1'!$16:$63</definedName>
    <definedName name="XDO_GROUP_?G_3?123?">'SFMP- Series 2'!$16:$69</definedName>
    <definedName name="XDO_GROUP_?G_3?124?">'SFMP- Series 3'!$16:$69</definedName>
    <definedName name="XDO_GROUP_?G_3?125?">'SCPOF-Series A (Plan 3)'!$8:$117</definedName>
    <definedName name="XDO_GROUP_?G_3?126?">'SFMP- Series 6'!$16:$60</definedName>
    <definedName name="XDO_GROUP_?G_3?127?">'SFMP- Series 7'!$16:$71</definedName>
    <definedName name="XDO_GROUP_?G_3?128?">'SFMP- Series 8'!$16:$71</definedName>
    <definedName name="XDO_GROUP_?G_3?129?">'SCPOF-Series A (Plan 4)'!$8:$116</definedName>
    <definedName name="XDO_GROUP_?G_3?13?">SLMF!$8:$115</definedName>
    <definedName name="XDO_GROUP_?G_3?130?">'SFMP- Series 9'!$16:$71</definedName>
    <definedName name="XDO_GROUP_?G_3?131?">'SFMP- Series 10'!$16:$72</definedName>
    <definedName name="XDO_GROUP_?G_3?132?">'SFMP- Series 11'!$16:$78</definedName>
    <definedName name="XDO_GROUP_?G_3?133?">'SFMP- Series 12'!$16:$72</definedName>
    <definedName name="XDO_GROUP_?G_3?134?">'SFMP- Series 13'!$16:$71</definedName>
    <definedName name="XDO_GROUP_?G_3?135?">'SFMP- Series 14'!$16:$72</definedName>
    <definedName name="XDO_GROUP_?G_3?136?">'SFMP- Series 15'!$16:$70</definedName>
    <definedName name="XDO_GROUP_?G_3?137?">'SFMP- Series 16'!$16:$73</definedName>
    <definedName name="XDO_GROUP_?G_3?138?">'SFMP- Series 17'!$16:$69</definedName>
    <definedName name="XDO_GROUP_?G_3?139?">'SCPOF-Series A (Plan 5)'!$8:$119</definedName>
    <definedName name="XDO_GROUP_?G_3?14?">SLTEF!$8:$111</definedName>
    <definedName name="XDO_GROUP_?G_3?140?">'SFMP- Series 18'!$16:$69</definedName>
    <definedName name="XDO_GROUP_?G_3?141?">'SCPOF-Series A (Plan 6)'!$8:$117</definedName>
    <definedName name="XDO_GROUP_?G_3?142?">'SFMP- Series 19'!$16:$70</definedName>
    <definedName name="XDO_GROUP_?G_3?143?">'SFMP- Series 20'!$16:$69</definedName>
    <definedName name="XDO_GROUP_?G_3?144?">'SFMP- Series 21'!$16:$68</definedName>
    <definedName name="XDO_GROUP_?G_3?145?">'SFMP- Series 22'!$16:$68</definedName>
    <definedName name="XDO_GROUP_?G_3?146?">'SFMP- Series 23'!$16:$68</definedName>
    <definedName name="XDO_GROUP_?G_3?147?">'SFMP- Series 24'!$16:$68</definedName>
    <definedName name="XDO_GROUP_?G_3?148?">'SFMP- Series 25'!$16:$67</definedName>
    <definedName name="XDO_GROUP_?G_3?149?">'SFMP- Series 26'!$16:$68</definedName>
    <definedName name="XDO_GROUP_?G_3?15?">'[1]MRIS-93'!$A$8:$IV$61</definedName>
    <definedName name="XDO_GROUP_?G_3?150?">'SFMP- Series 27'!$16:$69</definedName>
    <definedName name="XDO_GROUP_?G_3?151?">'SCPOF-Series A (Plan 7)'!$8:$113</definedName>
    <definedName name="XDO_GROUP_?G_3?152?">'SFMP- Series 28'!$16:$69</definedName>
    <definedName name="XDO_GROUP_?G_3?153?">'SCPOF-Series A (Plan 8)'!$8:$112</definedName>
    <definedName name="XDO_GROUP_?G_3?154?">'SFMP- Series 31'!$16:$69</definedName>
    <definedName name="XDO_GROUP_?G_3?155?">'SFMP- Series 32'!$16:$67</definedName>
    <definedName name="XDO_GROUP_?G_3?156?">'SFMP- Series 33'!$16:$56</definedName>
    <definedName name="XDO_GROUP_?G_3?157?">'SFMP- Series 34'!$16:$56</definedName>
    <definedName name="XDO_GROUP_?G_3?158?">'SMCBF-Investment Plan'!$8:$62</definedName>
    <definedName name="XDO_GROUP_?G_3?159?">SBIRIOS!$8:$101</definedName>
    <definedName name="XDO_GROUP_?G_3?16?">'[1]MTP-94'!$A$8:$IV$56</definedName>
    <definedName name="XDO_GROUP_?G_3?160?">#REF!</definedName>
    <definedName name="XDO_GROUP_?G_3?161?">#REF!</definedName>
    <definedName name="XDO_GROUP_?G_3?162?">#REF!</definedName>
    <definedName name="XDO_GROUP_?G_3?163?">#REF!</definedName>
    <definedName name="XDO_GROUP_?G_3?17?">SMGLF!$8:$94</definedName>
    <definedName name="XDO_GROUP_?G_3?18?">'[1]MBF-94'!$A$8:$IV$63</definedName>
    <definedName name="XDO_GROUP_?G_3?19?">'[1]MELS-95'!$A$38:$IV$55</definedName>
    <definedName name="XDO_GROUP_?G_3?2?">'[1]MRIS-89'!$A$38:$IV$55</definedName>
    <definedName name="XDO_GROUP_?G_3?20?">SEHF!$8:$159</definedName>
    <definedName name="XDO_GROUP_?G_3?21?">'[1]MELS-96'!$A$38:$IV$55</definedName>
    <definedName name="XDO_GROUP_?G_3?22?">'[1]MMIS-97'!$A$38:$IV$55</definedName>
    <definedName name="XDO_GROUP_?G_3?23?">'[1]MMIS-98 I'!$A$8:$IV$56</definedName>
    <definedName name="XDO_GROUP_?G_3?24?">SMIF!$16:$74</definedName>
    <definedName name="XDO_GROUP_?G_3?25?">'[1]MMIS-98 II'!$A$38:$IV$55</definedName>
    <definedName name="XDO_GROUP_?G_3?26?">'[1]MGF-99'!$A$8:$IV$55</definedName>
    <definedName name="XDO_GROUP_?G_3?27?">SCOF!$8:$84</definedName>
    <definedName name="XDO_GROUP_?G_3?28?">STOF!$8:$76</definedName>
    <definedName name="XDO_GROUP_?G_3?29?">SHOF!$8:$79</definedName>
    <definedName name="XDO_GROUP_?G_3?3?">'[1]MMIS-89'!$A$8:$IV$56</definedName>
    <definedName name="XDO_GROUP_?G_3?30?">SCF!$8:$107</definedName>
    <definedName name="XDO_GROUP_?G_3?31?">SNIF!$8:$107</definedName>
    <definedName name="XDO_GROUP_?G_3?32?">SMCBF!$8:$94</definedName>
    <definedName name="XDO_GROUP_?G_3?33?">SOF!$38:$56</definedName>
    <definedName name="XDO_GROUP_?G_3?34?">SMMDF!$16:$114</definedName>
    <definedName name="XDO_GROUP_?G_3?35?">SLF!$16:$99</definedName>
    <definedName name="XDO_GROUP_?G_3?36?">SDBF!$16:$61</definedName>
    <definedName name="XDO_GROUP_?G_3?37?">SSF!$16:$135</definedName>
    <definedName name="XDO_GROUP_?G_3?38?">SCRF!$16:$117</definedName>
    <definedName name="XDO_GROUP_?G_3?39?">SFEF!$8:$86</definedName>
    <definedName name="XDO_GROUP_?G_3?4?">'[1]MTSS-90'!$A$38:$IV$55</definedName>
    <definedName name="XDO_GROUP_?G_3?40?">SDHF!$8:$109</definedName>
    <definedName name="XDO_GROUP_?G_3?41?">SMUSD!$16:$116</definedName>
    <definedName name="XDO_GROUP_?G_3?42?">SMIDCAP!$8:$105</definedName>
    <definedName name="XDO_GROUP_?G_3?43?">SMCMF!$16:$60</definedName>
    <definedName name="XDO_GROUP_?G_3?44?">SMCOMMA!$8:$81</definedName>
    <definedName name="XDO_GROUP_?G_3?45?">SMGF!$16:$60</definedName>
    <definedName name="XDO_GROUP_?G_3?46?">SMMULTI!$8:$101</definedName>
    <definedName name="XDO_GROUP_?G_3?47?">SMAAF!$8:$110</definedName>
    <definedName name="XDO_GROUP_?G_3?48?">SBLUECHIP!$8:$113</definedName>
    <definedName name="XDO_GROUP_?G_3?49?">SAOF!$8:$137</definedName>
    <definedName name="XDO_GROUP_?G_3?5?">'[1]MRIS-90'!$A$38:$IV$55</definedName>
    <definedName name="XDO_GROUP_?G_3?50?">SIF!$8:$83</definedName>
    <definedName name="XDO_GROUP_?G_3?51?">SMLDF!$16:$140</definedName>
    <definedName name="XDO_GROUP_?G_3?52?">SSTDF!$16:$167</definedName>
    <definedName name="XDO_GROUP_?G_3?53?">'SETF-Gold'!$38:$57</definedName>
    <definedName name="XDO_GROUP_?G_3?54?">SPSU!$8:$77</definedName>
    <definedName name="XDO_GROUP_?G_3?55?">SGF!$38:$57</definedName>
    <definedName name="XDO_GROUP_?G_3?56?">'STAF-II'!$8:$83</definedName>
    <definedName name="XDO_GROUP_?G_3?57?">'SETF-SENSEX'!$8:$85</definedName>
    <definedName name="XDO_GROUP_?G_3?58?">SSCF!$8:$106</definedName>
    <definedName name="XDO_GROUP_?G_3?59?">SBPF!$16:$147</definedName>
    <definedName name="XDO_GROUP_?G_3?6?">SMEEF!$8:$103</definedName>
    <definedName name="XDO_GROUP_?G_3?60?">'STAF-III'!$8:$82</definedName>
    <definedName name="XDO_GROUP_?G_3?61?">'SEOF-I'!$8:$91</definedName>
    <definedName name="XDO_GROUP_?G_3?62?">'SLTAF-I'!$8:$83</definedName>
    <definedName name="XDO_GROUP_?G_3?63?">'SLTAF-II'!$8:$85</definedName>
    <definedName name="XDO_GROUP_?G_3?64?">SBFS!$8:$76</definedName>
    <definedName name="XDO_GROUP_?G_3?65?">SDAAF!$8:$88</definedName>
    <definedName name="XDO_GROUP_?G_3?66?">'SETF-NN50'!$8:$105</definedName>
    <definedName name="XDO_GROUP_?G_3?67?">'SETF-NBank'!$8:$67</definedName>
    <definedName name="XDO_GROUP_?G_3?68?">'SETF-BSE 100'!$8:$156</definedName>
    <definedName name="XDO_GROUP_?G_3?69?">SESF!$8:$141</definedName>
    <definedName name="XDO_GROUP_?G_3?7?">'[1]MELS-91'!$A$8:$IV$56</definedName>
    <definedName name="XDO_GROUP_?G_3?70?">'SETF-Nifty 50'!$8:$105</definedName>
    <definedName name="XDO_GROUP_?G_3?71?">'SEOF-IV'!$8:$91</definedName>
    <definedName name="XDO_GROUP_?G_3?72?">'SLTAF-III'!$8:$85</definedName>
    <definedName name="XDO_GROUP_?G_3?73?">'SETF-10 Yr Gilt'!$16:$56</definedName>
    <definedName name="XDO_GROUP_?G_3?74?">'SLTAF-IV'!$8:$86</definedName>
    <definedName name="XDO_GROUP_?G_3?75?">'SDAFS-XXIV'!$16:$64</definedName>
    <definedName name="XDO_GROUP_?G_3?76?">'SDAFS-XXV'!$8:$100</definedName>
    <definedName name="XDO_GROUP_?G_3?77?">'SLTAF-V'!$8:$88</definedName>
    <definedName name="XDO_GROUP_?G_3?78?">'SDFS-C-7'!$16:$71</definedName>
    <definedName name="XDO_GROUP_?G_3?79?">'SDAFS-XXVI'!$8:$97</definedName>
    <definedName name="XDO_GROUP_?G_3?8?">'[1]MMIS-91'!$A$8:$IV$69</definedName>
    <definedName name="XDO_GROUP_?G_3?80?">'SDFS-C-8'!$16:$72</definedName>
    <definedName name="XDO_GROUP_?G_3?81?">'SDFS-C-9'!$16:$71</definedName>
    <definedName name="XDO_GROUP_?G_3?82?">'SDFS-C-10'!$16:$76</definedName>
    <definedName name="XDO_GROUP_?G_3?83?">'SDAFS-XXVII'!$8:$95</definedName>
    <definedName name="XDO_GROUP_?G_3?84?">'SDFS-C-12'!$16:$77</definedName>
    <definedName name="XDO_GROUP_?G_3?85?">'SDFS-C-14'!$16:$74</definedName>
    <definedName name="XDO_GROUP_?G_3?86?">'SLTAF-VI'!$8:$81</definedName>
    <definedName name="XDO_GROUP_?G_3?87?">'SDAFS-XXVIII'!$8:$95</definedName>
    <definedName name="XDO_GROUP_?G_3?88?">'SDFS-C-16'!$16:$80</definedName>
    <definedName name="XDO_GROUP_?G_3?89?">'SDFS-C-18'!$16:$85</definedName>
    <definedName name="XDO_GROUP_?G_3?9?">[1]MTPL!$A$8:$IV$56</definedName>
    <definedName name="XDO_GROUP_?G_3?90?">'SDFS-C-19'!$16:$74</definedName>
    <definedName name="XDO_GROUP_?G_3?91?">'SDAFS-XXIX'!$8:$98</definedName>
    <definedName name="XDO_GROUP_?G_3?92?">'SDFS-C-20'!$16:$75</definedName>
    <definedName name="XDO_GROUP_?G_3?93?">'SDFS-C-21'!$16:$78</definedName>
    <definedName name="XDO_GROUP_?G_3?94?">'SDFS-C-22'!$16:$73</definedName>
    <definedName name="XDO_GROUP_?G_3?95?">'SDFS-C-23'!$16:$77</definedName>
    <definedName name="XDO_GROUP_?G_3?96?">'SETF-SN50'!$8:$105</definedName>
    <definedName name="XDO_GROUP_?G_3?97?">'SDFS-C-24'!$16:$72</definedName>
    <definedName name="XDO_GROUP_?G_3?98?">'SDFS-C-25'!$16:$78</definedName>
    <definedName name="XDO_GROUP_?G_3?99?">'SDAFS-XXX'!$8:$94</definedName>
    <definedName name="XDO_GROUP_?G_4?">'[1]MRIS-87'!$B$53:$IV$53</definedName>
    <definedName name="XDO_GROUP_?G_4?1?">'[1]MTSS-88-89'!$B$48:$IV$48</definedName>
    <definedName name="XDO_GROUP_?G_4?10?">'[1]MRIS-90'!$B$48:$IV$48</definedName>
    <definedName name="XDO_GROUP_?G_4?100?">SCF!$B$100:$IV$100</definedName>
    <definedName name="XDO_GROUP_?G_4?101?">SCF!$B$105:$IV$105</definedName>
    <definedName name="XDO_GROUP_?G_4?102?">SNIF!$B$10:$IV$121</definedName>
    <definedName name="XDO_GROUP_?G_4?103?">SNIF!$B$96:$IV$96</definedName>
    <definedName name="XDO_GROUP_?G_4?104?">SNIF!$B$100:$IV$100</definedName>
    <definedName name="XDO_GROUP_?G_4?105?">SNIF!$B$105:$IV$105</definedName>
    <definedName name="XDO_GROUP_?G_4?106?">SMCBF!$B$10:$IV$36</definedName>
    <definedName name="XDO_GROUP_?G_4?107?">SMCBF!$B$11:$IV$11</definedName>
    <definedName name="XDO_GROUP_?G_4?108?">SMCBF!$B$45:$IV$52</definedName>
    <definedName name="XDO_GROUP_?G_4?109?">SMCBF!$B$60:$IV$60</definedName>
    <definedName name="XDO_GROUP_?G_4?11?">'[1]MRIS-90'!$B$53:$IV$53</definedName>
    <definedName name="XDO_GROUP_?G_4?110?">SMCBF!$B$64:$IV$64</definedName>
    <definedName name="XDO_GROUP_?G_4?111?">SMCBF!$B$87:$IV$87</definedName>
    <definedName name="XDO_GROUP_?G_4?112?">SMCBF!$B$92:$IV$92</definedName>
    <definedName name="XDO_GROUP_?G_4?113?">SOF!$B$48:$IV$49</definedName>
    <definedName name="XDO_GROUP_?G_4?114?">SOF!$B$54:$IV$54</definedName>
    <definedName name="XDO_GROUP_?G_4?115?">SMMDF!$B$18:$IV$53</definedName>
    <definedName name="XDO_GROUP_?G_4?116?">SMMDF!$B$57:$IV$67</definedName>
    <definedName name="XDO_GROUP_?G_4?117?">SMMDF!$B$73:$IV$80</definedName>
    <definedName name="XDO_GROUP_?G_4?118?">SMMDF!$B$84:$IV$84</definedName>
    <definedName name="XDO_GROUP_?G_4?119?">SMMDF!$B$107:$IV$107</definedName>
    <definedName name="XDO_GROUP_?G_4?12?">SMEEF!$B$10:$IV$50</definedName>
    <definedName name="XDO_GROUP_?G_4?120?">SMMDF!$B$112:$IV$112</definedName>
    <definedName name="XDO_GROUP_?G_4?121?">SLF!$B$26:$IV$29</definedName>
    <definedName name="XDO_GROUP_?G_4?122?">SLF!$B$34:$IV$58</definedName>
    <definedName name="XDO_GROUP_?G_4?123?">SLF!$B$64:$IV$77</definedName>
    <definedName name="XDO_GROUP_?G_4?124?">SLF!$B$92:$IV$92</definedName>
    <definedName name="XDO_GROUP_?G_4?125?">SLF!$B$97:$IV$97</definedName>
    <definedName name="XDO_GROUP_?G_4?126?">SDBF!$B$24:$IV$29</definedName>
    <definedName name="XDO_GROUP_?G_4?127?">SDBF!$B$54:$IV$54</definedName>
    <definedName name="XDO_GROUP_?G_4?128?">SDBF!$B$59:$IV$59</definedName>
    <definedName name="XDO_GROUP_?G_4?129?">SSF!$B$24:$IV$25</definedName>
    <definedName name="XDO_GROUP_?G_4?13?">SMEEF!$B$54:$IV$55</definedName>
    <definedName name="XDO_GROUP_?G_4?130?">SSF!$B$32:$IV$80</definedName>
    <definedName name="XDO_GROUP_?G_4?131?">SSF!$B$84:$IV$102</definedName>
    <definedName name="XDO_GROUP_?G_4?132?">SSF!$B$106:$IV$113</definedName>
    <definedName name="XDO_GROUP_?G_4?133?">SSF!$B$128:$IV$128</definedName>
    <definedName name="XDO_GROUP_?G_4?134?">SSF!$B$133:$IV$133</definedName>
    <definedName name="XDO_GROUP_?G_4?135?">SCRF!$B$18:$IV$61</definedName>
    <definedName name="XDO_GROUP_?G_4?136?">SCRF!$B$65:$IV$75</definedName>
    <definedName name="XDO_GROUP_?G_4?137?">SCRF!$B$81:$IV$85</definedName>
    <definedName name="XDO_GROUP_?G_4?138?">SCRF!$B$110:$IV$110</definedName>
    <definedName name="XDO_GROUP_?G_4?139?">SCRF!$B$115:$IV$115</definedName>
    <definedName name="XDO_GROUP_?G_4?14?">SMEEF!$B$84:$IV$84</definedName>
    <definedName name="XDO_GROUP_?G_4?140?">SFEF!$B$10:$IV$10</definedName>
    <definedName name="XDO_GROUP_?G_4?141?">SFEF!$B$41:$IV$41</definedName>
    <definedName name="XDO_GROUP_?G_4?142?">SFEF!$B$11:$IV$35</definedName>
    <definedName name="XDO_GROUP_?G_4?143?">SFEF!$B$42:$IV$42</definedName>
    <definedName name="XDO_GROUP_?G_4?144?">SFEF!$B$75:$IV$75</definedName>
    <definedName name="XDO_GROUP_?G_4?145?">SFEF!$B$79:$IV$79</definedName>
    <definedName name="XDO_GROUP_?G_4?146?">SFEF!$B$84:$IV$84</definedName>
    <definedName name="XDO_GROUP_?G_4?147?">SDHF!$B$10:$IV$34</definedName>
    <definedName name="XDO_GROUP_?G_4?148?">SDHF!$B$43:$IV$54</definedName>
    <definedName name="XDO_GROUP_?G_4?149?">SDHF!$B$58:$IV$68</definedName>
    <definedName name="XDO_GROUP_?G_4?15?">SMEEF!$B$92:$IV$92</definedName>
    <definedName name="XDO_GROUP_?G_4?150?">SDHF!$B$74:$IV$77</definedName>
    <definedName name="XDO_GROUP_?G_4?151?">SDHF!$B$102:$IV$102</definedName>
    <definedName name="XDO_GROUP_?G_4?152?">SDHF!$B$107:$IV$107</definedName>
    <definedName name="XDO_GROUP_?G_4?153?">SMUSD!$B$18:$IV$39</definedName>
    <definedName name="XDO_GROUP_?G_4?154?">SMUSD!$B$45:$IV$50</definedName>
    <definedName name="XDO_GROUP_?G_4?155?">SMUSD!$B$56:$IV$56</definedName>
    <definedName name="XDO_GROUP_?G_4?156?">SMUSD!$B$61:$IV$70</definedName>
    <definedName name="XDO_GROUP_?G_4?157?">SMUSD!$B$74:$IV$86</definedName>
    <definedName name="XDO_GROUP_?G_4?158?">SMUSD!$B$90:$IV$94</definedName>
    <definedName name="XDO_GROUP_?G_4?159?">SMUSD!$B$109:$IV$109</definedName>
    <definedName name="XDO_GROUP_?G_4?16?">SMEEF!$B$96:$IV$96</definedName>
    <definedName name="XDO_GROUP_?G_4?160?">SMUSD!$B$114:$IV$114</definedName>
    <definedName name="XDO_GROUP_?G_4?161?">SMIDCAP!$B$10:$IV$59</definedName>
    <definedName name="XDO_GROUP_?G_4?162?">SMIDCAP!$B$50:$IV$50</definedName>
    <definedName name="XDO_GROUP_?G_4?163?">SMIDCAP!$B$98:$IV$98</definedName>
    <definedName name="XDO_GROUP_?G_4?164?">SMIDCAP!$B$103:$IV$103</definedName>
    <definedName name="XDO_GROUP_?G_4?165?">SMCMF!$B$24:$IV$28</definedName>
    <definedName name="XDO_GROUP_?G_4?166?">SMCMF!$B$53:$IV$53</definedName>
    <definedName name="XDO_GROUP_?G_4?167?">SMCMF!$B$58:$IV$58</definedName>
    <definedName name="XDO_GROUP_?G_4?168?">SMCOMMA!$B$10:$IV$35</definedName>
    <definedName name="XDO_GROUP_?G_4?169?">SMCOMMA!$B$74:$IV$74</definedName>
    <definedName name="XDO_GROUP_?G_4?17?">SMEEF!$B$101:$IV$101</definedName>
    <definedName name="XDO_GROUP_?G_4?170?">SMCOMMA!$B$79:$IV$79</definedName>
    <definedName name="XDO_GROUP_?G_4?171?">SMGF!$B$24:$IV$28</definedName>
    <definedName name="XDO_GROUP_?G_4?172?">SMGF!$B$53:$IV$53</definedName>
    <definedName name="XDO_GROUP_?G_4?173?">SMGF!$B$58:$IV$58</definedName>
    <definedName name="XDO_GROUP_?G_4?174?">SMMULTI!$B$10:$IV$55</definedName>
    <definedName name="XDO_GROUP_?G_4?175?">SMMULTI!$B$51:$IV$51</definedName>
    <definedName name="XDO_GROUP_?G_4?176?">SMMULTI!$B$94:$IV$94</definedName>
    <definedName name="XDO_GROUP_?G_4?177?">SMMULTI!$B$99:$IV$99</definedName>
    <definedName name="XDO_GROUP_?G_4?178?">SMAAF!$B$10:$IV$59</definedName>
    <definedName name="XDO_GROUP_?G_4?179?">SMAAF!$B$74:$IV$76</definedName>
    <definedName name="XDO_GROUP_?G_4?18?">'[1]MELS-91'!$B$12:$IV$12</definedName>
    <definedName name="XDO_GROUP_?G_4?180?">SMAAF!$B$93:$IV$93</definedName>
    <definedName name="XDO_GROUP_?G_4?181?">SMAAF!$B$103:$IV$103</definedName>
    <definedName name="XDO_GROUP_?G_4?182?">SMAAF!$B$108:$IV$108</definedName>
    <definedName name="XDO_GROUP_?G_4?183?">SBLUECHIP!$B$10:$IV$67</definedName>
    <definedName name="XDO_GROUP_?G_4?184?">SBLUECHIP!$B$106:$IV$106</definedName>
    <definedName name="XDO_GROUP_?G_4?185?">SBLUECHIP!$B$111:$IV$111</definedName>
    <definedName name="XDO_GROUP_?G_4?186?">SAOF!$B$10:$IV$73</definedName>
    <definedName name="XDO_GROUP_?G_4?187?">SAOF!$B$88:$IV$88</definedName>
    <definedName name="XDO_GROUP_?G_4?188?">SAOF!$B$95:$IV$95</definedName>
    <definedName name="XDO_GROUP_?G_4?189?">SAOF!$B$112:$IV$126</definedName>
    <definedName name="XDO_GROUP_?G_4?19?">'[1]MELS-91'!$B$49:$IV$49</definedName>
    <definedName name="XDO_GROUP_?G_4?190?">SAOF!$B$130:$IV$130</definedName>
    <definedName name="XDO_GROUP_?G_4?191?">SAOF!$B$135:$IV$135</definedName>
    <definedName name="XDO_GROUP_?G_4?192?">SIF!$B$10:$IV$37</definedName>
    <definedName name="XDO_GROUP_?G_4?193?">SIF!$B$76:$IV$76</definedName>
    <definedName name="XDO_GROUP_?G_4?194?">SIF!$B$81:$IV$81</definedName>
    <definedName name="XDO_GROUP_?G_4?195?">SMLDF!$B$18:$IV$62</definedName>
    <definedName name="XDO_GROUP_?G_4?196?">SMLDF!$B$66:$IV$67</definedName>
    <definedName name="XDO_GROUP_?G_4?197?">SMLDF!$B$71:$IV$77</definedName>
    <definedName name="XDO_GROUP_?G_4?198?">SMLDF!$B$81:$IV$83</definedName>
    <definedName name="XDO_GROUP_?G_4?199?">SMLDF!$B$87:$IV$92</definedName>
    <definedName name="XDO_GROUP_?G_4?2?">'[1]MTSS-88-89'!$B$53:$IV$53</definedName>
    <definedName name="XDO_GROUP_?G_4?20?">'[1]MELS-91'!$B$54:$IV$54</definedName>
    <definedName name="XDO_GROUP_?G_4?200?">SMLDF!$B$97:$IV$106</definedName>
    <definedName name="XDO_GROUP_?G_4?201?">SMLDF!$B$110:$IV$112</definedName>
    <definedName name="XDO_GROUP_?G_4?202?">SMLDF!$B$116:$IV$118</definedName>
    <definedName name="XDO_GROUP_?G_4?203?">SMLDF!$B$133:$IV$133</definedName>
    <definedName name="XDO_GROUP_?G_4?204?">SMLDF!$B$138:$IV$138</definedName>
    <definedName name="XDO_GROUP_?G_4?205?">SSTDF!$B$18:$IV$101</definedName>
    <definedName name="XDO_GROUP_?G_4?206?">SSTDF!$B$105:$IV$105</definedName>
    <definedName name="XDO_GROUP_?G_4?207?">SSTDF!$B$109:$IV$113</definedName>
    <definedName name="XDO_GROUP_?G_4?208?">SSTDF!$B$117:$IV$123</definedName>
    <definedName name="XDO_GROUP_?G_4?209?">SSTDF!$B$127:$IV$136</definedName>
    <definedName name="XDO_GROUP_?G_4?21?">'[1]MMIS-91'!$B$10:$IV$11</definedName>
    <definedName name="XDO_GROUP_?G_4?210?">SSTDF!$B$145:$IV$145</definedName>
    <definedName name="XDO_GROUP_?G_4?211?">SSTDF!$B$160:$IV$160</definedName>
    <definedName name="XDO_GROUP_?G_4?212?">SSTDF!$B$165:$IV$165</definedName>
    <definedName name="XDO_GROUP_?G_4?213?">'SETF-Gold'!$B$42:$IV$42</definedName>
    <definedName name="XDO_GROUP_?G_4?214?">'SETF-Gold'!$B$50:$IV$50</definedName>
    <definedName name="XDO_GROUP_?G_4?215?">'SETF-Gold'!$B$55:$IV$55</definedName>
    <definedName name="XDO_GROUP_?G_4?216?">SPSU!$B$10:$IV$31</definedName>
    <definedName name="XDO_GROUP_?G_4?217?">SPSU!$B$70:$IV$70</definedName>
    <definedName name="XDO_GROUP_?G_4?218?">SPSU!$B$75:$IV$75</definedName>
    <definedName name="XDO_GROUP_?G_4?219?">SGF!$B$40:$IV$40</definedName>
    <definedName name="XDO_GROUP_?G_4?22?">'[1]MMIS-91'!$B$15:$IV$25</definedName>
    <definedName name="XDO_GROUP_?G_4?220?">SGF!$B$50:$IV$50</definedName>
    <definedName name="XDO_GROUP_?G_4?221?">SGF!$B$55:$IV$55</definedName>
    <definedName name="XDO_GROUP_?G_4?222?">'STAF-II'!$B$10:$IV$35</definedName>
    <definedName name="XDO_GROUP_?G_4?223?">'STAF-II'!$B$39:$IV$39</definedName>
    <definedName name="XDO_GROUP_?G_4?224?">'STAF-II'!$B$76:$IV$76</definedName>
    <definedName name="XDO_GROUP_?G_4?225?">'STAF-II'!$B$81:$IV$81</definedName>
    <definedName name="XDO_GROUP_?G_4?226?">'SETF-SENSEX'!$B$10:$IV$39</definedName>
    <definedName name="XDO_GROUP_?G_4?227?">'SETF-SENSEX'!$B$78:$IV$78</definedName>
    <definedName name="XDO_GROUP_?G_4?228?">'SETF-SENSEX'!$B$83:$IV$83</definedName>
    <definedName name="XDO_GROUP_?G_4?229?">SSCF!$B$10:$IV$62</definedName>
    <definedName name="XDO_GROUP_?G_4?23?">'[1]MMIS-91'!$B$62:$IV$62</definedName>
    <definedName name="XDO_GROUP_?G_4?230?">SSCF!$B$40:$IV$61</definedName>
    <definedName name="XDO_GROUP_?G_4?231?">SSCF!$B$99:$IV$99</definedName>
    <definedName name="XDO_GROUP_?G_4?232?">SSCF!$B$104:$IV$104</definedName>
    <definedName name="XDO_GROUP_?G_4?233?">SBPF!$B$18:$IV$96</definedName>
    <definedName name="XDO_GROUP_?G_4?234?">SBPF!$B$100:$IV$101</definedName>
    <definedName name="XDO_GROUP_?G_4?235?">SBPF!$B$107:$IV$111</definedName>
    <definedName name="XDO_GROUP_?G_4?236?">SBPF!$B$115:$IV$117</definedName>
    <definedName name="XDO_GROUP_?G_4?237?">SBPF!$B$140:$IV$140</definedName>
    <definedName name="XDO_GROUP_?G_4?238?">SBPF!$B$145:$IV$145</definedName>
    <definedName name="XDO_GROUP_?G_4?239?">'STAF-III'!$B$10:$IV$36</definedName>
    <definedName name="XDO_GROUP_?G_4?24?">'[1]MMIS-91'!$B$67:$IV$67</definedName>
    <definedName name="XDO_GROUP_?G_4?240?">'STAF-III'!$B$75:$IV$75</definedName>
    <definedName name="XDO_GROUP_?G_4?241?">'STAF-III'!$B$80:$IV$80</definedName>
    <definedName name="XDO_GROUP_?G_4?242?">'SEOF-I'!$B$10:$IV$45</definedName>
    <definedName name="XDO_GROUP_?G_4?243?">'SEOF-I'!$B$84:$IV$84</definedName>
    <definedName name="XDO_GROUP_?G_4?244?">'SEOF-I'!$B$89:$IV$89</definedName>
    <definedName name="XDO_GROUP_?G_4?245?">'SLTAF-I'!$B$10:$IV$37</definedName>
    <definedName name="XDO_GROUP_?G_4?246?">'SLTAF-I'!$B$76:$IV$76</definedName>
    <definedName name="XDO_GROUP_?G_4?247?">'SLTAF-I'!$B$81:$IV$81</definedName>
    <definedName name="XDO_GROUP_?G_4?248?">'SLTAF-II'!$B$10:$IV$39</definedName>
    <definedName name="XDO_GROUP_?G_4?249?">'SLTAF-II'!$B$78:$IV$78</definedName>
    <definedName name="XDO_GROUP_?G_4?25?">[1]MTPL!$B$10:$IV$10</definedName>
    <definedName name="XDO_GROUP_?G_4?250?">'SLTAF-II'!$B$83:$IV$83</definedName>
    <definedName name="XDO_GROUP_?G_4?251?">SBFS!$B$10:$IV$30</definedName>
    <definedName name="XDO_GROUP_?G_4?252?">SBFS!$B$29:$IV$29</definedName>
    <definedName name="XDO_GROUP_?G_4?253?">SBFS!$B$69:$IV$69</definedName>
    <definedName name="XDO_GROUP_?G_4?254?">SBFS!$B$74:$IV$74</definedName>
    <definedName name="XDO_GROUP_?G_4?255?">SDAAF!$B$10:$IV$40</definedName>
    <definedName name="XDO_GROUP_?G_4?256?">SDAAF!$B$77:$IV$77</definedName>
    <definedName name="XDO_GROUP_?G_4?257?">SDAAF!$B$81:$IV$81</definedName>
    <definedName name="XDO_GROUP_?G_4?258?">SDAAF!$B$86:$IV$86</definedName>
    <definedName name="XDO_GROUP_?G_4?259?">'SETF-NN50'!$B$10:$IV$59</definedName>
    <definedName name="XDO_GROUP_?G_4?26?">[1]MTPL!$B$49:$IV$49</definedName>
    <definedName name="XDO_GROUP_?G_4?260?">'SETF-NN50'!$B$98:$IV$98</definedName>
    <definedName name="XDO_GROUP_?G_4?261?">'SETF-NN50'!$B$103:$IV$103</definedName>
    <definedName name="XDO_GROUP_?G_4?262?">'SETF-NBank'!$B$10:$IV$76</definedName>
    <definedName name="XDO_GROUP_?G_4?263?">'SETF-NBank'!$B$60:$IV$60</definedName>
    <definedName name="XDO_GROUP_?G_4?264?">'SETF-NBank'!$B$65:$IV$65</definedName>
    <definedName name="XDO_GROUP_?G_4?265?">'SETF-BSE 100'!$B$10:$IV$165</definedName>
    <definedName name="XDO_GROUP_?G_4?266?">'SETF-BSE 100'!$B$149:$IV$149</definedName>
    <definedName name="XDO_GROUP_?G_4?267?">'SETF-BSE 100'!$B$154:$IV$154</definedName>
    <definedName name="XDO_GROUP_?G_4?268?">SESF!$B$10:$IV$81</definedName>
    <definedName name="XDO_GROUP_?G_4?269?">SESF!$B$52:$IV$52</definedName>
    <definedName name="XDO_GROUP_?G_4?27?">[1]MTPL!$B$54:$IV$54</definedName>
    <definedName name="XDO_GROUP_?G_4?270?">SESF!$B$90:$IV$94</definedName>
    <definedName name="XDO_GROUP_?G_4?271?">SESF!$B$98:$IV$98</definedName>
    <definedName name="XDO_GROUP_?G_4?272?">SESF!$B$104:$IV$106</definedName>
    <definedName name="XDO_GROUP_?G_4?273?">SESF!$B$129:$IV$130</definedName>
    <definedName name="XDO_GROUP_?G_4?274?">SESF!$B$134:$IV$134</definedName>
    <definedName name="XDO_GROUP_?G_4?275?">SESF!$B$139:$IV$139</definedName>
    <definedName name="XDO_GROUP_?G_4?276?">'SETF-Nifty 50'!$B$10:$IV$114</definedName>
    <definedName name="XDO_GROUP_?G_4?277?">'SETF-Nifty 50'!$B$98:$IV$98</definedName>
    <definedName name="XDO_GROUP_?G_4?278?">'SETF-Nifty 50'!$B$103:$IV$103</definedName>
    <definedName name="XDO_GROUP_?G_4?279?">'SEOF-IV'!$B$10:$IV$45</definedName>
    <definedName name="XDO_GROUP_?G_4?28?">'[1]MEX-91'!$B$48:$IV$48</definedName>
    <definedName name="XDO_GROUP_?G_4?280?">'SEOF-IV'!$B$84:$IV$84</definedName>
    <definedName name="XDO_GROUP_?G_4?281?">'SEOF-IV'!$B$89:$IV$89</definedName>
    <definedName name="XDO_GROUP_?G_4?282?">'SLTAF-III'!$B$10:$IV$39</definedName>
    <definedName name="XDO_GROUP_?G_4?283?">'SLTAF-III'!$B$78:$IV$78</definedName>
    <definedName name="XDO_GROUP_?G_4?284?">'SLTAF-III'!$B$83:$IV$83</definedName>
    <definedName name="XDO_GROUP_?G_4?285?">'SETF-10 Yr Gilt'!$B$24:$IV$24</definedName>
    <definedName name="XDO_GROUP_?G_4?286?">'SETF-10 Yr Gilt'!$B$49:$IV$49</definedName>
    <definedName name="XDO_GROUP_?G_4?287?">'SETF-10 Yr Gilt'!$B$54:$IV$54</definedName>
    <definedName name="XDO_GROUP_?G_4?288?">'SLTAF-IV'!$B$10:$IV$38</definedName>
    <definedName name="XDO_GROUP_?G_4?289?">'SLTAF-IV'!$B$34:$IV$42</definedName>
    <definedName name="XDO_GROUP_?G_4?29?">'[1]MEX-91'!$B$53:$IV$53</definedName>
    <definedName name="XDO_GROUP_?G_4?290?">'SLTAF-IV'!$B$79:$IV$79</definedName>
    <definedName name="XDO_GROUP_?G_4?291?">'SLTAF-IV'!$B$84:$IV$84</definedName>
    <definedName name="XDO_GROUP_?G_4?292?">'SDAFS-XXIV'!$B$18:$IV$21</definedName>
    <definedName name="XDO_GROUP_?G_4?293?">'SDAFS-XXIV'!$B$31:$IV$32</definedName>
    <definedName name="XDO_GROUP_?G_4?294?">'SDAFS-XXIV'!$B$41:$IV$41</definedName>
    <definedName name="XDO_GROUP_?G_4?295?">'SDAFS-XXIV'!$B$56:$IV$57</definedName>
    <definedName name="XDO_GROUP_?G_4?296?">'SDAFS-XXIV'!$B$62:$IV$62</definedName>
    <definedName name="XDO_GROUP_?G_4?297?">'SDAFS-XXV'!$B$10:$IV$31</definedName>
    <definedName name="XDO_GROUP_?G_4?298?">'SDAFS-XXV'!$B$40:$IV$52</definedName>
    <definedName name="XDO_GROUP_?G_4?299?">'SDAFS-XXV'!$B$62:$IV$66</definedName>
    <definedName name="XDO_GROUP_?G_4?3?">'[1]MRIS-89'!$B$48:$IV$48</definedName>
    <definedName name="XDO_GROUP_?G_4?30?">'[1]GIFTS B'!$B$12:$IV$16</definedName>
    <definedName name="XDO_GROUP_?G_4?300?">'SDAFS-XXV'!$B$73:$IV$74</definedName>
    <definedName name="XDO_GROUP_?G_4?301?">'SDAFS-XXV'!$B$78:$IV$78</definedName>
    <definedName name="XDO_GROUP_?G_4?302?">'SDAFS-XXV'!$B$93:$IV$93</definedName>
    <definedName name="XDO_GROUP_?G_4?303?">'SDAFS-XXV'!$B$98:$IV$98</definedName>
    <definedName name="XDO_GROUP_?G_4?304?">'SLTAF-V'!$B$10:$IV$42</definedName>
    <definedName name="XDO_GROUP_?G_4?305?">'SLTAF-V'!$B$81:$IV$81</definedName>
    <definedName name="XDO_GROUP_?G_4?306?">'SLTAF-V'!$B$86:$IV$86</definedName>
    <definedName name="XDO_GROUP_?G_4?307?">'SDFS-C-7'!$B$18:$IV$28</definedName>
    <definedName name="XDO_GROUP_?G_4?308?">'SDFS-C-7'!$B$38:$IV$38</definedName>
    <definedName name="XDO_GROUP_?G_4?309?">'SDFS-C-7'!$B$45:$IV$47</definedName>
    <definedName name="XDO_GROUP_?G_4?31?">'[1]GIFTS B'!$B$53:$IV$53</definedName>
    <definedName name="XDO_GROUP_?G_4?310?">'SDFS-C-7'!$B$64:$IV$64</definedName>
    <definedName name="XDO_GROUP_?G_4?311?">'SDFS-C-7'!$B$69:$IV$69</definedName>
    <definedName name="XDO_GROUP_?G_4?312?">'SDAFS-XXVI'!$B$10:$IV$31</definedName>
    <definedName name="XDO_GROUP_?G_4?313?">'SDAFS-XXVI'!$B$40:$IV$50</definedName>
    <definedName name="XDO_GROUP_?G_4?314?">'SDAFS-XXVI'!$B$54:$IV$54</definedName>
    <definedName name="XDO_GROUP_?G_4?315?">'SDAFS-XXVI'!$B$60:$IV$60</definedName>
    <definedName name="XDO_GROUP_?G_4?316?">'SDAFS-XXVI'!$B$64:$IV$66</definedName>
    <definedName name="XDO_GROUP_?G_4?317?">'SDAFS-XXVI'!$B$75:$IV$75</definedName>
    <definedName name="XDO_GROUP_?G_4?318?">'SDAFS-XXVI'!$B$90:$IV$90</definedName>
    <definedName name="XDO_GROUP_?G_4?319?">'SDAFS-XXVI'!$B$95:$IV$95</definedName>
    <definedName name="XDO_GROUP_?G_4?32?">'[1]GIFTS B'!$B$58:$IV$58</definedName>
    <definedName name="XDO_GROUP_?G_4?320?">'SDFS-C-8'!$B$18:$IV$28</definedName>
    <definedName name="XDO_GROUP_?G_4?321?">'SDFS-C-8'!$B$38:$IV$39</definedName>
    <definedName name="XDO_GROUP_?G_4?322?">'SDFS-C-8'!$B$46:$IV$48</definedName>
    <definedName name="XDO_GROUP_?G_4?323?">'SDFS-C-8'!$B$65:$IV$65</definedName>
    <definedName name="XDO_GROUP_?G_4?324?">'SDFS-C-8'!$B$70:$IV$70</definedName>
    <definedName name="XDO_GROUP_?G_4?325?">'SDFS-C-9'!$B$18:$IV$27</definedName>
    <definedName name="XDO_GROUP_?G_4?326?">'SDFS-C-9'!$B$37:$IV$38</definedName>
    <definedName name="XDO_GROUP_?G_4?327?">'SDFS-C-9'!$B$45:$IV$47</definedName>
    <definedName name="XDO_GROUP_?G_4?328?">'SDFS-C-9'!$B$64:$IV$64</definedName>
    <definedName name="XDO_GROUP_?G_4?329?">'SDFS-C-9'!$B$69:$IV$69</definedName>
    <definedName name="XDO_GROUP_?G_4?33?">'[1]GIFTS A'!$B$12:$IV$12</definedName>
    <definedName name="XDO_GROUP_?G_4?330?">'SDFS-C-10'!$B$18:$IV$29</definedName>
    <definedName name="XDO_GROUP_?G_4?331?">'SDFS-C-10'!$B$39:$IV$40</definedName>
    <definedName name="XDO_GROUP_?G_4?332?">'SDFS-C-10'!$B$47:$IV$50</definedName>
    <definedName name="XDO_GROUP_?G_4?333?">'SDFS-C-10'!$B$54:$IV$54</definedName>
    <definedName name="XDO_GROUP_?G_4?334?">'SDFS-C-10'!$B$69:$IV$69</definedName>
    <definedName name="XDO_GROUP_?G_4?335?">'SDFS-C-10'!$B$74:$IV$74</definedName>
    <definedName name="XDO_GROUP_?G_4?336?">'SDAFS-XXVII'!$B$10:$IV$33</definedName>
    <definedName name="XDO_GROUP_?G_4?337?">'SDAFS-XXVII'!$B$42:$IV$49</definedName>
    <definedName name="XDO_GROUP_?G_4?338?">'SDAFS-XXVII'!$B$53:$IV$54</definedName>
    <definedName name="XDO_GROUP_?G_4?339?">'SDAFS-XXVII'!$B$62:$IV$62</definedName>
    <definedName name="XDO_GROUP_?G_4?34?">'[1]GIFTS A'!$B$49:$IV$49</definedName>
    <definedName name="XDO_GROUP_?G_4?340?">'SDAFS-XXVII'!$B$69:$IV$69</definedName>
    <definedName name="XDO_GROUP_?G_4?341?">'SDAFS-XXVII'!$B$73:$IV$73</definedName>
    <definedName name="XDO_GROUP_?G_4?342?">'SDAFS-XXVII'!$B$88:$IV$88</definedName>
    <definedName name="XDO_GROUP_?G_4?343?">'SDAFS-XXVII'!$B$93:$IV$93</definedName>
    <definedName name="XDO_GROUP_?G_4?344?">'SDFS-C-12'!$B$18:$IV$26</definedName>
    <definedName name="XDO_GROUP_?G_4?345?">'SDFS-C-12'!$B$36:$IV$39</definedName>
    <definedName name="XDO_GROUP_?G_4?346?">'SDFS-C-12'!$B$46:$IV$50</definedName>
    <definedName name="XDO_GROUP_?G_4?347?">'SDFS-C-12'!$B$54:$IV$55</definedName>
    <definedName name="XDO_GROUP_?G_4?348?">'SDFS-C-12'!$B$70:$IV$70</definedName>
    <definedName name="XDO_GROUP_?G_4?349?">'SDFS-C-12'!$B$75:$IV$75</definedName>
    <definedName name="XDO_GROUP_?G_4?35?">'[1]GIFTS A'!$B$54:$IV$54</definedName>
    <definedName name="XDO_GROUP_?G_4?350?">'SDFS-C-14'!$B$18:$IV$27</definedName>
    <definedName name="XDO_GROUP_?G_4?351?">'SDFS-C-14'!$B$37:$IV$37</definedName>
    <definedName name="XDO_GROUP_?G_4?352?">'SDFS-C-14'!$B$44:$IV$47</definedName>
    <definedName name="XDO_GROUP_?G_4?353?">'SDFS-C-14'!$B$51:$IV$52</definedName>
    <definedName name="XDO_GROUP_?G_4?354?">'SDFS-C-14'!$B$67:$IV$67</definedName>
    <definedName name="XDO_GROUP_?G_4?355?">'SDFS-C-14'!$B$72:$IV$72</definedName>
    <definedName name="XDO_GROUP_?G_4?356?">'SLTAF-VI'!$B$10:$IV$35</definedName>
    <definedName name="XDO_GROUP_?G_4?357?">'SLTAF-VI'!$B$74:$IV$74</definedName>
    <definedName name="XDO_GROUP_?G_4?358?">'SLTAF-VI'!$B$79:$IV$79</definedName>
    <definedName name="XDO_GROUP_?G_4?359?">'SDAFS-XXVIII'!$B$10:$IV$34</definedName>
    <definedName name="XDO_GROUP_?G_4?36?">SLMF!$B$10:$IV$65</definedName>
    <definedName name="XDO_GROUP_?G_4?360?">'SDAFS-XXVIII'!$B$43:$IV$53</definedName>
    <definedName name="XDO_GROUP_?G_4?361?">'SDAFS-XXVIII'!$B$63:$IV$64</definedName>
    <definedName name="XDO_GROUP_?G_4?362?">'SDAFS-XXVIII'!$B$71:$IV$71</definedName>
    <definedName name="XDO_GROUP_?G_4?363?">'SDAFS-XXVIII'!$B$88:$IV$88</definedName>
    <definedName name="XDO_GROUP_?G_4?364?">'SDAFS-XXVIII'!$B$93:$IV$93</definedName>
    <definedName name="XDO_GROUP_?G_4?365?">'SDFS-C-16'!$B$18:$IV$32</definedName>
    <definedName name="XDO_GROUP_?G_4?366?">'SDFS-C-16'!$B$42:$IV$43</definedName>
    <definedName name="XDO_GROUP_?G_4?367?">'SDFS-C-16'!$B$50:$IV$56</definedName>
    <definedName name="XDO_GROUP_?G_4?368?">'SDFS-C-16'!$B$73:$IV$73</definedName>
    <definedName name="XDO_GROUP_?G_4?369?">'SDFS-C-16'!$B$78:$IV$78</definedName>
    <definedName name="XDO_GROUP_?G_4?37?">SLMF!$B$61:$IV$71</definedName>
    <definedName name="XDO_GROUP_?G_4?370?">'SDFS-C-18'!$B$18:$IV$36</definedName>
    <definedName name="XDO_GROUP_?G_4?371?">'SDFS-C-18'!$B$46:$IV$49</definedName>
    <definedName name="XDO_GROUP_?G_4?372?">'SDFS-C-18'!$B$56:$IV$61</definedName>
    <definedName name="XDO_GROUP_?G_4?373?">'SDFS-C-18'!$B$78:$IV$78</definedName>
    <definedName name="XDO_GROUP_?G_4?374?">'SDFS-C-18'!$B$83:$IV$83</definedName>
    <definedName name="XDO_GROUP_?G_4?375?">'SDFS-C-19'!$B$18:$IV$29</definedName>
    <definedName name="XDO_GROUP_?G_4?376?">'SDFS-C-19'!$B$39:$IV$39</definedName>
    <definedName name="XDO_GROUP_?G_4?377?">'SDFS-C-19'!$B$46:$IV$50</definedName>
    <definedName name="XDO_GROUP_?G_4?378?">'SDFS-C-19'!$B$67:$IV$67</definedName>
    <definedName name="XDO_GROUP_?G_4?379?">'SDFS-C-19'!$B$72:$IV$72</definedName>
    <definedName name="XDO_GROUP_?G_4?38?">SLMF!$B$108:$IV$108</definedName>
    <definedName name="XDO_GROUP_?G_4?380?">'SDAFS-XXIX'!$B$10:$IV$34</definedName>
    <definedName name="XDO_GROUP_?G_4?381?">'SDAFS-XXIX'!$B$43:$IV$55</definedName>
    <definedName name="XDO_GROUP_?G_4?382?">'SDAFS-XXIX'!$B$65:$IV$66</definedName>
    <definedName name="XDO_GROUP_?G_4?383?">'SDAFS-XXIX'!$B$73:$IV$74</definedName>
    <definedName name="XDO_GROUP_?G_4?384?">'SDAFS-XXIX'!$B$91:$IV$91</definedName>
    <definedName name="XDO_GROUP_?G_4?385?">'SDAFS-XXIX'!$B$96:$IV$96</definedName>
    <definedName name="XDO_GROUP_?G_4?386?">'SDFS-C-20'!$B$18:$IV$28</definedName>
    <definedName name="XDO_GROUP_?G_4?387?">'SDFS-C-20'!$B$38:$IV$39</definedName>
    <definedName name="XDO_GROUP_?G_4?388?">'SDFS-C-20'!$B$46:$IV$51</definedName>
    <definedName name="XDO_GROUP_?G_4?389?">'SDFS-C-20'!$B$68:$IV$68</definedName>
    <definedName name="XDO_GROUP_?G_4?39?">SLMF!$B$113:$IV$113</definedName>
    <definedName name="XDO_GROUP_?G_4?390?">'SDFS-C-20'!$B$73:$IV$73</definedName>
    <definedName name="XDO_GROUP_?G_4?391?">'SDFS-C-21'!$B$18:$IV$29</definedName>
    <definedName name="XDO_GROUP_?G_4?392?">'SDFS-C-21'!$B$35:$IV$35</definedName>
    <definedName name="XDO_GROUP_?G_4?393?">'SDFS-C-21'!$B$41:$IV$41</definedName>
    <definedName name="XDO_GROUP_?G_4?394?">'SDFS-C-21'!$B$48:$IV$54</definedName>
    <definedName name="XDO_GROUP_?G_4?395?">'SDFS-C-21'!$B$71:$IV$71</definedName>
    <definedName name="XDO_GROUP_?G_4?396?">'SDFS-C-21'!$B$76:$IV$76</definedName>
    <definedName name="XDO_GROUP_?G_4?397?">'SDFS-C-22'!$B$18:$IV$29</definedName>
    <definedName name="XDO_GROUP_?G_4?398?">'SDFS-C-22'!$B$39:$IV$39</definedName>
    <definedName name="XDO_GROUP_?G_4?399?">'SDFS-C-22'!$B$46:$IV$49</definedName>
    <definedName name="XDO_GROUP_?G_4?4?">'[1]MRIS-89'!$B$53:$IV$53</definedName>
    <definedName name="XDO_GROUP_?G_4?40?">SLTEF!$B$10:$IV$65</definedName>
    <definedName name="XDO_GROUP_?G_4?400?">'SDFS-C-22'!$B$66:$IV$66</definedName>
    <definedName name="XDO_GROUP_?G_4?401?">'SDFS-C-22'!$B$71:$IV$71</definedName>
    <definedName name="XDO_GROUP_?G_4?402?">'SDFS-C-23'!$B$18:$IV$34</definedName>
    <definedName name="XDO_GROUP_?G_4?403?">'SDFS-C-23'!$B$49:$IV$53</definedName>
    <definedName name="XDO_GROUP_?G_4?404?">'SDFS-C-23'!$B$70:$IV$70</definedName>
    <definedName name="XDO_GROUP_?G_4?405?">'SDFS-C-23'!$B$75:$IV$75</definedName>
    <definedName name="XDO_GROUP_?G_4?406?">'SETF-SN50'!$B$10:$IV$114</definedName>
    <definedName name="XDO_GROUP_?G_4?407?">'SETF-SN50'!$B$98:$IV$98</definedName>
    <definedName name="XDO_GROUP_?G_4?408?">'SETF-SN50'!$B$103:$IV$103</definedName>
    <definedName name="XDO_GROUP_?G_4?409?">'SDFS-C-24'!$B$18:$IV$29</definedName>
    <definedName name="XDO_GROUP_?G_4?41?">SLTEF!$B$57:$IV$57</definedName>
    <definedName name="XDO_GROUP_?G_4?410?">'SDFS-C-24'!$B$33:$IV$33</definedName>
    <definedName name="XDO_GROUP_?G_4?411?">'SDFS-C-24'!$B$46:$IV$48</definedName>
    <definedName name="XDO_GROUP_?G_4?412?">'SDFS-C-24'!$B$65:$IV$65</definedName>
    <definedName name="XDO_GROUP_?G_4?413?">'SDFS-C-24'!$B$70:$IV$70</definedName>
    <definedName name="XDO_GROUP_?G_4?414?">'SDFS-C-25'!$B$18:$IV$34</definedName>
    <definedName name="XDO_GROUP_?G_4?415?">'SDFS-C-25'!$B$40:$IV$40</definedName>
    <definedName name="XDO_GROUP_?G_4?416?">'SDFS-C-25'!$B$51:$IV$52</definedName>
    <definedName name="XDO_GROUP_?G_4?417?">'SDFS-C-25'!$B$56:$IV$56</definedName>
    <definedName name="XDO_GROUP_?G_4?418?">'SDFS-C-25'!$B$71:$IV$71</definedName>
    <definedName name="XDO_GROUP_?G_4?419?">'SDFS-C-25'!$B$76:$IV$76</definedName>
    <definedName name="XDO_GROUP_?G_4?42?">SLTEF!$B$104:$IV$104</definedName>
    <definedName name="XDO_GROUP_?G_4?420?">'SDAFS-XXX'!$B$10:$IV$34</definedName>
    <definedName name="XDO_GROUP_?G_4?421?">'SDAFS-XXX'!$B$43:$IV$55</definedName>
    <definedName name="XDO_GROUP_?G_4?422?">'SDAFS-XXX'!$B$72:$IV$72</definedName>
    <definedName name="XDO_GROUP_?G_4?423?">'SDAFS-XXX'!$B$87:$IV$87</definedName>
    <definedName name="XDO_GROUP_?G_4?424?">'SDAFS-XXX'!$B$92:$IV$92</definedName>
    <definedName name="XDO_GROUP_?G_4?425?">'SDFS-C-26'!$B$18:$IV$32</definedName>
    <definedName name="XDO_GROUP_?G_4?426?">'SDFS-C-26'!$B$47:$IV$48</definedName>
    <definedName name="XDO_GROUP_?G_4?427?">'SDFS-C-26'!$B$52:$IV$52</definedName>
    <definedName name="XDO_GROUP_?G_4?428?">'SDFS-C-26'!$B$67:$IV$67</definedName>
    <definedName name="XDO_GROUP_?G_4?429?">'SDFS-C-26'!$B$72:$IV$72</definedName>
    <definedName name="XDO_GROUP_?G_4?43?">SLTEF!$B$109:$IV$109</definedName>
    <definedName name="XDO_GROUP_?G_4?430?">'SDFS-C-27'!$B$18:$IV$29</definedName>
    <definedName name="XDO_GROUP_?G_4?431?">'SDFS-C-27'!$B$44:$IV$46</definedName>
    <definedName name="XDO_GROUP_?G_4?432?">'SDFS-C-27'!$B$50:$IV$50</definedName>
    <definedName name="XDO_GROUP_?G_4?433?">'SDFS-C-27'!$B$65:$IV$65</definedName>
    <definedName name="XDO_GROUP_?G_4?434?">'SDFS-C-27'!$B$70:$IV$70</definedName>
    <definedName name="XDO_GROUP_?G_4?435?">'SDFS-C-28'!$B$18:$IV$32</definedName>
    <definedName name="XDO_GROUP_?G_4?436?">'SDFS-C-28'!$B$42:$IV$42</definedName>
    <definedName name="XDO_GROUP_?G_4?437?">'SDFS-C-28'!$B$49:$IV$52</definedName>
    <definedName name="XDO_GROUP_?G_4?438?">'SDFS-C-28'!$B$69:$IV$69</definedName>
    <definedName name="XDO_GROUP_?G_4?439?">'SDFS-C-28'!$B$74:$IV$74</definedName>
    <definedName name="XDO_GROUP_?G_4?44?">'[1]MRIS-93'!$B$12:$IV$17</definedName>
    <definedName name="XDO_GROUP_?G_4?440?">'SDFS-C-30'!$B$18:$IV$32</definedName>
    <definedName name="XDO_GROUP_?G_4?441?">'SDFS-C-30'!$B$47:$IV$50</definedName>
    <definedName name="XDO_GROUP_?G_4?442?">'SDFS-C-30'!$B$67:$IV$67</definedName>
    <definedName name="XDO_GROUP_?G_4?443?">'SDFS-C-30'!$B$72:$IV$72</definedName>
    <definedName name="XDO_GROUP_?G_4?444?">'SETF-Quality'!$B$10:$IV$39</definedName>
    <definedName name="XDO_GROUP_?G_4?445?">'SETF-Quality'!$B$78:$IV$78</definedName>
    <definedName name="XDO_GROUP_?G_4?446?">'SETF-Quality'!$B$83:$IV$83</definedName>
    <definedName name="XDO_GROUP_?G_4?447?">'SDFS-C-32'!$B$18:$IV$37</definedName>
    <definedName name="XDO_GROUP_?G_4?448?">'SDFS-C-32'!$B$52:$IV$54</definedName>
    <definedName name="XDO_GROUP_?G_4?449?">'SDFS-C-32'!$B$58:$IV$58</definedName>
    <definedName name="XDO_GROUP_?G_4?45?">'[1]MRIS-93'!$B$54:$IV$54</definedName>
    <definedName name="XDO_GROUP_?G_4?450?">'SDFS-C-32'!$B$73:$IV$73</definedName>
    <definedName name="XDO_GROUP_?G_4?451?">'SDFS-C-32'!$B$78:$IV$78</definedName>
    <definedName name="XDO_GROUP_?G_4?452?">'SDFS-C-33'!$B$18:$IV$38</definedName>
    <definedName name="XDO_GROUP_?G_4?453?">'SDFS-C-33'!$B$53:$IV$56</definedName>
    <definedName name="XDO_GROUP_?G_4?454?">'SDFS-C-33'!$B$60:$IV$60</definedName>
    <definedName name="XDO_GROUP_?G_4?455?">'SDFS-C-33'!$B$75:$IV$75</definedName>
    <definedName name="XDO_GROUP_?G_4?456?">'SDFS-C-33'!$B$80:$IV$80</definedName>
    <definedName name="XDO_GROUP_?G_4?457?">'SDFS-C-34'!$B$18:$IV$32</definedName>
    <definedName name="XDO_GROUP_?G_4?458?">'SDFS-C-34'!$B$47:$IV$50</definedName>
    <definedName name="XDO_GROUP_?G_4?459?">'SDFS-C-34'!$B$67:$IV$67</definedName>
    <definedName name="XDO_GROUP_?G_4?46?">'[1]MRIS-93'!$B$59:$IV$59</definedName>
    <definedName name="XDO_GROUP_?G_4?460?">'SDFS-C-34'!$B$72:$IV$72</definedName>
    <definedName name="XDO_GROUP_?G_4?461?">'SDFS-C-35'!$B$18:$IV$33</definedName>
    <definedName name="XDO_GROUP_?G_4?462?">'SDFS-C-35'!$B$48:$IV$50</definedName>
    <definedName name="XDO_GROUP_?G_4?463?">'SDFS-C-35'!$B$67:$IV$67</definedName>
    <definedName name="XDO_GROUP_?G_4?464?">'SDFS-C-35'!$B$72:$IV$72</definedName>
    <definedName name="XDO_GROUP_?G_4?465?">'SDFS-C-38'!$B$18:$IV$28</definedName>
    <definedName name="XDO_GROUP_?G_4?466?">'SDFS-C-38'!$B$38:$IV$45</definedName>
    <definedName name="XDO_GROUP_?G_4?467?">'SDFS-C-38'!$B$52:$IV$56</definedName>
    <definedName name="XDO_GROUP_?G_4?468?">'SDFS-C-38'!$B$60:$IV$60</definedName>
    <definedName name="XDO_GROUP_?G_4?469?">'SDFS-C-38'!$B$75:$IV$75</definedName>
    <definedName name="XDO_GROUP_?G_4?47?">'[1]MTP-94'!$B$12:$IV$12</definedName>
    <definedName name="XDO_GROUP_?G_4?470?">'SDFS-C-38'!$B$80:$IV$80</definedName>
    <definedName name="XDO_GROUP_?G_4?471?">SCBF!$B$18:$IV$133</definedName>
    <definedName name="XDO_GROUP_?G_4?472?">SCBF!$B$137:$IV$137</definedName>
    <definedName name="XDO_GROUP_?G_4?473?">SCBF!$B$141:$IV$146</definedName>
    <definedName name="XDO_GROUP_?G_4?474?">SCBF!$B$150:$IV$158</definedName>
    <definedName name="XDO_GROUP_?G_4?475?">SCBF!$B$162:$IV$171</definedName>
    <definedName name="XDO_GROUP_?G_4?476?">SCBF!$B$180:$IV$182</definedName>
    <definedName name="XDO_GROUP_?G_4?477?">SCBF!$B$197:$IV$197</definedName>
    <definedName name="XDO_GROUP_?G_4?478?">SCBF!$B$202:$IV$202</definedName>
    <definedName name="XDO_GROUP_?G_4?479?">'SDFS-C-40'!$B$18:$IV$28</definedName>
    <definedName name="XDO_GROUP_?G_4?48?">'[1]MTP-94'!$B$49:$IV$49</definedName>
    <definedName name="XDO_GROUP_?G_4?480?">'SDFS-C-40'!$B$38:$IV$39</definedName>
    <definedName name="XDO_GROUP_?G_4?481?">'SDFS-C-40'!$B$46:$IV$47</definedName>
    <definedName name="XDO_GROUP_?G_4?482?">'SDFS-C-40'!$B$64:$IV$64</definedName>
    <definedName name="XDO_GROUP_?G_4?483?">'SDFS-C-40'!$B$69:$IV$69</definedName>
    <definedName name="XDO_GROUP_?G_4?484?">'SDFS-C-41'!$B$18:$IV$32</definedName>
    <definedName name="XDO_GROUP_?G_4?485?">'SDFS-C-41'!$B$42:$IV$43</definedName>
    <definedName name="XDO_GROUP_?G_4?486?">'SDFS-C-41'!$B$50:$IV$54</definedName>
    <definedName name="XDO_GROUP_?G_4?487?">'SDFS-C-41'!$B$71:$IV$71</definedName>
    <definedName name="XDO_GROUP_?G_4?488?">'SDFS-C-41'!$B$76:$IV$76</definedName>
    <definedName name="XDO_GROUP_?G_4?489?">'SDFS-C-43'!$B$18:$IV$28</definedName>
    <definedName name="XDO_GROUP_?G_4?49?">'[1]MTP-94'!$B$54:$IV$54</definedName>
    <definedName name="XDO_GROUP_?G_4?490?">'SDFS-C-43'!$B$38:$IV$41</definedName>
    <definedName name="XDO_GROUP_?G_4?491?">'SDFS-C-43'!$B$48:$IV$50</definedName>
    <definedName name="XDO_GROUP_?G_4?492?">'SDFS-C-43'!$B$67:$IV$67</definedName>
    <definedName name="XDO_GROUP_?G_4?493?">'SDFS-C-43'!$B$72:$IV$72</definedName>
    <definedName name="XDO_GROUP_?G_4?494?">'SDFS-C-44'!$B$18:$IV$28</definedName>
    <definedName name="XDO_GROUP_?G_4?495?">'SDFS-C-44'!$B$38:$IV$39</definedName>
    <definedName name="XDO_GROUP_?G_4?496?">'SDFS-C-44'!$B$46:$IV$48</definedName>
    <definedName name="XDO_GROUP_?G_4?497?">'SDFS-C-44'!$B$65:$IV$65</definedName>
    <definedName name="XDO_GROUP_?G_4?498?">'SDFS-C-44'!$B$70:$IV$70</definedName>
    <definedName name="XDO_GROUP_?G_4?499?">'SCPOF-A1'!$B$10:$IV$58</definedName>
    <definedName name="XDO_GROUP_?G_4?5?">'[1]MMIS-89'!$B$10:$IV$10</definedName>
    <definedName name="XDO_GROUP_?G_4?50?">SMGLF!$B$10:$IV$31</definedName>
    <definedName name="XDO_GROUP_?G_4?500?">'SCPOF-A1'!$B$67:$IV$74</definedName>
    <definedName name="XDO_GROUP_?G_4?501?">'SCPOF-A1'!$B$78:$IV$78</definedName>
    <definedName name="XDO_GROUP_?G_4?502?">'SCPOF-A1'!$B$93:$IV$93</definedName>
    <definedName name="XDO_GROUP_?G_4?503?">'SCPOF-A1'!$B$108:$IV$108</definedName>
    <definedName name="XDO_GROUP_?G_4?504?">'SCPOF-A1'!$B$113:$IV$113</definedName>
    <definedName name="XDO_GROUP_?G_4?505?">'SDFS-C-46'!$B$18:$IV$25</definedName>
    <definedName name="XDO_GROUP_?G_4?506?">'SDFS-C-46'!$B$29:$IV$29</definedName>
    <definedName name="XDO_GROUP_?G_4?507?">'SDFS-C-46'!$B$37:$IV$39</definedName>
    <definedName name="XDO_GROUP_?G_4?508?">'SDFS-C-46'!$B$46:$IV$46</definedName>
    <definedName name="XDO_GROUP_?G_4?509?">'SDFS-C-46'!$B$50:$IV$50</definedName>
    <definedName name="XDO_GROUP_?G_4?51?">SMGLF!$B$52:$IV$52</definedName>
    <definedName name="XDO_GROUP_?G_4?510?">'SDFS-C-46'!$B$65:$IV$65</definedName>
    <definedName name="XDO_GROUP_?G_4?511?">'SDFS-C-46'!$B$70:$IV$70</definedName>
    <definedName name="XDO_GROUP_?G_4?512?">SEMVF!$B$10:$IV$121</definedName>
    <definedName name="XDO_GROUP_?G_4?513?">SEMVF!$B$96:$IV$96</definedName>
    <definedName name="XDO_GROUP_?G_4?514?">SEMVF!$B$100:$IV$100</definedName>
    <definedName name="XDO_GROUP_?G_4?515?">SEMVF!$B$105:$IV$105</definedName>
    <definedName name="XDO_GROUP_?G_4?516?">'SDFS-C-48'!$B$18:$IV$34</definedName>
    <definedName name="XDO_GROUP_?G_4?517?">'SDFS-C-48'!$B$44:$IV$44</definedName>
    <definedName name="XDO_GROUP_?G_4?518?">'SDFS-C-48'!$B$51:$IV$53</definedName>
    <definedName name="XDO_GROUP_?G_4?519?">'SDFS-C-48'!$B$70:$IV$70</definedName>
    <definedName name="XDO_GROUP_?G_4?52?">SMGLF!$B$32:$IV$46</definedName>
    <definedName name="XDO_GROUP_?G_4?520?">'SDFS-C-48'!$B$75:$IV$75</definedName>
    <definedName name="XDO_GROUP_?G_4?521?">'SDFS-C-49'!$B$18:$IV$27</definedName>
    <definedName name="XDO_GROUP_?G_4?522?">'SDFS-C-49'!$B$37:$IV$38</definedName>
    <definedName name="XDO_GROUP_?G_4?523?">'SDFS-C-49'!$B$45:$IV$47</definedName>
    <definedName name="XDO_GROUP_?G_4?524?">'SDFS-C-49'!$B$51:$IV$51</definedName>
    <definedName name="XDO_GROUP_?G_4?525?">'SDFS-C-49'!$B$66:$IV$66</definedName>
    <definedName name="XDO_GROUP_?G_4?526?">'SDFS-C-49'!$B$71:$IV$71</definedName>
    <definedName name="XDO_GROUP_?G_4?527?">'SCPOF-Series A (Plan 2)'!$B$10:$IV$59</definedName>
    <definedName name="XDO_GROUP_?G_4?528?">'SCPOF-Series A (Plan 2)'!$B$68:$IV$74</definedName>
    <definedName name="XDO_GROUP_?G_4?529?">'SCPOF-Series A (Plan 2)'!$B$84:$IV$84</definedName>
    <definedName name="XDO_GROUP_?G_4?53?">SMGLF!$B$87:$IV$87</definedName>
    <definedName name="XDO_GROUP_?G_4?530?">'SCPOF-Series A (Plan 2)'!$B$93:$IV$93</definedName>
    <definedName name="XDO_GROUP_?G_4?531?">'SCPOF-Series A (Plan 2)'!$B$108:$IV$108</definedName>
    <definedName name="XDO_GROUP_?G_4?532?">'SCPOF-Series A (Plan 2)'!$B$113:$IV$113</definedName>
    <definedName name="XDO_GROUP_?G_4?533?">'SDFS-C-50'!$B$18:$IV$26</definedName>
    <definedName name="XDO_GROUP_?G_4?534?">'SDFS-C-50'!$B$36:$IV$40</definedName>
    <definedName name="XDO_GROUP_?G_4?535?">'SDFS-C-50'!$B$47:$IV$48</definedName>
    <definedName name="XDO_GROUP_?G_4?536?">'SDFS-C-50'!$B$65:$IV$65</definedName>
    <definedName name="XDO_GROUP_?G_4?537?">'SDFS-C-50'!$B$70:$IV$70</definedName>
    <definedName name="XDO_GROUP_?G_4?538?">'SFMP- Series 1'!$B$26:$IV$31</definedName>
    <definedName name="XDO_GROUP_?G_4?539?">'SFMP- Series 1'!$B$38:$IV$39</definedName>
    <definedName name="XDO_GROUP_?G_4?54?">SMGLF!$B$92:$IV$92</definedName>
    <definedName name="XDO_GROUP_?G_4?540?">'SFMP- Series 1'!$B$56:$IV$56</definedName>
    <definedName name="XDO_GROUP_?G_4?541?">'SFMP- Series 1'!$B$61:$IV$61</definedName>
    <definedName name="XDO_GROUP_?G_4?542?">'SFMP- Series 2'!$B$18:$IV$29</definedName>
    <definedName name="XDO_GROUP_?G_4?543?">'SFMP- Series 2'!$B$44:$IV$45</definedName>
    <definedName name="XDO_GROUP_?G_4?544?">'SFMP- Series 2'!$B$62:$IV$62</definedName>
    <definedName name="XDO_GROUP_?G_4?545?">'SFMP- Series 2'!$B$67:$IV$67</definedName>
    <definedName name="XDO_GROUP_?G_4?546?">'SFMP- Series 3'!$B$18:$IV$29</definedName>
    <definedName name="XDO_GROUP_?G_4?547?">'SFMP- Series 3'!$B$44:$IV$45</definedName>
    <definedName name="XDO_GROUP_?G_4?548?">'SFMP- Series 3'!$B$62:$IV$62</definedName>
    <definedName name="XDO_GROUP_?G_4?549?">'SFMP- Series 3'!$B$67:$IV$67</definedName>
    <definedName name="XDO_GROUP_?G_4?55?">'[1]MBF-94'!$B$10:$IV$10</definedName>
    <definedName name="XDO_GROUP_?G_4?550?">'SCPOF-Series A (Plan 3)'!$B$10:$IV$59</definedName>
    <definedName name="XDO_GROUP_?G_4?551?">'SCPOF-Series A (Plan 3)'!$B$68:$IV$76</definedName>
    <definedName name="XDO_GROUP_?G_4?552?">'SCPOF-Series A (Plan 3)'!$B$86:$IV$87</definedName>
    <definedName name="XDO_GROUP_?G_4?553?">'SCPOF-Series A (Plan 3)'!$B$110:$IV$110</definedName>
    <definedName name="XDO_GROUP_?G_4?554?">'SCPOF-Series A (Plan 3)'!$B$115:$IV$115</definedName>
    <definedName name="XDO_GROUP_?G_4?555?">'SFMP- Series 6'!$B$26:$IV$29</definedName>
    <definedName name="XDO_GROUP_?G_4?556?">'SFMP- Series 6'!$B$36:$IV$36</definedName>
    <definedName name="XDO_GROUP_?G_4?557?">'SFMP- Series 6'!$B$53:$IV$53</definedName>
    <definedName name="XDO_GROUP_?G_4?558?">'SFMP- Series 6'!$B$58:$IV$58</definedName>
    <definedName name="XDO_GROUP_?G_4?559?">'SFMP- Series 7'!$B$18:$IV$32</definedName>
    <definedName name="XDO_GROUP_?G_4?56?">'[1]MBF-94'!$B$14:$IV$19</definedName>
    <definedName name="XDO_GROUP_?G_4?560?">'SFMP- Series 7'!$B$47:$IV$47</definedName>
    <definedName name="XDO_GROUP_?G_4?561?">'SFMP- Series 7'!$B$64:$IV$64</definedName>
    <definedName name="XDO_GROUP_?G_4?562?">'SFMP- Series 7'!$B$69:$IV$69</definedName>
    <definedName name="XDO_GROUP_?G_4?563?">'SFMP- Series 8'!$B$18:$IV$32</definedName>
    <definedName name="XDO_GROUP_?G_4?564?">'SFMP- Series 8'!$B$47:$IV$47</definedName>
    <definedName name="XDO_GROUP_?G_4?565?">'SFMP- Series 8'!$B$64:$IV$64</definedName>
    <definedName name="XDO_GROUP_?G_4?566?">'SFMP- Series 8'!$B$69:$IV$69</definedName>
    <definedName name="XDO_GROUP_?G_4?567?">'SCPOF-Series A (Plan 4)'!$B$10:$IV$59</definedName>
    <definedName name="XDO_GROUP_?G_4?568?">'SCPOF-Series A (Plan 4)'!$B$68:$IV$75</definedName>
    <definedName name="XDO_GROUP_?G_4?569?">'SCPOF-Series A (Plan 4)'!$B$85:$IV$86</definedName>
    <definedName name="XDO_GROUP_?G_4?57?">'[1]MBF-94'!$B$56:$IV$56</definedName>
    <definedName name="XDO_GROUP_?G_4?570?">'SCPOF-Series A (Plan 4)'!$B$109:$IV$109</definedName>
    <definedName name="XDO_GROUP_?G_4?571?">'SCPOF-Series A (Plan 4)'!$B$114:$IV$114</definedName>
    <definedName name="XDO_GROUP_?G_4?572?">'SFMP- Series 9'!$B$18:$IV$31</definedName>
    <definedName name="XDO_GROUP_?G_4?573?">'SFMP- Series 9'!$B$46:$IV$47</definedName>
    <definedName name="XDO_GROUP_?G_4?574?">'SFMP- Series 9'!$B$64:$IV$64</definedName>
    <definedName name="XDO_GROUP_?G_4?575?">'SFMP- Series 9'!$B$69:$IV$69</definedName>
    <definedName name="XDO_GROUP_?G_4?576?">'SFMP- Series 10'!$B$18:$IV$31</definedName>
    <definedName name="XDO_GROUP_?G_4?577?">'SFMP- Series 10'!$B$46:$IV$46</definedName>
    <definedName name="XDO_GROUP_?G_4?578?">'SFMP- Series 10'!$B$50:$IV$50</definedName>
    <definedName name="XDO_GROUP_?G_4?579?">'SFMP- Series 10'!$B$65:$IV$65</definedName>
    <definedName name="XDO_GROUP_?G_4?58?">'[1]MBF-94'!$B$61:$IV$61</definedName>
    <definedName name="XDO_GROUP_?G_4?580?">'SFMP- Series 10'!$B$70:$IV$70</definedName>
    <definedName name="XDO_GROUP_?G_4?581?">'SFMP- Series 11'!$B$18:$IV$36</definedName>
    <definedName name="XDO_GROUP_?G_4?582?">'SFMP- Series 11'!$B$51:$IV$52</definedName>
    <definedName name="XDO_GROUP_?G_4?583?">'SFMP- Series 11'!$B$56:$IV$56</definedName>
    <definedName name="XDO_GROUP_?G_4?584?">'SFMP- Series 11'!$B$71:$IV$71</definedName>
    <definedName name="XDO_GROUP_?G_4?585?">'SFMP- Series 11'!$B$76:$IV$76</definedName>
    <definedName name="XDO_GROUP_?G_4?586?">'SFMP- Series 12'!$B$18:$IV$31</definedName>
    <definedName name="XDO_GROUP_?G_4?587?">'SFMP- Series 12'!$B$46:$IV$46</definedName>
    <definedName name="XDO_GROUP_?G_4?588?">'SFMP- Series 12'!$B$50:$IV$50</definedName>
    <definedName name="XDO_GROUP_?G_4?589?">'SFMP- Series 12'!$B$65:$IV$65</definedName>
    <definedName name="XDO_GROUP_?G_4?59?">'[1]MELS-95'!$B$48:$IV$48</definedName>
    <definedName name="XDO_GROUP_?G_4?590?">'SFMP- Series 12'!$B$70:$IV$70</definedName>
    <definedName name="XDO_GROUP_?G_4?591?">'SFMP- Series 13'!$B$18:$IV$31</definedName>
    <definedName name="XDO_GROUP_?G_4?592?">'SFMP- Series 13'!$B$46:$IV$47</definedName>
    <definedName name="XDO_GROUP_?G_4?593?">'SFMP- Series 13'!$B$64:$IV$64</definedName>
    <definedName name="XDO_GROUP_?G_4?594?">'SFMP- Series 13'!$B$69:$IV$69</definedName>
    <definedName name="XDO_GROUP_?G_4?595?">'SFMP- Series 14'!$B$18:$IV$31</definedName>
    <definedName name="XDO_GROUP_?G_4?596?">'SFMP- Series 14'!$B$46:$IV$46</definedName>
    <definedName name="XDO_GROUP_?G_4?597?">'SFMP- Series 14'!$B$50:$IV$50</definedName>
    <definedName name="XDO_GROUP_?G_4?598?">'SFMP- Series 14'!$B$65:$IV$65</definedName>
    <definedName name="XDO_GROUP_?G_4?599?">'SFMP- Series 14'!$B$70:$IV$70</definedName>
    <definedName name="XDO_GROUP_?G_4?6?">'[1]MMIS-89'!$B$49:$IV$49</definedName>
    <definedName name="XDO_GROUP_?G_4?60?">'[1]MELS-95'!$B$53:$IV$53</definedName>
    <definedName name="XDO_GROUP_?G_4?600?">'SFMP- Series 15'!$B$18:$IV$29</definedName>
    <definedName name="XDO_GROUP_?G_4?601?">'SFMP- Series 15'!$B$44:$IV$44</definedName>
    <definedName name="XDO_GROUP_?G_4?602?">'SFMP- Series 15'!$B$48:$IV$48</definedName>
    <definedName name="XDO_GROUP_?G_4?603?">'SFMP- Series 15'!$B$63:$IV$63</definedName>
    <definedName name="XDO_GROUP_?G_4?604?">'SFMP- Series 15'!$B$68:$IV$68</definedName>
    <definedName name="XDO_GROUP_?G_4?605?">'SFMP- Series 16'!$B$18:$IV$34</definedName>
    <definedName name="XDO_GROUP_?G_4?606?">'SFMP- Series 16'!$B$49:$IV$49</definedName>
    <definedName name="XDO_GROUP_?G_4?607?">'SFMP- Series 16'!$B$66:$IV$66</definedName>
    <definedName name="XDO_GROUP_?G_4?608?">'SFMP- Series 16'!$B$71:$IV$71</definedName>
    <definedName name="XDO_GROUP_?G_4?609?">'SFMP- Series 17'!$B$18:$IV$30</definedName>
    <definedName name="XDO_GROUP_?G_4?61?">SEHF!$B$10:$IV$51</definedName>
    <definedName name="XDO_GROUP_?G_4?610?">'SFMP- Series 17'!$B$45:$IV$45</definedName>
    <definedName name="XDO_GROUP_?G_4?611?">'SFMP- Series 17'!$B$62:$IV$62</definedName>
    <definedName name="XDO_GROUP_?G_4?612?">'SFMP- Series 17'!$B$67:$IV$67</definedName>
    <definedName name="XDO_GROUP_?G_4?613?">'SCPOF-Series A (Plan 5)'!$B$10:$IV$59</definedName>
    <definedName name="XDO_GROUP_?G_4?614?">'SCPOF-Series A (Plan 5)'!$B$68:$IV$79</definedName>
    <definedName name="XDO_GROUP_?G_4?615?">'SCPOF-Series A (Plan 5)'!$B$89:$IV$89</definedName>
    <definedName name="XDO_GROUP_?G_4?616?">'SCPOF-Series A (Plan 5)'!$B$112:$IV$112</definedName>
    <definedName name="XDO_GROUP_?G_4?617?">'SCPOF-Series A (Plan 5)'!$B$117:$IV$117</definedName>
    <definedName name="XDO_GROUP_?G_4?618?">'SFMP- Series 18'!$B$18:$IV$30</definedName>
    <definedName name="XDO_GROUP_?G_4?619?">'SFMP- Series 18'!$B$45:$IV$45</definedName>
    <definedName name="XDO_GROUP_?G_4?62?">SEHF!$B$55:$IV$56</definedName>
    <definedName name="XDO_GROUP_?G_4?620?">'SFMP- Series 18'!$B$62:$IV$62</definedName>
    <definedName name="XDO_GROUP_?G_4?621?">'SFMP- Series 18'!$B$67:$IV$67</definedName>
    <definedName name="XDO_GROUP_?G_4?622?">'SCPOF-Series A (Plan 6)'!$B$10:$IV$59</definedName>
    <definedName name="XDO_GROUP_?G_4?623?">'SCPOF-Series A (Plan 6)'!$B$68:$IV$78</definedName>
    <definedName name="XDO_GROUP_?G_4?624?">'SCPOF-Series A (Plan 6)'!$B$95:$IV$95</definedName>
    <definedName name="XDO_GROUP_?G_4?625?">'SCPOF-Series A (Plan 6)'!$B$110:$IV$110</definedName>
    <definedName name="XDO_GROUP_?G_4?626?">'SCPOF-Series A (Plan 6)'!$B$115:$IV$115</definedName>
    <definedName name="XDO_GROUP_?G_4?627?">'SFMP- Series 19'!$B$18:$IV$32</definedName>
    <definedName name="XDO_GROUP_?G_4?628?">'SFMP- Series 19'!$B$63:$IV$63</definedName>
    <definedName name="XDO_GROUP_?G_4?629?">'SFMP- Series 19'!$B$68:$IV$68</definedName>
    <definedName name="XDO_GROUP_?G_4?63?">SEHF!$B$63:$IV$99</definedName>
    <definedName name="XDO_GROUP_?G_4?630?">'SFMP- Series 20'!$B$18:$IV$31</definedName>
    <definedName name="XDO_GROUP_?G_4?631?">'SFMP- Series 20'!$B$62:$IV$62</definedName>
    <definedName name="XDO_GROUP_?G_4?632?">'SFMP- Series 20'!$B$67:$IV$67</definedName>
    <definedName name="XDO_GROUP_?G_4?633?">'SFMP- Series 21'!$B$18:$IV$30</definedName>
    <definedName name="XDO_GROUP_?G_4?634?">'SFMP- Series 21'!$B$61:$IV$61</definedName>
    <definedName name="XDO_GROUP_?G_4?635?">'SFMP- Series 21'!$B$66:$IV$66</definedName>
    <definedName name="XDO_GROUP_?G_4?636?">'SFMP- Series 22'!$B$18:$IV$30</definedName>
    <definedName name="XDO_GROUP_?G_4?637?">'SFMP- Series 22'!$B$61:$IV$61</definedName>
    <definedName name="XDO_GROUP_?G_4?638?">'SFMP- Series 22'!$B$66:$IV$66</definedName>
    <definedName name="XDO_GROUP_?G_4?639?">'SFMP- Series 23'!$B$18:$IV$30</definedName>
    <definedName name="XDO_GROUP_?G_4?64?">SEHF!$B$103:$IV$112</definedName>
    <definedName name="XDO_GROUP_?G_4?640?">'SFMP- Series 23'!$B$61:$IV$61</definedName>
    <definedName name="XDO_GROUP_?G_4?641?">'SFMP- Series 23'!$B$66:$IV$66</definedName>
    <definedName name="XDO_GROUP_?G_4?642?">'SFMP- Series 24'!$B$18:$IV$30</definedName>
    <definedName name="XDO_GROUP_?G_4?643?">'SFMP- Series 24'!$B$61:$IV$61</definedName>
    <definedName name="XDO_GROUP_?G_4?644?">'SFMP- Series 24'!$B$66:$IV$66</definedName>
    <definedName name="XDO_GROUP_?G_4?645?">'SFMP- Series 25'!$B$18:$IV$29</definedName>
    <definedName name="XDO_GROUP_?G_4?646?">'SFMP- Series 25'!$B$60:$IV$60</definedName>
    <definedName name="XDO_GROUP_?G_4?647?">'SFMP- Series 25'!$B$65:$IV$65</definedName>
    <definedName name="XDO_GROUP_?G_4?648?">'SFMP- Series 26'!$B$18:$IV$30</definedName>
    <definedName name="XDO_GROUP_?G_4?649?">'SFMP- Series 26'!$B$61:$IV$61</definedName>
    <definedName name="XDO_GROUP_?G_4?65?">SEHF!$B$118:$IV$125</definedName>
    <definedName name="XDO_GROUP_?G_4?650?">'SFMP- Series 26'!$B$66:$IV$66</definedName>
    <definedName name="XDO_GROUP_?G_4?651?">'SFMP- Series 27'!$B$18:$IV$28</definedName>
    <definedName name="XDO_GROUP_?G_4?652?">'SFMP- Series 27'!$B$38:$IV$38</definedName>
    <definedName name="XDO_GROUP_?G_4?653?">'SFMP- Series 27'!$B$45:$IV$45</definedName>
    <definedName name="XDO_GROUP_?G_4?654?">'SFMP- Series 27'!$B$62:$IV$62</definedName>
    <definedName name="XDO_GROUP_?G_4?655?">'SFMP- Series 27'!$B$67:$IV$67</definedName>
    <definedName name="XDO_GROUP_?G_4?656?">'SCPOF-Series A (Plan 7)'!$B$10:$IV$59</definedName>
    <definedName name="XDO_GROUP_?G_4?657?">'SCPOF-Series A (Plan 7)'!$B$68:$IV$71</definedName>
    <definedName name="XDO_GROUP_?G_4?658?">'SCPOF-Series A (Plan 7)'!$B$81:$IV$82</definedName>
    <definedName name="XDO_GROUP_?G_4?659?">'SCPOF-Series A (Plan 7)'!$B$91:$IV$91</definedName>
    <definedName name="XDO_GROUP_?G_4?66?">SEHF!$B$148:$IV$148</definedName>
    <definedName name="XDO_GROUP_?G_4?660?">'SCPOF-Series A (Plan 7)'!$B$106:$IV$106</definedName>
    <definedName name="XDO_GROUP_?G_4?661?">'SCPOF-Series A (Plan 7)'!$B$111:$IV$111</definedName>
    <definedName name="XDO_GROUP_?G_4?662?">'SFMP- Series 28'!$B$18:$IV$27</definedName>
    <definedName name="XDO_GROUP_?G_4?663?">'SFMP- Series 28'!$B$37:$IV$39</definedName>
    <definedName name="XDO_GROUP_?G_4?664?">'SFMP- Series 28'!$B$62:$IV$62</definedName>
    <definedName name="XDO_GROUP_?G_4?665?">'SFMP- Series 28'!$B$67:$IV$67</definedName>
    <definedName name="XDO_GROUP_?G_4?666?">'SCPOF-Series A (Plan 8)'!$B$10:$IV$59</definedName>
    <definedName name="XDO_GROUP_?G_4?667?">'SCPOF-Series A (Plan 8)'!$B$68:$IV$71</definedName>
    <definedName name="XDO_GROUP_?G_4?668?">'SCPOF-Series A (Plan 8)'!$B$81:$IV$82</definedName>
    <definedName name="XDO_GROUP_?G_4?669?">'SCPOF-Series A (Plan 8)'!$B$105:$IV$105</definedName>
    <definedName name="XDO_GROUP_?G_4?67?">SEHF!$B$152:$IV$152</definedName>
    <definedName name="XDO_GROUP_?G_4?670?">'SCPOF-Series A (Plan 8)'!$B$110:$IV$110</definedName>
    <definedName name="XDO_GROUP_?G_4?671?">'SFMP- Series 31'!$B$18:$IV$25</definedName>
    <definedName name="XDO_GROUP_?G_4?672?">'SFMP- Series 31'!$B$35:$IV$39</definedName>
    <definedName name="XDO_GROUP_?G_4?673?">'SFMP- Series 31'!$B$62:$IV$62</definedName>
    <definedName name="XDO_GROUP_?G_4?674?">'SFMP- Series 31'!$B$67:$IV$67</definedName>
    <definedName name="XDO_GROUP_?G_4?675?">'SFMP- Series 32'!$B$18:$IV$26</definedName>
    <definedName name="XDO_GROUP_?G_4?676?">'SFMP- Series 32'!$B$36:$IV$37</definedName>
    <definedName name="XDO_GROUP_?G_4?677?">'SFMP- Series 32'!$B$60:$IV$60</definedName>
    <definedName name="XDO_GROUP_?G_4?678?">'SFMP- Series 32'!$B$65:$IV$65</definedName>
    <definedName name="XDO_GROUP_?G_4?679?">'SFMP- Series 33'!$B$26:$IV$26</definedName>
    <definedName name="XDO_GROUP_?G_4?68?">SEHF!$B$157:$IV$157</definedName>
    <definedName name="XDO_GROUP_?G_4?680?">'SFMP- Series 33'!$B$49:$IV$49</definedName>
    <definedName name="XDO_GROUP_?G_4?681?">'SFMP- Series 33'!$B$54:$IV$54</definedName>
    <definedName name="XDO_GROUP_?G_4?682?">'SFMP- Series 34'!$B$26:$IV$26</definedName>
    <definedName name="XDO_GROUP_?G_4?683?">'SFMP- Series 34'!$B$49:$IV$49</definedName>
    <definedName name="XDO_GROUP_?G_4?684?">'SFMP- Series 34'!$B$54:$IV$54</definedName>
    <definedName name="XDO_GROUP_?G_4?685?">'SMCBF-Investment Plan'!$B$10:$IV$13</definedName>
    <definedName name="XDO_GROUP_?G_4?686?">'SMCBF-Investment Plan'!$B$22:$IV$22</definedName>
    <definedName name="XDO_GROUP_?G_4?687?">'SMCBF-Investment Plan'!$B$30:$IV$30</definedName>
    <definedName name="XDO_GROUP_?G_4?688?">'SMCBF-Investment Plan'!$B$55:$IV$55</definedName>
    <definedName name="XDO_GROUP_?G_4?689?">'SMCBF-Investment Plan'!$B$60:$IV$60</definedName>
    <definedName name="XDO_GROUP_?G_4?69?">'[1]MELS-96'!$B$48:$IV$48</definedName>
    <definedName name="XDO_GROUP_?G_4?690?">SBIRIOS!$B$10:$IV$55</definedName>
    <definedName name="XDO_GROUP_?G_4?691?">SBIRIOS!$B$94:$IV$94</definedName>
    <definedName name="XDO_GROUP_?G_4?692?">SBIRIOS!$B$99:$IV$99</definedName>
    <definedName name="XDO_GROUP_?G_4?693?">#REF!</definedName>
    <definedName name="XDO_GROUP_?G_4?694?">#REF!</definedName>
    <definedName name="XDO_GROUP_?G_4?695?">#REF!</definedName>
    <definedName name="XDO_GROUP_?G_4?696?">#REF!</definedName>
    <definedName name="XDO_GROUP_?G_4?697?">#REF!</definedName>
    <definedName name="XDO_GROUP_?G_4?698?">#REF!</definedName>
    <definedName name="XDO_GROUP_?G_4?699?">#REF!</definedName>
    <definedName name="XDO_GROUP_?G_4?7?">'[1]MMIS-89'!$B$54:$IV$54</definedName>
    <definedName name="XDO_GROUP_?G_4?70?">'[1]MELS-96'!$B$53:$IV$53</definedName>
    <definedName name="XDO_GROUP_?G_4?700?">#REF!</definedName>
    <definedName name="XDO_GROUP_?G_4?71?">'[1]MMIS-97'!$B$48:$IV$48</definedName>
    <definedName name="XDO_GROUP_?G_4?72?">'[1]MMIS-97'!$B$53:$IV$53</definedName>
    <definedName name="XDO_GROUP_?G_4?73?">'[1]MMIS-98 I'!$B$12:$IV$12</definedName>
    <definedName name="XDO_GROUP_?G_4?74?">'[1]MMIS-98 I'!$B$49:$IV$49</definedName>
    <definedName name="XDO_GROUP_?G_4?75?">'[1]MMIS-98 I'!$B$54:$IV$54</definedName>
    <definedName name="XDO_GROUP_?G_4?76?">SMIF!$B$18:$IV$30</definedName>
    <definedName name="XDO_GROUP_?G_4?77?">SMIF!$B$38:$IV$42</definedName>
    <definedName name="XDO_GROUP_?G_4?78?">SMIF!$B$67:$IV$67</definedName>
    <definedName name="XDO_GROUP_?G_4?79?">SMIF!$B$72:$IV$72</definedName>
    <definedName name="XDO_GROUP_?G_4?8?">'[1]MTSS-90'!$B$48:$IV$48</definedName>
    <definedName name="XDO_GROUP_?G_4?80?">'[1]MMIS-98 II'!$B$48:$IV$48</definedName>
    <definedName name="XDO_GROUP_?G_4?81?">'[1]MMIS-98 II'!$B$53:$IV$53</definedName>
    <definedName name="XDO_GROUP_?G_4?82?">'[1]MGF-99'!$B$12:$IV$12</definedName>
    <definedName name="XDO_GROUP_?G_4?83?">'[1]MGF-99'!$B$53:$IV$53</definedName>
    <definedName name="XDO_GROUP_?G_4?84?">SCOF!$B$10:$IV$38</definedName>
    <definedName name="XDO_GROUP_?G_4?85?">SCOF!$B$77:$IV$77</definedName>
    <definedName name="XDO_GROUP_?G_4?86?">SCOF!$B$82:$IV$82</definedName>
    <definedName name="XDO_GROUP_?G_4?87?">STOF!$B$10:$IV$14</definedName>
    <definedName name="XDO_GROUP_?G_4?88?">STOF!$B$33:$IV$33</definedName>
    <definedName name="XDO_GROUP_?G_4?89?">STOF!$B$15:$IV$24</definedName>
    <definedName name="XDO_GROUP_?G_4?9?">'[1]MTSS-90'!$B$53:$IV$53</definedName>
    <definedName name="XDO_GROUP_?G_4?90?">STOF!$B$22:$IV$29</definedName>
    <definedName name="XDO_GROUP_?G_4?91?">STOF!$B$34:$IV$34</definedName>
    <definedName name="XDO_GROUP_?G_4?92?">STOF!$B$69:$IV$69</definedName>
    <definedName name="XDO_GROUP_?G_4?93?">STOF!$B$74:$IV$74</definedName>
    <definedName name="XDO_GROUP_?G_4?94?">SHOF!$B$10:$IV$31</definedName>
    <definedName name="XDO_GROUP_?G_4?95?">SHOF!$B$35:$IV$35</definedName>
    <definedName name="XDO_GROUP_?G_4?96?">SHOF!$B$72:$IV$72</definedName>
    <definedName name="XDO_GROUP_?G_4?97?">SHOF!$B$77:$IV$77</definedName>
    <definedName name="XDO_GROUP_?G_4?98?">SCF!$B$10:$IV$56</definedName>
    <definedName name="XDO_GROUP_?G_4?99?">SCF!$B$93:$IV$96</definedName>
  </definedNames>
  <calcPr calcId="162913"/>
</workbook>
</file>

<file path=xl/calcChain.xml><?xml version="1.0" encoding="utf-8"?>
<calcChain xmlns="http://schemas.openxmlformats.org/spreadsheetml/2006/main">
  <c r="G207" i="51" l="1"/>
  <c r="H13" i="160" l="1"/>
  <c r="H12" i="160"/>
  <c r="H11" i="160"/>
  <c r="H10" i="160"/>
  <c r="H22" i="160"/>
  <c r="H23" i="160" s="1"/>
  <c r="H30" i="160"/>
  <c r="H31" i="160" s="1"/>
  <c r="H55" i="160"/>
  <c r="H56" i="160" s="1"/>
  <c r="G60" i="160"/>
  <c r="H60" i="160" s="1"/>
  <c r="H61" i="160" s="1"/>
  <c r="H14" i="160" l="1"/>
  <c r="G61" i="160"/>
  <c r="H43" i="76"/>
  <c r="H87" i="76" s="1"/>
  <c r="G43" i="76"/>
  <c r="G39" i="76"/>
  <c r="H39" i="76"/>
  <c r="H82" i="71"/>
  <c r="H142" i="71" s="1"/>
  <c r="G82" i="71"/>
  <c r="H31" i="66"/>
  <c r="H77" i="66" s="1"/>
  <c r="G31" i="66"/>
  <c r="G63" i="60"/>
  <c r="H63" i="60"/>
  <c r="H58" i="60"/>
  <c r="G58" i="60"/>
  <c r="G56" i="48"/>
  <c r="H56" i="48"/>
  <c r="H102" i="48" s="1"/>
  <c r="H60" i="44"/>
  <c r="H106" i="44" s="1"/>
  <c r="G60" i="44"/>
  <c r="H37" i="34"/>
  <c r="G37" i="34"/>
  <c r="H25" i="30"/>
  <c r="G25" i="30"/>
  <c r="G30" i="30"/>
  <c r="H66" i="16"/>
  <c r="H112" i="16" s="1"/>
  <c r="G66" i="16"/>
  <c r="G66" i="15"/>
  <c r="H66" i="15"/>
  <c r="G72" i="15"/>
  <c r="H43" i="41"/>
  <c r="G43" i="41"/>
  <c r="H36" i="41"/>
  <c r="G36" i="41"/>
  <c r="H47" i="19"/>
  <c r="H95" i="19" s="1"/>
  <c r="G47" i="19"/>
  <c r="H35" i="30"/>
  <c r="G35" i="30"/>
  <c r="H102" i="161"/>
  <c r="H63" i="160"/>
  <c r="H57" i="159"/>
  <c r="H57" i="158"/>
  <c r="H68" i="157"/>
  <c r="H70" i="156"/>
  <c r="H113" i="155"/>
  <c r="H70" i="154"/>
  <c r="H114" i="153"/>
  <c r="H70" i="152"/>
  <c r="H69" i="151"/>
  <c r="H68" i="150"/>
  <c r="H69" i="149"/>
  <c r="H69" i="148"/>
  <c r="H69" i="147"/>
  <c r="H69" i="146"/>
  <c r="H70" i="145"/>
  <c r="H71" i="144"/>
  <c r="H118" i="143"/>
  <c r="H70" i="142"/>
  <c r="H120" i="141"/>
  <c r="H70" i="140"/>
  <c r="H74" i="139"/>
  <c r="H71" i="138"/>
  <c r="H73" i="137"/>
  <c r="H72" i="136"/>
  <c r="H73" i="135"/>
  <c r="H79" i="134"/>
  <c r="H73" i="133"/>
  <c r="H72" i="132"/>
  <c r="H117" i="131"/>
  <c r="H72" i="130"/>
  <c r="H72" i="129"/>
  <c r="H61" i="128"/>
  <c r="H118" i="127"/>
  <c r="H70" i="126"/>
  <c r="H70" i="125"/>
  <c r="H64" i="124"/>
  <c r="H73" i="123"/>
  <c r="H116" i="122"/>
  <c r="H74" i="121"/>
  <c r="H78" i="120"/>
  <c r="H108" i="119"/>
  <c r="H114" i="119"/>
  <c r="G114" i="119"/>
  <c r="H73" i="118"/>
  <c r="H116" i="117"/>
  <c r="H73" i="116"/>
  <c r="H75" i="115"/>
  <c r="H79" i="114"/>
  <c r="H72" i="113"/>
  <c r="H205" i="112"/>
  <c r="H83" i="111"/>
  <c r="H75" i="110"/>
  <c r="H75" i="109"/>
  <c r="H83" i="108"/>
  <c r="H81" i="107"/>
  <c r="H86" i="106"/>
  <c r="H75" i="105"/>
  <c r="H77" i="104"/>
  <c r="H73" i="103"/>
  <c r="H75" i="102"/>
  <c r="H95" i="101"/>
  <c r="H79" i="100"/>
  <c r="H73" i="99"/>
  <c r="H106" i="98"/>
  <c r="H78" i="97"/>
  <c r="H74" i="96"/>
  <c r="H79" i="95"/>
  <c r="H76" i="94"/>
  <c r="H99" i="93"/>
  <c r="H75" i="92"/>
  <c r="H86" i="91"/>
  <c r="H81" i="90"/>
  <c r="H96" i="89"/>
  <c r="H82" i="88"/>
  <c r="H75" i="87"/>
  <c r="H78" i="86"/>
  <c r="H96" i="85"/>
  <c r="H77" i="84"/>
  <c r="H72" i="83"/>
  <c r="H73" i="82"/>
  <c r="H98" i="81"/>
  <c r="H72" i="80"/>
  <c r="H89" i="79"/>
  <c r="H101" i="78"/>
  <c r="H65" i="77"/>
  <c r="H57" i="75"/>
  <c r="H86" i="74"/>
  <c r="H92" i="73"/>
  <c r="H106" i="72"/>
  <c r="H164" i="71"/>
  <c r="G164" i="71"/>
  <c r="H157" i="70"/>
  <c r="H68" i="69"/>
  <c r="H106" i="68"/>
  <c r="H89" i="67"/>
  <c r="H86" i="65"/>
  <c r="H84" i="64"/>
  <c r="H92" i="63"/>
  <c r="H83" i="62"/>
  <c r="H148" i="61"/>
  <c r="H86" i="59"/>
  <c r="H84" i="58"/>
  <c r="H58" i="57"/>
  <c r="H78" i="56"/>
  <c r="H58" i="55"/>
  <c r="H168" i="54"/>
  <c r="H141" i="53"/>
  <c r="H84" i="52"/>
  <c r="H138" i="51"/>
  <c r="H207" i="51"/>
  <c r="H114" i="50"/>
  <c r="H111" i="49"/>
  <c r="H117" i="49"/>
  <c r="G117" i="49"/>
  <c r="H61" i="47"/>
  <c r="H82" i="46"/>
  <c r="H61" i="45"/>
  <c r="H117" i="43"/>
  <c r="H110" i="42"/>
  <c r="H118" i="40"/>
  <c r="H136" i="39"/>
  <c r="H62" i="38"/>
  <c r="H100" i="37"/>
  <c r="H115" i="36"/>
  <c r="H57" i="35"/>
  <c r="H95" i="34"/>
  <c r="H108" i="33"/>
  <c r="H114" i="33"/>
  <c r="G114" i="33"/>
  <c r="H108" i="32"/>
  <c r="H119" i="32"/>
  <c r="G119" i="32"/>
  <c r="H80" i="31"/>
  <c r="H85" i="29"/>
  <c r="H75" i="26"/>
  <c r="H160" i="22"/>
  <c r="H168" i="22"/>
  <c r="G168" i="22"/>
  <c r="H116" i="15"/>
  <c r="H123" i="15"/>
  <c r="G123" i="15"/>
  <c r="H104" i="8"/>
  <c r="H113" i="8"/>
  <c r="G113" i="8"/>
  <c r="H107" i="60" l="1"/>
  <c r="H87" i="41"/>
  <c r="H77" i="30"/>
</calcChain>
</file>

<file path=xl/sharedStrings.xml><?xml version="1.0" encoding="utf-8"?>
<sst xmlns="http://schemas.openxmlformats.org/spreadsheetml/2006/main" count="30853" uniqueCount="3436">
  <si>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</si>
  <si>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</si>
  <si>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</si>
  <si>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</si>
  <si>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</si>
  <si>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</si>
  <si>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</si>
  <si>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</si>
  <si>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</si>
  <si>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</si>
  <si>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</si>
  <si>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</si>
  <si>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</si>
  <si>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</si>
  <si>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</si>
  <si>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</si>
  <si>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</si>
  <si>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</si>
  <si>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</si>
  <si>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</si>
  <si>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</si>
  <si>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</si>
  <si>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</si>
  <si>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</si>
  <si>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SCHEME NAME :</t>
  </si>
  <si>
    <t>PORTFOLIO STATEMENT AS ON :</t>
  </si>
  <si>
    <t>Name of the Instrument / Issuer</t>
  </si>
  <si>
    <t>ISIN</t>
  </si>
  <si>
    <t>Quantity</t>
  </si>
  <si>
    <t>Market value
(Rs. in Lakhs)</t>
  </si>
  <si>
    <t>% to AUM</t>
  </si>
  <si>
    <t>YTM %</t>
  </si>
  <si>
    <t>Notes &amp; Symbols</t>
  </si>
  <si>
    <t>110200100</t>
  </si>
  <si>
    <t>TREPS</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</si>
  <si>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</si>
  <si>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</si>
  <si>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</si>
  <si>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</si>
  <si>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t>
  </si>
  <si>
    <t>1. Non Convertible Debentures and  Bonds are considered as Traded based on information provided by external agencies.</t>
  </si>
  <si>
    <t>Cement</t>
  </si>
  <si>
    <t>007</t>
  </si>
  <si>
    <t>SBI Magnum Equity ESG Fund</t>
  </si>
  <si>
    <t>100003</t>
  </si>
  <si>
    <t>Infosys Ltd.</t>
  </si>
  <si>
    <t>INE009A01021</t>
  </si>
  <si>
    <t>Software</t>
  </si>
  <si>
    <t>100006</t>
  </si>
  <si>
    <t>HDFC Bank Ltd.</t>
  </si>
  <si>
    <t>INE040A01034</t>
  </si>
  <si>
    <t>Banks</t>
  </si>
  <si>
    <t>100002</t>
  </si>
  <si>
    <t>Reliance Industries Ltd.</t>
  </si>
  <si>
    <t>INE002A01018</t>
  </si>
  <si>
    <t>Petroleum Products</t>
  </si>
  <si>
    <t>100032</t>
  </si>
  <si>
    <t>Tata Consultancy Services Ltd.</t>
  </si>
  <si>
    <t>INE467B01029</t>
  </si>
  <si>
    <t>100104</t>
  </si>
  <si>
    <t>Kotak Mahindra Bank Ltd.</t>
  </si>
  <si>
    <t>INE237A01028</t>
  </si>
  <si>
    <t>100012</t>
  </si>
  <si>
    <t>ICICI Bank Ltd.</t>
  </si>
  <si>
    <t>INE090A01021</t>
  </si>
  <si>
    <t>100095</t>
  </si>
  <si>
    <t>Bharti Airtel Ltd.</t>
  </si>
  <si>
    <t>INE397D01024</t>
  </si>
  <si>
    <t>Telecom - Services</t>
  </si>
  <si>
    <t>100200</t>
  </si>
  <si>
    <t>Page Industries Ltd.</t>
  </si>
  <si>
    <t>INE761H01022</t>
  </si>
  <si>
    <t>Textile Products</t>
  </si>
  <si>
    <t>100024</t>
  </si>
  <si>
    <t>Axis Bank Ltd.</t>
  </si>
  <si>
    <t>INE238A01034</t>
  </si>
  <si>
    <t>100005</t>
  </si>
  <si>
    <t>Larsen &amp; Toubro Ltd.</t>
  </si>
  <si>
    <t>INE018A01030</t>
  </si>
  <si>
    <t>Construction Project</t>
  </si>
  <si>
    <t>100081</t>
  </si>
  <si>
    <t>Titan Company Ltd.</t>
  </si>
  <si>
    <t>INE280A01028</t>
  </si>
  <si>
    <t>Consumer Durables</t>
  </si>
  <si>
    <t>100140</t>
  </si>
  <si>
    <t>Shree Cement Ltd.</t>
  </si>
  <si>
    <t>INE070A01015</t>
  </si>
  <si>
    <t>100154</t>
  </si>
  <si>
    <t>Colgate Palmolive (India) Ltd.</t>
  </si>
  <si>
    <t>INE259A01022</t>
  </si>
  <si>
    <t>Consumer Non Durables</t>
  </si>
  <si>
    <t>100125</t>
  </si>
  <si>
    <t>Bajaj Finance Ltd.</t>
  </si>
  <si>
    <t>INE296A01024</t>
  </si>
  <si>
    <t>Finance</t>
  </si>
  <si>
    <t>100014</t>
  </si>
  <si>
    <t>Mahindra &amp; Mahindra Ltd.</t>
  </si>
  <si>
    <t>INE101A01026</t>
  </si>
  <si>
    <t>Auto</t>
  </si>
  <si>
    <t>100126</t>
  </si>
  <si>
    <t>Britannia Industries Ltd.</t>
  </si>
  <si>
    <t>INE216A01030</t>
  </si>
  <si>
    <t>100706</t>
  </si>
  <si>
    <t>HDFC Life Insurance Company Ltd.</t>
  </si>
  <si>
    <t>INE795G01014</t>
  </si>
  <si>
    <t>100280</t>
  </si>
  <si>
    <t>TVS Motor Company Ltd.</t>
  </si>
  <si>
    <t>INE494B01023</t>
  </si>
  <si>
    <t>100153</t>
  </si>
  <si>
    <t>Cipla Ltd.</t>
  </si>
  <si>
    <t>INE059A01026</t>
  </si>
  <si>
    <t>Pharmaceuticals</t>
  </si>
  <si>
    <t>100155</t>
  </si>
  <si>
    <t>Divi's Laboratories Ltd.</t>
  </si>
  <si>
    <t>INE361B01024</t>
  </si>
  <si>
    <t>100682</t>
  </si>
  <si>
    <t>ICICI Lombard General Insurance Company Ltd.</t>
  </si>
  <si>
    <t>INE765G01017</t>
  </si>
  <si>
    <t>100119</t>
  </si>
  <si>
    <t>Tata Motors Ltd.</t>
  </si>
  <si>
    <t>INE155A01022</t>
  </si>
  <si>
    <t>100227</t>
  </si>
  <si>
    <t>Jubilant Foodworks Ltd.</t>
  </si>
  <si>
    <t>INE797F01012</t>
  </si>
  <si>
    <t>100001</t>
  </si>
  <si>
    <t>Housing Development Finance Corporation Ltd.</t>
  </si>
  <si>
    <t>INE001A01036</t>
  </si>
  <si>
    <t>100099</t>
  </si>
  <si>
    <t>Hindustan Unilever Ltd.</t>
  </si>
  <si>
    <t>INE030A01027</t>
  </si>
  <si>
    <t>100132</t>
  </si>
  <si>
    <t>Info Edge (India) Ltd.</t>
  </si>
  <si>
    <t>INE663F01024</t>
  </si>
  <si>
    <t>100037</t>
  </si>
  <si>
    <t>HCL Technologies Ltd.</t>
  </si>
  <si>
    <t>INE860A01027</t>
  </si>
  <si>
    <t>100082</t>
  </si>
  <si>
    <t>Ultratech Cement Ltd.</t>
  </si>
  <si>
    <t>INE481G01011</t>
  </si>
  <si>
    <t>100465</t>
  </si>
  <si>
    <t>Interglobe Aviation Ltd.</t>
  </si>
  <si>
    <t>INE646L01027</t>
  </si>
  <si>
    <t>Transportation</t>
  </si>
  <si>
    <t>100628</t>
  </si>
  <si>
    <t>Avenue Supermarts Ltd.</t>
  </si>
  <si>
    <t>INE192R01011</t>
  </si>
  <si>
    <t>Retailing</t>
  </si>
  <si>
    <t>100128</t>
  </si>
  <si>
    <t>Eicher Motors Ltd.</t>
  </si>
  <si>
    <t>INE066A01021</t>
  </si>
  <si>
    <t>100184</t>
  </si>
  <si>
    <t>Tata Steel Ltd.</t>
  </si>
  <si>
    <t>INE081A01012</t>
  </si>
  <si>
    <t>Ferrous Metals</t>
  </si>
  <si>
    <t>100161</t>
  </si>
  <si>
    <t>Cummins India Ltd.</t>
  </si>
  <si>
    <t>INE298A01020</t>
  </si>
  <si>
    <t>Industrial Products</t>
  </si>
  <si>
    <t>100028</t>
  </si>
  <si>
    <t>Lupin Ltd.</t>
  </si>
  <si>
    <t>INE326A01037</t>
  </si>
  <si>
    <t>100505</t>
  </si>
  <si>
    <t>ICICI Prudential Life Insurance Company Ltd.</t>
  </si>
  <si>
    <t>INE726G01019</t>
  </si>
  <si>
    <t>100010</t>
  </si>
  <si>
    <t>State Bank of India</t>
  </si>
  <si>
    <t>INE062A01020</t>
  </si>
  <si>
    <t>100180</t>
  </si>
  <si>
    <t>Hindalco Industries Ltd.</t>
  </si>
  <si>
    <t>INE038A01020</t>
  </si>
  <si>
    <t>Non - Ferrous Metals</t>
  </si>
  <si>
    <t>100094</t>
  </si>
  <si>
    <t>Bharat Petroleum Corporation Ltd.</t>
  </si>
  <si>
    <t>INE029A01011</t>
  </si>
  <si>
    <t>100090</t>
  </si>
  <si>
    <t>Bharat Forge Ltd.</t>
  </si>
  <si>
    <t>INE465A01025</t>
  </si>
  <si>
    <t>100120</t>
  </si>
  <si>
    <t>Torrent Pharmaceuticals Ltd.</t>
  </si>
  <si>
    <t>INE685A01028</t>
  </si>
  <si>
    <t>101146</t>
  </si>
  <si>
    <t>IN9002A01024</t>
  </si>
  <si>
    <t>PP*</t>
  </si>
  <si>
    <t>100480</t>
  </si>
  <si>
    <t>Jadoonet.Com</t>
  </si>
  <si>
    <t>EQ600401XXXX</t>
  </si>
  <si>
    <t>100481</t>
  </si>
  <si>
    <t>Numero Uno International Ltd.</t>
  </si>
  <si>
    <t>INE703F01010</t>
  </si>
  <si>
    <t>417133</t>
  </si>
  <si>
    <t>INF200K01TF5</t>
  </si>
  <si>
    <t>Mutual Fund</t>
  </si>
  <si>
    <t>1301371</t>
  </si>
  <si>
    <t>4.75% The Federal Bank Ltd. (Duration 365 Days)</t>
  </si>
  <si>
    <t>Paper</t>
  </si>
  <si>
    <t>Chemicals</t>
  </si>
  <si>
    <t>Auto Ancillaries</t>
  </si>
  <si>
    <t>The Great Eastern Shipping Company Ltd.</t>
  </si>
  <si>
    <t>017</t>
  </si>
  <si>
    <t>SBI Large and Midcap Fund</t>
  </si>
  <si>
    <t>100271</t>
  </si>
  <si>
    <t>Balkrishna Industries Ltd.</t>
  </si>
  <si>
    <t>INE787D01026</t>
  </si>
  <si>
    <t>100317</t>
  </si>
  <si>
    <t>Natco Pharma Ltd.</t>
  </si>
  <si>
    <t>INE987B01026</t>
  </si>
  <si>
    <t>100272</t>
  </si>
  <si>
    <t>JK Cement Ltd.</t>
  </si>
  <si>
    <t>INE823G01014</t>
  </si>
  <si>
    <t>100426</t>
  </si>
  <si>
    <t>Relaxo Footwears Ltd.</t>
  </si>
  <si>
    <t>INE131B01039</t>
  </si>
  <si>
    <t>100367</t>
  </si>
  <si>
    <t>Exide Industries Ltd.</t>
  </si>
  <si>
    <t>INE302A01020</t>
  </si>
  <si>
    <t>100222</t>
  </si>
  <si>
    <t>The Indian Hotels Company Ltd.</t>
  </si>
  <si>
    <t>INE053A01029</t>
  </si>
  <si>
    <t>Hotels, Resorts And Other Recreational Activities</t>
  </si>
  <si>
    <t>100056</t>
  </si>
  <si>
    <t>Supreme Industries Ltd.</t>
  </si>
  <si>
    <t>INE195A01028</t>
  </si>
  <si>
    <t>100534</t>
  </si>
  <si>
    <t>Sheela Foam Ltd.</t>
  </si>
  <si>
    <t>INE916U01025</t>
  </si>
  <si>
    <t>100270</t>
  </si>
  <si>
    <t>PI Industries Ltd.</t>
  </si>
  <si>
    <t>INE603J01030</t>
  </si>
  <si>
    <t>Pesticides</t>
  </si>
  <si>
    <t>100231</t>
  </si>
  <si>
    <t>Muthoot Finance Ltd.</t>
  </si>
  <si>
    <t>INE414G01012</t>
  </si>
  <si>
    <t>100047</t>
  </si>
  <si>
    <t>Emami Ltd.</t>
  </si>
  <si>
    <t>INE548C01032</t>
  </si>
  <si>
    <t>100389</t>
  </si>
  <si>
    <t>Zydus Wellness Ltd.</t>
  </si>
  <si>
    <t>100503</t>
  </si>
  <si>
    <t>Prism Johnson Ltd.</t>
  </si>
  <si>
    <t>INE010A01011</t>
  </si>
  <si>
    <t>100527</t>
  </si>
  <si>
    <t>Goodyear India Ltd.</t>
  </si>
  <si>
    <t>INE533A01012</t>
  </si>
  <si>
    <t>100052</t>
  </si>
  <si>
    <t>INE017A01032</t>
  </si>
  <si>
    <t>100008</t>
  </si>
  <si>
    <t>Sun Pharmaceutical Industries Ltd.</t>
  </si>
  <si>
    <t>INE044A01036</t>
  </si>
  <si>
    <t>100686</t>
  </si>
  <si>
    <t>Prataap Snacks Ltd.</t>
  </si>
  <si>
    <t>INE393P01035</t>
  </si>
  <si>
    <t>100385</t>
  </si>
  <si>
    <t>Triveni Turbine Ltd.</t>
  </si>
  <si>
    <t>INE152M01016</t>
  </si>
  <si>
    <t>Industrial Capital Goods</t>
  </si>
  <si>
    <t>100771</t>
  </si>
  <si>
    <t>Bandhan Bank Ltd.</t>
  </si>
  <si>
    <t>INE545U01014</t>
  </si>
  <si>
    <t>100362</t>
  </si>
  <si>
    <t>JSW Energy Ltd.</t>
  </si>
  <si>
    <t>INE121E01018</t>
  </si>
  <si>
    <t>Power</t>
  </si>
  <si>
    <t>100815</t>
  </si>
  <si>
    <t>Andhra Paper Ltd.</t>
  </si>
  <si>
    <t>INE435A01028</t>
  </si>
  <si>
    <t>100237</t>
  </si>
  <si>
    <t>SKF India Ltd.</t>
  </si>
  <si>
    <t>INE640A01023</t>
  </si>
  <si>
    <t>100253</t>
  </si>
  <si>
    <t>Amara Raja Batteries Ltd.</t>
  </si>
  <si>
    <t>INE885A01032</t>
  </si>
  <si>
    <t>100498</t>
  </si>
  <si>
    <t>Ahluwalia Contracts (India) Ltd.</t>
  </si>
  <si>
    <t>INE758C01029</t>
  </si>
  <si>
    <t>Construction</t>
  </si>
  <si>
    <t>100775</t>
  </si>
  <si>
    <t>Lemon Tree Hotels Ltd.</t>
  </si>
  <si>
    <t>INE970X01018</t>
  </si>
  <si>
    <t>100226</t>
  </si>
  <si>
    <t>Control Print Ltd.</t>
  </si>
  <si>
    <t>INE663B01015</t>
  </si>
  <si>
    <t>Hardware</t>
  </si>
  <si>
    <t>100084</t>
  </si>
  <si>
    <t>ABB India Ltd.</t>
  </si>
  <si>
    <t>INE117A01022</t>
  </si>
  <si>
    <t>101176</t>
  </si>
  <si>
    <t>Happiest Minds Technologies Ltd.</t>
  </si>
  <si>
    <t>INE419U01012</t>
  </si>
  <si>
    <t>100162</t>
  </si>
  <si>
    <t>Kirloskar Oil Engines Ltd.</t>
  </si>
  <si>
    <t>INE146L01010</t>
  </si>
  <si>
    <t>100412</t>
  </si>
  <si>
    <t>SJVN Ltd.</t>
  </si>
  <si>
    <t>INE002L01015</t>
  </si>
  <si>
    <t>100302</t>
  </si>
  <si>
    <t>DLF Ltd.</t>
  </si>
  <si>
    <t>INE271C01023</t>
  </si>
  <si>
    <t>100558</t>
  </si>
  <si>
    <t>Fairchem Speciality Ltd.</t>
  </si>
  <si>
    <t>INE959A01019</t>
  </si>
  <si>
    <t>100649</t>
  </si>
  <si>
    <t>Tata Metaliks Ltd.</t>
  </si>
  <si>
    <t>INE056C01010</t>
  </si>
  <si>
    <t>100552</t>
  </si>
  <si>
    <t>Ganesha Ecosphere Ltd.</t>
  </si>
  <si>
    <t>INE845D01014</t>
  </si>
  <si>
    <t>Textiles - Synthetic</t>
  </si>
  <si>
    <t>100660</t>
  </si>
  <si>
    <t>Hatsun Agro Product Ltd.</t>
  </si>
  <si>
    <t>INE473B01035</t>
  </si>
  <si>
    <t>100427</t>
  </si>
  <si>
    <t>Manpasand Beverages Ltd.</t>
  </si>
  <si>
    <t>INE122R01018</t>
  </si>
  <si>
    <t>100500</t>
  </si>
  <si>
    <t>Gayatri Bioorganics Ltd.</t>
  </si>
  <si>
    <t>INE052E01015</t>
  </si>
  <si>
    <t>101178</t>
  </si>
  <si>
    <t>Computer Age Management Services Ltd.</t>
  </si>
  <si>
    <t>INE596I01012</t>
  </si>
  <si>
    <t>100502</t>
  </si>
  <si>
    <t>Padmini Technologies Ltd.</t>
  </si>
  <si>
    <t>INE114B01019</t>
  </si>
  <si>
    <t>018</t>
  </si>
  <si>
    <t>SBI Long Term Equity Fund</t>
  </si>
  <si>
    <t>100178</t>
  </si>
  <si>
    <t>Ambuja Cements Ltd.</t>
  </si>
  <si>
    <t>INE079A01024</t>
  </si>
  <si>
    <t>100147</t>
  </si>
  <si>
    <t>Tech Mahindra Ltd.</t>
  </si>
  <si>
    <t>INE669C01036</t>
  </si>
  <si>
    <t>100435</t>
  </si>
  <si>
    <t>Crompton Greaves Consumer Electricals Ltd.</t>
  </si>
  <si>
    <t>INE299U01018</t>
  </si>
  <si>
    <t>100165</t>
  </si>
  <si>
    <t>Rallis India Ltd.</t>
  </si>
  <si>
    <t>INE613A01020</t>
  </si>
  <si>
    <t>100243</t>
  </si>
  <si>
    <t>Multi Commodity Exchange of India Ltd.</t>
  </si>
  <si>
    <t>INE745G01035</t>
  </si>
  <si>
    <t>100217</t>
  </si>
  <si>
    <t>Torrent Power Ltd.</t>
  </si>
  <si>
    <t>INE813H01021</t>
  </si>
  <si>
    <t>100285</t>
  </si>
  <si>
    <t>Alkem Laboratories Ltd.</t>
  </si>
  <si>
    <t>INE540L01014</t>
  </si>
  <si>
    <t>100076</t>
  </si>
  <si>
    <t>Strides Pharma Science Ltd.</t>
  </si>
  <si>
    <t>INE939A01011</t>
  </si>
  <si>
    <t>100011</t>
  </si>
  <si>
    <t>Wipro Ltd.</t>
  </si>
  <si>
    <t>INE075A01022</t>
  </si>
  <si>
    <t>100210</t>
  </si>
  <si>
    <t>IRB Infrastructure Developers Ltd.</t>
  </si>
  <si>
    <t>INE821I01014</t>
  </si>
  <si>
    <t>100019</t>
  </si>
  <si>
    <t>ITC Ltd.</t>
  </si>
  <si>
    <t>INE154A01025</t>
  </si>
  <si>
    <t>100183</t>
  </si>
  <si>
    <t>Vedanta Ltd.</t>
  </si>
  <si>
    <t>INE205A01025</t>
  </si>
  <si>
    <t>100159</t>
  </si>
  <si>
    <t>Sanofi India Ltd.</t>
  </si>
  <si>
    <t>INE058A01010</t>
  </si>
  <si>
    <t>100474</t>
  </si>
  <si>
    <t>Narayana Hrudayalaya Ltd.</t>
  </si>
  <si>
    <t>INE410P01011</t>
  </si>
  <si>
    <t>Healthcare Services</t>
  </si>
  <si>
    <t>100123</t>
  </si>
  <si>
    <t>GE T&amp;D India Ltd.</t>
  </si>
  <si>
    <t>INE200A01026</t>
  </si>
  <si>
    <t>100172</t>
  </si>
  <si>
    <t>ACC Ltd.</t>
  </si>
  <si>
    <t>INE012A01025</t>
  </si>
  <si>
    <t>100055</t>
  </si>
  <si>
    <t>The Federal Bank Ltd.</t>
  </si>
  <si>
    <t>INE171A01029</t>
  </si>
  <si>
    <t>100759</t>
  </si>
  <si>
    <t>The New India Assurance Company Ltd.</t>
  </si>
  <si>
    <t>INE470Y01017</t>
  </si>
  <si>
    <t>100169</t>
  </si>
  <si>
    <t>Indian Oil Corporation Ltd.</t>
  </si>
  <si>
    <t>INE242A01010</t>
  </si>
  <si>
    <t>100531</t>
  </si>
  <si>
    <t>Sundaram Clayton Ltd.</t>
  </si>
  <si>
    <t>INE105A01035</t>
  </si>
  <si>
    <t>100769</t>
  </si>
  <si>
    <t>Aster DM Healthcare Ltd.</t>
  </si>
  <si>
    <t>INE914M01019</t>
  </si>
  <si>
    <t>100088</t>
  </si>
  <si>
    <t>Bharat Heavy Electricals Ltd.</t>
  </si>
  <si>
    <t>INE257A01026</t>
  </si>
  <si>
    <t>100318</t>
  </si>
  <si>
    <t>Tata Motors DVR Ltd.</t>
  </si>
  <si>
    <t>IN9155A01020</t>
  </si>
  <si>
    <t>100171</t>
  </si>
  <si>
    <t>VA Tech Wabag Ltd.</t>
  </si>
  <si>
    <t>INE956G01038</t>
  </si>
  <si>
    <t>Engineering Services</t>
  </si>
  <si>
    <t>100105</t>
  </si>
  <si>
    <t>Marico Ltd.</t>
  </si>
  <si>
    <t>INE196A01026</t>
  </si>
  <si>
    <t>100112</t>
  </si>
  <si>
    <t>Punjab National Bank</t>
  </si>
  <si>
    <t>INE160A01022</t>
  </si>
  <si>
    <t>021</t>
  </si>
  <si>
    <t>SBI Magnum Global Fund</t>
  </si>
  <si>
    <t>100025</t>
  </si>
  <si>
    <t>Nestle India Ltd.</t>
  </si>
  <si>
    <t>INE239A01016</t>
  </si>
  <si>
    <t>100106</t>
  </si>
  <si>
    <t>Maruti Suzuki India Ltd.</t>
  </si>
  <si>
    <t>INE585B01010</t>
  </si>
  <si>
    <t>100080</t>
  </si>
  <si>
    <t>Dr. Reddy's Laboratories Ltd.</t>
  </si>
  <si>
    <t>INE089A01023</t>
  </si>
  <si>
    <t>100363</t>
  </si>
  <si>
    <t>Procter &amp; Gamble Hygiene and Health Care Ltd.</t>
  </si>
  <si>
    <t>INE179A01014</t>
  </si>
  <si>
    <t>100514</t>
  </si>
  <si>
    <t>Grindwell Norton Ltd.</t>
  </si>
  <si>
    <t>INE536A01023</t>
  </si>
  <si>
    <t>100519</t>
  </si>
  <si>
    <t>Westlife Development Ltd.</t>
  </si>
  <si>
    <t>INE274F01020</t>
  </si>
  <si>
    <t>100677</t>
  </si>
  <si>
    <t>Dixon Technologies (India) Ltd.</t>
  </si>
  <si>
    <t>INE935N01012</t>
  </si>
  <si>
    <t>100275</t>
  </si>
  <si>
    <t>Pfizer Ltd.</t>
  </si>
  <si>
    <t>INE182A01018</t>
  </si>
  <si>
    <t>100760</t>
  </si>
  <si>
    <t>Galaxy Surfactants Ltd.</t>
  </si>
  <si>
    <t>INE600K01018</t>
  </si>
  <si>
    <t>100242</t>
  </si>
  <si>
    <t>Schaeffler India Ltd.</t>
  </si>
  <si>
    <t>INE513A01014</t>
  </si>
  <si>
    <t>100356</t>
  </si>
  <si>
    <t>Ajanta Pharma Ltd.</t>
  </si>
  <si>
    <t>INE031B01049</t>
  </si>
  <si>
    <t>100370</t>
  </si>
  <si>
    <t>Biocon Ltd.</t>
  </si>
  <si>
    <t>INE376G01013</t>
  </si>
  <si>
    <t>100223</t>
  </si>
  <si>
    <t>United Spirits Ltd.</t>
  </si>
  <si>
    <t>INE854D01024</t>
  </si>
  <si>
    <t>100825</t>
  </si>
  <si>
    <t>Alphabet Inc.</t>
  </si>
  <si>
    <t>US02079K3059</t>
  </si>
  <si>
    <t>100572</t>
  </si>
  <si>
    <t>Timken India Ltd.</t>
  </si>
  <si>
    <t>INE325A01013</t>
  </si>
  <si>
    <t>100512</t>
  </si>
  <si>
    <t>Elgi Equipments Ltd.</t>
  </si>
  <si>
    <t>INE285A01027</t>
  </si>
  <si>
    <t>100306</t>
  </si>
  <si>
    <t>Abbott India Ltd.</t>
  </si>
  <si>
    <t>INE358A01014</t>
  </si>
  <si>
    <t>100167</t>
  </si>
  <si>
    <t>GE Power India Ltd.</t>
  </si>
  <si>
    <t>INE878A01011</t>
  </si>
  <si>
    <t>100941</t>
  </si>
  <si>
    <t>CSB Bank Ltd.</t>
  </si>
  <si>
    <t>INE679A01013</t>
  </si>
  <si>
    <t>100133</t>
  </si>
  <si>
    <t>Oracle Financial Services Software Ltd.</t>
  </si>
  <si>
    <t>INE881D01027</t>
  </si>
  <si>
    <t>101063</t>
  </si>
  <si>
    <t>ABB Power Products &amp; Systems India Ltd.</t>
  </si>
  <si>
    <t>INE07Y701011</t>
  </si>
  <si>
    <t>100121</t>
  </si>
  <si>
    <t>United Breweries Ltd.</t>
  </si>
  <si>
    <t>INE686F01025</t>
  </si>
  <si>
    <t>100553</t>
  </si>
  <si>
    <t>Kennametal India Ltd.</t>
  </si>
  <si>
    <t>INE717A01029</t>
  </si>
  <si>
    <t>100764</t>
  </si>
  <si>
    <t>Sundaram Finance Holdings Ltd.</t>
  </si>
  <si>
    <t>INE202Z01029</t>
  </si>
  <si>
    <t>024</t>
  </si>
  <si>
    <t>SBI Equity Hybrid Fund</t>
  </si>
  <si>
    <t>100108</t>
  </si>
  <si>
    <t>Adani Ports and Special Economic Zone Ltd.</t>
  </si>
  <si>
    <t>INE742F01042</t>
  </si>
  <si>
    <t>100344</t>
  </si>
  <si>
    <t>MRF Ltd.</t>
  </si>
  <si>
    <t>INE883A01011</t>
  </si>
  <si>
    <t>100137</t>
  </si>
  <si>
    <t>The Ramco Cements Ltd.</t>
  </si>
  <si>
    <t>INE331A01037</t>
  </si>
  <si>
    <t>100293</t>
  </si>
  <si>
    <t>AIA Engineering Ltd.</t>
  </si>
  <si>
    <t>INE212H01026</t>
  </si>
  <si>
    <t>100260</t>
  </si>
  <si>
    <t>Solar Industries India Ltd.</t>
  </si>
  <si>
    <t>INE343H01029</t>
  </si>
  <si>
    <t>100824</t>
  </si>
  <si>
    <t>Aavas Financiers Ltd.</t>
  </si>
  <si>
    <t>INE216P01012</t>
  </si>
  <si>
    <t>100089</t>
  </si>
  <si>
    <t>Bharat Electronics Ltd.</t>
  </si>
  <si>
    <t>INE263A01024</t>
  </si>
  <si>
    <t>100151</t>
  </si>
  <si>
    <t>3M India Ltd.</t>
  </si>
  <si>
    <t>INE470A01017</t>
  </si>
  <si>
    <t>Commercial Services</t>
  </si>
  <si>
    <t>100287</t>
  </si>
  <si>
    <t>Allcargo Logistics Ltd.</t>
  </si>
  <si>
    <t>INE418H01029</t>
  </si>
  <si>
    <t>100530</t>
  </si>
  <si>
    <t>Motor Industries Co. Ltd.</t>
  </si>
  <si>
    <t>EQ315201XXXX</t>
  </si>
  <si>
    <t>702275</t>
  </si>
  <si>
    <t>INE428A08101</t>
  </si>
  <si>
    <t>CRISIL AA-</t>
  </si>
  <si>
    <t>N**</t>
  </si>
  <si>
    <t>702122</t>
  </si>
  <si>
    <t>Union Bank of India( AT1 Bond under Basel  III )</t>
  </si>
  <si>
    <t>INE434A08083</t>
  </si>
  <si>
    <t>CARE A+</t>
  </si>
  <si>
    <t>702300</t>
  </si>
  <si>
    <t>Tata International Ltd.( Perpetual Bond )</t>
  </si>
  <si>
    <t>INE751F08048</t>
  </si>
  <si>
    <t>CARE A</t>
  </si>
  <si>
    <t>702478</t>
  </si>
  <si>
    <t>Tata Power Company Ltd.</t>
  </si>
  <si>
    <t>INE245A08182</t>
  </si>
  <si>
    <t>IND AA</t>
  </si>
  <si>
    <t>800275</t>
  </si>
  <si>
    <t>Tata Motor Finance Holdings Ltd.</t>
  </si>
  <si>
    <t>INE909H08279</t>
  </si>
  <si>
    <t>[ICRA]AA-</t>
  </si>
  <si>
    <t>800259</t>
  </si>
  <si>
    <t>Embassy Office Parks Reit</t>
  </si>
  <si>
    <t>INE041007019</t>
  </si>
  <si>
    <t>CRISIL AAA</t>
  </si>
  <si>
    <t>702229</t>
  </si>
  <si>
    <t>TATA Capital Ltd.</t>
  </si>
  <si>
    <t>INE976I08300</t>
  </si>
  <si>
    <t>702130</t>
  </si>
  <si>
    <t>Manappuram Finance Ltd.</t>
  </si>
  <si>
    <t>INE522D07BC0</t>
  </si>
  <si>
    <t>CRISIL AA</t>
  </si>
  <si>
    <t>701532</t>
  </si>
  <si>
    <t>Sterlite Power Grid Ventures Ltd.</t>
  </si>
  <si>
    <t>INE615S07073</t>
  </si>
  <si>
    <t>IND A</t>
  </si>
  <si>
    <t>701244</t>
  </si>
  <si>
    <t>INE434A08067</t>
  </si>
  <si>
    <t>700620</t>
  </si>
  <si>
    <t>L&amp;T Metro Rail (Hyderabad) Ltd. [Guaranteed by Larsen &amp; Toubro Limited]</t>
  </si>
  <si>
    <t>INE128M08011</t>
  </si>
  <si>
    <t>[ICRA]AAA(CE)</t>
  </si>
  <si>
    <t>702405</t>
  </si>
  <si>
    <t>INE522D07BH9</t>
  </si>
  <si>
    <t>702391</t>
  </si>
  <si>
    <t>Aadhar Housing Finance Ltd.</t>
  </si>
  <si>
    <t>INE883F07165</t>
  </si>
  <si>
    <t>CARE AA</t>
  </si>
  <si>
    <t>702387</t>
  </si>
  <si>
    <t>Indinfravit Trust</t>
  </si>
  <si>
    <t>INE790Z07038</t>
  </si>
  <si>
    <t>702311</t>
  </si>
  <si>
    <t>Tata Realty and Infrastructure Ltd.</t>
  </si>
  <si>
    <t>INE371K08136</t>
  </si>
  <si>
    <t>[ICRA]AA</t>
  </si>
  <si>
    <t>700624</t>
  </si>
  <si>
    <t>INE128M08029</t>
  </si>
  <si>
    <t>701243</t>
  </si>
  <si>
    <t>Punjab National Bank( AT1 Bond under Basel  III )</t>
  </si>
  <si>
    <t>INE160A08134</t>
  </si>
  <si>
    <t>702213</t>
  </si>
  <si>
    <t>Bank of Baroda( AT1 Bond under Basel  III )</t>
  </si>
  <si>
    <t>INE028A08109</t>
  </si>
  <si>
    <t>CRISIL AA+</t>
  </si>
  <si>
    <t>700782</t>
  </si>
  <si>
    <t>Indiabulls Housing Finance Ltd.</t>
  </si>
  <si>
    <t>INE148I07GE8</t>
  </si>
  <si>
    <t>701135</t>
  </si>
  <si>
    <t>Canara Bank( AT1 Bond under Basel  III )</t>
  </si>
  <si>
    <t>INE667A08070</t>
  </si>
  <si>
    <t>591</t>
  </si>
  <si>
    <t>800287</t>
  </si>
  <si>
    <t>INE909H08287</t>
  </si>
  <si>
    <t>800255</t>
  </si>
  <si>
    <t>INE371K08128</t>
  </si>
  <si>
    <t>702402</t>
  </si>
  <si>
    <t>Motilal Oswal Home Finance Ltd.</t>
  </si>
  <si>
    <t>INE658R07356</t>
  </si>
  <si>
    <t>701141</t>
  </si>
  <si>
    <t>INE667A08062</t>
  </si>
  <si>
    <t>700891</t>
  </si>
  <si>
    <t>Punjab National Bank( Tier II Bond under Basel  III )</t>
  </si>
  <si>
    <t>INE695A08063</t>
  </si>
  <si>
    <t>CRISIL A+</t>
  </si>
  <si>
    <t>702492</t>
  </si>
  <si>
    <t>INE160A08100</t>
  </si>
  <si>
    <t>702454</t>
  </si>
  <si>
    <t>INE414G07EP9</t>
  </si>
  <si>
    <t>702544</t>
  </si>
  <si>
    <t>INE062A08249</t>
  </si>
  <si>
    <t>701450</t>
  </si>
  <si>
    <t>Power Finance Corporation Ltd.</t>
  </si>
  <si>
    <t>INE134E08KD9</t>
  </si>
  <si>
    <t>700922</t>
  </si>
  <si>
    <t>INE160A08118</t>
  </si>
  <si>
    <t>701126</t>
  </si>
  <si>
    <t>INE028A08091</t>
  </si>
  <si>
    <t>701378</t>
  </si>
  <si>
    <t>INE160A08076</t>
  </si>
  <si>
    <t>702384</t>
  </si>
  <si>
    <t>INE790Z07012</t>
  </si>
  <si>
    <t>701433</t>
  </si>
  <si>
    <t>INE667A08104</t>
  </si>
  <si>
    <t>702493</t>
  </si>
  <si>
    <t>Indostar Capital Finance Ltd.</t>
  </si>
  <si>
    <t>INE896L07595</t>
  </si>
  <si>
    <t>CARE AA-</t>
  </si>
  <si>
    <t>702207</t>
  </si>
  <si>
    <t>INE245A08166</t>
  </si>
  <si>
    <t>701053</t>
  </si>
  <si>
    <t>INE110L07120</t>
  </si>
  <si>
    <t>700898</t>
  </si>
  <si>
    <t>Elena Renewable Energy Pvt. Ltd.(SPV Of Greenko)</t>
  </si>
  <si>
    <t>INE258U07011</t>
  </si>
  <si>
    <t>CARE AA-(CE)</t>
  </si>
  <si>
    <t>700899</t>
  </si>
  <si>
    <t>Aarish Solar Power Pvt. Ltd. (SPV Of Greenko)</t>
  </si>
  <si>
    <t>INE269U07018</t>
  </si>
  <si>
    <t>700900</t>
  </si>
  <si>
    <t>Zuvan Energy Pvt. Ltd. (SPV Of Greenko)</t>
  </si>
  <si>
    <t>INE259U07019</t>
  </si>
  <si>
    <t>700901</t>
  </si>
  <si>
    <t>Shreyas Renewable Energy Pvt.Ltd. (SPV Of Greenko)</t>
  </si>
  <si>
    <t>INE336U07015</t>
  </si>
  <si>
    <t>700902</t>
  </si>
  <si>
    <t>SEI Mihir Energy Pvt. Ltd. (SPV Of Greenko)</t>
  </si>
  <si>
    <t>INE387U07018</t>
  </si>
  <si>
    <t>700903</t>
  </si>
  <si>
    <t>SEI Enerstar Renewable Energy Pvt. Ltd. (SPV Of Greenko)</t>
  </si>
  <si>
    <t>INE257U07013</t>
  </si>
  <si>
    <t>700904</t>
  </si>
  <si>
    <t>SEI Baskara Power Pvt. Ltd. (SPV Of Greenko)</t>
  </si>
  <si>
    <t>INE328U07012</t>
  </si>
  <si>
    <t>700905</t>
  </si>
  <si>
    <t>Aashman Energy Pvt. Ltd. (SPV Of Greenko)</t>
  </si>
  <si>
    <t>INE347U07012</t>
  </si>
  <si>
    <t>700906</t>
  </si>
  <si>
    <t>Divyesh Power Pvt. Ltd. (SPV Of Greenko)</t>
  </si>
  <si>
    <t>INE327U07014</t>
  </si>
  <si>
    <t>700907</t>
  </si>
  <si>
    <t>Pratyash Renewable Pvt.Ltd. (SPV Of Greenko)</t>
  </si>
  <si>
    <t>INE268U07010</t>
  </si>
  <si>
    <t>900143</t>
  </si>
  <si>
    <t>6.19% CGL 2034</t>
  </si>
  <si>
    <t>IN0020200096</t>
  </si>
  <si>
    <t>Sovereign</t>
  </si>
  <si>
    <t>900115</t>
  </si>
  <si>
    <t>7.57% CGL 2033</t>
  </si>
  <si>
    <t>IN0020190065</t>
  </si>
  <si>
    <t>900082</t>
  </si>
  <si>
    <t>7.17% CGL 2028</t>
  </si>
  <si>
    <t>IN0020170174</t>
  </si>
  <si>
    <t>900142</t>
  </si>
  <si>
    <t>5.79% CGL 2030</t>
  </si>
  <si>
    <t>IN0020200070</t>
  </si>
  <si>
    <t>900131</t>
  </si>
  <si>
    <t>6.45% CGL 2029</t>
  </si>
  <si>
    <t>IN0020190362</t>
  </si>
  <si>
    <t>900096</t>
  </si>
  <si>
    <t>7.26% CGL 2029</t>
  </si>
  <si>
    <t>IN0020180454</t>
  </si>
  <si>
    <t>900147</t>
  </si>
  <si>
    <t>5.77% CGL 2030</t>
  </si>
  <si>
    <t>IN0020200153</t>
  </si>
  <si>
    <t>900059</t>
  </si>
  <si>
    <t>6.79% CGL 2029</t>
  </si>
  <si>
    <t>IN0020160118</t>
  </si>
  <si>
    <t>1301347</t>
  </si>
  <si>
    <t>5.00% The Federal Bank Ltd. (Duration 365 Days)</t>
  </si>
  <si>
    <t>028</t>
  </si>
  <si>
    <t>SBI Magnum Income Fund</t>
  </si>
  <si>
    <t>600</t>
  </si>
  <si>
    <t>702518</t>
  </si>
  <si>
    <t>Coastal Gujarat Power Ltd. (Guaranteed by Tata Power Limited)</t>
  </si>
  <si>
    <t>INE295J08063</t>
  </si>
  <si>
    <t>IND AA(CE)</t>
  </si>
  <si>
    <t>700845</t>
  </si>
  <si>
    <t>Ahmedabad-Maliya Tollway Ltd.</t>
  </si>
  <si>
    <t>INE557L07031</t>
  </si>
  <si>
    <t>[ICRA]AA(CE)</t>
  </si>
  <si>
    <t>702503</t>
  </si>
  <si>
    <t>Cholamandalam Investment &amp; Finance Co. Ltd.</t>
  </si>
  <si>
    <t>INE121A07PM6</t>
  </si>
  <si>
    <t>[ICRA]AA+</t>
  </si>
  <si>
    <t>702536</t>
  </si>
  <si>
    <t>INE883F07181</t>
  </si>
  <si>
    <t>033</t>
  </si>
  <si>
    <t>SBI Consumption Opportunities Fund</t>
  </si>
  <si>
    <t>100529</t>
  </si>
  <si>
    <t>Hawkins Cookers Ltd.</t>
  </si>
  <si>
    <t>INE979B01015</t>
  </si>
  <si>
    <t>100335</t>
  </si>
  <si>
    <t>Kajaria Ceramics Ltd.</t>
  </si>
  <si>
    <t>INE217B01036</t>
  </si>
  <si>
    <t>100173</t>
  </si>
  <si>
    <t>Asian Paints Ltd.</t>
  </si>
  <si>
    <t>INE021A01026</t>
  </si>
  <si>
    <t>100873</t>
  </si>
  <si>
    <t>Chalet Hotels Ltd.</t>
  </si>
  <si>
    <t>INE427F01016</t>
  </si>
  <si>
    <t>100513</t>
  </si>
  <si>
    <t>Greenply Industries Ltd.</t>
  </si>
  <si>
    <t>INE461C01038</t>
  </si>
  <si>
    <t>100063</t>
  </si>
  <si>
    <t>Kewal Kiran Clothing Ltd.</t>
  </si>
  <si>
    <t>INE401H01017</t>
  </si>
  <si>
    <t>100535</t>
  </si>
  <si>
    <t>Thangamayil Jewellery Ltd.</t>
  </si>
  <si>
    <t>INE085J01014</t>
  </si>
  <si>
    <t>100186</t>
  </si>
  <si>
    <t>Zee Entertainment Enterprises Ltd.</t>
  </si>
  <si>
    <t>INE256A01028</t>
  </si>
  <si>
    <t>Media &amp; Entertainment</t>
  </si>
  <si>
    <t>100935</t>
  </si>
  <si>
    <t>Greenpanel Industries Ltd.</t>
  </si>
  <si>
    <t>INE08ZM01014</t>
  </si>
  <si>
    <t>100138</t>
  </si>
  <si>
    <t>PVR Ltd.</t>
  </si>
  <si>
    <t>INE191H01014</t>
  </si>
  <si>
    <t>100279</t>
  </si>
  <si>
    <t>Indian Terrain Fashions Ltd.</t>
  </si>
  <si>
    <t>INE611L01021</t>
  </si>
  <si>
    <t>100657</t>
  </si>
  <si>
    <t>V2 Retail Ltd.</t>
  </si>
  <si>
    <t>INE945H01013</t>
  </si>
  <si>
    <t>034</t>
  </si>
  <si>
    <t>SBI Technology Opportunities Fund</t>
  </si>
  <si>
    <t>100026</t>
  </si>
  <si>
    <t>Persistent Systems Ltd.</t>
  </si>
  <si>
    <t>INE262H01013</t>
  </si>
  <si>
    <t>100205</t>
  </si>
  <si>
    <t>MindTree Ltd.</t>
  </si>
  <si>
    <t>INE018I01017</t>
  </si>
  <si>
    <t>100274</t>
  </si>
  <si>
    <t>NIIT Ltd.</t>
  </si>
  <si>
    <t>INE161A01038</t>
  </si>
  <si>
    <t>101177</t>
  </si>
  <si>
    <t>Route Mobile Ltd.</t>
  </si>
  <si>
    <t>INE450U01017</t>
  </si>
  <si>
    <t>100447</t>
  </si>
  <si>
    <t>Larsen &amp; Toubro Infotech Ltd.</t>
  </si>
  <si>
    <t>INE214T01019</t>
  </si>
  <si>
    <t>100238</t>
  </si>
  <si>
    <t>Cyient Ltd.</t>
  </si>
  <si>
    <t>INE136B01020</t>
  </si>
  <si>
    <t>100753</t>
  </si>
  <si>
    <t>Newgen Software Technologies Ltd.</t>
  </si>
  <si>
    <t>INE619B01017</t>
  </si>
  <si>
    <t>100538</t>
  </si>
  <si>
    <t>Indbazaar.Com Ltd.</t>
  </si>
  <si>
    <t>EQ578801XXXX</t>
  </si>
  <si>
    <t>100539</t>
  </si>
  <si>
    <t>SIP Technologies  Ltd.</t>
  </si>
  <si>
    <t>INE468B01019</t>
  </si>
  <si>
    <t>3000005</t>
  </si>
  <si>
    <t>Microsoft Corporation</t>
  </si>
  <si>
    <t>US5949181045</t>
  </si>
  <si>
    <t>035</t>
  </si>
  <si>
    <t>SBI Healthcare Opportunities Fund</t>
  </si>
  <si>
    <t>100201</t>
  </si>
  <si>
    <t>Aurobindo Pharma Ltd.</t>
  </si>
  <si>
    <t>INE406A01037</t>
  </si>
  <si>
    <t>100150</t>
  </si>
  <si>
    <t>Apollo Hospitals Enterprise Ltd.</t>
  </si>
  <si>
    <t>INE437A01024</t>
  </si>
  <si>
    <t>100504</t>
  </si>
  <si>
    <t>Sequent Scientific Ltd.</t>
  </si>
  <si>
    <t>INE807F01027</t>
  </si>
  <si>
    <t>100428</t>
  </si>
  <si>
    <t>Thyrocare Technologies Ltd.</t>
  </si>
  <si>
    <t>INE594H01019</t>
  </si>
  <si>
    <t>100051</t>
  </si>
  <si>
    <t>Alembic Pharmaceuticals Ltd.</t>
  </si>
  <si>
    <t>INE901L01018</t>
  </si>
  <si>
    <t>100782</t>
  </si>
  <si>
    <t>Solara Active Pharma Sciences Ltd.</t>
  </si>
  <si>
    <t>INE624Z01016</t>
  </si>
  <si>
    <t>100645</t>
  </si>
  <si>
    <t>Gufic Biosciences Ltd.</t>
  </si>
  <si>
    <t>INE742B01025</t>
  </si>
  <si>
    <t>100897</t>
  </si>
  <si>
    <t>Metropolis Healthcare Ltd.</t>
  </si>
  <si>
    <t>INE112L01020</t>
  </si>
  <si>
    <t>101080</t>
  </si>
  <si>
    <t>JB Chemicals &amp; Pharmaceuticals Ltd.</t>
  </si>
  <si>
    <t>INE572A01028</t>
  </si>
  <si>
    <t>200005</t>
  </si>
  <si>
    <t>Shreno Ltd.</t>
  </si>
  <si>
    <t>INE274D04011</t>
  </si>
  <si>
    <t>P**</t>
  </si>
  <si>
    <t>036</t>
  </si>
  <si>
    <t>SBI Contra Fund</t>
  </si>
  <si>
    <t>100899</t>
  </si>
  <si>
    <t>Neogen Chemicals Ltd.</t>
  </si>
  <si>
    <t>INE136S01016</t>
  </si>
  <si>
    <t>100100</t>
  </si>
  <si>
    <t>Hindustan Petroleum Corporation Ltd.</t>
  </si>
  <si>
    <t>INE094A01015</t>
  </si>
  <si>
    <t>100022</t>
  </si>
  <si>
    <t>The Phoenix Mills Ltd.</t>
  </si>
  <si>
    <t>INE211B01039</t>
  </si>
  <si>
    <t>100386</t>
  </si>
  <si>
    <t>Carborundum Universal Ltd.</t>
  </si>
  <si>
    <t>INE120A01034</t>
  </si>
  <si>
    <t>100554</t>
  </si>
  <si>
    <t>V-Guard Industries Ltd.</t>
  </si>
  <si>
    <t>INE951I01027</t>
  </si>
  <si>
    <t>100092</t>
  </si>
  <si>
    <t>Bank of Baroda</t>
  </si>
  <si>
    <t>INE028A01039</t>
  </si>
  <si>
    <t>100738</t>
  </si>
  <si>
    <t>Minda Corporation Ltd.</t>
  </si>
  <si>
    <t>INE842C01021</t>
  </si>
  <si>
    <t>100176</t>
  </si>
  <si>
    <t>GAIL (India) Ltd.</t>
  </si>
  <si>
    <t>INE129A01019</t>
  </si>
  <si>
    <t>Gas</t>
  </si>
  <si>
    <t>100229</t>
  </si>
  <si>
    <t>NCC Ltd.</t>
  </si>
  <si>
    <t>INE868B01028</t>
  </si>
  <si>
    <t>100158</t>
  </si>
  <si>
    <t>Gateway Distriparks Ltd.</t>
  </si>
  <si>
    <t>INE852F01015</t>
  </si>
  <si>
    <t>100093</t>
  </si>
  <si>
    <t>Blue Dart Express Ltd.</t>
  </si>
  <si>
    <t>INE233B01017</t>
  </si>
  <si>
    <t>100023</t>
  </si>
  <si>
    <t>Sadbhav Engineering Ltd.</t>
  </si>
  <si>
    <t>INE226H01026</t>
  </si>
  <si>
    <t>100111</t>
  </si>
  <si>
    <t>Oil &amp; Natural Gas Corporation Ltd.</t>
  </si>
  <si>
    <t>INE213A01029</t>
  </si>
  <si>
    <t>Oil</t>
  </si>
  <si>
    <t>100573</t>
  </si>
  <si>
    <t>Chennai Petroleum Corporation Ltd.</t>
  </si>
  <si>
    <t>INE178A01016</t>
  </si>
  <si>
    <t>1301364</t>
  </si>
  <si>
    <t>3.75% The Federal Bank Ltd. (Duration 91 Days)</t>
  </si>
  <si>
    <t>1301366</t>
  </si>
  <si>
    <t>1301362</t>
  </si>
  <si>
    <t>1301363</t>
  </si>
  <si>
    <t>055</t>
  </si>
  <si>
    <t>SBI Nifty Index Fund</t>
  </si>
  <si>
    <t>100182</t>
  </si>
  <si>
    <t>Power Grid Corporation of India Ltd.</t>
  </si>
  <si>
    <t>INE752E01010</t>
  </si>
  <si>
    <t>100181</t>
  </si>
  <si>
    <t>NTPC Ltd.</t>
  </si>
  <si>
    <t>INE733E01010</t>
  </si>
  <si>
    <t>100179</t>
  </si>
  <si>
    <t>Hero MotoCorp Ltd.</t>
  </si>
  <si>
    <t>INE158A01026</t>
  </si>
  <si>
    <t>100039</t>
  </si>
  <si>
    <t>Bajaj Auto Ltd.</t>
  </si>
  <si>
    <t>INE917I01010</t>
  </si>
  <si>
    <t>100380</t>
  </si>
  <si>
    <t>Bajaj Finserv Ltd.</t>
  </si>
  <si>
    <t>INE918I01018</t>
  </si>
  <si>
    <t>100684</t>
  </si>
  <si>
    <t>SBI Life Insurance Company Ltd.</t>
  </si>
  <si>
    <t>INE123W01016</t>
  </si>
  <si>
    <t>100013</t>
  </si>
  <si>
    <t>IndusInd Bank Ltd.</t>
  </si>
  <si>
    <t>INE095A01012</t>
  </si>
  <si>
    <t>100177</t>
  </si>
  <si>
    <t>Grasim Industries Ltd.</t>
  </si>
  <si>
    <t>INE047A01021</t>
  </si>
  <si>
    <t>100139</t>
  </si>
  <si>
    <t>UPL Ltd.</t>
  </si>
  <si>
    <t>INE628A01036</t>
  </si>
  <si>
    <t>100193</t>
  </si>
  <si>
    <t>JSW Steel Ltd.</t>
  </si>
  <si>
    <t>INE019A01038</t>
  </si>
  <si>
    <t>100097</t>
  </si>
  <si>
    <t>Coal India Ltd.</t>
  </si>
  <si>
    <t>INE522F01014</t>
  </si>
  <si>
    <t>Minerals/Mining</t>
  </si>
  <si>
    <t>Yes Bank Ltd.</t>
  </si>
  <si>
    <t>1301320</t>
  </si>
  <si>
    <t>4.28% HDFC Bank Ltd. (Duration 365 Days)</t>
  </si>
  <si>
    <t>549</t>
  </si>
  <si>
    <t>056</t>
  </si>
  <si>
    <t>SBI Magnum Children's Benefit Fund - Savings Plan</t>
  </si>
  <si>
    <t>100286</t>
  </si>
  <si>
    <t>NHPC Ltd.</t>
  </si>
  <si>
    <t>INE848E01016</t>
  </si>
  <si>
    <t>100255</t>
  </si>
  <si>
    <t>PNC Infratech Ltd.</t>
  </si>
  <si>
    <t>INE195J01029</t>
  </si>
  <si>
    <t>100163</t>
  </si>
  <si>
    <t>Bosch Ltd.</t>
  </si>
  <si>
    <t>INE323A01026</t>
  </si>
  <si>
    <t>100129</t>
  </si>
  <si>
    <t>Engineers India Ltd.</t>
  </si>
  <si>
    <t>INE510A01028</t>
  </si>
  <si>
    <t>701517</t>
  </si>
  <si>
    <t>State Bank of India( Tier II Bond under Basel  III )</t>
  </si>
  <si>
    <t>INE062A08207</t>
  </si>
  <si>
    <t>702312</t>
  </si>
  <si>
    <t>National Bank for Agriculture and Rural Development</t>
  </si>
  <si>
    <t>INE261F08BX4</t>
  </si>
  <si>
    <t>[ICRA]AAA</t>
  </si>
  <si>
    <t>702489</t>
  </si>
  <si>
    <t>INE134E08KV1</t>
  </si>
  <si>
    <t>702502</t>
  </si>
  <si>
    <t>INE414G07EV7</t>
  </si>
  <si>
    <t>1901206</t>
  </si>
  <si>
    <t>7.17% State Government of Karnataka 2029</t>
  </si>
  <si>
    <t>IN1920190106</t>
  </si>
  <si>
    <t>057</t>
  </si>
  <si>
    <t>SBI Overnight Fund</t>
  </si>
  <si>
    <t>110201002</t>
  </si>
  <si>
    <t>Reverse Repo</t>
  </si>
  <si>
    <t>069</t>
  </si>
  <si>
    <t>SBI Magnum Medium Duration Fund</t>
  </si>
  <si>
    <t>702546</t>
  </si>
  <si>
    <t>Mahindra Rural Housing Finance Ltd.</t>
  </si>
  <si>
    <t>INE950O08188</t>
  </si>
  <si>
    <t>IND AA+</t>
  </si>
  <si>
    <t>702543</t>
  </si>
  <si>
    <t>India Grid Trust</t>
  </si>
  <si>
    <t>INE219X07108</t>
  </si>
  <si>
    <t>800295</t>
  </si>
  <si>
    <t>INE896L07678</t>
  </si>
  <si>
    <t>IND AA-</t>
  </si>
  <si>
    <t>702561</t>
  </si>
  <si>
    <t>INE062A08256</t>
  </si>
  <si>
    <t>702550</t>
  </si>
  <si>
    <t>Shriram Transport Finance Company Ltd.</t>
  </si>
  <si>
    <t>INE721A07PQ4</t>
  </si>
  <si>
    <t>800291</t>
  </si>
  <si>
    <t>INE041007027</t>
  </si>
  <si>
    <t>702564</t>
  </si>
  <si>
    <t>INE001A07SR3</t>
  </si>
  <si>
    <t>550</t>
  </si>
  <si>
    <t>701689</t>
  </si>
  <si>
    <t>INE219X07033</t>
  </si>
  <si>
    <t>702371</t>
  </si>
  <si>
    <t>Avanse Financial Services Ltd.</t>
  </si>
  <si>
    <t>INE087P07105</t>
  </si>
  <si>
    <t>702466</t>
  </si>
  <si>
    <t>INE371K08144</t>
  </si>
  <si>
    <t>702302</t>
  </si>
  <si>
    <t>Tata Capital Housing Finance Ltd.</t>
  </si>
  <si>
    <t>INE033L07GM9</t>
  </si>
  <si>
    <t>701077</t>
  </si>
  <si>
    <t>INE295J08014</t>
  </si>
  <si>
    <t>CARE AA(CE)</t>
  </si>
  <si>
    <t>700256</t>
  </si>
  <si>
    <t>Vadodara Bharuch Tollway Ltd. (subsidiary of L&amp;T IDPL Limited)</t>
  </si>
  <si>
    <t>INE828N07032</t>
  </si>
  <si>
    <t>900007</t>
  </si>
  <si>
    <t>8.15% CGL 2026</t>
  </si>
  <si>
    <t>IN0020140060</t>
  </si>
  <si>
    <t>900101</t>
  </si>
  <si>
    <t>7.27% CGL 2026</t>
  </si>
  <si>
    <t>IN0020190016</t>
  </si>
  <si>
    <t>900145</t>
  </si>
  <si>
    <t>5.22% CGL 2025</t>
  </si>
  <si>
    <t>IN0020200112</t>
  </si>
  <si>
    <t>900135</t>
  </si>
  <si>
    <t>6.18% CGL 2024</t>
  </si>
  <si>
    <t>IN0020190396</t>
  </si>
  <si>
    <t>1901259</t>
  </si>
  <si>
    <t>7.22% State Government of Maharashtra 2026</t>
  </si>
  <si>
    <t>IN2220160096</t>
  </si>
  <si>
    <t>072</t>
  </si>
  <si>
    <t>SBI Liquid Fund</t>
  </si>
  <si>
    <t>1901275</t>
  </si>
  <si>
    <t>7.06% State Government of Punjab 2020</t>
  </si>
  <si>
    <t>IN2820160280</t>
  </si>
  <si>
    <t>1901260</t>
  </si>
  <si>
    <t>6.99% State Government of Andhra Pradesh 2020</t>
  </si>
  <si>
    <t>IN1020160363</t>
  </si>
  <si>
    <t>1901284</t>
  </si>
  <si>
    <t>8.03% State Government of Odisha 2020</t>
  </si>
  <si>
    <t>IN2720150019</t>
  </si>
  <si>
    <t>1900407</t>
  </si>
  <si>
    <t>8.13% State Government of Karnataka 2020</t>
  </si>
  <si>
    <t>IN1920180016</t>
  </si>
  <si>
    <t>1006806</t>
  </si>
  <si>
    <t>INE001A14WU5</t>
  </si>
  <si>
    <t>CRISIL A1+</t>
  </si>
  <si>
    <t>1006693</t>
  </si>
  <si>
    <t>INE002A14FT0</t>
  </si>
  <si>
    <t>1006756</t>
  </si>
  <si>
    <t>INE018A14HY2</t>
  </si>
  <si>
    <t>1006722</t>
  </si>
  <si>
    <t>NLC India Ltd.</t>
  </si>
  <si>
    <t>INE589A14108</t>
  </si>
  <si>
    <t>IND A1+</t>
  </si>
  <si>
    <t>1006749</t>
  </si>
  <si>
    <t>Sikka Ports &amp; Terminals Ltd.</t>
  </si>
  <si>
    <t>INE941D14030</t>
  </si>
  <si>
    <t>1006754</t>
  </si>
  <si>
    <t>INE941D14048</t>
  </si>
  <si>
    <t>1006673</t>
  </si>
  <si>
    <t>Reliance Jio Infocomm Ltd.</t>
  </si>
  <si>
    <t>INE110L14OX2</t>
  </si>
  <si>
    <t>1006737</t>
  </si>
  <si>
    <t>INE121A14SU9</t>
  </si>
  <si>
    <t>1006750</t>
  </si>
  <si>
    <t>INE245A14DV6</t>
  </si>
  <si>
    <t>1006834</t>
  </si>
  <si>
    <t>INE261F14HA7</t>
  </si>
  <si>
    <t>1006816</t>
  </si>
  <si>
    <t>L&amp;T Housing Finance Ltd.</t>
  </si>
  <si>
    <t>INE476M14DE8</t>
  </si>
  <si>
    <t>1006815</t>
  </si>
  <si>
    <t>L&amp;T Finance Ltd.</t>
  </si>
  <si>
    <t>INE027E14JO2</t>
  </si>
  <si>
    <t>1006684</t>
  </si>
  <si>
    <t>INE414G14PJ4</t>
  </si>
  <si>
    <t>1006650</t>
  </si>
  <si>
    <t>INE752E14435</t>
  </si>
  <si>
    <t>1006683</t>
  </si>
  <si>
    <t>INE414G14PI6</t>
  </si>
  <si>
    <t>1006803</t>
  </si>
  <si>
    <t>INE414G14PS5</t>
  </si>
  <si>
    <t>1006701</t>
  </si>
  <si>
    <t>Tata Motors Finance Ltd.</t>
  </si>
  <si>
    <t>INE601U14FG4</t>
  </si>
  <si>
    <t>1006709</t>
  </si>
  <si>
    <t>INE601U14FH2</t>
  </si>
  <si>
    <t>1006738</t>
  </si>
  <si>
    <t>Hero FinCorp Ltd.</t>
  </si>
  <si>
    <t>INE957N14EA1</t>
  </si>
  <si>
    <t>1006751</t>
  </si>
  <si>
    <t>Jamnagar Utilities &amp; Power Private Ltd.</t>
  </si>
  <si>
    <t>INE936D14014</t>
  </si>
  <si>
    <t>1006753</t>
  </si>
  <si>
    <t>INE936D14022</t>
  </si>
  <si>
    <t>1006801</t>
  </si>
  <si>
    <t>INE414G14PR7</t>
  </si>
  <si>
    <t>1006817</t>
  </si>
  <si>
    <t>L&amp;T Infrastructure Finance Company Ltd.</t>
  </si>
  <si>
    <t>INE691I14JY5</t>
  </si>
  <si>
    <t>1006689</t>
  </si>
  <si>
    <t>ICICI Securities Ltd.</t>
  </si>
  <si>
    <t>INE763G14IL5</t>
  </si>
  <si>
    <t>1006744</t>
  </si>
  <si>
    <t>Julius Baer Capital (India) Private Ltd.</t>
  </si>
  <si>
    <t>INE824H14CO0</t>
  </si>
  <si>
    <t>1800525</t>
  </si>
  <si>
    <t>91 DAY T-BILL 12.11.20</t>
  </si>
  <si>
    <t>IN002020X217</t>
  </si>
  <si>
    <t>1800547</t>
  </si>
  <si>
    <t>91 DAY T-BILL 24.12.20</t>
  </si>
  <si>
    <t>IN002020X274</t>
  </si>
  <si>
    <t>1800510</t>
  </si>
  <si>
    <t>91 DAY T-BILL 15.10.20</t>
  </si>
  <si>
    <t>IN002020X175</t>
  </si>
  <si>
    <t>1800491</t>
  </si>
  <si>
    <t>182 DAY T-BILL 03.12.20</t>
  </si>
  <si>
    <t>IN002020Y090</t>
  </si>
  <si>
    <t>1800531</t>
  </si>
  <si>
    <t>91 DAY T-BILL 26.11.20</t>
  </si>
  <si>
    <t>IN002020X233</t>
  </si>
  <si>
    <t>1800478</t>
  </si>
  <si>
    <t>182 DAY T-BILL 26.11.20</t>
  </si>
  <si>
    <t>IN002020Y082</t>
  </si>
  <si>
    <t>1800519</t>
  </si>
  <si>
    <t>91 DAY T-BILL 29.10.20</t>
  </si>
  <si>
    <t>IN002020X191</t>
  </si>
  <si>
    <t>1800521</t>
  </si>
  <si>
    <t>91 DAY T-BILL 05.11.20</t>
  </si>
  <si>
    <t>IN002020X209</t>
  </si>
  <si>
    <t>1800533</t>
  </si>
  <si>
    <t>182 DAY T-BILL 06.11.20</t>
  </si>
  <si>
    <t>IN002020Y058</t>
  </si>
  <si>
    <t>1800506</t>
  </si>
  <si>
    <t>182 DAY T-BILL 15.10.20</t>
  </si>
  <si>
    <t>IN002020Y025</t>
  </si>
  <si>
    <t>1800504</t>
  </si>
  <si>
    <t>364 DAY T-BILL 29.10.20</t>
  </si>
  <si>
    <t>IN002019Z321</t>
  </si>
  <si>
    <t>1800475</t>
  </si>
  <si>
    <t>182 DAY T-BILL 19.11.20</t>
  </si>
  <si>
    <t>IN002020Y074</t>
  </si>
  <si>
    <t>1800473</t>
  </si>
  <si>
    <t>182 DAY T-BILL 12.11.20</t>
  </si>
  <si>
    <t>IN002020Y066</t>
  </si>
  <si>
    <t>1800529</t>
  </si>
  <si>
    <t>182 DAY T-BILL 22.10.20</t>
  </si>
  <si>
    <t>IN002020Y033</t>
  </si>
  <si>
    <t>074</t>
  </si>
  <si>
    <t>SBI Dynamic Bond Fund</t>
  </si>
  <si>
    <t>900140</t>
  </si>
  <si>
    <t>7.16% CGL 2050</t>
  </si>
  <si>
    <t>IN0020200054</t>
  </si>
  <si>
    <t>079</t>
  </si>
  <si>
    <t>SBI Savings Fund</t>
  </si>
  <si>
    <t>900097</t>
  </si>
  <si>
    <t>7.00% CGL 2021</t>
  </si>
  <si>
    <t>IN0020180470</t>
  </si>
  <si>
    <t>900009</t>
  </si>
  <si>
    <t>8.12% CGL 2020</t>
  </si>
  <si>
    <t>IN0020120054</t>
  </si>
  <si>
    <t>1006757</t>
  </si>
  <si>
    <t>Reliance Retail Ventures Ltd.</t>
  </si>
  <si>
    <t>INE929O14040</t>
  </si>
  <si>
    <t>1006542</t>
  </si>
  <si>
    <t>INE001A14WM2</t>
  </si>
  <si>
    <t>1006728</t>
  </si>
  <si>
    <t>Steel Authority of India Ltd.</t>
  </si>
  <si>
    <t>INE114A14JA5</t>
  </si>
  <si>
    <t>1006759</t>
  </si>
  <si>
    <t>INE929O14073</t>
  </si>
  <si>
    <t>1006831</t>
  </si>
  <si>
    <t>Birla Group Holding Pvt. Ltd.</t>
  </si>
  <si>
    <t>INE09OL14466</t>
  </si>
  <si>
    <t>1006563</t>
  </si>
  <si>
    <t>INE018A14HS4</t>
  </si>
  <si>
    <t>1006832</t>
  </si>
  <si>
    <t>Bharti Hexacom Ltd.</t>
  </si>
  <si>
    <t>INE343G14263</t>
  </si>
  <si>
    <t>1006616</t>
  </si>
  <si>
    <t>LIC Housing Finance Ltd.</t>
  </si>
  <si>
    <t>INE115A14CP5</t>
  </si>
  <si>
    <t>1006618</t>
  </si>
  <si>
    <t>Housing and Urban Development Corporation Ltd.</t>
  </si>
  <si>
    <t>INE031A14432</t>
  </si>
  <si>
    <t>[ICRA]A1+</t>
  </si>
  <si>
    <t>1006118</t>
  </si>
  <si>
    <t>INE155A14QY3</t>
  </si>
  <si>
    <t>1006797</t>
  </si>
  <si>
    <t>INE343G14214</t>
  </si>
  <si>
    <t>1006385</t>
  </si>
  <si>
    <t>L&amp;T Finance Holdings Ltd.</t>
  </si>
  <si>
    <t>INE498L14AG5</t>
  </si>
  <si>
    <t>1006609</t>
  </si>
  <si>
    <t>INE752E14443</t>
  </si>
  <si>
    <t>1006353</t>
  </si>
  <si>
    <t>Tata Capital Financial Services Ltd.</t>
  </si>
  <si>
    <t>INE306N14RX5</t>
  </si>
  <si>
    <t>1006507</t>
  </si>
  <si>
    <t>INE101A14128</t>
  </si>
  <si>
    <t>1006584</t>
  </si>
  <si>
    <t>INE155A14RO2</t>
  </si>
  <si>
    <t>1006658</t>
  </si>
  <si>
    <t>Can Fin Homes Ltd.</t>
  </si>
  <si>
    <t>INE477A14AX7</t>
  </si>
  <si>
    <t>1006765</t>
  </si>
  <si>
    <t>Tata Power Renewable Energy Ltd. (Guaranteed by Tata Power Limited)</t>
  </si>
  <si>
    <t>INE607M14509</t>
  </si>
  <si>
    <t>1006764</t>
  </si>
  <si>
    <t>INE019A14JH1</t>
  </si>
  <si>
    <t>1006778</t>
  </si>
  <si>
    <t>INE019A14JL3</t>
  </si>
  <si>
    <t>1006741</t>
  </si>
  <si>
    <t>Motilal Oswal Financial Services Ltd.</t>
  </si>
  <si>
    <t>INE338I14BU8</t>
  </si>
  <si>
    <t>1006790</t>
  </si>
  <si>
    <t>INE019A14JM1</t>
  </si>
  <si>
    <t>1006436</t>
  </si>
  <si>
    <t>INE115A14CN0</t>
  </si>
  <si>
    <t>1006770</t>
  </si>
  <si>
    <t>Tata Motors Finance Solutions Ltd.</t>
  </si>
  <si>
    <t>INE477S14AT7</t>
  </si>
  <si>
    <t>1006771</t>
  </si>
  <si>
    <t>INE477S14AU5</t>
  </si>
  <si>
    <t>1006739</t>
  </si>
  <si>
    <t>INE121A14SV7</t>
  </si>
  <si>
    <t>1006149</t>
  </si>
  <si>
    <t>INE001A14WB5</t>
  </si>
  <si>
    <t>1006729</t>
  </si>
  <si>
    <t>INE477S14AR1</t>
  </si>
  <si>
    <t>1006743</t>
  </si>
  <si>
    <t>INE477S14AS9</t>
  </si>
  <si>
    <t>1006734</t>
  </si>
  <si>
    <t>Motilal Oswal Finvest Ltd.</t>
  </si>
  <si>
    <t>INE01WN14116</t>
  </si>
  <si>
    <t>1006346</t>
  </si>
  <si>
    <t>INE691I14JQ1</t>
  </si>
  <si>
    <t>1006833</t>
  </si>
  <si>
    <t>INE216A14165</t>
  </si>
  <si>
    <t>1006438</t>
  </si>
  <si>
    <t>INE001A14WK6</t>
  </si>
  <si>
    <t>1006431</t>
  </si>
  <si>
    <t>INE002A14EQ9</t>
  </si>
  <si>
    <t>1006656</t>
  </si>
  <si>
    <t>JM Financial Products Ltd.</t>
  </si>
  <si>
    <t>INE523H14T88</t>
  </si>
  <si>
    <t>1006585</t>
  </si>
  <si>
    <t>INE155A14RP9</t>
  </si>
  <si>
    <t>1006657</t>
  </si>
  <si>
    <t>INE523H14T96</t>
  </si>
  <si>
    <t>1006669</t>
  </si>
  <si>
    <t>INE909H14OO4</t>
  </si>
  <si>
    <t>1006660</t>
  </si>
  <si>
    <t>Tata Projects Ltd.</t>
  </si>
  <si>
    <t>INE725H14AC8</t>
  </si>
  <si>
    <t>1006705</t>
  </si>
  <si>
    <t>INE134E14AR8</t>
  </si>
  <si>
    <t>CARE A1+</t>
  </si>
  <si>
    <t>1006760</t>
  </si>
  <si>
    <t>INE01WN14124</t>
  </si>
  <si>
    <t>1006825</t>
  </si>
  <si>
    <t>KEC International Ltd.</t>
  </si>
  <si>
    <t>INE389H14FL3</t>
  </si>
  <si>
    <t>1006826</t>
  </si>
  <si>
    <t>INE389H14FK5</t>
  </si>
  <si>
    <t>1006348</t>
  </si>
  <si>
    <t>INE001A14WH2</t>
  </si>
  <si>
    <t>1006763</t>
  </si>
  <si>
    <t>INE929O14057</t>
  </si>
  <si>
    <t>1006736</t>
  </si>
  <si>
    <t>Network18 Media &amp; Investments Ltd.</t>
  </si>
  <si>
    <t>INE870H14KS7</t>
  </si>
  <si>
    <t>1006208</t>
  </si>
  <si>
    <t>INE257A14219</t>
  </si>
  <si>
    <t>1006725</t>
  </si>
  <si>
    <t>INE870H14KT5</t>
  </si>
  <si>
    <t>1006742</t>
  </si>
  <si>
    <t>INE870H14KR9</t>
  </si>
  <si>
    <t>1101741</t>
  </si>
  <si>
    <t>INE028A16BY9</t>
  </si>
  <si>
    <t>1101716</t>
  </si>
  <si>
    <t>INE095A16H36</t>
  </si>
  <si>
    <t>1101761</t>
  </si>
  <si>
    <t>Export-Import Bank of India</t>
  </si>
  <si>
    <t>INE514E16BT0</t>
  </si>
  <si>
    <t>1101765</t>
  </si>
  <si>
    <t>INE028A16CH2</t>
  </si>
  <si>
    <t>1101740</t>
  </si>
  <si>
    <t>INE238A165U5</t>
  </si>
  <si>
    <t>1101773</t>
  </si>
  <si>
    <t>INE095A16J59</t>
  </si>
  <si>
    <t>1101766</t>
  </si>
  <si>
    <t>RBL Bank Ltd.</t>
  </si>
  <si>
    <t>INE976G16LJ6</t>
  </si>
  <si>
    <t>1101649</t>
  </si>
  <si>
    <t>Union Bank of India</t>
  </si>
  <si>
    <t>INE434A16QR1</t>
  </si>
  <si>
    <t>1101727</t>
  </si>
  <si>
    <t>INE261F16512</t>
  </si>
  <si>
    <t>1101749</t>
  </si>
  <si>
    <t>INE090A166W6</t>
  </si>
  <si>
    <t>1101763</t>
  </si>
  <si>
    <t>INE028A16CG4</t>
  </si>
  <si>
    <t>1101696</t>
  </si>
  <si>
    <t>INE261F16470</t>
  </si>
  <si>
    <t>1101760</t>
  </si>
  <si>
    <t>INE261F16496</t>
  </si>
  <si>
    <t>1101671</t>
  </si>
  <si>
    <t>INE090A161W7</t>
  </si>
  <si>
    <t>1101698</t>
  </si>
  <si>
    <t>INE090A165W8</t>
  </si>
  <si>
    <t>1101762</t>
  </si>
  <si>
    <t>INE261F16538</t>
  </si>
  <si>
    <t>1101675</t>
  </si>
  <si>
    <t>INE141A16ZU7</t>
  </si>
  <si>
    <t>1101748</t>
  </si>
  <si>
    <t>INE090A169V2</t>
  </si>
  <si>
    <t>1101735</t>
  </si>
  <si>
    <t>INE261F16504</t>
  </si>
  <si>
    <t>1800548</t>
  </si>
  <si>
    <t>182 DAY T-BILL 25.03.21</t>
  </si>
  <si>
    <t>IN002020Y256</t>
  </si>
  <si>
    <t>1800463</t>
  </si>
  <si>
    <t>364 DAY T-BILL 30.03.21</t>
  </si>
  <si>
    <t>IN002019Z545</t>
  </si>
  <si>
    <t>1800543</t>
  </si>
  <si>
    <t>182 DAY T-BILL 18.03.21</t>
  </si>
  <si>
    <t>IN002020Y249</t>
  </si>
  <si>
    <t>1800539</t>
  </si>
  <si>
    <t>364 DAY T-BILL 09.09.21</t>
  </si>
  <si>
    <t>IN002020Z238</t>
  </si>
  <si>
    <t>1800507</t>
  </si>
  <si>
    <t>364 DAY T-BILL 25.03.21</t>
  </si>
  <si>
    <t>IN002019Z537</t>
  </si>
  <si>
    <t>1800496</t>
  </si>
  <si>
    <t>364 DAY T-BILL 24.06.21</t>
  </si>
  <si>
    <t>IN002020Z121</t>
  </si>
  <si>
    <t>080</t>
  </si>
  <si>
    <t>SBI Credit Risk Fund</t>
  </si>
  <si>
    <t>702406</t>
  </si>
  <si>
    <t>INE397D08037</t>
  </si>
  <si>
    <t>702455</t>
  </si>
  <si>
    <t>INE725H08030</t>
  </si>
  <si>
    <t>702515</t>
  </si>
  <si>
    <t>INE950O07354</t>
  </si>
  <si>
    <t>702523</t>
  </si>
  <si>
    <t>VIP Industries Ltd.</t>
  </si>
  <si>
    <t>INE054A07016</t>
  </si>
  <si>
    <t>702474</t>
  </si>
  <si>
    <t>INE299U07056</t>
  </si>
  <si>
    <t>701150</t>
  </si>
  <si>
    <t>AU Small Finance Bank Ltd.</t>
  </si>
  <si>
    <t>INE949L08418</t>
  </si>
  <si>
    <t>702494</t>
  </si>
  <si>
    <t>INE001A07SO0</t>
  </si>
  <si>
    <t>702547</t>
  </si>
  <si>
    <t>Godrej Industries Ltd.</t>
  </si>
  <si>
    <t>INE233A08022</t>
  </si>
  <si>
    <t>702472</t>
  </si>
  <si>
    <t>INE002A08625</t>
  </si>
  <si>
    <t>702460</t>
  </si>
  <si>
    <t>INE002A08641</t>
  </si>
  <si>
    <t>700802</t>
  </si>
  <si>
    <t>INE607M08048</t>
  </si>
  <si>
    <t>701696</t>
  </si>
  <si>
    <t>Fullerton India Home Finance Company Ltd.</t>
  </si>
  <si>
    <t>INE213W07053</t>
  </si>
  <si>
    <t>CARE AAA</t>
  </si>
  <si>
    <t>701050</t>
  </si>
  <si>
    <t>INE721A07NV9</t>
  </si>
  <si>
    <t>701630</t>
  </si>
  <si>
    <t>INE094A08036</t>
  </si>
  <si>
    <t>800218</t>
  </si>
  <si>
    <t>Aditya Birla Fashion and Retail Ltd.</t>
  </si>
  <si>
    <t>INE647O08073</t>
  </si>
  <si>
    <t>800188</t>
  </si>
  <si>
    <t>INE371K08110</t>
  </si>
  <si>
    <t>702473</t>
  </si>
  <si>
    <t>INE134E08KS7</t>
  </si>
  <si>
    <t>701306</t>
  </si>
  <si>
    <t>INE852F07137</t>
  </si>
  <si>
    <t>800232</t>
  </si>
  <si>
    <t>Aditya Birla Housing Finance Ltd.</t>
  </si>
  <si>
    <t>INE831R07235</t>
  </si>
  <si>
    <t>700298</t>
  </si>
  <si>
    <t>INE949L08160</t>
  </si>
  <si>
    <t>701303</t>
  </si>
  <si>
    <t>INE852F07103</t>
  </si>
  <si>
    <t>701304</t>
  </si>
  <si>
    <t>INE852F07111</t>
  </si>
  <si>
    <t>701305</t>
  </si>
  <si>
    <t>INE852F07129</t>
  </si>
  <si>
    <t>701302</t>
  </si>
  <si>
    <t>INE852F07095</t>
  </si>
  <si>
    <t>701301</t>
  </si>
  <si>
    <t>INE852F07087</t>
  </si>
  <si>
    <t>800181</t>
  </si>
  <si>
    <t>Kotak Mahindra Prime Ltd.</t>
  </si>
  <si>
    <t>INE916DA7PK1</t>
  </si>
  <si>
    <t>900028</t>
  </si>
  <si>
    <t>7.59% CGL 2026</t>
  </si>
  <si>
    <t>IN0020150093</t>
  </si>
  <si>
    <t>081</t>
  </si>
  <si>
    <t>SBI Focused Equity Fund</t>
  </si>
  <si>
    <t>100794</t>
  </si>
  <si>
    <t>Fine Organic Industries Ltd.</t>
  </si>
  <si>
    <t>INE686Y01026</t>
  </si>
  <si>
    <t>100164</t>
  </si>
  <si>
    <t>Petronet LNG Ltd.</t>
  </si>
  <si>
    <t>INE347G01014</t>
  </si>
  <si>
    <t>100670</t>
  </si>
  <si>
    <t>Tube Investments of India Ltd.</t>
  </si>
  <si>
    <t>INE974X01010</t>
  </si>
  <si>
    <t>100282</t>
  </si>
  <si>
    <t>Blue Star Ltd.</t>
  </si>
  <si>
    <t>INE472A01039</t>
  </si>
  <si>
    <t>082</t>
  </si>
  <si>
    <t>SBI Debt Hybrid Fund</t>
  </si>
  <si>
    <t>100635</t>
  </si>
  <si>
    <t>L&amp;T Technology Services Ltd.</t>
  </si>
  <si>
    <t>INE010V01017</t>
  </si>
  <si>
    <t>100471</t>
  </si>
  <si>
    <t>Endurance Technologies Ltd.</t>
  </si>
  <si>
    <t>INE913H01037</t>
  </si>
  <si>
    <t>701130</t>
  </si>
  <si>
    <t>INE062A08165</t>
  </si>
  <si>
    <t>086</t>
  </si>
  <si>
    <t>SBI Magnum Ultra Short Duration Fund</t>
  </si>
  <si>
    <t>702316</t>
  </si>
  <si>
    <t>REC Ltd.</t>
  </si>
  <si>
    <t>INE020B08CL6</t>
  </si>
  <si>
    <t>701233</t>
  </si>
  <si>
    <t>INE001A07RN4</t>
  </si>
  <si>
    <t>800298</t>
  </si>
  <si>
    <t>Mahindra &amp; Mahindra Financial Services Ltd.</t>
  </si>
  <si>
    <t>INE774D07SH0</t>
  </si>
  <si>
    <t>IND AAA</t>
  </si>
  <si>
    <t>702484</t>
  </si>
  <si>
    <t>INE001A07RY1</t>
  </si>
  <si>
    <t>701006</t>
  </si>
  <si>
    <t>INE414G07CM0</t>
  </si>
  <si>
    <t>702539</t>
  </si>
  <si>
    <t>INE522D07AD0</t>
  </si>
  <si>
    <t>701520</t>
  </si>
  <si>
    <t>INE115A07NQ4</t>
  </si>
  <si>
    <t>702485</t>
  </si>
  <si>
    <t>INE115A07OT6</t>
  </si>
  <si>
    <t>701031</t>
  </si>
  <si>
    <t>INE261F08AI7</t>
  </si>
  <si>
    <t>702228</t>
  </si>
  <si>
    <t>INE976I08292</t>
  </si>
  <si>
    <t>702467</t>
  </si>
  <si>
    <t>INE020B08CC5</t>
  </si>
  <si>
    <t>700183</t>
  </si>
  <si>
    <t>INE110L07070</t>
  </si>
  <si>
    <t>702208</t>
  </si>
  <si>
    <t>INE001A07SC5</t>
  </si>
  <si>
    <t>701030</t>
  </si>
  <si>
    <t>INE001A07OO9</t>
  </si>
  <si>
    <t>702520</t>
  </si>
  <si>
    <t>ICICI Home Finance Company Ltd.</t>
  </si>
  <si>
    <t>INE071G07264</t>
  </si>
  <si>
    <t>701819</t>
  </si>
  <si>
    <t>INE115A07IP6</t>
  </si>
  <si>
    <t>701318</t>
  </si>
  <si>
    <t>INE001A07RP9</t>
  </si>
  <si>
    <t>701020</t>
  </si>
  <si>
    <t>INE115A07IO9</t>
  </si>
  <si>
    <t>700301</t>
  </si>
  <si>
    <t>INE121A08NA4</t>
  </si>
  <si>
    <t>700975</t>
  </si>
  <si>
    <t>INE020B08AW7</t>
  </si>
  <si>
    <t>2700004</t>
  </si>
  <si>
    <t>Rent A Device Trust (Obligor - Reliance Retail Ltd.)</t>
  </si>
  <si>
    <t>INE01A115117</t>
  </si>
  <si>
    <t>[ICRA]AAA(SO)</t>
  </si>
  <si>
    <t>2700008</t>
  </si>
  <si>
    <t>Reliable Devices Trust (Obligor - Reliance Retail Ltd.)</t>
  </si>
  <si>
    <t>INE038715087</t>
  </si>
  <si>
    <t>2700014</t>
  </si>
  <si>
    <t>Rainbow Devices Trust (Obligor - Reliance Retail Ltd.)</t>
  </si>
  <si>
    <t>INE00JA15119</t>
  </si>
  <si>
    <t>2700015</t>
  </si>
  <si>
    <t>INE00JA15127</t>
  </si>
  <si>
    <t>2700003</t>
  </si>
  <si>
    <t>INE01A115109</t>
  </si>
  <si>
    <t>2700016</t>
  </si>
  <si>
    <t>INE038715095</t>
  </si>
  <si>
    <t>1901245</t>
  </si>
  <si>
    <t>8.46% State Government of Maharashtra 2021</t>
  </si>
  <si>
    <t>IN2220100092</t>
  </si>
  <si>
    <t>1006141</t>
  </si>
  <si>
    <t>INE115A14CH2</t>
  </si>
  <si>
    <t>1006740</t>
  </si>
  <si>
    <t>INE019A14JF5</t>
  </si>
  <si>
    <t>1006671</t>
  </si>
  <si>
    <t>INE601U14FE9</t>
  </si>
  <si>
    <t>1006719</t>
  </si>
  <si>
    <t>ONGC Tripura Power Company Ltd.</t>
  </si>
  <si>
    <t>INE566O14016</t>
  </si>
  <si>
    <t>1006731</t>
  </si>
  <si>
    <t>INE494B14455</t>
  </si>
  <si>
    <t>1006617</t>
  </si>
  <si>
    <t>INE343G14248</t>
  </si>
  <si>
    <t>1101715</t>
  </si>
  <si>
    <t>INE434A16RB3</t>
  </si>
  <si>
    <t>1101651</t>
  </si>
  <si>
    <t>INE238A168R5</t>
  </si>
  <si>
    <t>1101688</t>
  </si>
  <si>
    <t>INE238A161T6</t>
  </si>
  <si>
    <t>1101723</t>
  </si>
  <si>
    <t>INE949L16AK4</t>
  </si>
  <si>
    <t>1101708</t>
  </si>
  <si>
    <t>INE238A160U6</t>
  </si>
  <si>
    <t>1101647</t>
  </si>
  <si>
    <t>INE949L16957</t>
  </si>
  <si>
    <t>1101753</t>
  </si>
  <si>
    <t>INE514E16BR4</t>
  </si>
  <si>
    <t>1101650</t>
  </si>
  <si>
    <t>INE238A166R9</t>
  </si>
  <si>
    <t>1800518</t>
  </si>
  <si>
    <t>364 DAY T-BILL 29.07.21</t>
  </si>
  <si>
    <t>IN002020Z170</t>
  </si>
  <si>
    <t>1800537</t>
  </si>
  <si>
    <t>91 DAY T-BILL 03.12.20</t>
  </si>
  <si>
    <t>IN002020X241</t>
  </si>
  <si>
    <t>1800522</t>
  </si>
  <si>
    <t>182 DAY T-BILL 04.02.21</t>
  </si>
  <si>
    <t>IN002020Y181</t>
  </si>
  <si>
    <t>1800481</t>
  </si>
  <si>
    <t>GOI 15.09.2021 GOV</t>
  </si>
  <si>
    <t>IN000921C022</t>
  </si>
  <si>
    <t>1800482</t>
  </si>
  <si>
    <t>GOI 15.12.2021 GOV</t>
  </si>
  <si>
    <t>IN001221C067</t>
  </si>
  <si>
    <t>091</t>
  </si>
  <si>
    <t>SBI Magnum Midcap Fund</t>
  </si>
  <si>
    <t>100442</t>
  </si>
  <si>
    <t>Coromandel International Ltd.</t>
  </si>
  <si>
    <t>INE169A01031</t>
  </si>
  <si>
    <t>Fertilisers</t>
  </si>
  <si>
    <t>100218</t>
  </si>
  <si>
    <t>Godrej Properties Ltd.</t>
  </si>
  <si>
    <t>INE484J01027</t>
  </si>
  <si>
    <t>100399</t>
  </si>
  <si>
    <t>INE121A01024</t>
  </si>
  <si>
    <t>100266</t>
  </si>
  <si>
    <t>Gujarat State Petronet Ltd.</t>
  </si>
  <si>
    <t>INE246F01010</t>
  </si>
  <si>
    <t>100143</t>
  </si>
  <si>
    <t>Thermax Ltd.</t>
  </si>
  <si>
    <t>INE152A01029</t>
  </si>
  <si>
    <t>100036</t>
  </si>
  <si>
    <t>INE774D01024</t>
  </si>
  <si>
    <t>100644</t>
  </si>
  <si>
    <t>INE031A01017</t>
  </si>
  <si>
    <t>100396</t>
  </si>
  <si>
    <t>Shriram City Union Finance Ltd.</t>
  </si>
  <si>
    <t>INE722A01011</t>
  </si>
  <si>
    <t>100419</t>
  </si>
  <si>
    <t>Swaraj Engines Ltd.</t>
  </si>
  <si>
    <t>INE277A01016</t>
  </si>
  <si>
    <t>100017</t>
  </si>
  <si>
    <t>National Aluminium Company Ltd.</t>
  </si>
  <si>
    <t>INE139A01034</t>
  </si>
  <si>
    <t>100256</t>
  </si>
  <si>
    <t>City Union Bank Ltd.</t>
  </si>
  <si>
    <t>INE491A01021</t>
  </si>
  <si>
    <t>100565</t>
  </si>
  <si>
    <t>Glaxosmithkline Pharmaceuticals Ltd.</t>
  </si>
  <si>
    <t>INE159A01016</t>
  </si>
  <si>
    <t>100144</t>
  </si>
  <si>
    <t>Voltas Ltd.</t>
  </si>
  <si>
    <t>INE226A01021</t>
  </si>
  <si>
    <t>100420</t>
  </si>
  <si>
    <t>Equitas Holdings Ltd.</t>
  </si>
  <si>
    <t>INE988K01017</t>
  </si>
  <si>
    <t>100545</t>
  </si>
  <si>
    <t>Mangalam Cement Ltd.</t>
  </si>
  <si>
    <t>INE347A01017</t>
  </si>
  <si>
    <t>100468</t>
  </si>
  <si>
    <t>NRB Bearings Ltd.</t>
  </si>
  <si>
    <t>INE349A01021</t>
  </si>
  <si>
    <t>101159</t>
  </si>
  <si>
    <t>Rossari Biotech Ltd.</t>
  </si>
  <si>
    <t>INE02A801020</t>
  </si>
  <si>
    <t>092</t>
  </si>
  <si>
    <t>SBI Magnum Constant Maturity Fund</t>
  </si>
  <si>
    <t>094</t>
  </si>
  <si>
    <t>SBI Magnum Comma Fund</t>
  </si>
  <si>
    <t>100658</t>
  </si>
  <si>
    <t>Camlin Fine Sciences Ltd.</t>
  </si>
  <si>
    <t>INE052I01032</t>
  </si>
  <si>
    <t>100736</t>
  </si>
  <si>
    <t>CCL Products (India) Ltd.</t>
  </si>
  <si>
    <t>INE421D01022</t>
  </si>
  <si>
    <t>100060</t>
  </si>
  <si>
    <t>Deepak Nitrite Ltd.</t>
  </si>
  <si>
    <t>INE288B01029</t>
  </si>
  <si>
    <t>100722</t>
  </si>
  <si>
    <t>Kirloskar Ferrous Industries Ltd.</t>
  </si>
  <si>
    <t>INE884B01025</t>
  </si>
  <si>
    <t>100388</t>
  </si>
  <si>
    <t>Balrampur Chini Mills Ltd.</t>
  </si>
  <si>
    <t>INE119A01028</t>
  </si>
  <si>
    <t>100550</t>
  </si>
  <si>
    <t>Sagar Cements Ltd.</t>
  </si>
  <si>
    <t>INE229C01013</t>
  </si>
  <si>
    <t>100307</t>
  </si>
  <si>
    <t>The India Cements Ltd.</t>
  </si>
  <si>
    <t>INE383A01012</t>
  </si>
  <si>
    <t>100267</t>
  </si>
  <si>
    <t>Oil India Ltd.</t>
  </si>
  <si>
    <t>INE274J01014</t>
  </si>
  <si>
    <t>097</t>
  </si>
  <si>
    <t>SBI Magnum Gilt Fund</t>
  </si>
  <si>
    <t>099</t>
  </si>
  <si>
    <t>SBI Magnum Multicap Fund</t>
  </si>
  <si>
    <t>100717</t>
  </si>
  <si>
    <t>Star Cement Ltd.</t>
  </si>
  <si>
    <t>INE460H01021</t>
  </si>
  <si>
    <t>100821</t>
  </si>
  <si>
    <t>TTK Prestige Ltd.</t>
  </si>
  <si>
    <t>INE690A01010</t>
  </si>
  <si>
    <t>101</t>
  </si>
  <si>
    <t>SBI Multi Asset Allocation Fund</t>
  </si>
  <si>
    <t>100020</t>
  </si>
  <si>
    <t>Tata Consumer Products Ltd.</t>
  </si>
  <si>
    <t>INE192A01025</t>
  </si>
  <si>
    <t>100421</t>
  </si>
  <si>
    <t>Dabur India Ltd.</t>
  </si>
  <si>
    <t>INE016A01026</t>
  </si>
  <si>
    <t>100157</t>
  </si>
  <si>
    <t>Godrej Consumer Products Ltd.</t>
  </si>
  <si>
    <t>INE102D01028</t>
  </si>
  <si>
    <t>100027</t>
  </si>
  <si>
    <t>Pidilite Industries Ltd.</t>
  </si>
  <si>
    <t>INE318A01026</t>
  </si>
  <si>
    <t>100273</t>
  </si>
  <si>
    <t>Havells India Ltd.</t>
  </si>
  <si>
    <t>INE176B01034</t>
  </si>
  <si>
    <t>100091</t>
  </si>
  <si>
    <t>Bharti Infratel Ltd.</t>
  </si>
  <si>
    <t>INE121J01017</t>
  </si>
  <si>
    <t>Telecom -  Equipment &amp; Accessories</t>
  </si>
  <si>
    <t>100196</t>
  </si>
  <si>
    <t>Berger Paints India Ltd.</t>
  </si>
  <si>
    <t>INE463A01038</t>
  </si>
  <si>
    <t>100109</t>
  </si>
  <si>
    <t>Piramal Enterprises Ltd.</t>
  </si>
  <si>
    <t>INE140A01024</t>
  </si>
  <si>
    <t>100083</t>
  </si>
  <si>
    <t>Motherson Sumi Systems Ltd.</t>
  </si>
  <si>
    <t>INE775A01035</t>
  </si>
  <si>
    <t>100219</t>
  </si>
  <si>
    <t>Indraprastha Gas Ltd.</t>
  </si>
  <si>
    <t>INE203G01027</t>
  </si>
  <si>
    <t>100814</t>
  </si>
  <si>
    <t>HDFC Asset Management Company Ltd.</t>
  </si>
  <si>
    <t>INE127D01025</t>
  </si>
  <si>
    <t>100325</t>
  </si>
  <si>
    <t>Bajaj Holdings &amp; Investment Ltd.</t>
  </si>
  <si>
    <t>INE118A01012</t>
  </si>
  <si>
    <t>100115</t>
  </si>
  <si>
    <t>Siemens Ltd.</t>
  </si>
  <si>
    <t>INE003A01024</t>
  </si>
  <si>
    <t>100004</t>
  </si>
  <si>
    <t>Cadila Healthcare Ltd.</t>
  </si>
  <si>
    <t>INE010B01027</t>
  </si>
  <si>
    <t>100194</t>
  </si>
  <si>
    <t>INE134E01011</t>
  </si>
  <si>
    <t>100096</t>
  </si>
  <si>
    <t>Container Corporation of India Ltd.</t>
  </si>
  <si>
    <t>INE111A01025</t>
  </si>
  <si>
    <t>101119</t>
  </si>
  <si>
    <t>SBI Cards &amp; Payment Services Ltd.</t>
  </si>
  <si>
    <t>INE018E01016</t>
  </si>
  <si>
    <t>100035</t>
  </si>
  <si>
    <t>NMDC Ltd.</t>
  </si>
  <si>
    <t>INE584A01023</t>
  </si>
  <si>
    <t>101121</t>
  </si>
  <si>
    <t>Adani Transmission Ltd.</t>
  </si>
  <si>
    <t>INE931S01010</t>
  </si>
  <si>
    <t>100225</t>
  </si>
  <si>
    <t>Hindustan Zinc Ltd.</t>
  </si>
  <si>
    <t>INE267A01025</t>
  </si>
  <si>
    <t>100733</t>
  </si>
  <si>
    <t>General Insurance Corporation Of India</t>
  </si>
  <si>
    <t>INE481Y01014</t>
  </si>
  <si>
    <t>417210</t>
  </si>
  <si>
    <t>SBI-ETF Gold</t>
  </si>
  <si>
    <t>INF200K01099</t>
  </si>
  <si>
    <t>103</t>
  </si>
  <si>
    <t>SBI Blue Chip Fund</t>
  </si>
  <si>
    <t>300005</t>
  </si>
  <si>
    <t>INE001A13049</t>
  </si>
  <si>
    <t>W**</t>
  </si>
  <si>
    <t>114</t>
  </si>
  <si>
    <t>SBI Arbitrage Opportunities Fund</t>
  </si>
  <si>
    <t>100098</t>
  </si>
  <si>
    <t>Glenmark Pharmaceuticals Ltd.</t>
  </si>
  <si>
    <t>INE935A01035</t>
  </si>
  <si>
    <t>100042</t>
  </si>
  <si>
    <t>INE115A01026</t>
  </si>
  <si>
    <t>100314</t>
  </si>
  <si>
    <t>SRF Ltd.</t>
  </si>
  <si>
    <t>INE647A01010</t>
  </si>
  <si>
    <t>100086</t>
  </si>
  <si>
    <t>Bata India Ltd.</t>
  </si>
  <si>
    <t>INE176A01028</t>
  </si>
  <si>
    <t>100292</t>
  </si>
  <si>
    <t>INE114A01011</t>
  </si>
  <si>
    <t>100371</t>
  </si>
  <si>
    <t>Sun TV Network Ltd.</t>
  </si>
  <si>
    <t>INE424H01027</t>
  </si>
  <si>
    <t>1301009</t>
  </si>
  <si>
    <t>6.99% The Federal Bank Ltd. (Duration 366 Days)</t>
  </si>
  <si>
    <t>1301053</t>
  </si>
  <si>
    <t>6.66% The Federal Bank Ltd. (Duration 369 Days)</t>
  </si>
  <si>
    <t>1301073</t>
  </si>
  <si>
    <t>6.44% The Federal Bank Ltd. (Duration 366 Days)</t>
  </si>
  <si>
    <t>1300991</t>
  </si>
  <si>
    <t>7.23% The Federal Bank Ltd. (Duration 639 Days)</t>
  </si>
  <si>
    <t>1301003</t>
  </si>
  <si>
    <t>7.10% The Federal Bank Ltd. (Duration 376 Days)</t>
  </si>
  <si>
    <t>1301006</t>
  </si>
  <si>
    <t>1301055</t>
  </si>
  <si>
    <t>6.66% The Federal Bank Ltd. (Duration 367 Days)</t>
  </si>
  <si>
    <t>1301051</t>
  </si>
  <si>
    <t>5.73% Axis Bank Ltd. (Duration 371 Days)</t>
  </si>
  <si>
    <t>1301050</t>
  </si>
  <si>
    <t>5.73% Axis Bank Ltd. (Duration 366 Days)</t>
  </si>
  <si>
    <t>1301045</t>
  </si>
  <si>
    <t>5.73% ICICI Bank Ltd. (Duration 370 Days)</t>
  </si>
  <si>
    <t>1301046</t>
  </si>
  <si>
    <t>5.73% ICICI Bank Ltd. (Duration 381 Days)</t>
  </si>
  <si>
    <t>1300957</t>
  </si>
  <si>
    <t>7.74% AU Small Finance Bank Ltd. (Duration 408 Days)</t>
  </si>
  <si>
    <t>1300971</t>
  </si>
  <si>
    <t>7.74% AU Small Finance Bank Ltd. (Duration 409 Days)</t>
  </si>
  <si>
    <t>1301178</t>
  </si>
  <si>
    <t>6.93% AU Small Finance Bank Ltd. (Duration 399 Days)</t>
  </si>
  <si>
    <t>1301181</t>
  </si>
  <si>
    <t>144</t>
  </si>
  <si>
    <t>SBI Infrastructure Fund</t>
  </si>
  <si>
    <t>100213</t>
  </si>
  <si>
    <t>JMC Projects (India) Ltd.</t>
  </si>
  <si>
    <t>INE890A01024</t>
  </si>
  <si>
    <t>147</t>
  </si>
  <si>
    <t>SBI Magnum Low Duration Fund</t>
  </si>
  <si>
    <t>702542</t>
  </si>
  <si>
    <t>INE414G07DR7</t>
  </si>
  <si>
    <t>700661</t>
  </si>
  <si>
    <t>INE752E07OD2</t>
  </si>
  <si>
    <t>701731</t>
  </si>
  <si>
    <t>INE001A07RC7</t>
  </si>
  <si>
    <t>700196</t>
  </si>
  <si>
    <t>INE134E08IH4</t>
  </si>
  <si>
    <t>701286</t>
  </si>
  <si>
    <t>INE020B08BN4</t>
  </si>
  <si>
    <t>701005</t>
  </si>
  <si>
    <t>INE110L07096</t>
  </si>
  <si>
    <t>701124</t>
  </si>
  <si>
    <t>INE020B08BD5</t>
  </si>
  <si>
    <t>701272</t>
  </si>
  <si>
    <t>INE020B08BM6</t>
  </si>
  <si>
    <t>701289</t>
  </si>
  <si>
    <t>INE134E08JW1</t>
  </si>
  <si>
    <t>702388</t>
  </si>
  <si>
    <t>INE242A08445</t>
  </si>
  <si>
    <t>702375</t>
  </si>
  <si>
    <t>INE261F08CA0</t>
  </si>
  <si>
    <t>700236</t>
  </si>
  <si>
    <t>INE121A08NP2</t>
  </si>
  <si>
    <t>701214</t>
  </si>
  <si>
    <t>INE213W07103</t>
  </si>
  <si>
    <t>700934</t>
  </si>
  <si>
    <t>INE002A08526</t>
  </si>
  <si>
    <t>701779</t>
  </si>
  <si>
    <t>INE094A08044</t>
  </si>
  <si>
    <t>702479</t>
  </si>
  <si>
    <t>INE001A07SM4</t>
  </si>
  <si>
    <t>702381</t>
  </si>
  <si>
    <t>INE514E08FT8</t>
  </si>
  <si>
    <t>702261</t>
  </si>
  <si>
    <t>INE950O07339</t>
  </si>
  <si>
    <t>702220</t>
  </si>
  <si>
    <t>INE020B08CE1</t>
  </si>
  <si>
    <t>701067</t>
  </si>
  <si>
    <t>INE261F08AM9</t>
  </si>
  <si>
    <t>700961</t>
  </si>
  <si>
    <t>Indian Railway Finance Corporation Ltd.</t>
  </si>
  <si>
    <t>INE053F07AK6</t>
  </si>
  <si>
    <t>701525</t>
  </si>
  <si>
    <t>INE752E07LQ0</t>
  </si>
  <si>
    <t>701025</t>
  </si>
  <si>
    <t>INE053F07934</t>
  </si>
  <si>
    <t>701425</t>
  </si>
  <si>
    <t>INE018A08AS1</t>
  </si>
  <si>
    <t>702490</t>
  </si>
  <si>
    <t>INE134E08DR4</t>
  </si>
  <si>
    <t>701706</t>
  </si>
  <si>
    <t>Air India Assets Holding Ltd.</t>
  </si>
  <si>
    <t>INE0AED08011</t>
  </si>
  <si>
    <t>701334</t>
  </si>
  <si>
    <t>Small Industries Development Bank of India</t>
  </si>
  <si>
    <t>INE556F08JL5</t>
  </si>
  <si>
    <t>702315</t>
  </si>
  <si>
    <t>INE001A07SF8</t>
  </si>
  <si>
    <t>702128</t>
  </si>
  <si>
    <t>INE115A07ON9</t>
  </si>
  <si>
    <t>702263</t>
  </si>
  <si>
    <t>INE331A07208</t>
  </si>
  <si>
    <t>701717</t>
  </si>
  <si>
    <t>INE514E08CW9</t>
  </si>
  <si>
    <t>702137</t>
  </si>
  <si>
    <t>INE115A07OA6</t>
  </si>
  <si>
    <t>700972</t>
  </si>
  <si>
    <t>INE733E07JZ5</t>
  </si>
  <si>
    <t>702486</t>
  </si>
  <si>
    <t>INE134E08KW9</t>
  </si>
  <si>
    <t>701154</t>
  </si>
  <si>
    <t>INE115A07NN1</t>
  </si>
  <si>
    <t>701132</t>
  </si>
  <si>
    <t>INE245A08091</t>
  </si>
  <si>
    <t>702501</t>
  </si>
  <si>
    <t>INE029A08065</t>
  </si>
  <si>
    <t>702135</t>
  </si>
  <si>
    <t>INE020B08CD3</t>
  </si>
  <si>
    <t>701324</t>
  </si>
  <si>
    <t>INE018A08AR3</t>
  </si>
  <si>
    <t>701492</t>
  </si>
  <si>
    <t>INE752E07LY4</t>
  </si>
  <si>
    <t>702358</t>
  </si>
  <si>
    <t>INE001A07SH4</t>
  </si>
  <si>
    <t>701708</t>
  </si>
  <si>
    <t>ONGC Petro Additions Ltd.</t>
  </si>
  <si>
    <t>INE163N08081</t>
  </si>
  <si>
    <t>701263</t>
  </si>
  <si>
    <t>Tata Sons Pvt.Ltd.</t>
  </si>
  <si>
    <t>INE895D08899</t>
  </si>
  <si>
    <t>2700020</t>
  </si>
  <si>
    <t>INE038715111</t>
  </si>
  <si>
    <t>2700021</t>
  </si>
  <si>
    <t>INE038715129</t>
  </si>
  <si>
    <t>2700005</t>
  </si>
  <si>
    <t>INE01A115125</t>
  </si>
  <si>
    <t>2700019</t>
  </si>
  <si>
    <t>INE038715103</t>
  </si>
  <si>
    <t>192</t>
  </si>
  <si>
    <t>900098</t>
  </si>
  <si>
    <t>7.32% CGL 2024</t>
  </si>
  <si>
    <t>IN0020180488</t>
  </si>
  <si>
    <t>1901258</t>
  </si>
  <si>
    <t>8.06% State Government of Andhra Pradesh 2025</t>
  </si>
  <si>
    <t>IN1020140100</t>
  </si>
  <si>
    <t>1901242</t>
  </si>
  <si>
    <t>5.91% State Government of Kerala 2025</t>
  </si>
  <si>
    <t>IN2020200076</t>
  </si>
  <si>
    <t>1901200</t>
  </si>
  <si>
    <t>8.25% State Government of Gujarat 2024</t>
  </si>
  <si>
    <t>IN1520140063</t>
  </si>
  <si>
    <t>1900985</t>
  </si>
  <si>
    <t>9.41% State Government of Kerala 2024</t>
  </si>
  <si>
    <t>IN2020130141</t>
  </si>
  <si>
    <t>1901241</t>
  </si>
  <si>
    <t>6.39% State Government of Andhra Pradesh 2026</t>
  </si>
  <si>
    <t>IN1020200136</t>
  </si>
  <si>
    <t>1901237</t>
  </si>
  <si>
    <t>7.96% State Government of Maharashtra 2025</t>
  </si>
  <si>
    <t>IN2220150105</t>
  </si>
  <si>
    <t>1006391</t>
  </si>
  <si>
    <t>INE498L14AH3</t>
  </si>
  <si>
    <t>1006517</t>
  </si>
  <si>
    <t>INE371K14AG6</t>
  </si>
  <si>
    <t>1006633</t>
  </si>
  <si>
    <t>INE155A14RT1</t>
  </si>
  <si>
    <t>1006670</t>
  </si>
  <si>
    <t>INE909H14OP1</t>
  </si>
  <si>
    <t>1006654</t>
  </si>
  <si>
    <t>Standard Chartered Invt &amp; Loans (I) Ltd.</t>
  </si>
  <si>
    <t>INE403G14NB9</t>
  </si>
  <si>
    <t>1006732</t>
  </si>
  <si>
    <t>INE494B14463</t>
  </si>
  <si>
    <t>1006653</t>
  </si>
  <si>
    <t>INE403G14NA1</t>
  </si>
  <si>
    <t>1101767</t>
  </si>
  <si>
    <t>INE095A16J42</t>
  </si>
  <si>
    <t>1101706</t>
  </si>
  <si>
    <t>INE949L16999</t>
  </si>
  <si>
    <t>1800511</t>
  </si>
  <si>
    <t>182 DAY T-BILL 14.01.21</t>
  </si>
  <si>
    <t>IN002020Y157</t>
  </si>
  <si>
    <t>148</t>
  </si>
  <si>
    <t>SBI Short Term Debt Fund</t>
  </si>
  <si>
    <t>701460</t>
  </si>
  <si>
    <t>State Bank of India( AT1 Bond under Basel  III )</t>
  </si>
  <si>
    <t>INE062A08140</t>
  </si>
  <si>
    <t>702448</t>
  </si>
  <si>
    <t>INE002A08617</t>
  </si>
  <si>
    <t>702436</t>
  </si>
  <si>
    <t>Nabha Power Ltd.</t>
  </si>
  <si>
    <t>INE445L08409</t>
  </si>
  <si>
    <t>701590</t>
  </si>
  <si>
    <t>INE219X07058</t>
  </si>
  <si>
    <t>702510</t>
  </si>
  <si>
    <t>INE950O07347</t>
  </si>
  <si>
    <t>702480</t>
  </si>
  <si>
    <t>INE101A08112</t>
  </si>
  <si>
    <t>701159</t>
  </si>
  <si>
    <t>INE031A08632</t>
  </si>
  <si>
    <t>701426</t>
  </si>
  <si>
    <t>INE261F08BJ3</t>
  </si>
  <si>
    <t>701780</t>
  </si>
  <si>
    <t>INE134E08KG2</t>
  </si>
  <si>
    <t>701586</t>
  </si>
  <si>
    <t>INE001A07RW5</t>
  </si>
  <si>
    <t>701285</t>
  </si>
  <si>
    <t>INE001A07RS3</t>
  </si>
  <si>
    <t>701297</t>
  </si>
  <si>
    <t>INE306N07KW6</t>
  </si>
  <si>
    <t>702369</t>
  </si>
  <si>
    <t>INE477A07282</t>
  </si>
  <si>
    <t>702366</t>
  </si>
  <si>
    <t>INE020B08CN2</t>
  </si>
  <si>
    <t>701229</t>
  </si>
  <si>
    <t>INE020B08740</t>
  </si>
  <si>
    <t>701530</t>
  </si>
  <si>
    <t>INE514E08FM3</t>
  </si>
  <si>
    <t>702206</t>
  </si>
  <si>
    <t>INE134E08KH0</t>
  </si>
  <si>
    <t>701220</t>
  </si>
  <si>
    <t>INE031A08665</t>
  </si>
  <si>
    <t>701269</t>
  </si>
  <si>
    <t>INE134E08JU5</t>
  </si>
  <si>
    <t>702452</t>
  </si>
  <si>
    <t>INE001A07SJ0</t>
  </si>
  <si>
    <t>701145</t>
  </si>
  <si>
    <t>INE020B08BF0</t>
  </si>
  <si>
    <t>590</t>
  </si>
  <si>
    <t>701707</t>
  </si>
  <si>
    <t>INE261F08BO3</t>
  </si>
  <si>
    <t>570</t>
  </si>
  <si>
    <t>701225</t>
  </si>
  <si>
    <t>INE028A08083</t>
  </si>
  <si>
    <t>702307</t>
  </si>
  <si>
    <t>INE001A07SD3</t>
  </si>
  <si>
    <t>700223</t>
  </si>
  <si>
    <t>INE020B08997</t>
  </si>
  <si>
    <t>701692</t>
  </si>
  <si>
    <t>INE219X07066</t>
  </si>
  <si>
    <t>702409</t>
  </si>
  <si>
    <t>INE725H08022</t>
  </si>
  <si>
    <t>701600</t>
  </si>
  <si>
    <t>INE261F08BN5</t>
  </si>
  <si>
    <t>700835</t>
  </si>
  <si>
    <t>INE028A08117</t>
  </si>
  <si>
    <t>465</t>
  </si>
  <si>
    <t>701179</t>
  </si>
  <si>
    <t>INE261F08AT4</t>
  </si>
  <si>
    <t>701587</t>
  </si>
  <si>
    <t>INE031A08731</t>
  </si>
  <si>
    <t>701629</t>
  </si>
  <si>
    <t>INE031A08749</t>
  </si>
  <si>
    <t>702431</t>
  </si>
  <si>
    <t>INE733E08148</t>
  </si>
  <si>
    <t>700677</t>
  </si>
  <si>
    <t>INE134E08IM4</t>
  </si>
  <si>
    <t>700829</t>
  </si>
  <si>
    <t>INE062A08157</t>
  </si>
  <si>
    <t>701140</t>
  </si>
  <si>
    <t>SP Jammu Udhampur Highway Ltd.</t>
  </si>
  <si>
    <t>INE923L07381</t>
  </si>
  <si>
    <t>700140</t>
  </si>
  <si>
    <t>INE752E07NJ1</t>
  </si>
  <si>
    <t>701023</t>
  </si>
  <si>
    <t>INE062A08124</t>
  </si>
  <si>
    <t>700621</t>
  </si>
  <si>
    <t>INE128M08037</t>
  </si>
  <si>
    <t>701092</t>
  </si>
  <si>
    <t>INE110L07088</t>
  </si>
  <si>
    <t>701806</t>
  </si>
  <si>
    <t>INE238A08401</t>
  </si>
  <si>
    <t>701512</t>
  </si>
  <si>
    <t>INE134E08JF6</t>
  </si>
  <si>
    <t>702432</t>
  </si>
  <si>
    <t>INE752E08643</t>
  </si>
  <si>
    <t>701134</t>
  </si>
  <si>
    <t>Sundaram Finance Ltd.</t>
  </si>
  <si>
    <t>INE660A07PJ9</t>
  </si>
  <si>
    <t>700911</t>
  </si>
  <si>
    <t>INE556F08IX2</t>
  </si>
  <si>
    <t>700654</t>
  </si>
  <si>
    <t>INE020B08AB1</t>
  </si>
  <si>
    <t>701688</t>
  </si>
  <si>
    <t>INE556F08JO9</t>
  </si>
  <si>
    <t>701886</t>
  </si>
  <si>
    <t>INE134E08FJ6</t>
  </si>
  <si>
    <t>800234</t>
  </si>
  <si>
    <t>INE774D07SQ1</t>
  </si>
  <si>
    <t>701158</t>
  </si>
  <si>
    <t>INE029A07075</t>
  </si>
  <si>
    <t>800288</t>
  </si>
  <si>
    <t>Axis Finance Ltd.</t>
  </si>
  <si>
    <t>INE891K07507</t>
  </si>
  <si>
    <t>701431</t>
  </si>
  <si>
    <t>INE020B08BR5</t>
  </si>
  <si>
    <t>701656</t>
  </si>
  <si>
    <t>INE752E07KH1</t>
  </si>
  <si>
    <t>701056</t>
  </si>
  <si>
    <t>INE261F08AL1</t>
  </si>
  <si>
    <t>701174</t>
  </si>
  <si>
    <t>INE134E08JB5</t>
  </si>
  <si>
    <t>700003</t>
  </si>
  <si>
    <t>INE134E08GV9</t>
  </si>
  <si>
    <t>701785</t>
  </si>
  <si>
    <t>INE752E07FE8</t>
  </si>
  <si>
    <t>700653</t>
  </si>
  <si>
    <t>INE134E08IJ0</t>
  </si>
  <si>
    <t>701728</t>
  </si>
  <si>
    <t>INE514E08CI8</t>
  </si>
  <si>
    <t>1900700</t>
  </si>
  <si>
    <t>8.20% State Government of Gujarat 2025</t>
  </si>
  <si>
    <t>IN1520150096</t>
  </si>
  <si>
    <t>1901193</t>
  </si>
  <si>
    <t>7.94% State Government of Chhattisgarh 2023</t>
  </si>
  <si>
    <t>IN3520180065</t>
  </si>
  <si>
    <t>1901240</t>
  </si>
  <si>
    <t>7.23% State Government of Andhra Pradesh 2026</t>
  </si>
  <si>
    <t>IN1020160355</t>
  </si>
  <si>
    <t>1901188</t>
  </si>
  <si>
    <t>6.90% State Government of Tamil Nadu 2025</t>
  </si>
  <si>
    <t>IN3120190126</t>
  </si>
  <si>
    <t>1901243</t>
  </si>
  <si>
    <t>7.02% State Government of Gujarat 2026</t>
  </si>
  <si>
    <t>IN1520190092</t>
  </si>
  <si>
    <t>1901244</t>
  </si>
  <si>
    <t>7.08% State Government of Andhra Pradesh 2026</t>
  </si>
  <si>
    <t>IN1020160405</t>
  </si>
  <si>
    <t>1901223</t>
  </si>
  <si>
    <t>7.09% State Government of Karnataka 2030</t>
  </si>
  <si>
    <t>IN1920190213</t>
  </si>
  <si>
    <t>1901195</t>
  </si>
  <si>
    <t>8.24% State Government of Gujarat 2023</t>
  </si>
  <si>
    <t>IN1520130015</t>
  </si>
  <si>
    <t>186</t>
  </si>
  <si>
    <t>500001</t>
  </si>
  <si>
    <t>Gold</t>
  </si>
  <si>
    <t>IDIA00500001</t>
  </si>
  <si>
    <t>SBI PSU Fund</t>
  </si>
  <si>
    <t>100240</t>
  </si>
  <si>
    <t>INE477A01020</t>
  </si>
  <si>
    <t>100809</t>
  </si>
  <si>
    <t>Rites Ltd.</t>
  </si>
  <si>
    <t>INE320J01015</t>
  </si>
  <si>
    <t>100826</t>
  </si>
  <si>
    <t>Garden Reach Shipbuilders &amp; Engineers Ltd.</t>
  </si>
  <si>
    <t>INE382Z01011</t>
  </si>
  <si>
    <t>Aerospace &amp; Defense</t>
  </si>
  <si>
    <t>100945</t>
  </si>
  <si>
    <t>Indian Railway Catering &amp; Tourism Corporation Ltd.</t>
  </si>
  <si>
    <t>INE335Y01012</t>
  </si>
  <si>
    <t>Services</t>
  </si>
  <si>
    <t>464</t>
  </si>
  <si>
    <t>246</t>
  </si>
  <si>
    <t>SBI Gold Fund</t>
  </si>
  <si>
    <t>261</t>
  </si>
  <si>
    <t>SBI Tax Advantage Fund-Series-II</t>
  </si>
  <si>
    <t>100541</t>
  </si>
  <si>
    <t>Rajratan Global Wire Ltd.</t>
  </si>
  <si>
    <t>INE451D01011</t>
  </si>
  <si>
    <t>100748</t>
  </si>
  <si>
    <t>MM Forgings Ltd.</t>
  </si>
  <si>
    <t>INE227C01017</t>
  </si>
  <si>
    <t>100586</t>
  </si>
  <si>
    <t>Ratnamani Metals &amp; Tubes Ltd.</t>
  </si>
  <si>
    <t>INE703B01027</t>
  </si>
  <si>
    <t>100551</t>
  </si>
  <si>
    <t>Techno Electric &amp; Engineering Company Ltd.</t>
  </si>
  <si>
    <t>INE285K01026</t>
  </si>
  <si>
    <t>326</t>
  </si>
  <si>
    <t>SBI-ETF Sensex</t>
  </si>
  <si>
    <t>346</t>
  </si>
  <si>
    <t>SBI Smallcap Fund</t>
  </si>
  <si>
    <t>100332</t>
  </si>
  <si>
    <t>Navin Fluorine International Ltd.</t>
  </si>
  <si>
    <t>INE048G01026</t>
  </si>
  <si>
    <t>100724</t>
  </si>
  <si>
    <t>Alembic Ltd.</t>
  </si>
  <si>
    <t>INE426A01027</t>
  </si>
  <si>
    <t>100233</t>
  </si>
  <si>
    <t>eClerx Services Ltd.</t>
  </si>
  <si>
    <t>INE738I01010</t>
  </si>
  <si>
    <t>100768</t>
  </si>
  <si>
    <t>V-Mart Retail Ltd.</t>
  </si>
  <si>
    <t>INE665J01013</t>
  </si>
  <si>
    <t>100058</t>
  </si>
  <si>
    <t>Agro Tech Foods Ltd.</t>
  </si>
  <si>
    <t>INE209A01019</t>
  </si>
  <si>
    <t>100650</t>
  </si>
  <si>
    <t>Garware Technical Fibres Ltd.</t>
  </si>
  <si>
    <t>INE276A01018</t>
  </si>
  <si>
    <t>100049</t>
  </si>
  <si>
    <t>VST Industries Ltd.</t>
  </si>
  <si>
    <t>INE710A01016</t>
  </si>
  <si>
    <t>100259</t>
  </si>
  <si>
    <t>Kalpataru Power Transmission Ltd.</t>
  </si>
  <si>
    <t>INE220B01022</t>
  </si>
  <si>
    <t>100499</t>
  </si>
  <si>
    <t>Disa India Ltd.</t>
  </si>
  <si>
    <t>INE131C01011</t>
  </si>
  <si>
    <t>100198</t>
  </si>
  <si>
    <t>Tamil Nadu Newsprint &amp; Papers Ltd.</t>
  </si>
  <si>
    <t>INE107A01015</t>
  </si>
  <si>
    <t>100723</t>
  </si>
  <si>
    <t>Ashiana Housing Ltd.</t>
  </si>
  <si>
    <t>INE365D01021</t>
  </si>
  <si>
    <t>100400</t>
  </si>
  <si>
    <t>Finolex Industries Ltd.</t>
  </si>
  <si>
    <t>INE183A01016</t>
  </si>
  <si>
    <t>101174</t>
  </si>
  <si>
    <t>Fairchem Organics Ltd.</t>
  </si>
  <si>
    <t>INE0DNW01011</t>
  </si>
  <si>
    <t>348</t>
  </si>
  <si>
    <t>SBI Banking &amp; PSU Fund</t>
  </si>
  <si>
    <t>702477</t>
  </si>
  <si>
    <t>National Housing Bank</t>
  </si>
  <si>
    <t>INE557F08FK3</t>
  </si>
  <si>
    <t>701796</t>
  </si>
  <si>
    <t>INE238A08351</t>
  </si>
  <si>
    <t>700805</t>
  </si>
  <si>
    <t>INE752E07OF7</t>
  </si>
  <si>
    <t>702296</t>
  </si>
  <si>
    <t>INE020B08CH4</t>
  </si>
  <si>
    <t>702465</t>
  </si>
  <si>
    <t>Nuclear Power Corporation of India Ltd.</t>
  </si>
  <si>
    <t>INE206D08170</t>
  </si>
  <si>
    <t>702297</t>
  </si>
  <si>
    <t>INE261F08BW6</t>
  </si>
  <si>
    <t>701464</t>
  </si>
  <si>
    <t>INE020B08427</t>
  </si>
  <si>
    <t>702288</t>
  </si>
  <si>
    <t>Bank of Baroda( Tier II Bond under Basel  III )</t>
  </si>
  <si>
    <t>INE028A08190</t>
  </si>
  <si>
    <t>702380</t>
  </si>
  <si>
    <t>INE242A08452</t>
  </si>
  <si>
    <t>702548</t>
  </si>
  <si>
    <t>INE692A08094</t>
  </si>
  <si>
    <t>700781</t>
  </si>
  <si>
    <t>INE053F07AA7</t>
  </si>
  <si>
    <t>702505</t>
  </si>
  <si>
    <t>INE028A08133</t>
  </si>
  <si>
    <t>702110</t>
  </si>
  <si>
    <t>INE028A08158</t>
  </si>
  <si>
    <t>702435</t>
  </si>
  <si>
    <t>INE020B08CT9</t>
  </si>
  <si>
    <t>701428</t>
  </si>
  <si>
    <t>INE053F07BC1</t>
  </si>
  <si>
    <t>700844</t>
  </si>
  <si>
    <t>INE053F07AC3</t>
  </si>
  <si>
    <t>702367</t>
  </si>
  <si>
    <t>INE020B08CM4</t>
  </si>
  <si>
    <t>702412</t>
  </si>
  <si>
    <t>INE514E08EU9</t>
  </si>
  <si>
    <t>702378</t>
  </si>
  <si>
    <t>INE514E08EO2</t>
  </si>
  <si>
    <t>701251</t>
  </si>
  <si>
    <t>INE053F07BB3</t>
  </si>
  <si>
    <t>701438</t>
  </si>
  <si>
    <t>INE261F08BK1</t>
  </si>
  <si>
    <t>701529</t>
  </si>
  <si>
    <t>INE752E08569</t>
  </si>
  <si>
    <t>701956</t>
  </si>
  <si>
    <t>INE514E08FP6</t>
  </si>
  <si>
    <t>702218</t>
  </si>
  <si>
    <t>INE020B08CF8</t>
  </si>
  <si>
    <t>701700</t>
  </si>
  <si>
    <t>INE206D08154</t>
  </si>
  <si>
    <t>702541</t>
  </si>
  <si>
    <t>INE020B08DC3</t>
  </si>
  <si>
    <t>702433</t>
  </si>
  <si>
    <t>INE261F08CD4</t>
  </si>
  <si>
    <t>702457</t>
  </si>
  <si>
    <t>INE134E08KQ1</t>
  </si>
  <si>
    <t>701693</t>
  </si>
  <si>
    <t>INE090A08TU6</t>
  </si>
  <si>
    <t>701958</t>
  </si>
  <si>
    <t>INE514E08EQ7</t>
  </si>
  <si>
    <t>702368</t>
  </si>
  <si>
    <t>INE134E08KL2</t>
  </si>
  <si>
    <t>702410</t>
  </si>
  <si>
    <t>INE848E07AV9</t>
  </si>
  <si>
    <t>702305</t>
  </si>
  <si>
    <t>INE053F07BZ2</t>
  </si>
  <si>
    <t>702374</t>
  </si>
  <si>
    <t>INE556F08JP6</t>
  </si>
  <si>
    <t>701527</t>
  </si>
  <si>
    <t>INE752E07NQ6</t>
  </si>
  <si>
    <t>701598</t>
  </si>
  <si>
    <t>INE020B08BU9</t>
  </si>
  <si>
    <t>702129</t>
  </si>
  <si>
    <t>INE053F07BX7</t>
  </si>
  <si>
    <t>702487</t>
  </si>
  <si>
    <t>INE129A07206</t>
  </si>
  <si>
    <t>700850</t>
  </si>
  <si>
    <t>INE053F07AB5</t>
  </si>
  <si>
    <t>700857</t>
  </si>
  <si>
    <t>INE020B08AK2</t>
  </si>
  <si>
    <t>700862</t>
  </si>
  <si>
    <t>INE752E07OG5</t>
  </si>
  <si>
    <t>702434</t>
  </si>
  <si>
    <t>INE134E08KN8</t>
  </si>
  <si>
    <t>702382</t>
  </si>
  <si>
    <t>INE053F07CA3</t>
  </si>
  <si>
    <t>702360</t>
  </si>
  <si>
    <t>ICICI Bank Ltd.( Tier II Bond under Basel  III )</t>
  </si>
  <si>
    <t>INE090A08UD0</t>
  </si>
  <si>
    <t>702504</t>
  </si>
  <si>
    <t>INE514E08FU6</t>
  </si>
  <si>
    <t>702303</t>
  </si>
  <si>
    <t>INE031A08764</t>
  </si>
  <si>
    <t>701753</t>
  </si>
  <si>
    <t>INE752E07KA6</t>
  </si>
  <si>
    <t>701325</t>
  </si>
  <si>
    <t>INE020B08BQ7</t>
  </si>
  <si>
    <t>701977</t>
  </si>
  <si>
    <t>INE053F07AD1</t>
  </si>
  <si>
    <t>702133</t>
  </si>
  <si>
    <t>INE261F08BQ8</t>
  </si>
  <si>
    <t>701246</t>
  </si>
  <si>
    <t>INE692A08060</t>
  </si>
  <si>
    <t>BWR AA</t>
  </si>
  <si>
    <t>702123</t>
  </si>
  <si>
    <t>INE752E08593</t>
  </si>
  <si>
    <t>702411</t>
  </si>
  <si>
    <t>INE848E07AW7</t>
  </si>
  <si>
    <t>701768</t>
  </si>
  <si>
    <t>INE028A08141</t>
  </si>
  <si>
    <t>701423</t>
  </si>
  <si>
    <t>INE053F07603</t>
  </si>
  <si>
    <t>700998</t>
  </si>
  <si>
    <t>INE163N08057</t>
  </si>
  <si>
    <t>IND AAA(CE)</t>
  </si>
  <si>
    <t>1901251</t>
  </si>
  <si>
    <t>6.72% State Government of Odisha 2024</t>
  </si>
  <si>
    <t>IN2720190049</t>
  </si>
  <si>
    <t>1901255</t>
  </si>
  <si>
    <t>6.80% State Government of Odisha 2025</t>
  </si>
  <si>
    <t>IN2720190080</t>
  </si>
  <si>
    <t>1901232</t>
  </si>
  <si>
    <t>8.42% State Government of Kerala 2026</t>
  </si>
  <si>
    <t>IN2020150149</t>
  </si>
  <si>
    <t>349</t>
  </si>
  <si>
    <t>SBI Tax Advantage Fund - Series III</t>
  </si>
  <si>
    <t>448</t>
  </si>
  <si>
    <t>SBI Equity Opportunities Fund - Series I</t>
  </si>
  <si>
    <t>100719</t>
  </si>
  <si>
    <t>Mayur Uniquoters Ltd.</t>
  </si>
  <si>
    <t>INE040D01038</t>
  </si>
  <si>
    <t>453</t>
  </si>
  <si>
    <t>SBI Long Term Advantage Fund - Series I</t>
  </si>
  <si>
    <t>100543</t>
  </si>
  <si>
    <t>Shanthi Gears Ltd.</t>
  </si>
  <si>
    <t>INE631A01022</t>
  </si>
  <si>
    <t>461</t>
  </si>
  <si>
    <t>SBI Long Term Advantage Fund - Series II</t>
  </si>
  <si>
    <t>SBI Banking And Financial Services Fund</t>
  </si>
  <si>
    <t>100774</t>
  </si>
  <si>
    <t>INE763G01038</t>
  </si>
  <si>
    <t>100661</t>
  </si>
  <si>
    <t>Central Depository Services (I) Ltd.</t>
  </si>
  <si>
    <t>INE736A01011</t>
  </si>
  <si>
    <t>SBI Dynamic Asset Allocation Fund</t>
  </si>
  <si>
    <t>1301361</t>
  </si>
  <si>
    <t>466</t>
  </si>
  <si>
    <t>SBI-ETF Nifty Next 50</t>
  </si>
  <si>
    <t>100781</t>
  </si>
  <si>
    <t>Adani Green Energy Ltd.</t>
  </si>
  <si>
    <t>INE364U01010</t>
  </si>
  <si>
    <t>467</t>
  </si>
  <si>
    <t>SBI-ETF Nifty Bank</t>
  </si>
  <si>
    <t>100453</t>
  </si>
  <si>
    <t>INE976G01028</t>
  </si>
  <si>
    <t>100211</t>
  </si>
  <si>
    <t>IDFC First Bank Ltd.</t>
  </si>
  <si>
    <t>INE092T01019</t>
  </si>
  <si>
    <t>468</t>
  </si>
  <si>
    <t>SBI-ETF BSE 100</t>
  </si>
  <si>
    <t>561</t>
  </si>
  <si>
    <t>574</t>
  </si>
  <si>
    <t>524</t>
  </si>
  <si>
    <t>523</t>
  </si>
  <si>
    <t>526</t>
  </si>
  <si>
    <t>609</t>
  </si>
  <si>
    <t>534</t>
  </si>
  <si>
    <t>100114</t>
  </si>
  <si>
    <t>INE721A01013</t>
  </si>
  <si>
    <t>100365</t>
  </si>
  <si>
    <t>Ashok Leyland Ltd.</t>
  </si>
  <si>
    <t>INE208A01029</t>
  </si>
  <si>
    <t>100195</t>
  </si>
  <si>
    <t>INE020B01018</t>
  </si>
  <si>
    <t>100185</t>
  </si>
  <si>
    <t>INE245A01021</t>
  </si>
  <si>
    <t>473</t>
  </si>
  <si>
    <t>SBI Equity Savings Fund</t>
  </si>
  <si>
    <t>100339</t>
  </si>
  <si>
    <t>Gabriel India Ltd.</t>
  </si>
  <si>
    <t>INE524A01029</t>
  </si>
  <si>
    <t>100397</t>
  </si>
  <si>
    <t>TV Today Network Ltd.</t>
  </si>
  <si>
    <t>INE038F01029</t>
  </si>
  <si>
    <t>1301074</t>
  </si>
  <si>
    <t>483</t>
  </si>
  <si>
    <t>SBI-ETF Nifty 50</t>
  </si>
  <si>
    <t>487</t>
  </si>
  <si>
    <t>SBI Equity Opportunities Fund - Series IV</t>
  </si>
  <si>
    <t>100009</t>
  </si>
  <si>
    <t>Navneet Education Ltd.</t>
  </si>
  <si>
    <t>INE060A01024</t>
  </si>
  <si>
    <t>493</t>
  </si>
  <si>
    <t>SBI Long Term Advantage Fund - Series III</t>
  </si>
  <si>
    <t>504</t>
  </si>
  <si>
    <t>SBI-ETF 10 Year Gilt</t>
  </si>
  <si>
    <t>511</t>
  </si>
  <si>
    <t>SBI Long Term Advantage Fund - Series IV</t>
  </si>
  <si>
    <t>100651</t>
  </si>
  <si>
    <t>GKW Ltd.</t>
  </si>
  <si>
    <t>INE528A01020</t>
  </si>
  <si>
    <t>522</t>
  </si>
  <si>
    <t>SBI Dual Advantage Fund - Series XXIV</t>
  </si>
  <si>
    <t>800173</t>
  </si>
  <si>
    <t>INE722A07778</t>
  </si>
  <si>
    <t>CARE AA+</t>
  </si>
  <si>
    <t>700873</t>
  </si>
  <si>
    <t>Fullerton India Credit Company Ltd.</t>
  </si>
  <si>
    <t>INE535H07977</t>
  </si>
  <si>
    <t>700878</t>
  </si>
  <si>
    <t>INE121A07NZ3</t>
  </si>
  <si>
    <t>700874</t>
  </si>
  <si>
    <t>INE950O07206</t>
  </si>
  <si>
    <t>1900151</t>
  </si>
  <si>
    <t>8.44% State Government of Uttar Pradesh 2020</t>
  </si>
  <si>
    <t>IN3320150052</t>
  </si>
  <si>
    <t>1900150</t>
  </si>
  <si>
    <t>8.70% State Government of Uttar Pradesh 2020</t>
  </si>
  <si>
    <t>IN3320140186</t>
  </si>
  <si>
    <t>1800505</t>
  </si>
  <si>
    <t>91 DAY T-BILL 01.10.20</t>
  </si>
  <si>
    <t>IN002020X159</t>
  </si>
  <si>
    <t>110201003</t>
  </si>
  <si>
    <t>SBI Dual Advantage Fund - Series XXV</t>
  </si>
  <si>
    <t>800177</t>
  </si>
  <si>
    <t>INE721A07NC9</t>
  </si>
  <si>
    <t>700944</t>
  </si>
  <si>
    <t>INE121A07OE6</t>
  </si>
  <si>
    <t>700908</t>
  </si>
  <si>
    <t>INE002A08518</t>
  </si>
  <si>
    <t>700910</t>
  </si>
  <si>
    <t>INE031A08541</t>
  </si>
  <si>
    <t>800178</t>
  </si>
  <si>
    <t>INE957N07369</t>
  </si>
  <si>
    <t>700932</t>
  </si>
  <si>
    <t>INE261F08956</t>
  </si>
  <si>
    <t>700955</t>
  </si>
  <si>
    <t>INE020B08AN6</t>
  </si>
  <si>
    <t>700960</t>
  </si>
  <si>
    <t>INE020B08AS5</t>
  </si>
  <si>
    <t>800182</t>
  </si>
  <si>
    <t>Bajaj Housing Finance Ltd.</t>
  </si>
  <si>
    <t>INE377Y07029</t>
  </si>
  <si>
    <t>800179</t>
  </si>
  <si>
    <t>INE891K07325</t>
  </si>
  <si>
    <t>700949</t>
  </si>
  <si>
    <t>Energy Efficiency Services Ltd.</t>
  </si>
  <si>
    <t>INE688V08023</t>
  </si>
  <si>
    <t>1900007</t>
  </si>
  <si>
    <t>8.39% State Government of Rajasthan 2021</t>
  </si>
  <si>
    <t>IN2920150306</t>
  </si>
  <si>
    <t>1900223</t>
  </si>
  <si>
    <t>8.38% State Government of Haryana 2021</t>
  </si>
  <si>
    <t>IN1620100066</t>
  </si>
  <si>
    <t>1900698</t>
  </si>
  <si>
    <t>8.39% State Government of Uttarakhand 2021</t>
  </si>
  <si>
    <t>IN3620110012</t>
  </si>
  <si>
    <t>1900019</t>
  </si>
  <si>
    <t>8.21% State Government of Rajasthan 2021</t>
  </si>
  <si>
    <t>IN2920150405</t>
  </si>
  <si>
    <t>1900163</t>
  </si>
  <si>
    <t>8.43% State Government of Uttar Pradesh 2021</t>
  </si>
  <si>
    <t>IN3320150656</t>
  </si>
  <si>
    <t>1101717</t>
  </si>
  <si>
    <t>Equitas Small Finance Bank Ltd.</t>
  </si>
  <si>
    <t>INE063P16800</t>
  </si>
  <si>
    <t>SBI Long Term Advantage Fund - Series V</t>
  </si>
  <si>
    <t>525</t>
  </si>
  <si>
    <t>SBI Debt Fund Series C-7</t>
  </si>
  <si>
    <t>800185</t>
  </si>
  <si>
    <t>PNB Housing Finance Ltd.</t>
  </si>
  <si>
    <t>INE572E09585</t>
  </si>
  <si>
    <t>700951</t>
  </si>
  <si>
    <t>INE660A07PI1</t>
  </si>
  <si>
    <t>700953</t>
  </si>
  <si>
    <t>INE556F08JA8</t>
  </si>
  <si>
    <t>700378</t>
  </si>
  <si>
    <t>INE134E08DG7</t>
  </si>
  <si>
    <t>700959</t>
  </si>
  <si>
    <t>INE134E08JK6</t>
  </si>
  <si>
    <t>700993</t>
  </si>
  <si>
    <t>INE031A08590</t>
  </si>
  <si>
    <t>1101670</t>
  </si>
  <si>
    <t>INE238A166S7</t>
  </si>
  <si>
    <t>SBI Dual Advantage Fund - Series XXVI</t>
  </si>
  <si>
    <t>800183</t>
  </si>
  <si>
    <t>INE213W07061</t>
  </si>
  <si>
    <t>800189</t>
  </si>
  <si>
    <t>INE535H07AE1</t>
  </si>
  <si>
    <t>700957</t>
  </si>
  <si>
    <t>INE974X07017</t>
  </si>
  <si>
    <t>700954</t>
  </si>
  <si>
    <t>INE020B08AR7</t>
  </si>
  <si>
    <t>700383</t>
  </si>
  <si>
    <t>INE020B08468</t>
  </si>
  <si>
    <t>800187</t>
  </si>
  <si>
    <t>Bharti Telecom Ltd.</t>
  </si>
  <si>
    <t>INE403D08025</t>
  </si>
  <si>
    <t>900037</t>
  </si>
  <si>
    <t>7.80% CGL 2021</t>
  </si>
  <si>
    <t>IN0020110022</t>
  </si>
  <si>
    <t>1900175</t>
  </si>
  <si>
    <t>8.51% State Government of Uttar Pradesh 2021</t>
  </si>
  <si>
    <t>IN3320150532</t>
  </si>
  <si>
    <t>527</t>
  </si>
  <si>
    <t>SBI Debt Fund Series C-8</t>
  </si>
  <si>
    <t>800184</t>
  </si>
  <si>
    <t>INE891K07366</t>
  </si>
  <si>
    <t>700956</t>
  </si>
  <si>
    <t>INE115A07MR4</t>
  </si>
  <si>
    <t>528</t>
  </si>
  <si>
    <t>SBI Debt Fund Series C-9</t>
  </si>
  <si>
    <t>800191</t>
  </si>
  <si>
    <t>INE115A07MX2</t>
  </si>
  <si>
    <t>700962</t>
  </si>
  <si>
    <t>INE115A07JB4</t>
  </si>
  <si>
    <t>529</t>
  </si>
  <si>
    <t>SBI Debt Fund Series C-10</t>
  </si>
  <si>
    <t>700963</t>
  </si>
  <si>
    <t>INE031A08566</t>
  </si>
  <si>
    <t>700965</t>
  </si>
  <si>
    <t>INE115A07JF5</t>
  </si>
  <si>
    <t>700987</t>
  </si>
  <si>
    <t>INE556F08JD2</t>
  </si>
  <si>
    <t>701009</t>
  </si>
  <si>
    <t>INE514E08951</t>
  </si>
  <si>
    <t>530</t>
  </si>
  <si>
    <t>SBI Dual Advantage Fund - Series XXVII</t>
  </si>
  <si>
    <t>800195</t>
  </si>
  <si>
    <t>INE121A07OH9</t>
  </si>
  <si>
    <t>800194</t>
  </si>
  <si>
    <t>INE721A07NM8</t>
  </si>
  <si>
    <t>701003</t>
  </si>
  <si>
    <t>INE205A07139</t>
  </si>
  <si>
    <t>700995</t>
  </si>
  <si>
    <t>INE476M07BJ5</t>
  </si>
  <si>
    <t>700991</t>
  </si>
  <si>
    <t>INE950O07222</t>
  </si>
  <si>
    <t>1800480</t>
  </si>
  <si>
    <t>GOI 15.03.2021 GOV</t>
  </si>
  <si>
    <t>IN000321C025</t>
  </si>
  <si>
    <t>532</t>
  </si>
  <si>
    <t>SBI Debt Fund Series C-12</t>
  </si>
  <si>
    <t>800193</t>
  </si>
  <si>
    <t>INE535H07AG6</t>
  </si>
  <si>
    <t>800192</t>
  </si>
  <si>
    <t>HDB Financial Services Ltd.</t>
  </si>
  <si>
    <t>INE756I07BW1</t>
  </si>
  <si>
    <t>700994</t>
  </si>
  <si>
    <t>INE027E07634</t>
  </si>
  <si>
    <t>1900200</t>
  </si>
  <si>
    <t>8.56% State Government of Uttar Pradesh 2021</t>
  </si>
  <si>
    <t>IN3320100115</t>
  </si>
  <si>
    <t>1900199</t>
  </si>
  <si>
    <t>8.54% State Government of Maharashtra 2021</t>
  </si>
  <si>
    <t>IN2220100068</t>
  </si>
  <si>
    <t>1101690</t>
  </si>
  <si>
    <t>INE063P16792</t>
  </si>
  <si>
    <t>SBI Debt Fund Series C-14</t>
  </si>
  <si>
    <t>700984</t>
  </si>
  <si>
    <t>INE134E08JM2</t>
  </si>
  <si>
    <t>535</t>
  </si>
  <si>
    <t>SBI Long Term Advantage Fund - Series VI</t>
  </si>
  <si>
    <t>536</t>
  </si>
  <si>
    <t>SBI Dual Advantage Fund - Series XXVIII</t>
  </si>
  <si>
    <t>800197</t>
  </si>
  <si>
    <t>INE121A07OK3</t>
  </si>
  <si>
    <t>800203</t>
  </si>
  <si>
    <t>INE601U07053</t>
  </si>
  <si>
    <t>701026</t>
  </si>
  <si>
    <t>INE950O07255</t>
  </si>
  <si>
    <t>701021</t>
  </si>
  <si>
    <t>INE155A08282</t>
  </si>
  <si>
    <t>800204</t>
  </si>
  <si>
    <t>INE831R07193</t>
  </si>
  <si>
    <t>700992</t>
  </si>
  <si>
    <t>INE721A07NI6</t>
  </si>
  <si>
    <t>701012</t>
  </si>
  <si>
    <t>INE020B08AO4</t>
  </si>
  <si>
    <t>700369</t>
  </si>
  <si>
    <t>INE752E07MN5</t>
  </si>
  <si>
    <t>1900215</t>
  </si>
  <si>
    <t>8.36% State Government of West Bengal 2021</t>
  </si>
  <si>
    <t>IN3420110014</t>
  </si>
  <si>
    <t>1900216</t>
  </si>
  <si>
    <t>8.44% State Government of West Bengal 2021</t>
  </si>
  <si>
    <t>IN3420110022</t>
  </si>
  <si>
    <t>538</t>
  </si>
  <si>
    <t>SBI Debt Fund Series C-16</t>
  </si>
  <si>
    <t>800200</t>
  </si>
  <si>
    <t>INE891K07382</t>
  </si>
  <si>
    <t>800198</t>
  </si>
  <si>
    <t>INE916DA7PO3</t>
  </si>
  <si>
    <t>701019</t>
  </si>
  <si>
    <t>INE514E08FD2</t>
  </si>
  <si>
    <t>800206</t>
  </si>
  <si>
    <t>INE377Y07037</t>
  </si>
  <si>
    <t>800205</t>
  </si>
  <si>
    <t>INE660A07PK7</t>
  </si>
  <si>
    <t>700232</t>
  </si>
  <si>
    <t>INE733E07KB4</t>
  </si>
  <si>
    <t>700927</t>
  </si>
  <si>
    <t>INE053F09HR2</t>
  </si>
  <si>
    <t>1101747</t>
  </si>
  <si>
    <t>INE028A16CD1</t>
  </si>
  <si>
    <t>1101709</t>
  </si>
  <si>
    <t>INE095A16G78</t>
  </si>
  <si>
    <t>540</t>
  </si>
  <si>
    <t>SBI Debt Fund Series C-18</t>
  </si>
  <si>
    <t>800202</t>
  </si>
  <si>
    <t>INE660A07PN1</t>
  </si>
  <si>
    <t>800201</t>
  </si>
  <si>
    <t>INE891K07390</t>
  </si>
  <si>
    <t>700151</t>
  </si>
  <si>
    <t>INE134E08ID3</t>
  </si>
  <si>
    <t>701038</t>
  </si>
  <si>
    <t>INE115A07MT0</t>
  </si>
  <si>
    <t>701066</t>
  </si>
  <si>
    <t>INE481G08057</t>
  </si>
  <si>
    <t>1900219</t>
  </si>
  <si>
    <t>8.67% State Government of Andhra Pradesh 2021</t>
  </si>
  <si>
    <t>IN1020110020</t>
  </si>
  <si>
    <t>1900220</t>
  </si>
  <si>
    <t>8.65% State Government of Haryana 2021</t>
  </si>
  <si>
    <t>IN1620110024</t>
  </si>
  <si>
    <t>541</t>
  </si>
  <si>
    <t>SBI Debt Fund Series C-19</t>
  </si>
  <si>
    <t>800209</t>
  </si>
  <si>
    <t>INE916DA7PR6</t>
  </si>
  <si>
    <t>701047</t>
  </si>
  <si>
    <t>INE556F08JF7</t>
  </si>
  <si>
    <t>800211</t>
  </si>
  <si>
    <t>INE891K07432</t>
  </si>
  <si>
    <t>1900222</t>
  </si>
  <si>
    <t>8.36% State Government of Haryana 2021</t>
  </si>
  <si>
    <t>IN1620110016</t>
  </si>
  <si>
    <t>542</t>
  </si>
  <si>
    <t>SBI Dual Advantage Fund - Series XXIX</t>
  </si>
  <si>
    <t>800210</t>
  </si>
  <si>
    <t>INE601U07061</t>
  </si>
  <si>
    <t>800214</t>
  </si>
  <si>
    <t>INE535H07AK8</t>
  </si>
  <si>
    <t>800212</t>
  </si>
  <si>
    <t>INE831R07201</t>
  </si>
  <si>
    <t>701059</t>
  </si>
  <si>
    <t>INE950O07289</t>
  </si>
  <si>
    <t>700300</t>
  </si>
  <si>
    <t>INE299U07031</t>
  </si>
  <si>
    <t>701052</t>
  </si>
  <si>
    <t>INE377Y07060</t>
  </si>
  <si>
    <t>1900227</t>
  </si>
  <si>
    <t>7.62% State Government of Odisha 2021</t>
  </si>
  <si>
    <t>IN2720170116</t>
  </si>
  <si>
    <t>1900226</t>
  </si>
  <si>
    <t>7.62% State Government of Maharashtra 2021</t>
  </si>
  <si>
    <t>IN2220170186</t>
  </si>
  <si>
    <t>543</t>
  </si>
  <si>
    <t>SBI Debt Fund Series C-20</t>
  </si>
  <si>
    <t>701063</t>
  </si>
  <si>
    <t>INE134E08DQ6</t>
  </si>
  <si>
    <t>701061</t>
  </si>
  <si>
    <t>INE756I07BY7</t>
  </si>
  <si>
    <t>800215</t>
  </si>
  <si>
    <t>INE660A07PQ4</t>
  </si>
  <si>
    <t>1900225</t>
  </si>
  <si>
    <t>8.66% State Government of Andhra Pradesh 2021</t>
  </si>
  <si>
    <t>IN1020110046</t>
  </si>
  <si>
    <t>544</t>
  </si>
  <si>
    <t>SBI Debt Fund Series C-21</t>
  </si>
  <si>
    <t>800253</t>
  </si>
  <si>
    <t>INE756I07BX9</t>
  </si>
  <si>
    <t>701084</t>
  </si>
  <si>
    <t>INE476M07BP2</t>
  </si>
  <si>
    <t>701071</t>
  </si>
  <si>
    <t>INE027E07691</t>
  </si>
  <si>
    <t>701065</t>
  </si>
  <si>
    <t>INE020B07IW2</t>
  </si>
  <si>
    <t>701446</t>
  </si>
  <si>
    <t>INE306N07LD4</t>
  </si>
  <si>
    <t>545</t>
  </si>
  <si>
    <t>SBI Debt Fund Series C-22</t>
  </si>
  <si>
    <t>800219</t>
  </si>
  <si>
    <t>INE601U07087</t>
  </si>
  <si>
    <t>700834</t>
  </si>
  <si>
    <t>INE155A08365</t>
  </si>
  <si>
    <t>701073</t>
  </si>
  <si>
    <t>INE205A07154</t>
  </si>
  <si>
    <t>701070</t>
  </si>
  <si>
    <t>INE556F08JH3</t>
  </si>
  <si>
    <t>700302</t>
  </si>
  <si>
    <t>INE121A08NR8</t>
  </si>
  <si>
    <t>546</t>
  </si>
  <si>
    <t>SBI Debt Fund Series C-23</t>
  </si>
  <si>
    <t>800217</t>
  </si>
  <si>
    <t>INE660A07PT8</t>
  </si>
  <si>
    <t>701083</t>
  </si>
  <si>
    <t>INE027E07758</t>
  </si>
  <si>
    <t>580</t>
  </si>
  <si>
    <t>700885</t>
  </si>
  <si>
    <t>INE020B08591</t>
  </si>
  <si>
    <t>800216</t>
  </si>
  <si>
    <t>INE891K07440</t>
  </si>
  <si>
    <t>701109</t>
  </si>
  <si>
    <t>INE001A07HA2</t>
  </si>
  <si>
    <t>701108</t>
  </si>
  <si>
    <t>INE481G07182</t>
  </si>
  <si>
    <t>701107</t>
  </si>
  <si>
    <t>INE377Y07045</t>
  </si>
  <si>
    <t>547</t>
  </si>
  <si>
    <t>SBI-ETF Sensex Next 50</t>
  </si>
  <si>
    <t>618</t>
  </si>
  <si>
    <t>548</t>
  </si>
  <si>
    <t>SBI Debt Fund Series C-24</t>
  </si>
  <si>
    <t>700152</t>
  </si>
  <si>
    <t>INE752E07MZ9</t>
  </si>
  <si>
    <t>701088</t>
  </si>
  <si>
    <t>INE027E07709</t>
  </si>
  <si>
    <t>701086</t>
  </si>
  <si>
    <t>INE895D08634</t>
  </si>
  <si>
    <t>SBI Debt Fund Series C-25</t>
  </si>
  <si>
    <t>701110</t>
  </si>
  <si>
    <t>INE950O07305</t>
  </si>
  <si>
    <t>701485</t>
  </si>
  <si>
    <t>INE295J08048</t>
  </si>
  <si>
    <t>1800544</t>
  </si>
  <si>
    <t>364 DAY T-BILL 16.09.21</t>
  </si>
  <si>
    <t>IN002020Z246</t>
  </si>
  <si>
    <t>SBI Dual Advantage Fund - Series XXX</t>
  </si>
  <si>
    <t>800225</t>
  </si>
  <si>
    <t>INE601U07103</t>
  </si>
  <si>
    <t>800220</t>
  </si>
  <si>
    <t>INE756I07CD9</t>
  </si>
  <si>
    <t>800228</t>
  </si>
  <si>
    <t>Sundaram Home Finance Ltd.</t>
  </si>
  <si>
    <t>INE667F07GY1</t>
  </si>
  <si>
    <t>701112</t>
  </si>
  <si>
    <t>INE205A07147</t>
  </si>
  <si>
    <t>701248</t>
  </si>
  <si>
    <t>INE020B08872</t>
  </si>
  <si>
    <t>800224</t>
  </si>
  <si>
    <t>INE831R07227</t>
  </si>
  <si>
    <t>1800483</t>
  </si>
  <si>
    <t>GOI 17.12.2021 GOV</t>
  </si>
  <si>
    <t>IN001221C042</t>
  </si>
  <si>
    <t>551</t>
  </si>
  <si>
    <t>SBI Debt Fund Series C-26</t>
  </si>
  <si>
    <t>800222</t>
  </si>
  <si>
    <t>Kotak Mahindra Investments Ltd.</t>
  </si>
  <si>
    <t>INE975F07GB6</t>
  </si>
  <si>
    <t>701117</t>
  </si>
  <si>
    <t>INE476M07BQ0</t>
  </si>
  <si>
    <t>701106</t>
  </si>
  <si>
    <t>INE481G07208</t>
  </si>
  <si>
    <t>701115</t>
  </si>
  <si>
    <t>INE752E07KG3</t>
  </si>
  <si>
    <t>552</t>
  </si>
  <si>
    <t>SBI Debt Fund Series C-27</t>
  </si>
  <si>
    <t>800229</t>
  </si>
  <si>
    <t>INE975F07GF7</t>
  </si>
  <si>
    <t>701129</t>
  </si>
  <si>
    <t>INE476M07BR8</t>
  </si>
  <si>
    <t>701123</t>
  </si>
  <si>
    <t>INE556F08JI1</t>
  </si>
  <si>
    <t>701127</t>
  </si>
  <si>
    <t>INE759E07897</t>
  </si>
  <si>
    <t>700350</t>
  </si>
  <si>
    <t>Food Corporation of India</t>
  </si>
  <si>
    <t>INE861G08035</t>
  </si>
  <si>
    <t>CRISIL AAA(CE)</t>
  </si>
  <si>
    <t>701136</t>
  </si>
  <si>
    <t>INE774D07SL2</t>
  </si>
  <si>
    <t>701265</t>
  </si>
  <si>
    <t>INE002A08575</t>
  </si>
  <si>
    <t>701166</t>
  </si>
  <si>
    <t>INE163N08065</t>
  </si>
  <si>
    <t>553</t>
  </si>
  <si>
    <t>SBI Debt Fund Series C-28</t>
  </si>
  <si>
    <t>800231</t>
  </si>
  <si>
    <t>INE296A07QQ5</t>
  </si>
  <si>
    <t>700737</t>
  </si>
  <si>
    <t>National Highways Authority of India</t>
  </si>
  <si>
    <t>INE906B07FG1</t>
  </si>
  <si>
    <t>800230</t>
  </si>
  <si>
    <t>INE115A07NM3</t>
  </si>
  <si>
    <t>700662</t>
  </si>
  <si>
    <t>INE134E08IN2</t>
  </si>
  <si>
    <t>701122</t>
  </si>
  <si>
    <t>INE115A07NF7</t>
  </si>
  <si>
    <t>1900288</t>
  </si>
  <si>
    <t>8.75% State Government of Tamil Nadu 2022</t>
  </si>
  <si>
    <t>IN3120110132</t>
  </si>
  <si>
    <t>555</t>
  </si>
  <si>
    <t>SBI Debt Fund Series C-30</t>
  </si>
  <si>
    <t>800251</t>
  </si>
  <si>
    <t>INE660A07PV4</t>
  </si>
  <si>
    <t>800235</t>
  </si>
  <si>
    <t>INE535H07AT9</t>
  </si>
  <si>
    <t>701163</t>
  </si>
  <si>
    <t>INE033L07GA4</t>
  </si>
  <si>
    <t>800250</t>
  </si>
  <si>
    <t>INE916DA7QE2</t>
  </si>
  <si>
    <t>701287</t>
  </si>
  <si>
    <t>INE115A07NZ5</t>
  </si>
  <si>
    <t>700663</t>
  </si>
  <si>
    <t>INE906B07FE6</t>
  </si>
  <si>
    <t>556</t>
  </si>
  <si>
    <t>SBI-ETF Quality</t>
  </si>
  <si>
    <t>100449</t>
  </si>
  <si>
    <t>INE148I01020</t>
  </si>
  <si>
    <t>558</t>
  </si>
  <si>
    <t>SBI Debt Fund Series C-32</t>
  </si>
  <si>
    <t>701176</t>
  </si>
  <si>
    <t>INE031A08640</t>
  </si>
  <si>
    <t>701178</t>
  </si>
  <si>
    <t>INE020B08922</t>
  </si>
  <si>
    <t>700852</t>
  </si>
  <si>
    <t>INE020B08AF2</t>
  </si>
  <si>
    <t>800238</t>
  </si>
  <si>
    <t>INE756I07CI8</t>
  </si>
  <si>
    <t>559</t>
  </si>
  <si>
    <t>SBI Debt Fund Series C-33</t>
  </si>
  <si>
    <t>800239</t>
  </si>
  <si>
    <t>INE535H07AQ5</t>
  </si>
  <si>
    <t>701210</t>
  </si>
  <si>
    <t>INE031A08657</t>
  </si>
  <si>
    <t>701199</t>
  </si>
  <si>
    <t>INE134E08EO9</t>
  </si>
  <si>
    <t>701226</t>
  </si>
  <si>
    <t>INE306N07KG9</t>
  </si>
  <si>
    <t>560</t>
  </si>
  <si>
    <t>SBI Debt Fund Series C-34</t>
  </si>
  <si>
    <t>700718</t>
  </si>
  <si>
    <t>INE752E07MF1</t>
  </si>
  <si>
    <t>SBI Debt Fund Series C-35</t>
  </si>
  <si>
    <t>800240</t>
  </si>
  <si>
    <t>INE377Y07086</t>
  </si>
  <si>
    <t>800233</t>
  </si>
  <si>
    <t>Aditya Birla Finance Ltd.</t>
  </si>
  <si>
    <t>INE860H07GE0</t>
  </si>
  <si>
    <t>564</t>
  </si>
  <si>
    <t>SBI Debt Fund Series C-38</t>
  </si>
  <si>
    <t>800246</t>
  </si>
  <si>
    <t>INE115A07NW2</t>
  </si>
  <si>
    <t>701231</t>
  </si>
  <si>
    <t>INE752E07JH3</t>
  </si>
  <si>
    <t>701011</t>
  </si>
  <si>
    <t>INE514E08AX1</t>
  </si>
  <si>
    <t>700214</t>
  </si>
  <si>
    <t>INE752E07MO3</t>
  </si>
  <si>
    <t>1900273</t>
  </si>
  <si>
    <t>8.69% State Government of Kerala 2022</t>
  </si>
  <si>
    <t>IN2020110085</t>
  </si>
  <si>
    <t>1900270</t>
  </si>
  <si>
    <t>8.99% State Government of Gujarat 2022</t>
  </si>
  <si>
    <t>IN1520110132</t>
  </si>
  <si>
    <t>1900292</t>
  </si>
  <si>
    <t>8.39% State Government of Rajasthan 2022</t>
  </si>
  <si>
    <t>IN2920150314</t>
  </si>
  <si>
    <t>1900206</t>
  </si>
  <si>
    <t>9.23% State Government of Gujarat 2022</t>
  </si>
  <si>
    <t>IN1520110140</t>
  </si>
  <si>
    <t>1900272</t>
  </si>
  <si>
    <t>9.10% State Government of Tamil Nadu 2022</t>
  </si>
  <si>
    <t>IN3120120016</t>
  </si>
  <si>
    <t>1900271</t>
  </si>
  <si>
    <t>8.92% State Government of Tamil Nadu 2022</t>
  </si>
  <si>
    <t>IN3120110140</t>
  </si>
  <si>
    <t>1900276</t>
  </si>
  <si>
    <t>8.74% State Government of Karnataka 2022</t>
  </si>
  <si>
    <t>IN1920110054</t>
  </si>
  <si>
    <t>1900309</t>
  </si>
  <si>
    <t>8.61% State Government of Uttar Pradesh 2022</t>
  </si>
  <si>
    <t>IN3320150540</t>
  </si>
  <si>
    <t>566</t>
  </si>
  <si>
    <t>SBI Corporate Bond Fund</t>
  </si>
  <si>
    <t>702538</t>
  </si>
  <si>
    <t>INE134E08LB1</t>
  </si>
  <si>
    <t>702525</t>
  </si>
  <si>
    <t>INE242A08478</t>
  </si>
  <si>
    <t>700924</t>
  </si>
  <si>
    <t>INE110L08037</t>
  </si>
  <si>
    <t>702461</t>
  </si>
  <si>
    <t>INE557F08FJ5</t>
  </si>
  <si>
    <t>702450</t>
  </si>
  <si>
    <t>INE018A08AY9</t>
  </si>
  <si>
    <t>702535</t>
  </si>
  <si>
    <t>INE001A07SP7</t>
  </si>
  <si>
    <t>702222</t>
  </si>
  <si>
    <t>INE445L08391</t>
  </si>
  <si>
    <t>702459</t>
  </si>
  <si>
    <t>INE001A07SL6</t>
  </si>
  <si>
    <t>701328</t>
  </si>
  <si>
    <t>INE556F08JK7</t>
  </si>
  <si>
    <t>702533</t>
  </si>
  <si>
    <t>INE101A08104</t>
  </si>
  <si>
    <t>702413</t>
  </si>
  <si>
    <t>INE557F08FH9</t>
  </si>
  <si>
    <t>701330</t>
  </si>
  <si>
    <t>INE733E07KK5</t>
  </si>
  <si>
    <t>702451</t>
  </si>
  <si>
    <t>INE053F07CC9</t>
  </si>
  <si>
    <t>701451</t>
  </si>
  <si>
    <t>INE031A08715</t>
  </si>
  <si>
    <t>701494</t>
  </si>
  <si>
    <t>INE001A07RU9</t>
  </si>
  <si>
    <t>702353</t>
  </si>
  <si>
    <t>INE976I08326</t>
  </si>
  <si>
    <t>702274</t>
  </si>
  <si>
    <t>INE020B08CG6</t>
  </si>
  <si>
    <t>701594</t>
  </si>
  <si>
    <t>INE556F08JM3</t>
  </si>
  <si>
    <t>701523</t>
  </si>
  <si>
    <t>INE001A07RV7</t>
  </si>
  <si>
    <t>701429</t>
  </si>
  <si>
    <t>INE134E08KB3</t>
  </si>
  <si>
    <t>702352</t>
  </si>
  <si>
    <t>INE976I08318</t>
  </si>
  <si>
    <t>702507</t>
  </si>
  <si>
    <t>INE002A08633</t>
  </si>
  <si>
    <t>702295</t>
  </si>
  <si>
    <t>INE134E08KJ6</t>
  </si>
  <si>
    <t>702359</t>
  </si>
  <si>
    <t>INE261F08BY2</t>
  </si>
  <si>
    <t>702351</t>
  </si>
  <si>
    <t>INE020B08CK8</t>
  </si>
  <si>
    <t>702462</t>
  </si>
  <si>
    <t>INE018A08BA7</t>
  </si>
  <si>
    <t>702565</t>
  </si>
  <si>
    <t>INE020B08849</t>
  </si>
  <si>
    <t>701396</t>
  </si>
  <si>
    <t>INE020B08831</t>
  </si>
  <si>
    <t>701422</t>
  </si>
  <si>
    <t>INE020B08AT3</t>
  </si>
  <si>
    <t>702526</t>
  </si>
  <si>
    <t>INE053F07CB1</t>
  </si>
  <si>
    <t>702522</t>
  </si>
  <si>
    <t>INE002A08609</t>
  </si>
  <si>
    <t>702481</t>
  </si>
  <si>
    <t>INE001A07SN2</t>
  </si>
  <si>
    <t>702373</t>
  </si>
  <si>
    <t>INE514E08ES3</t>
  </si>
  <si>
    <t>701326</t>
  </si>
  <si>
    <t>INE261F08BI5</t>
  </si>
  <si>
    <t>702383</t>
  </si>
  <si>
    <t>INE848E07AY3</t>
  </si>
  <si>
    <t>702438</t>
  </si>
  <si>
    <t>INE848E07BD5</t>
  </si>
  <si>
    <t>702379</t>
  </si>
  <si>
    <t>INE514E08FJ9</t>
  </si>
  <si>
    <t>700726</t>
  </si>
  <si>
    <t>HDFC Credila Financial Services Pvt. Ltd.</t>
  </si>
  <si>
    <t>INE539K07064</t>
  </si>
  <si>
    <t>701332</t>
  </si>
  <si>
    <t>INE514E08BQ3</t>
  </si>
  <si>
    <t>701595</t>
  </si>
  <si>
    <t>INE906B07FX6</t>
  </si>
  <si>
    <t>701490</t>
  </si>
  <si>
    <t>INE031A08723</t>
  </si>
  <si>
    <t>701701</t>
  </si>
  <si>
    <t>INE848E07443</t>
  </si>
  <si>
    <t>701713</t>
  </si>
  <si>
    <t>INE001A07RZ8</t>
  </si>
  <si>
    <t>701603</t>
  </si>
  <si>
    <t>INE556F08JN1</t>
  </si>
  <si>
    <t>702468</t>
  </si>
  <si>
    <t>INE557F08FI7</t>
  </si>
  <si>
    <t>701697</t>
  </si>
  <si>
    <t>INE031A08756</t>
  </si>
  <si>
    <t>702491</t>
  </si>
  <si>
    <t>INE053F07BY5</t>
  </si>
  <si>
    <t>701953</t>
  </si>
  <si>
    <t>INE514E08EP9</t>
  </si>
  <si>
    <t>701904</t>
  </si>
  <si>
    <t>INE752E07KJ7</t>
  </si>
  <si>
    <t>701543</t>
  </si>
  <si>
    <t>INE514E08CH0</t>
  </si>
  <si>
    <t>701432</t>
  </si>
  <si>
    <t>INE752E07JV4</t>
  </si>
  <si>
    <t>701270</t>
  </si>
  <si>
    <t>INE848E07336</t>
  </si>
  <si>
    <t>701591</t>
  </si>
  <si>
    <t>INE115A07OG3</t>
  </si>
  <si>
    <t>702294</t>
  </si>
  <si>
    <t>INE115A07OQ2</t>
  </si>
  <si>
    <t>900012</t>
  </si>
  <si>
    <t>7.68% CGL 2023</t>
  </si>
  <si>
    <t>IN0020150010</t>
  </si>
  <si>
    <t>900105</t>
  </si>
  <si>
    <t>6.90% CGL 2026</t>
  </si>
  <si>
    <t>IN0020089069</t>
  </si>
  <si>
    <t>1900964</t>
  </si>
  <si>
    <t>8.07% State Government of Tamil Nadu 2025</t>
  </si>
  <si>
    <t>IN3120140196</t>
  </si>
  <si>
    <t>1901295</t>
  </si>
  <si>
    <t>7.04% State Government of Gujarat 2026</t>
  </si>
  <si>
    <t>IN1520190084</t>
  </si>
  <si>
    <t>1900963</t>
  </si>
  <si>
    <t>8.13% State Government of Tamil Nadu 2025</t>
  </si>
  <si>
    <t>IN3120140188</t>
  </si>
  <si>
    <t>1901256</t>
  </si>
  <si>
    <t>6.17% State Government of Telangana 2025</t>
  </si>
  <si>
    <t>IN4520200069</t>
  </si>
  <si>
    <t>1900166</t>
  </si>
  <si>
    <t>8.27% State Government of Rajasthan 2022</t>
  </si>
  <si>
    <t>IN2920160081</t>
  </si>
  <si>
    <t>1900135</t>
  </si>
  <si>
    <t>8.29% State Government of Tamil Nadu 2025</t>
  </si>
  <si>
    <t>IN3120150070</t>
  </si>
  <si>
    <t>1900612</t>
  </si>
  <si>
    <t>8.14% State Government of Kerala 2025</t>
  </si>
  <si>
    <t>IN2020140132</t>
  </si>
  <si>
    <t>1900132</t>
  </si>
  <si>
    <t>8.06% State Government of Maharashtra 2025</t>
  </si>
  <si>
    <t>IN2220140205</t>
  </si>
  <si>
    <t>1800536</t>
  </si>
  <si>
    <t>GOI 17.12.2024 GOV</t>
  </si>
  <si>
    <t>IN001224C038</t>
  </si>
  <si>
    <t>1800486</t>
  </si>
  <si>
    <t>GOI 17.12.2022 GOV</t>
  </si>
  <si>
    <t>IN001222C032</t>
  </si>
  <si>
    <t>1800485</t>
  </si>
  <si>
    <t>GOI 15.12.2022 GOV</t>
  </si>
  <si>
    <t>IN001222C057</t>
  </si>
  <si>
    <t>567</t>
  </si>
  <si>
    <t>SBI Debt Fund Series C-40</t>
  </si>
  <si>
    <t>800244</t>
  </si>
  <si>
    <t>INE660A07PW2</t>
  </si>
  <si>
    <t>800242</t>
  </si>
  <si>
    <t>INE377Y07052</t>
  </si>
  <si>
    <t>700672</t>
  </si>
  <si>
    <t>INE053F09EK4</t>
  </si>
  <si>
    <t>1900277</t>
  </si>
  <si>
    <t>8.52% State Government of Uttar Pradesh 2022</t>
  </si>
  <si>
    <t>IN3320150664</t>
  </si>
  <si>
    <t>568</t>
  </si>
  <si>
    <t>SBI Debt Fund Series C-41</t>
  </si>
  <si>
    <t>SBI Debt Fund Series C-43</t>
  </si>
  <si>
    <t>701715</t>
  </si>
  <si>
    <t>INE752E07ES1</t>
  </si>
  <si>
    <t>1900291</t>
  </si>
  <si>
    <t>8.68% State Government of Uttar Pradesh 2022</t>
  </si>
  <si>
    <t>IN3320150441</t>
  </si>
  <si>
    <t>571</t>
  </si>
  <si>
    <t>SBI Debt Fund Series C-44</t>
  </si>
  <si>
    <t>800247</t>
  </si>
  <si>
    <t>INE535H07AX1</t>
  </si>
  <si>
    <t>573</t>
  </si>
  <si>
    <t>SBI Capital Protection Oriented Fund Series A (Plan 1)</t>
  </si>
  <si>
    <t>801</t>
  </si>
  <si>
    <t>701268</t>
  </si>
  <si>
    <t>INE895D08790</t>
  </si>
  <si>
    <t>1800484</t>
  </si>
  <si>
    <t>GOI 17.06.2022 GOV</t>
  </si>
  <si>
    <t>IN000622C042</t>
  </si>
  <si>
    <t>SBI Debt Fund Series C-46</t>
  </si>
  <si>
    <t>1900297</t>
  </si>
  <si>
    <t>9.12% State Government of Gujarat 2022</t>
  </si>
  <si>
    <t>IN1520120024</t>
  </si>
  <si>
    <t>575</t>
  </si>
  <si>
    <t>SBI Equity Minimum Variance Fund</t>
  </si>
  <si>
    <t>1301321</t>
  </si>
  <si>
    <t>5.87% HDFC Bank Ltd. (Duration 365 Days)</t>
  </si>
  <si>
    <t>577</t>
  </si>
  <si>
    <t>SBI Debt Fund Series C-48</t>
  </si>
  <si>
    <t>800248</t>
  </si>
  <si>
    <t>INE891K07465</t>
  </si>
  <si>
    <t>578</t>
  </si>
  <si>
    <t>SBI Debt Fund Series C-49</t>
  </si>
  <si>
    <t>579</t>
  </si>
  <si>
    <t>SBI Capital Protection Oriented Fund Series A (Plan 2)</t>
  </si>
  <si>
    <t>593</t>
  </si>
  <si>
    <t>SBI Debt Fund Series C-50</t>
  </si>
  <si>
    <t>701298</t>
  </si>
  <si>
    <t>INE306N07KX4</t>
  </si>
  <si>
    <t>1900310</t>
  </si>
  <si>
    <t>8.18% State Government of Haryana 2022</t>
  </si>
  <si>
    <t>IN1620160011</t>
  </si>
  <si>
    <t>1900003</t>
  </si>
  <si>
    <t>8.26% State Government of Uttar Pradesh 2022</t>
  </si>
  <si>
    <t>IN3320160069</t>
  </si>
  <si>
    <t>1900307</t>
  </si>
  <si>
    <t>8.21% State Government of Rajasthan 2022</t>
  </si>
  <si>
    <t>IN2920150413</t>
  </si>
  <si>
    <t>581</t>
  </si>
  <si>
    <t>SBI Fixed Maturity Plan (FMP)- Series 1</t>
  </si>
  <si>
    <t>1900306</t>
  </si>
  <si>
    <t>8.39% State Government of Bihar 2029</t>
  </si>
  <si>
    <t>IN1320180079</t>
  </si>
  <si>
    <t>1900308</t>
  </si>
  <si>
    <t>8.39% State Government of Uttar Pradesh 2029</t>
  </si>
  <si>
    <t>IN3320180182</t>
  </si>
  <si>
    <t>1900289</t>
  </si>
  <si>
    <t>8.35% State Government of Gujarat 2029</t>
  </si>
  <si>
    <t>IN1520180317</t>
  </si>
  <si>
    <t>1900298</t>
  </si>
  <si>
    <t>8.30% State Government of Gujarat 2029</t>
  </si>
  <si>
    <t>IN1520180325</t>
  </si>
  <si>
    <t>1900305</t>
  </si>
  <si>
    <t>8.06% State Government of Karnataka 2029</t>
  </si>
  <si>
    <t>IN1920180222</t>
  </si>
  <si>
    <t>1900304</t>
  </si>
  <si>
    <t>8.05% State Government of Gujarat 2029</t>
  </si>
  <si>
    <t>IN1520180341</t>
  </si>
  <si>
    <t>582</t>
  </si>
  <si>
    <t>SBI Fixed Maturity Plan (FMP)- Series 2</t>
  </si>
  <si>
    <t>800249</t>
  </si>
  <si>
    <t>INE660A07PR2</t>
  </si>
  <si>
    <t>800252</t>
  </si>
  <si>
    <t>INE306N07KZ9</t>
  </si>
  <si>
    <t>583</t>
  </si>
  <si>
    <t>SBI Fixed Maturity Plan (FMP)- Series 3</t>
  </si>
  <si>
    <t>585</t>
  </si>
  <si>
    <t>SBI Capital Protection Oriented Fund Series A (Plan 3)</t>
  </si>
  <si>
    <t>701111</t>
  </si>
  <si>
    <t>INE002A08500</t>
  </si>
  <si>
    <t>701658</t>
  </si>
  <si>
    <t>INE134E08FN8</t>
  </si>
  <si>
    <t>1900144</t>
  </si>
  <si>
    <t>8.64% State Government of Andhra Pradesh 2023</t>
  </si>
  <si>
    <t>IN1020120201</t>
  </si>
  <si>
    <t>1900760</t>
  </si>
  <si>
    <t>8.25% State Government of Andhra Pradesh 2023</t>
  </si>
  <si>
    <t>IN1020130010</t>
  </si>
  <si>
    <t>587</t>
  </si>
  <si>
    <t>SBI Fixed Maturity Plan (FMP)- Series 6</t>
  </si>
  <si>
    <t>1900362</t>
  </si>
  <si>
    <t>8.15% State Government of Rajasthan 2029</t>
  </si>
  <si>
    <t>IN2920190021</t>
  </si>
  <si>
    <t>900100</t>
  </si>
  <si>
    <t>8.16% State Government of Karnataka 2029</t>
  </si>
  <si>
    <t>IN1920180214</t>
  </si>
  <si>
    <t>588</t>
  </si>
  <si>
    <t>SBI Fixed Maturity Plan (FMP)- Series 7</t>
  </si>
  <si>
    <t>800254</t>
  </si>
  <si>
    <t>INE975F07GT8</t>
  </si>
  <si>
    <t>701417</t>
  </si>
  <si>
    <t>INE115A07OD0</t>
  </si>
  <si>
    <t>589</t>
  </si>
  <si>
    <t>SBI Fixed Maturity Plan (FMP)- Series 8</t>
  </si>
  <si>
    <t>701458</t>
  </si>
  <si>
    <t>INE514E08BE9</t>
  </si>
  <si>
    <t>701271</t>
  </si>
  <si>
    <t>INE752E07KT6</t>
  </si>
  <si>
    <t>701459</t>
  </si>
  <si>
    <t>INE756I07CP3</t>
  </si>
  <si>
    <t>SBI Capital Protection Oriented Fund Series A (Plan 4)</t>
  </si>
  <si>
    <t>701489</t>
  </si>
  <si>
    <t>INE752E07JI1</t>
  </si>
  <si>
    <t>701488</t>
  </si>
  <si>
    <t>INE115A07DX1</t>
  </si>
  <si>
    <t>1900413</t>
  </si>
  <si>
    <t>8.10% State Government of Tamil Nadu 2023</t>
  </si>
  <si>
    <t>IN3120130023</t>
  </si>
  <si>
    <t>1901247</t>
  </si>
  <si>
    <t>8.10% State Government of Kerala 2023</t>
  </si>
  <si>
    <t>IN2020130026</t>
  </si>
  <si>
    <t>SBI Fixed Maturity Plan (FMP)- Series 9</t>
  </si>
  <si>
    <t>701511</t>
  </si>
  <si>
    <t>INE020B08BT1</t>
  </si>
  <si>
    <t>701493</t>
  </si>
  <si>
    <t>INE134E08JD1</t>
  </si>
  <si>
    <t>700867</t>
  </si>
  <si>
    <t>INE002A08476</t>
  </si>
  <si>
    <t>592</t>
  </si>
  <si>
    <t>SBI Fixed Maturity Plan (FMP)- Series 10</t>
  </si>
  <si>
    <t>SBI Fixed Maturity Plan (FMP)- Series 11</t>
  </si>
  <si>
    <t>701519</t>
  </si>
  <si>
    <t>INE261F08BL9</t>
  </si>
  <si>
    <t>594</t>
  </si>
  <si>
    <t>SBI Fixed Maturity Plan (FMP)- Series 12</t>
  </si>
  <si>
    <t>595</t>
  </si>
  <si>
    <t>SBI Fixed Maturity Plan (FMP)- Series 13</t>
  </si>
  <si>
    <t>800262</t>
  </si>
  <si>
    <t>INE891K07499</t>
  </si>
  <si>
    <t>701588</t>
  </si>
  <si>
    <t>INE115A07LZ9</t>
  </si>
  <si>
    <t>596</t>
  </si>
  <si>
    <t>SBI Fixed Maturity Plan (FMP)- Series 14</t>
  </si>
  <si>
    <t>597</t>
  </si>
  <si>
    <t>SBI Fixed Maturity Plan (FMP)- Series 15</t>
  </si>
  <si>
    <t>598</t>
  </si>
  <si>
    <t>SBI Fixed Maturity Plan (FMP)- Series 16</t>
  </si>
  <si>
    <t>701687</t>
  </si>
  <si>
    <t>INE306N07LI3</t>
  </si>
  <si>
    <t>702260</t>
  </si>
  <si>
    <t>INE514E08BK6</t>
  </si>
  <si>
    <t>599</t>
  </si>
  <si>
    <t>SBI Fixed Maturity Plan (FMP)- Series 17</t>
  </si>
  <si>
    <t>SBI Capital Protection Oriented Fund Series A (Plan 5)</t>
  </si>
  <si>
    <t>701712</t>
  </si>
  <si>
    <t>INE752E07FQ2</t>
  </si>
  <si>
    <t>701716</t>
  </si>
  <si>
    <t>INE134E08EH3</t>
  </si>
  <si>
    <t>601</t>
  </si>
  <si>
    <t>SBI Fixed Maturity Plan (FMP)- Series 18</t>
  </si>
  <si>
    <t>701593</t>
  </si>
  <si>
    <t>INE756I07CS7</t>
  </si>
  <si>
    <t>602</t>
  </si>
  <si>
    <t>SBI Capital Protection Oriented Fund Series A (Plan 6)</t>
  </si>
  <si>
    <t>701738</t>
  </si>
  <si>
    <t>INE115A07DS1</t>
  </si>
  <si>
    <t>701769</t>
  </si>
  <si>
    <t>INE020B08AM8</t>
  </si>
  <si>
    <t>603</t>
  </si>
  <si>
    <t>SBI Fixed Maturity Plan (FMP)- Series 19</t>
  </si>
  <si>
    <t>701741</t>
  </si>
  <si>
    <t>INE115A07MO1</t>
  </si>
  <si>
    <t>800285</t>
  </si>
  <si>
    <t>INE660A07QD0</t>
  </si>
  <si>
    <t>700853</t>
  </si>
  <si>
    <t>INE906B07FT4</t>
  </si>
  <si>
    <t>604</t>
  </si>
  <si>
    <t>SBI Fixed Maturity Plan (FMP)- Series 20</t>
  </si>
  <si>
    <t>800289</t>
  </si>
  <si>
    <t>INE033L07GK3</t>
  </si>
  <si>
    <t>605</t>
  </si>
  <si>
    <t>SBI Fixed Maturity Plan (FMP)- Series 21</t>
  </si>
  <si>
    <t>606</t>
  </si>
  <si>
    <t>SBI Fixed Maturity Plan (FMP)- Series 22</t>
  </si>
  <si>
    <t>607</t>
  </si>
  <si>
    <t>SBI Fixed Maturity Plan (FMP)- Series 23</t>
  </si>
  <si>
    <t>702132</t>
  </si>
  <si>
    <t>INE115A07OH1</t>
  </si>
  <si>
    <t>702212</t>
  </si>
  <si>
    <t>INE756I07CW9</t>
  </si>
  <si>
    <t>608</t>
  </si>
  <si>
    <t>SBI Fixed Maturity Plan (FMP)- Series 24</t>
  </si>
  <si>
    <t>700930</t>
  </si>
  <si>
    <t>INE020B08AP1</t>
  </si>
  <si>
    <t>SBI Fixed Maturity Plan (FMP)- Series 25</t>
  </si>
  <si>
    <t>610</t>
  </si>
  <si>
    <t>SBI Fixed Maturity Plan (FMP)- Series 26</t>
  </si>
  <si>
    <t>611</t>
  </si>
  <si>
    <t>SBI Fixed Maturity Plan (FMP)- Series 27</t>
  </si>
  <si>
    <t>702299</t>
  </si>
  <si>
    <t>INE916DA7QL7</t>
  </si>
  <si>
    <t>800292</t>
  </si>
  <si>
    <t>INE891K07523</t>
  </si>
  <si>
    <t>1900085</t>
  </si>
  <si>
    <t>8.21% State Government of Rajasthan 2023</t>
  </si>
  <si>
    <t>IN2920150421</t>
  </si>
  <si>
    <t>612</t>
  </si>
  <si>
    <t>SBI Capital Protection Oriented Fund Series A (Plan 7)</t>
  </si>
  <si>
    <t>1900782</t>
  </si>
  <si>
    <t>8.18% State Government of Haryana 2023</t>
  </si>
  <si>
    <t>IN1620160029</t>
  </si>
  <si>
    <t>613</t>
  </si>
  <si>
    <t>SBI Fixed Maturity Plan (FMP)- Series 28</t>
  </si>
  <si>
    <t>702370</t>
  </si>
  <si>
    <t>INE756I07DA3</t>
  </si>
  <si>
    <t>702363</t>
  </si>
  <si>
    <t>INE296A07RB5</t>
  </si>
  <si>
    <t>1900041</t>
  </si>
  <si>
    <t>7.68% State Government of Madhya Pradesh 2023</t>
  </si>
  <si>
    <t>IN2120160113</t>
  </si>
  <si>
    <t>614</t>
  </si>
  <si>
    <t>SBI Capital Protection Oriented Fund Series A (Plan 8)</t>
  </si>
  <si>
    <t>1901222</t>
  </si>
  <si>
    <t>6.35% State Government of Bihar 2023</t>
  </si>
  <si>
    <t>IN1320190243</t>
  </si>
  <si>
    <t>615</t>
  </si>
  <si>
    <t>SBI Fixed Maturity Plan (FMP)- Series 31</t>
  </si>
  <si>
    <t>702392</t>
  </si>
  <si>
    <t>INE018A08AU7</t>
  </si>
  <si>
    <t>1900086</t>
  </si>
  <si>
    <t>7.77% State Government of Tamil Nadu 2023</t>
  </si>
  <si>
    <t>IN3120160251</t>
  </si>
  <si>
    <t>1900084</t>
  </si>
  <si>
    <t>8.39% State Government of Rajasthan 2023</t>
  </si>
  <si>
    <t>IN2920150322</t>
  </si>
  <si>
    <t>1900214</t>
  </si>
  <si>
    <t>8.21% State Government of Haryana 2023</t>
  </si>
  <si>
    <t>IN1620150152</t>
  </si>
  <si>
    <t>616</t>
  </si>
  <si>
    <t>SBI Fixed Maturity Plan (FMP)- Series 32</t>
  </si>
  <si>
    <t>1900145</t>
  </si>
  <si>
    <t>8.63% State Government of Kerala 2023</t>
  </si>
  <si>
    <t>IN2020120100</t>
  </si>
  <si>
    <t>617</t>
  </si>
  <si>
    <t>SBI Fixed Maturity Plan (FMP)- Series 33</t>
  </si>
  <si>
    <t>SBI Fixed Maturity Plan (FMP)- Series 34</t>
  </si>
  <si>
    <t>1901217</t>
  </si>
  <si>
    <t>6.84% State Government of Rajasthan 2030</t>
  </si>
  <si>
    <t>IN2920190443</t>
  </si>
  <si>
    <t>619</t>
  </si>
  <si>
    <t>SBI Magnum Children¿s Benefit Fund- Investment Plan</t>
  </si>
  <si>
    <t>SBI Resurgent India Opportunities Scheme</t>
  </si>
  <si>
    <t>100405</t>
  </si>
  <si>
    <t>TeamLease Services Ltd.</t>
  </si>
  <si>
    <t>INE985S01024</t>
  </si>
  <si>
    <t>100221</t>
  </si>
  <si>
    <t>Sundram Fasteners Ltd.</t>
  </si>
  <si>
    <t>INE387A01021</t>
  </si>
  <si>
    <t>SMEEF</t>
  </si>
  <si>
    <t>SLMF</t>
  </si>
  <si>
    <t>SLTEF</t>
  </si>
  <si>
    <t>SMGLF</t>
  </si>
  <si>
    <t>SEHF</t>
  </si>
  <si>
    <t>SMIF</t>
  </si>
  <si>
    <t>SCOF</t>
  </si>
  <si>
    <t>STOF</t>
  </si>
  <si>
    <t>SHOF</t>
  </si>
  <si>
    <t>SCF</t>
  </si>
  <si>
    <t>SNIF</t>
  </si>
  <si>
    <t>SMCBF</t>
  </si>
  <si>
    <t>SOF</t>
  </si>
  <si>
    <t>SMMDF</t>
  </si>
  <si>
    <t>SLF</t>
  </si>
  <si>
    <t>SDBF</t>
  </si>
  <si>
    <t>SSF</t>
  </si>
  <si>
    <t>SCRF</t>
  </si>
  <si>
    <t>SFEF</t>
  </si>
  <si>
    <t>SDHF</t>
  </si>
  <si>
    <t>SMUSD</t>
  </si>
  <si>
    <t>SMIDCAP</t>
  </si>
  <si>
    <t>SMCMF</t>
  </si>
  <si>
    <t>SMCOMMA</t>
  </si>
  <si>
    <t>SMGF</t>
  </si>
  <si>
    <t>SMMULTI</t>
  </si>
  <si>
    <t>SMAAF</t>
  </si>
  <si>
    <t>SBLUECHIP</t>
  </si>
  <si>
    <t>SAOF</t>
  </si>
  <si>
    <t>SIF</t>
  </si>
  <si>
    <t>SMLDF</t>
  </si>
  <si>
    <t>SSTDF</t>
  </si>
  <si>
    <t>SETF-Gold</t>
  </si>
  <si>
    <t>SPSU</t>
  </si>
  <si>
    <t>SGF</t>
  </si>
  <si>
    <t>STAF-II</t>
  </si>
  <si>
    <t>SETF-SENSEX</t>
  </si>
  <si>
    <t>SSCF</t>
  </si>
  <si>
    <t>SBPF</t>
  </si>
  <si>
    <t>STAF-III</t>
  </si>
  <si>
    <t>SEOF-I</t>
  </si>
  <si>
    <t>SLTAF-I</t>
  </si>
  <si>
    <t>SLTAF-II</t>
  </si>
  <si>
    <t>SBFS</t>
  </si>
  <si>
    <t>SDAAF</t>
  </si>
  <si>
    <t>SETF-NN50</t>
  </si>
  <si>
    <t>SETF-NBank</t>
  </si>
  <si>
    <t>SETF-BSE 100</t>
  </si>
  <si>
    <t>SESF</t>
  </si>
  <si>
    <t>SETF-Nifty 50</t>
  </si>
  <si>
    <t>SEOF-IV</t>
  </si>
  <si>
    <t>SLTAF-III</t>
  </si>
  <si>
    <t>SETF-10 Yr Gilt</t>
  </si>
  <si>
    <t>SLTAF-IV</t>
  </si>
  <si>
    <t>SDAFS-XXIV</t>
  </si>
  <si>
    <t>SDAFS-XXV</t>
  </si>
  <si>
    <t>SLTAF-V</t>
  </si>
  <si>
    <t>SDFS-C-7</t>
  </si>
  <si>
    <t>SDAFS-XXVI</t>
  </si>
  <si>
    <t>SDFS-C-8</t>
  </si>
  <si>
    <t>SDFS-C-9</t>
  </si>
  <si>
    <t>SDFS-C-10</t>
  </si>
  <si>
    <t>SDAFS-XXVII</t>
  </si>
  <si>
    <t>SDFS-C-12</t>
  </si>
  <si>
    <t>SDFS-C-14</t>
  </si>
  <si>
    <t>SLTAF-VI</t>
  </si>
  <si>
    <t>SDAFS-XXVIII</t>
  </si>
  <si>
    <t>SDFS-C-16</t>
  </si>
  <si>
    <t>SDFS-C-18</t>
  </si>
  <si>
    <t>SDFS-C-19</t>
  </si>
  <si>
    <t>SDAFS-XXIX</t>
  </si>
  <si>
    <t>SDFS-C-20</t>
  </si>
  <si>
    <t>SDFS-C-21</t>
  </si>
  <si>
    <t>SDFS-C-22</t>
  </si>
  <si>
    <t>SDFS-C-23</t>
  </si>
  <si>
    <t>SETF-SN50</t>
  </si>
  <si>
    <t>SDFS-C-24</t>
  </si>
  <si>
    <t>SDFS-C-25</t>
  </si>
  <si>
    <t>SDAFS-XXX</t>
  </si>
  <si>
    <t>SDFS-C-26</t>
  </si>
  <si>
    <t>SDFS-C-27</t>
  </si>
  <si>
    <t>SDFS-C-28</t>
  </si>
  <si>
    <t>SDFS-C-30</t>
  </si>
  <si>
    <t>SETF-Quality</t>
  </si>
  <si>
    <t>SDFS-C-32</t>
  </si>
  <si>
    <t>SDFS-C-33</t>
  </si>
  <si>
    <t>SDFS-C-34</t>
  </si>
  <si>
    <t>SDFS-C-35</t>
  </si>
  <si>
    <t>SDFS-C-38</t>
  </si>
  <si>
    <t>SCBF</t>
  </si>
  <si>
    <t>SDFS-C-40</t>
  </si>
  <si>
    <t>SDFS-C-41</t>
  </si>
  <si>
    <t>SDFS-C-43</t>
  </si>
  <si>
    <t>SDFS-C-44</t>
  </si>
  <si>
    <t>SCPOF-A1</t>
  </si>
  <si>
    <t>SDFS-C-46</t>
  </si>
  <si>
    <t>SEMVF</t>
  </si>
  <si>
    <t>SDFS-C-48</t>
  </si>
  <si>
    <t>SDFS-C-49</t>
  </si>
  <si>
    <t>SCPOF-Series A (Plan 2)</t>
  </si>
  <si>
    <t>SDFS-C-50</t>
  </si>
  <si>
    <t>SFMP- Series 1</t>
  </si>
  <si>
    <t>SFMP- Series 2</t>
  </si>
  <si>
    <t>SFMP- Series 3</t>
  </si>
  <si>
    <t>SCPOF-Series A (Plan 3)</t>
  </si>
  <si>
    <t>SFMP- Series 6</t>
  </si>
  <si>
    <t>SFMP- Series 7</t>
  </si>
  <si>
    <t>SFMP- Series 8</t>
  </si>
  <si>
    <t>SCPOF-Series A (Plan 4)</t>
  </si>
  <si>
    <t>SFMP- Series 9</t>
  </si>
  <si>
    <t>SFMP- Series 10</t>
  </si>
  <si>
    <t>SFMP- Series 11</t>
  </si>
  <si>
    <t>SFMP- Series 12</t>
  </si>
  <si>
    <t>SFMP- Series 13</t>
  </si>
  <si>
    <t>SFMP- Series 14</t>
  </si>
  <si>
    <t>SFMP- Series 15</t>
  </si>
  <si>
    <t>SFMP- Series 16</t>
  </si>
  <si>
    <t>SFMP- Series 17</t>
  </si>
  <si>
    <t>SCPOF-Series A (Plan 5)</t>
  </si>
  <si>
    <t>SFMP- Series 18</t>
  </si>
  <si>
    <t>SCPOF-Series A (Plan 6)</t>
  </si>
  <si>
    <t>SFMP- Series 19</t>
  </si>
  <si>
    <t>SFMP- Series 20</t>
  </si>
  <si>
    <t>SFMP- Series 21</t>
  </si>
  <si>
    <t>SFMP- Series 22</t>
  </si>
  <si>
    <t>SFMP- Series 23</t>
  </si>
  <si>
    <t>SFMP- Series 24</t>
  </si>
  <si>
    <t>SFMP- Series 25</t>
  </si>
  <si>
    <t>SFMP- Series 26</t>
  </si>
  <si>
    <t>SFMP- Series 27</t>
  </si>
  <si>
    <t>SCPOF-Series A (Plan 7)</t>
  </si>
  <si>
    <t>SFMP- Series 28</t>
  </si>
  <si>
    <t>SCPOF-Series A (Plan 8)</t>
  </si>
  <si>
    <t>SFMP- Series 31</t>
  </si>
  <si>
    <t>SFMP- Series 32</t>
  </si>
  <si>
    <t>SFMP- Series 33</t>
  </si>
  <si>
    <t>SFMP- Series 34</t>
  </si>
  <si>
    <t>SMCBF-Investment Plan</t>
  </si>
  <si>
    <t>SBIRIOS</t>
  </si>
  <si>
    <t>Back to Index</t>
  </si>
  <si>
    <t>Scheme Code</t>
  </si>
  <si>
    <t>Scheme Short code</t>
  </si>
  <si>
    <t>Scheme Name</t>
  </si>
  <si>
    <t>Bajaj Finance Ltd. 29-OCT-20</t>
  </si>
  <si>
    <t>Short</t>
  </si>
  <si>
    <t>Stock Futures</t>
  </si>
  <si>
    <t>Page Industries Ltd. 29-OCT-20</t>
  </si>
  <si>
    <t>Tata Consultancy Services Ltd. 29-OCT-20</t>
  </si>
  <si>
    <t>Long</t>
  </si>
  <si>
    <t>Zee Entertainment Enterprises Ltd. 29-OCT-20</t>
  </si>
  <si>
    <t>Name of the Instrument</t>
  </si>
  <si>
    <t>Long / Short</t>
  </si>
  <si>
    <t>Industry ^</t>
  </si>
  <si>
    <t>Market value 
(Rs. in Lakhs)</t>
  </si>
  <si>
    <t>Derivatives Total</t>
  </si>
  <si>
    <t>DERIVATIVES</t>
  </si>
  <si>
    <t>Aurobindo Pharma Ltd. 29-OCT-20</t>
  </si>
  <si>
    <t>RBL Bank Ltd. 29-OCT-20</t>
  </si>
  <si>
    <t>Lupin Ltd. 29-OCT-20</t>
  </si>
  <si>
    <t>Reliance Industries Ltd. 29-OCT-20</t>
  </si>
  <si>
    <t>National Stock Exchange of India Ltd. 29-OCT-20</t>
  </si>
  <si>
    <t>Index Futures</t>
  </si>
  <si>
    <t>NMDC Ltd. 29-OCT-20</t>
  </si>
  <si>
    <t>Sun Pharmaceutical Industries Ltd. 29-OCT-20</t>
  </si>
  <si>
    <t>Power Grid Corporation of India Ltd. 29-OCT-20</t>
  </si>
  <si>
    <t>MRF Ltd. 29-OCT-20</t>
  </si>
  <si>
    <t>Bharti Airtel Ltd. 29-OCT-20</t>
  </si>
  <si>
    <t>Dr. Reddy's Laboratories Ltd. 29-OCT-20</t>
  </si>
  <si>
    <t>State Bank of India 29-OCT-20</t>
  </si>
  <si>
    <t>ICICI Bank Ltd. 29-OCT-20</t>
  </si>
  <si>
    <t>Axis Bank Ltd. 29-OCT-20</t>
  </si>
  <si>
    <t>ITC Ltd. 29-OCT-20</t>
  </si>
  <si>
    <t>Grasim Industries Ltd. 29-OCT-20</t>
  </si>
  <si>
    <t>Housing Development Finance Corporation Ltd. 29-OCT-20</t>
  </si>
  <si>
    <t>JSW Steel Ltd. 29-OCT-20</t>
  </si>
  <si>
    <t>Ambuja Cements Ltd. 29-OCT-20</t>
  </si>
  <si>
    <t>Adani Ports and Special Economic Zone Ltd. 29-OCT-20</t>
  </si>
  <si>
    <t>Muthoot Finance Ltd. 29-OCT-20</t>
  </si>
  <si>
    <t>Ultratech Cement Ltd. 29-OCT-20</t>
  </si>
  <si>
    <t>Dabur India Ltd. 29-OCT-20</t>
  </si>
  <si>
    <t>Tata Steel Ltd. 29-OCT-20</t>
  </si>
  <si>
    <t>Pidilite Industries Ltd. 29-OCT-20</t>
  </si>
  <si>
    <t>Divi's Laboratories Ltd. 29-OCT-20</t>
  </si>
  <si>
    <t>IndusInd Bank Ltd. 29-OCT-20</t>
  </si>
  <si>
    <t>DLF Ltd. 29-OCT-20</t>
  </si>
  <si>
    <t>Petronet LNG Ltd. 29-OCT-20</t>
  </si>
  <si>
    <t>United Spirits Ltd. 29-OCT-20</t>
  </si>
  <si>
    <t>Vedanta Ltd. 29-OCT-20</t>
  </si>
  <si>
    <t>Cadila Healthcare Ltd. 29-OCT-20</t>
  </si>
  <si>
    <t>Mahindra &amp; Mahindra Ltd. 29-OCT-20</t>
  </si>
  <si>
    <t>Tata Consumer Products Ltd. 29-OCT-20</t>
  </si>
  <si>
    <t>Tata Motors Ltd. 29-OCT-20</t>
  </si>
  <si>
    <t>Glenmark Pharmaceuticals Ltd. 29-OCT-20</t>
  </si>
  <si>
    <t>Cipla Ltd. 29-OCT-20</t>
  </si>
  <si>
    <t>HDFC Life Insurance Company Ltd. 29-OCT-20</t>
  </si>
  <si>
    <t>NTPC Ltd. 29-OCT-20</t>
  </si>
  <si>
    <t>ACC Ltd. 29-OCT-20</t>
  </si>
  <si>
    <t>Larsen &amp; Toubro Ltd. 29-OCT-20</t>
  </si>
  <si>
    <t>Bank of Baroda 29-OCT-20</t>
  </si>
  <si>
    <t>Hindalco Industries Ltd. 29-OCT-20</t>
  </si>
  <si>
    <t>Bajaj Auto Ltd. 29-OCT-20</t>
  </si>
  <si>
    <t>Britannia Industries Ltd. 29-OCT-20</t>
  </si>
  <si>
    <t>HCL Technologies Ltd. 29-OCT-20</t>
  </si>
  <si>
    <t>Hero MotoCorp Ltd. 29-OCT-20</t>
  </si>
  <si>
    <t>Tech Mahindra Ltd. 29-OCT-20</t>
  </si>
  <si>
    <t>Marico Ltd. 29-OCT-20</t>
  </si>
  <si>
    <t>SBI Life Insurance Company Ltd. 29-OCT-20</t>
  </si>
  <si>
    <t>LIC Housing Finance Ltd. 29-OCT-20</t>
  </si>
  <si>
    <t>Biocon Ltd. 29-OCT-20</t>
  </si>
  <si>
    <t>Asian Paints Ltd. 29-OCT-20</t>
  </si>
  <si>
    <t>SRF Ltd. 29-OCT-20</t>
  </si>
  <si>
    <t>Exide Industries Ltd. 29-OCT-20</t>
  </si>
  <si>
    <t>Balkrishna Industries Ltd. 29-OCT-20</t>
  </si>
  <si>
    <t>Bharat Petroleum Corporation Ltd. 29-OCT-20</t>
  </si>
  <si>
    <t>Titan Company Ltd. 29-OCT-20</t>
  </si>
  <si>
    <t>Bata India Ltd. 29-OCT-20</t>
  </si>
  <si>
    <t>Steel Authority of India Ltd. 29-OCT-20</t>
  </si>
  <si>
    <t>Maruti Suzuki India Ltd. 29-OCT-20</t>
  </si>
  <si>
    <t>Info Edge (India) Ltd. 29-OCT-20</t>
  </si>
  <si>
    <t>Bharat Forge Ltd. 29-OCT-20</t>
  </si>
  <si>
    <t>Eicher Motors Ltd. 29-OCT-20</t>
  </si>
  <si>
    <t>Power Finance Corporation Ltd. 29-OCT-20</t>
  </si>
  <si>
    <t>Godrej Consumer Products Ltd. 29-OCT-20</t>
  </si>
  <si>
    <t>Sun TV Network Ltd. 29-OCT-20</t>
  </si>
  <si>
    <t>Colgate Palmolive (India) Ltd. 29-OCT-20</t>
  </si>
  <si>
    <t>Hindustan Unilever Ltd. 29-OCT-20</t>
  </si>
  <si>
    <t>UPL Ltd. 29-OCT-20</t>
  </si>
  <si>
    <t>The Federal Bank Ltd. 29-OCT-20</t>
  </si>
  <si>
    <t>Bajaj Finserv Ltd. 29-OCT-20</t>
  </si>
  <si>
    <t>Bosch Ltd. 29-OCT-20</t>
  </si>
  <si>
    <t>Margin amount for Derivative positions</t>
  </si>
  <si>
    <t>#</t>
  </si>
  <si>
    <t>SBI MUTUAL FUND</t>
  </si>
  <si>
    <t>INE528G01035</t>
  </si>
  <si>
    <t>SBI Magnum Ultra Short Duration Fund - Direct Plan - Cash Option</t>
  </si>
  <si>
    <t>3. Aggregate investments by other schemes of SBI Mutual Fund at the end of the period is Rs.249.89 Lakhs</t>
  </si>
  <si>
    <t>Reconstituted Portfolio</t>
  </si>
  <si>
    <t>Listed/awaiting listing on Stock Exchanges</t>
  </si>
  <si>
    <t xml:space="preserve"> #  -&gt; Less Than 0.005% ; A**  -&gt; Awaiting Listing on Stock Exchanges ;  T** -&gt; Thinly Traded Securities ;  N** -&gt; Non Traded Securities ; I**  -&gt; Illiquid Shares ; R** -&gt; Rights Entitalment ; P** Preference Shares ; W** Warrants</t>
  </si>
  <si>
    <r>
      <t xml:space="preserve">3. $ Note on locked-in Yes Bank Shares classified separately as "Reconstituted Portfolio":
</t>
    </r>
    <r>
      <rPr>
        <sz val="10"/>
        <color indexed="8"/>
        <rFont val="Franklin Gothic Book"/>
        <family val="2"/>
      </rPr>
      <t>The Ministry of Finance (Department of Financial Services) had issued Gazette Notification CG-DL-E-13032020-218653 dated 13th March 2020, notifying ‘Yes Bank Limited Reconstruction Scheme, 2020’. As per clause no. 3(8)(a) of the aforesaid Notification, there shall be a lock-in period of three years from the commencement of the aforesaid scheme to the extent of 75% of shares held by existing shareholders on the date of commencement of the scheme i.e. 13th March 2020. These restrictions will apply to all those shareholders who own over 100 shares in Yes Bank.
Due to above gazette notification, 75 % of the shares held in Yes Bank on the date of commencement of the scheme have been locked in for three  years. These shares are classified separately as "Reconstituted Portfolio" as per AMFI guideline 35P/MEM-COR/57/2019-20 dated 17th March, 2020. Such locked-in shares do not have any liquidity for the next three years. As per the aforesaid AMFI guideline, keeping in view the principles of fair valuation guidelines and ensuring fairness to all Unit holders, such Yes Bank shares are valued at “Zero” by applying 100% illiquidity discount to the last traded price. Any realization posts the lock-in period shall be distributed to the set of investors who were impacted due to 75% locked-in Yes Bank Shares.</t>
    </r>
  </si>
  <si>
    <t>$</t>
  </si>
  <si>
    <t>3. Security is in default beyond its maturity date :</t>
  </si>
  <si>
    <t>Name of Security</t>
  </si>
  <si>
    <t>Value of the security considered under net receivables (i.e. value recognized in NAV)
(Rs. in Lakhs)</t>
  </si>
  <si>
    <t>Value of the security considered under net receivables (i.e. value recognized in NAV) 
% to AUM</t>
  </si>
  <si>
    <t>Total amount (Including Principal and Interest) that is due to the scheme on that investment
(Rs. in Lakhs)</t>
  </si>
  <si>
    <t>RHFL 08.70% (Series I Cat I &amp; II) 03-Jan-2020</t>
  </si>
  <si>
    <t>INE217K07AB6</t>
  </si>
  <si>
    <t>RHFL 08.90% (Series I Cat III &amp; IV) 03-Jan-2020</t>
  </si>
  <si>
    <t>INE217K07AC4</t>
  </si>
  <si>
    <t>Tata Power Renewable Energy Ltd.</t>
  </si>
  <si>
    <t>I**</t>
  </si>
  <si>
    <t>A**</t>
  </si>
  <si>
    <t>S**</t>
  </si>
  <si>
    <t xml:space="preserve"> #  -&gt; Less Than 0.005% ; A**  -&gt; Awaiting Listing on Stock Exchanges ;  T** -&gt; Thinly Traded Securities ;  N** -&gt; Non Traded Securities ; I**  -&gt; Illiquid Shares ; R** -&gt; Rights Entitalment ; P** Preference Shares ; W** Warrants ; PP* Partly Paid; S** --&gt; Suspended forTrading</t>
  </si>
  <si>
    <t>SBI Magnum Children's Benefit Fund- Investment Plan</t>
  </si>
  <si>
    <t>INE768C01010</t>
  </si>
  <si>
    <t>State Bank of India( Tier II Bond under Basel III )</t>
  </si>
  <si>
    <t>Union Bank of India( Tier II Bond under Basel III )</t>
  </si>
  <si>
    <t>AU Small Finance Bank Ltd.( Tier II )</t>
  </si>
  <si>
    <t>Indian Bank( Tier II Bond under Basel III )</t>
  </si>
  <si>
    <t>Rating / Industry^</t>
  </si>
  <si>
    <t>2. ^Industry classification as recommended by AMFI and wherever not available, internal classification has been used.</t>
  </si>
  <si>
    <t>A**^^</t>
  </si>
  <si>
    <t>3. ^^ Quantity 2,84,553 shares are under locked till September 28, 2021.</t>
  </si>
  <si>
    <t>3. ^^ Quantity 1,54,472 shares are under locked till September 28, 2021.</t>
  </si>
  <si>
    <t>3. ^^ Quantity 3,73,984 shares are under locked till September 28, 2021.</t>
  </si>
  <si>
    <t>3. ^^ Quantity 5,69,105 shares are under locked till September 28,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</si>
</sst>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dd/mm/yyyy;@"/>
    <numFmt numFmtId="165" formatCode="_(* #,##0_);_(* \(#,##0\);_(* &quot;-&quot;??_);_(@_)"/>
    <numFmt numFmtId="166" formatCode="mmmm\ dd\,\ yyyy"/>
  </numFmts>
  <fonts count="19" x14ac:knownFonts="1">
    <font>
      <sz val="11"/>
      <color theme="1"/>
      <name val="Calibri"/>
      <family val="2"/>
      <scheme val="minor"/>
    </font>
    <font>
      <sz val="10"/>
      <name val="Arial"/>
      <family val="2"/>
    </font>
    <font>
      <b/>
      <sz val="10"/>
      <name val="Franklin Gothic Book"/>
      <family val="2"/>
    </font>
    <font>
      <sz val="10"/>
      <color indexed="8"/>
      <name val="Franklin Gothic Book"/>
      <family val="2"/>
    </font>
    <font>
      <b/>
      <u/>
      <sz val="10"/>
      <name val="Franklin Gothic Book"/>
      <family val="2"/>
    </font>
    <font>
      <b/>
      <u/>
      <sz val="10"/>
      <color indexed="8"/>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1"/>
      <color theme="1"/>
      <name val="Franklin Gothic Book"/>
      <family val="2"/>
    </font>
    <font>
      <sz val="10"/>
      <color theme="1"/>
      <name val="Arial"/>
      <family val="2"/>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indexed="9"/>
        <bgColor indexed="64"/>
      </patternFill>
    </fill>
  </fills>
  <borders count="30">
    <border>
      <left/>
      <right/>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top/>
      <bottom style="thin">
        <color theme="0" tint="-0.14996795556505021"/>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indexed="64"/>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medium">
        <color indexed="64"/>
      </right>
      <top style="thin">
        <color theme="0" tint="-0.14996795556505021"/>
      </top>
      <bottom style="medium">
        <color indexed="64"/>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
      <left style="medium">
        <color indexed="64"/>
      </left>
      <right style="thin">
        <color indexed="64"/>
      </right>
      <top/>
      <bottom style="thin">
        <color theme="0" tint="-0.14996795556505021"/>
      </bottom>
      <diagonal/>
    </border>
    <border>
      <left style="medium">
        <color indexed="64"/>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medium">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thin">
        <color theme="0" tint="-0.14996795556505021"/>
      </bottom>
      <diagonal/>
    </border>
  </borders>
  <cellStyleXfs count="8">
    <xf numFmtId="0" fontId="0" fillId="0" borderId="0"/>
    <xf numFmtId="43" fontId="6"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alignment vertical="top"/>
      <protection locked="0"/>
    </xf>
    <xf numFmtId="0" fontId="1" fillId="0" borderId="0"/>
    <xf numFmtId="9" fontId="6" fillId="0" borderId="0" applyFont="0" applyFill="0" applyBorder="0" applyAlignment="0" applyProtection="0"/>
    <xf numFmtId="9" fontId="1" fillId="0" borderId="0" applyFont="0" applyFill="0" applyBorder="0" applyAlignment="0" applyProtection="0"/>
    <xf numFmtId="0" fontId="1" fillId="0" borderId="0"/>
  </cellStyleXfs>
  <cellXfs count="117">
    <xf numFmtId="0" fontId="0" fillId="0" borderId="0" xfId="0"/>
    <xf numFmtId="0" fontId="9" fillId="0" borderId="0" xfId="0" applyFont="1"/>
    <xf numFmtId="0" fontId="10" fillId="0" borderId="0" xfId="0" applyFont="1"/>
    <xf numFmtId="164" fontId="10" fillId="0" borderId="0" xfId="0" applyNumberFormat="1" applyFont="1"/>
    <xf numFmtId="0" fontId="10" fillId="0" borderId="9" xfId="0" applyFont="1" applyBorder="1"/>
    <xf numFmtId="0" fontId="2" fillId="2" borderId="10" xfId="0" applyFont="1" applyFill="1" applyBorder="1" applyAlignment="1">
      <alignment horizontal="center"/>
    </xf>
    <xf numFmtId="0" fontId="10" fillId="0" borderId="11" xfId="0" applyFont="1" applyBorder="1"/>
    <xf numFmtId="0" fontId="11" fillId="0" borderId="0" xfId="0" applyFont="1"/>
    <xf numFmtId="0" fontId="12" fillId="0" borderId="0" xfId="0" applyFont="1"/>
    <xf numFmtId="0" fontId="2" fillId="0" borderId="1" xfId="0" applyFont="1" applyFill="1" applyBorder="1" applyAlignment="1">
      <alignment vertical="center"/>
    </xf>
    <xf numFmtId="0" fontId="12" fillId="2" borderId="2" xfId="4" applyFont="1" applyFill="1" applyBorder="1"/>
    <xf numFmtId="164" fontId="12" fillId="0" borderId="0" xfId="0" applyNumberFormat="1" applyFont="1"/>
    <xf numFmtId="43" fontId="12" fillId="0" borderId="0" xfId="1" applyFont="1"/>
    <xf numFmtId="43" fontId="10" fillId="0" borderId="0" xfId="1" applyFont="1"/>
    <xf numFmtId="43" fontId="2" fillId="0" borderId="1" xfId="1" applyFont="1" applyFill="1" applyBorder="1" applyAlignment="1">
      <alignment vertical="center" wrapText="1"/>
    </xf>
    <xf numFmtId="165" fontId="12" fillId="0" borderId="0" xfId="1" applyNumberFormat="1" applyFont="1"/>
    <xf numFmtId="165" fontId="10" fillId="0" borderId="0" xfId="1" applyNumberFormat="1" applyFont="1"/>
    <xf numFmtId="165" fontId="2" fillId="0" borderId="1" xfId="1" applyNumberFormat="1" applyFont="1" applyFill="1" applyBorder="1" applyAlignment="1">
      <alignment vertical="center"/>
    </xf>
    <xf numFmtId="165" fontId="10" fillId="0" borderId="9" xfId="1" applyNumberFormat="1" applyFont="1" applyBorder="1"/>
    <xf numFmtId="165" fontId="10" fillId="0" borderId="11" xfId="1" applyNumberFormat="1" applyFont="1" applyBorder="1"/>
    <xf numFmtId="165" fontId="10" fillId="0" borderId="10" xfId="1" applyNumberFormat="1" applyFont="1" applyBorder="1"/>
    <xf numFmtId="0" fontId="13" fillId="0" borderId="0" xfId="0" applyFont="1"/>
    <xf numFmtId="166" fontId="14" fillId="0" borderId="0" xfId="0" applyNumberFormat="1" applyFont="1" applyAlignment="1">
      <alignment horizontal="left"/>
    </xf>
    <xf numFmtId="43" fontId="10" fillId="0" borderId="9" xfId="1" applyFont="1" applyBorder="1" applyAlignment="1">
      <alignment horizontal="right"/>
    </xf>
    <xf numFmtId="43" fontId="10" fillId="0" borderId="11" xfId="1" applyFont="1" applyBorder="1" applyAlignment="1">
      <alignment horizontal="right"/>
    </xf>
    <xf numFmtId="43" fontId="2" fillId="2" borderId="3" xfId="1" applyFont="1" applyFill="1" applyBorder="1" applyAlignment="1">
      <alignment horizontal="right"/>
    </xf>
    <xf numFmtId="43" fontId="9" fillId="0" borderId="4" xfId="1" applyFont="1" applyBorder="1" applyAlignment="1">
      <alignment horizontal="right"/>
    </xf>
    <xf numFmtId="0" fontId="8" fillId="0" borderId="0" xfId="0" applyFont="1"/>
    <xf numFmtId="0" fontId="12" fillId="2" borderId="0" xfId="4" applyFont="1" applyFill="1" applyBorder="1"/>
    <xf numFmtId="43" fontId="2" fillId="0" borderId="5" xfId="1" applyFont="1" applyFill="1" applyBorder="1" applyAlignment="1">
      <alignment vertical="center"/>
    </xf>
    <xf numFmtId="43" fontId="10" fillId="0" borderId="12" xfId="1" applyFont="1" applyBorder="1"/>
    <xf numFmtId="43" fontId="10" fillId="0" borderId="13" xfId="1" applyFont="1" applyBorder="1"/>
    <xf numFmtId="43" fontId="10" fillId="0" borderId="14" xfId="1" applyFont="1" applyBorder="1"/>
    <xf numFmtId="4" fontId="2" fillId="0" borderId="6" xfId="7" applyNumberFormat="1" applyFont="1" applyFill="1" applyBorder="1" applyAlignment="1">
      <alignment vertical="center" wrapText="1"/>
    </xf>
    <xf numFmtId="164" fontId="10" fillId="0" borderId="15" xfId="0" applyNumberFormat="1" applyFont="1" applyBorder="1"/>
    <xf numFmtId="164" fontId="10" fillId="0" borderId="16" xfId="0" applyNumberFormat="1" applyFont="1" applyBorder="1"/>
    <xf numFmtId="164" fontId="10" fillId="0" borderId="17" xfId="0" applyNumberFormat="1" applyFont="1" applyBorder="1"/>
    <xf numFmtId="164" fontId="7" fillId="0" borderId="0" xfId="3" quotePrefix="1" applyNumberFormat="1" applyAlignment="1" applyProtection="1"/>
    <xf numFmtId="0" fontId="8" fillId="0" borderId="3" xfId="0" applyFont="1" applyBorder="1"/>
    <xf numFmtId="0" fontId="0" fillId="0" borderId="3" xfId="0" applyBorder="1"/>
    <xf numFmtId="0" fontId="7" fillId="0" borderId="3" xfId="3" applyBorder="1" applyAlignment="1" applyProtection="1"/>
    <xf numFmtId="0" fontId="9" fillId="0" borderId="0" xfId="0" applyFont="1" applyAlignment="1">
      <alignment vertical="center"/>
    </xf>
    <xf numFmtId="0" fontId="9" fillId="0" borderId="3" xfId="0" applyFont="1" applyBorder="1" applyAlignment="1">
      <alignment vertical="center"/>
    </xf>
    <xf numFmtId="43" fontId="9" fillId="0" borderId="3" xfId="1" applyFont="1" applyBorder="1" applyAlignment="1">
      <alignment vertical="center"/>
    </xf>
    <xf numFmtId="43" fontId="9" fillId="0" borderId="3" xfId="1" applyFont="1" applyBorder="1" applyAlignment="1">
      <alignment vertical="center" wrapText="1"/>
    </xf>
    <xf numFmtId="0" fontId="10" fillId="0" borderId="3" xfId="0" applyFont="1" applyBorder="1"/>
    <xf numFmtId="43" fontId="10" fillId="0" borderId="3" xfId="1" applyFont="1" applyBorder="1"/>
    <xf numFmtId="0" fontId="9" fillId="0" borderId="3" xfId="0" applyFont="1" applyBorder="1"/>
    <xf numFmtId="43" fontId="9" fillId="0" borderId="3" xfId="1" applyFont="1" applyBorder="1"/>
    <xf numFmtId="0" fontId="15" fillId="0" borderId="0" xfId="0" applyFont="1"/>
    <xf numFmtId="43" fontId="15" fillId="0" borderId="0" xfId="1" applyFont="1"/>
    <xf numFmtId="0" fontId="2" fillId="0" borderId="7" xfId="7" applyFont="1" applyFill="1" applyBorder="1" applyAlignment="1">
      <alignment vertical="center"/>
    </xf>
    <xf numFmtId="0" fontId="10" fillId="0" borderId="18" xfId="0" applyFont="1" applyBorder="1"/>
    <xf numFmtId="0" fontId="10" fillId="0" borderId="19" xfId="0" applyFont="1" applyBorder="1"/>
    <xf numFmtId="0" fontId="2" fillId="2" borderId="20" xfId="0" applyFont="1" applyFill="1" applyBorder="1"/>
    <xf numFmtId="0" fontId="2" fillId="0" borderId="21" xfId="7" applyFont="1" applyFill="1" applyBorder="1" applyAlignment="1">
      <alignment vertical="center"/>
    </xf>
    <xf numFmtId="0" fontId="10" fillId="0" borderId="22" xfId="0" applyFont="1" applyBorder="1"/>
    <xf numFmtId="0" fontId="9" fillId="0" borderId="22" xfId="0" applyFont="1" applyBorder="1"/>
    <xf numFmtId="0" fontId="9" fillId="0" borderId="22" xfId="0" applyFont="1" applyFill="1" applyBorder="1"/>
    <xf numFmtId="0" fontId="2" fillId="2" borderId="22" xfId="4" applyFont="1" applyFill="1" applyBorder="1"/>
    <xf numFmtId="0" fontId="10" fillId="0" borderId="22" xfId="0" applyFont="1" applyFill="1" applyBorder="1"/>
    <xf numFmtId="0" fontId="2" fillId="2" borderId="23" xfId="0" applyFont="1" applyFill="1" applyBorder="1"/>
    <xf numFmtId="2" fontId="10" fillId="0" borderId="11" xfId="1" applyNumberFormat="1" applyFont="1" applyBorder="1" applyAlignment="1">
      <alignment horizontal="right"/>
    </xf>
    <xf numFmtId="2" fontId="2" fillId="2" borderId="3" xfId="1" applyNumberFormat="1" applyFont="1" applyFill="1" applyBorder="1" applyAlignment="1">
      <alignment horizontal="right"/>
    </xf>
    <xf numFmtId="15" fontId="0" fillId="0" borderId="0" xfId="0" applyNumberFormat="1"/>
    <xf numFmtId="0" fontId="4" fillId="2" borderId="0" xfId="0" applyFont="1" applyFill="1"/>
    <xf numFmtId="0" fontId="2" fillId="2" borderId="0" xfId="0" applyFont="1" applyFill="1"/>
    <xf numFmtId="165" fontId="2" fillId="2" borderId="0" xfId="2" applyNumberFormat="1" applyFont="1" applyFill="1" applyBorder="1"/>
    <xf numFmtId="165" fontId="10" fillId="0" borderId="0" xfId="1" applyNumberFormat="1" applyFont="1" applyBorder="1"/>
    <xf numFmtId="43" fontId="9" fillId="0" borderId="0" xfId="1" applyFont="1" applyBorder="1" applyAlignment="1">
      <alignment horizontal="right"/>
    </xf>
    <xf numFmtId="0" fontId="2" fillId="0" borderId="8" xfId="7" applyFont="1" applyBorder="1" applyAlignment="1">
      <alignment vertical="center"/>
    </xf>
    <xf numFmtId="0" fontId="2" fillId="0" borderId="7" xfId="7" applyFont="1" applyBorder="1" applyAlignment="1">
      <alignment vertical="center"/>
    </xf>
    <xf numFmtId="0" fontId="2" fillId="0" borderId="1" xfId="0" applyFont="1" applyBorder="1" applyAlignment="1">
      <alignment vertical="center"/>
    </xf>
    <xf numFmtId="0" fontId="9" fillId="0" borderId="24" xfId="0" applyFont="1" applyBorder="1"/>
    <xf numFmtId="0" fontId="2" fillId="0" borderId="19" xfId="7" applyFont="1" applyBorder="1" applyAlignment="1">
      <alignment vertical="center"/>
    </xf>
    <xf numFmtId="0" fontId="2" fillId="0" borderId="11" xfId="0" applyFont="1" applyBorder="1" applyAlignment="1">
      <alignment vertical="center"/>
    </xf>
    <xf numFmtId="165" fontId="2" fillId="0" borderId="11" xfId="1" applyNumberFormat="1" applyFont="1" applyFill="1" applyBorder="1" applyAlignment="1">
      <alignment vertical="center"/>
    </xf>
    <xf numFmtId="43" fontId="2" fillId="0" borderId="11" xfId="1" applyFont="1" applyFill="1" applyBorder="1" applyAlignment="1">
      <alignment vertical="center" wrapText="1"/>
    </xf>
    <xf numFmtId="0" fontId="2" fillId="2" borderId="25" xfId="4" applyFont="1" applyFill="1" applyBorder="1"/>
    <xf numFmtId="0" fontId="2" fillId="0" borderId="26" xfId="7" applyFont="1" applyBorder="1" applyAlignment="1">
      <alignment vertical="center"/>
    </xf>
    <xf numFmtId="0" fontId="2" fillId="0" borderId="27" xfId="0" applyFont="1" applyBorder="1" applyAlignment="1">
      <alignment vertical="center"/>
    </xf>
    <xf numFmtId="165" fontId="2" fillId="0" borderId="27" xfId="1" applyNumberFormat="1" applyFont="1" applyFill="1" applyBorder="1" applyAlignment="1">
      <alignment vertical="center"/>
    </xf>
    <xf numFmtId="43" fontId="2" fillId="0" borderId="27" xfId="1" applyFont="1" applyFill="1" applyBorder="1" applyAlignment="1">
      <alignment vertical="center" wrapText="1"/>
    </xf>
    <xf numFmtId="0" fontId="2" fillId="0" borderId="25" xfId="7" applyFont="1" applyBorder="1" applyAlignment="1">
      <alignment vertical="center"/>
    </xf>
    <xf numFmtId="0" fontId="10" fillId="0" borderId="25" xfId="0" applyFont="1" applyBorder="1"/>
    <xf numFmtId="0" fontId="10" fillId="0" borderId="26" xfId="0" applyFont="1" applyBorder="1"/>
    <xf numFmtId="0" fontId="10" fillId="0" borderId="27" xfId="0" applyFont="1" applyBorder="1"/>
    <xf numFmtId="165" fontId="10" fillId="0" borderId="27" xfId="1" applyNumberFormat="1" applyFont="1" applyBorder="1"/>
    <xf numFmtId="2" fontId="10" fillId="0" borderId="27" xfId="1" applyNumberFormat="1" applyFont="1" applyBorder="1" applyAlignment="1">
      <alignment horizontal="right"/>
    </xf>
    <xf numFmtId="43" fontId="10" fillId="0" borderId="27" xfId="1" applyFont="1" applyBorder="1" applyAlignment="1">
      <alignment horizontal="right"/>
    </xf>
    <xf numFmtId="0" fontId="10" fillId="0" borderId="28" xfId="0" applyFont="1" applyBorder="1"/>
    <xf numFmtId="0" fontId="10" fillId="0" borderId="20" xfId="0" applyFont="1" applyBorder="1"/>
    <xf numFmtId="0" fontId="10" fillId="0" borderId="10" xfId="0" applyFont="1" applyBorder="1"/>
    <xf numFmtId="2" fontId="10" fillId="0" borderId="10" xfId="1" applyNumberFormat="1" applyFont="1" applyBorder="1" applyAlignment="1">
      <alignment horizontal="right"/>
    </xf>
    <xf numFmtId="43" fontId="10" fillId="0" borderId="10" xfId="1" applyFont="1" applyBorder="1" applyAlignment="1">
      <alignment horizontal="right"/>
    </xf>
    <xf numFmtId="0" fontId="2" fillId="0" borderId="0" xfId="0" applyFont="1"/>
    <xf numFmtId="0" fontId="2" fillId="0" borderId="0" xfId="0" applyFont="1" applyAlignment="1">
      <alignment horizontal="center"/>
    </xf>
    <xf numFmtId="165" fontId="2" fillId="0" borderId="0" xfId="2" applyNumberFormat="1" applyFont="1" applyFill="1" applyBorder="1"/>
    <xf numFmtId="165" fontId="10" fillId="0" borderId="0" xfId="1" applyNumberFormat="1" applyFont="1" applyFill="1" applyBorder="1"/>
    <xf numFmtId="43" fontId="9" fillId="0" borderId="0" xfId="1" applyFont="1" applyFill="1" applyBorder="1" applyAlignment="1">
      <alignment horizontal="right"/>
    </xf>
    <xf numFmtId="4" fontId="2" fillId="0" borderId="6" xfId="7" applyNumberFormat="1" applyFont="1" applyBorder="1" applyAlignment="1">
      <alignment vertical="center" wrapText="1"/>
    </xf>
    <xf numFmtId="4" fontId="2" fillId="0" borderId="16" xfId="7" applyNumberFormat="1" applyFont="1" applyBorder="1" applyAlignment="1">
      <alignment vertical="center" wrapText="1"/>
    </xf>
    <xf numFmtId="4" fontId="2" fillId="0" borderId="29" xfId="7" applyNumberFormat="1" applyFont="1" applyBorder="1" applyAlignment="1">
      <alignment vertical="center" wrapText="1"/>
    </xf>
    <xf numFmtId="164" fontId="10" fillId="0" borderId="29" xfId="0" applyNumberFormat="1" applyFont="1" applyBorder="1"/>
    <xf numFmtId="0" fontId="10" fillId="0" borderId="0" xfId="0" applyFont="1" applyAlignment="1">
      <alignment vertical="top" wrapText="1"/>
    </xf>
    <xf numFmtId="0" fontId="10" fillId="0" borderId="0" xfId="0" applyFont="1" applyFill="1"/>
    <xf numFmtId="43" fontId="10" fillId="0" borderId="0" xfId="1" applyFont="1" applyFill="1"/>
    <xf numFmtId="0" fontId="16" fillId="0" borderId="3" xfId="0" applyNumberFormat="1" applyFont="1" applyFill="1" applyBorder="1" applyAlignment="1">
      <alignment vertical="top" wrapText="1"/>
    </xf>
    <xf numFmtId="43" fontId="16" fillId="0" borderId="3" xfId="1" applyFont="1" applyFill="1" applyBorder="1" applyAlignment="1">
      <alignment vertical="top" wrapText="1"/>
    </xf>
    <xf numFmtId="0" fontId="17" fillId="0" borderId="3" xfId="0" applyFont="1" applyFill="1" applyBorder="1"/>
    <xf numFmtId="43" fontId="17" fillId="0" borderId="3" xfId="1" applyFont="1" applyFill="1" applyBorder="1"/>
    <xf numFmtId="10" fontId="17" fillId="0" borderId="3" xfId="5" applyNumberFormat="1" applyFont="1" applyFill="1" applyBorder="1"/>
    <xf numFmtId="4" fontId="2" fillId="2" borderId="3" xfId="1" applyNumberFormat="1" applyFont="1" applyFill="1" applyBorder="1" applyAlignment="1">
      <alignment horizontal="right"/>
    </xf>
    <xf numFmtId="2" fontId="9" fillId="0" borderId="4" xfId="1" applyNumberFormat="1" applyFont="1" applyFill="1" applyBorder="1" applyAlignment="1">
      <alignment horizontal="right"/>
    </xf>
    <xf numFmtId="43" fontId="9" fillId="0" borderId="4" xfId="1" applyFont="1" applyFill="1" applyBorder="1" applyAlignment="1">
      <alignment horizontal="right"/>
    </xf>
    <xf numFmtId="0" fontId="18" fillId="0" borderId="0" xfId="0" applyFont="1" applyAlignment="1">
      <alignment horizontal="center"/>
    </xf>
    <xf numFmtId="0" fontId="5" fillId="0" borderId="0" xfId="0" applyFont="1" applyAlignment="1">
      <alignment horizontal="justify" vertical="justify" wrapText="1"/>
    </xf>
  </cellXfs>
  <cellStyles count="8">
    <cellStyle name="Comma" xfId="1" builtinId="3"/>
    <cellStyle name="Comma 2" xfId="2"/>
    <cellStyle name="Hyperlink" xfId="3" builtinId="8"/>
    <cellStyle name="Normal" xfId="0" builtinId="0"/>
    <cellStyle name="Normal 2" xfId="4"/>
    <cellStyle name="Percent" xfId="5" builtinId="5"/>
    <cellStyle name="Percent 2" xfId="6"/>
    <cellStyle name="Style 1"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externalLink" Target="externalLinks/externalLink1.xml"/><Relationship Id="rId14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styles" Target="styles.xml"/><Relationship Id="rId14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SBI-MF\REPORTING\7.Half%20Yearly%20Reports\2020-21\SEP-2020\Working\Old%20Redeemed%20Monthly%20Portfol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RIS-87"/>
      <sheetName val="MTSS-88-89"/>
      <sheetName val="MRIS-89"/>
      <sheetName val="MMIS-89"/>
      <sheetName val="MTSS-90"/>
      <sheetName val="MRIS-90"/>
      <sheetName val="MELS-91"/>
      <sheetName val="MMIS-91"/>
      <sheetName val="MTPL"/>
      <sheetName val="MEX-91"/>
      <sheetName val="GIFTS B"/>
      <sheetName val="GIFTS A"/>
      <sheetName val="MRIS-93"/>
      <sheetName val="MTP-94"/>
      <sheetName val="MBF-94"/>
      <sheetName val="MELS-95"/>
      <sheetName val="MELS-96"/>
      <sheetName val="MMIS-97"/>
      <sheetName val="MMIS-98 I"/>
      <sheetName val="MMIS-98 II"/>
      <sheetName val="MGF-99"/>
    </sheetNames>
    <sheetDataSet>
      <sheetData sheetId="0" refreshError="1"/>
      <sheetData sheetId="1">
        <row r="2">
          <cell r="C2" t="str">
            <v>SBI ALL FUNDS (LIVE &amp; MATURED)</v>
          </cell>
          <cell r="D2" t="str">
            <v>001</v>
          </cell>
          <cell r="J2" t="str">
            <v>Back to Index</v>
          </cell>
        </row>
        <row r="3">
          <cell r="C3" t="str">
            <v>SCHEME NAME :</v>
          </cell>
          <cell r="D3" t="str">
            <v>Magnum Rising Income Scheme -  1987</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105.84</v>
          </cell>
          <cell r="H48">
            <v>104.2</v>
          </cell>
        </row>
        <row r="49">
          <cell r="C49" t="str">
            <v>Total</v>
          </cell>
          <cell r="G49">
            <v>105.84</v>
          </cell>
          <cell r="H49">
            <v>104.2</v>
          </cell>
        </row>
        <row r="51">
          <cell r="C51" t="str">
            <v>Other Current Assets / (Liabilities)</v>
          </cell>
        </row>
        <row r="52">
          <cell r="C52" t="str">
            <v>Margin amount for Derivative positions</v>
          </cell>
          <cell r="G52" t="str">
            <v>NIL</v>
          </cell>
          <cell r="H52" t="str">
            <v>NIL</v>
          </cell>
        </row>
        <row r="53">
          <cell r="C53" t="str">
            <v>Net Receivable / Payable</v>
          </cell>
          <cell r="G53">
            <v>-4.2699999999999996</v>
          </cell>
          <cell r="H53">
            <v>-4.2</v>
          </cell>
        </row>
        <row r="54">
          <cell r="C54" t="str">
            <v>Total</v>
          </cell>
          <cell r="G54">
            <v>-4.2699999999999996</v>
          </cell>
          <cell r="H54">
            <v>-4.2</v>
          </cell>
        </row>
        <row r="56">
          <cell r="C56" t="str">
            <v>GRAND TOTAL (AUM)</v>
          </cell>
          <cell r="G56">
            <v>101.57</v>
          </cell>
          <cell r="H56">
            <v>100</v>
          </cell>
        </row>
      </sheetData>
      <sheetData sheetId="2">
        <row r="2">
          <cell r="C2" t="str">
            <v>SBI ALL FUNDS (LIVE &amp; MATURED)</v>
          </cell>
          <cell r="D2" t="str">
            <v>002</v>
          </cell>
          <cell r="J2" t="str">
            <v>Back to Index</v>
          </cell>
        </row>
        <row r="3">
          <cell r="C3" t="str">
            <v>SCHEME NAME :</v>
          </cell>
          <cell r="D3" t="str">
            <v>Magnum Tax Saving Scheme - 1988-89</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254.58</v>
          </cell>
          <cell r="H48">
            <v>104.75</v>
          </cell>
        </row>
        <row r="49">
          <cell r="C49" t="str">
            <v>Total</v>
          </cell>
          <cell r="G49">
            <v>254.58</v>
          </cell>
          <cell r="H49">
            <v>104.75</v>
          </cell>
        </row>
        <row r="51">
          <cell r="C51" t="str">
            <v>Other Current Assets / (Liabilities)</v>
          </cell>
        </row>
        <row r="52">
          <cell r="C52" t="str">
            <v>Margin amount for Derivative positions</v>
          </cell>
          <cell r="G52" t="str">
            <v>NIL</v>
          </cell>
          <cell r="H52" t="str">
            <v>NIL</v>
          </cell>
        </row>
        <row r="53">
          <cell r="C53" t="str">
            <v>Net Receivable / Payable</v>
          </cell>
          <cell r="G53">
            <v>-11.54</v>
          </cell>
          <cell r="H53">
            <v>-4.75</v>
          </cell>
        </row>
        <row r="54">
          <cell r="C54" t="str">
            <v>Total</v>
          </cell>
          <cell r="G54">
            <v>-11.54</v>
          </cell>
          <cell r="H54">
            <v>-4.75</v>
          </cell>
        </row>
        <row r="56">
          <cell r="C56" t="str">
            <v>GRAND TOTAL (AUM)</v>
          </cell>
          <cell r="G56">
            <v>243.04</v>
          </cell>
          <cell r="H56">
            <v>100</v>
          </cell>
        </row>
      </sheetData>
      <sheetData sheetId="3">
        <row r="2">
          <cell r="C2" t="str">
            <v>SBI ALL FUNDS (LIVE &amp; MATURED)</v>
          </cell>
          <cell r="D2" t="str">
            <v>003</v>
          </cell>
          <cell r="J2" t="str">
            <v>Back to Index</v>
          </cell>
        </row>
        <row r="3">
          <cell r="C3" t="str">
            <v>SCHEME NAME :</v>
          </cell>
          <cell r="D3" t="str">
            <v>Magnum Rising Income Scheme -  1989</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35.94</v>
          </cell>
          <cell r="H48">
            <v>103.85</v>
          </cell>
        </row>
        <row r="49">
          <cell r="C49" t="str">
            <v>Total</v>
          </cell>
          <cell r="G49">
            <v>35.94</v>
          </cell>
          <cell r="H49">
            <v>103.85</v>
          </cell>
        </row>
        <row r="51">
          <cell r="C51" t="str">
            <v>Other Current Assets / (Liabilities)</v>
          </cell>
        </row>
        <row r="52">
          <cell r="C52" t="str">
            <v>Margin amount for Derivative positions</v>
          </cell>
          <cell r="G52" t="str">
            <v>NIL</v>
          </cell>
          <cell r="H52" t="str">
            <v>NIL</v>
          </cell>
        </row>
        <row r="53">
          <cell r="C53" t="str">
            <v>Net Receivable / Payable</v>
          </cell>
          <cell r="G53">
            <v>-1.34</v>
          </cell>
          <cell r="H53">
            <v>-3.85</v>
          </cell>
        </row>
        <row r="54">
          <cell r="C54" t="str">
            <v>Total</v>
          </cell>
          <cell r="G54">
            <v>-1.34</v>
          </cell>
          <cell r="H54">
            <v>-3.85</v>
          </cell>
        </row>
        <row r="56">
          <cell r="C56" t="str">
            <v>GRAND TOTAL (AUM)</v>
          </cell>
          <cell r="G56">
            <v>34.6</v>
          </cell>
          <cell r="H56">
            <v>100</v>
          </cell>
        </row>
      </sheetData>
      <sheetData sheetId="4">
        <row r="2">
          <cell r="C2" t="str">
            <v>SBI ALL FUNDS (LIVE &amp; MATURED)</v>
          </cell>
          <cell r="D2" t="str">
            <v>004</v>
          </cell>
          <cell r="J2" t="str">
            <v>Back to Index</v>
          </cell>
        </row>
        <row r="3">
          <cell r="C3" t="str">
            <v>SCHEME NAME :</v>
          </cell>
          <cell r="D3" t="str">
            <v>Magnum Monthly Income Scheme - 1989</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row>
        <row r="10">
          <cell r="B10" t="str">
            <v>100479</v>
          </cell>
          <cell r="C10" t="str">
            <v>Udaipur Cement Works Ltd.</v>
          </cell>
          <cell r="D10" t="str">
            <v>INE225C01029</v>
          </cell>
          <cell r="E10" t="str">
            <v>Cement</v>
          </cell>
          <cell r="F10">
            <v>24473</v>
          </cell>
          <cell r="G10">
            <v>2.63</v>
          </cell>
          <cell r="H10">
            <v>3.14</v>
          </cell>
        </row>
        <row r="11">
          <cell r="C11" t="str">
            <v>Total</v>
          </cell>
          <cell r="G11">
            <v>2.63</v>
          </cell>
          <cell r="H11">
            <v>3.14</v>
          </cell>
        </row>
        <row r="13">
          <cell r="C13" t="str">
            <v>b) Unlisted</v>
          </cell>
          <cell r="G13" t="str">
            <v>NIL</v>
          </cell>
          <cell r="H13" t="str">
            <v>NIL</v>
          </cell>
        </row>
        <row r="15">
          <cell r="C15" t="str">
            <v>c) Foreign Securities and /or overseas ETF</v>
          </cell>
          <cell r="G15" t="str">
            <v>NIL</v>
          </cell>
          <cell r="H15" t="str">
            <v>NIL</v>
          </cell>
        </row>
        <row r="17">
          <cell r="C17" t="str">
            <v>DEBT INSTRUMENTS</v>
          </cell>
        </row>
        <row r="19">
          <cell r="C19" t="str">
            <v>a) Listed/awaiting listing on the stock exchanges</v>
          </cell>
          <cell r="G19" t="str">
            <v>NIL</v>
          </cell>
          <cell r="H19" t="str">
            <v>NIL</v>
          </cell>
        </row>
        <row r="21">
          <cell r="C21" t="str">
            <v>b) Privately Placed/Unlisted</v>
          </cell>
          <cell r="G21" t="str">
            <v>NIL</v>
          </cell>
          <cell r="H21" t="str">
            <v>NIL</v>
          </cell>
        </row>
        <row r="23">
          <cell r="C23" t="str">
            <v>c) Securitised Debt Instruments</v>
          </cell>
          <cell r="G23" t="str">
            <v>NIL</v>
          </cell>
          <cell r="H23" t="str">
            <v>NIL</v>
          </cell>
        </row>
        <row r="25">
          <cell r="C25" t="str">
            <v>d) Central Government Securities</v>
          </cell>
          <cell r="G25" t="str">
            <v>NIL</v>
          </cell>
          <cell r="H25" t="str">
            <v>NIL</v>
          </cell>
        </row>
        <row r="27">
          <cell r="C27" t="str">
            <v>e) State Government Securities</v>
          </cell>
          <cell r="G27" t="str">
            <v>NIL</v>
          </cell>
          <cell r="H27" t="str">
            <v>NIL</v>
          </cell>
        </row>
        <row r="29">
          <cell r="C29" t="str">
            <v>MONEY MARKET INSTRUMENTS</v>
          </cell>
        </row>
        <row r="31">
          <cell r="C31" t="str">
            <v>a) Commercial Paper</v>
          </cell>
          <cell r="G31" t="str">
            <v>NIL</v>
          </cell>
          <cell r="H31" t="str">
            <v>NIL</v>
          </cell>
        </row>
        <row r="33">
          <cell r="C33" t="str">
            <v>b) Certificate of Deposits</v>
          </cell>
          <cell r="G33" t="str">
            <v>NIL</v>
          </cell>
          <cell r="H33" t="str">
            <v>NIL</v>
          </cell>
        </row>
        <row r="35">
          <cell r="C35" t="str">
            <v>c) Treasury Bills</v>
          </cell>
          <cell r="G35" t="str">
            <v>NIL</v>
          </cell>
          <cell r="H35" t="str">
            <v>NIL</v>
          </cell>
        </row>
        <row r="37">
          <cell r="C37" t="str">
            <v>d) Bills Re- Discounting</v>
          </cell>
          <cell r="G37" t="str">
            <v>NIL</v>
          </cell>
          <cell r="H37" t="str">
            <v>NIL</v>
          </cell>
        </row>
        <row r="39">
          <cell r="C39" t="str">
            <v>OTHERS</v>
          </cell>
        </row>
        <row r="40">
          <cell r="C40" t="str">
            <v>a) Mutual Fund Units / Exchange Traded Funds</v>
          </cell>
          <cell r="G40" t="str">
            <v>NIL</v>
          </cell>
          <cell r="H40" t="str">
            <v>NIL</v>
          </cell>
        </row>
        <row r="42">
          <cell r="C42" t="str">
            <v>b) Gold</v>
          </cell>
          <cell r="G42" t="str">
            <v>NIL</v>
          </cell>
          <cell r="H42" t="str">
            <v>NIL</v>
          </cell>
        </row>
        <row r="44">
          <cell r="C44" t="str">
            <v>c) Short Term Deposits</v>
          </cell>
          <cell r="G44" t="str">
            <v>NIL</v>
          </cell>
          <cell r="H44" t="str">
            <v>NIL</v>
          </cell>
        </row>
        <row r="46">
          <cell r="C46" t="str">
            <v>d) Term Deposits Placed as Margins</v>
          </cell>
          <cell r="G46" t="str">
            <v>NIL</v>
          </cell>
          <cell r="H46" t="str">
            <v>NIL</v>
          </cell>
        </row>
        <row r="48">
          <cell r="C48" t="str">
            <v>e) TREPS / Reverse Repo Investments</v>
          </cell>
        </row>
        <row r="49">
          <cell r="B49" t="str">
            <v>110200100</v>
          </cell>
          <cell r="C49" t="str">
            <v>TREPS</v>
          </cell>
          <cell r="G49">
            <v>127.68</v>
          </cell>
          <cell r="H49">
            <v>152.56</v>
          </cell>
        </row>
        <row r="50">
          <cell r="C50" t="str">
            <v>Total</v>
          </cell>
          <cell r="G50">
            <v>127.68</v>
          </cell>
          <cell r="H50">
            <v>152.56</v>
          </cell>
        </row>
        <row r="52">
          <cell r="C52" t="str">
            <v>Other Current Assets / (Liabilities)</v>
          </cell>
        </row>
        <row r="53">
          <cell r="C53" t="str">
            <v>Margin amount for Derivative positions</v>
          </cell>
          <cell r="G53" t="str">
            <v>NIL</v>
          </cell>
          <cell r="H53" t="str">
            <v>NIL</v>
          </cell>
        </row>
        <row r="54">
          <cell r="C54" t="str">
            <v>Net Receivable / Payable</v>
          </cell>
          <cell r="G54">
            <v>-46.62</v>
          </cell>
          <cell r="H54">
            <v>-55.7</v>
          </cell>
        </row>
        <row r="55">
          <cell r="C55" t="str">
            <v>Total</v>
          </cell>
          <cell r="G55">
            <v>-46.62</v>
          </cell>
          <cell r="H55">
            <v>-55.7</v>
          </cell>
        </row>
        <row r="57">
          <cell r="C57" t="str">
            <v>GRAND TOTAL (AUM)</v>
          </cell>
          <cell r="G57">
            <v>83.69</v>
          </cell>
          <cell r="H57">
            <v>99.999999999999986</v>
          </cell>
        </row>
      </sheetData>
      <sheetData sheetId="5">
        <row r="2">
          <cell r="C2" t="str">
            <v>SBI ALL FUNDS (LIVE &amp; MATURED)</v>
          </cell>
          <cell r="D2" t="str">
            <v>005</v>
          </cell>
          <cell r="J2" t="str">
            <v>Back to Index</v>
          </cell>
        </row>
        <row r="3">
          <cell r="C3" t="str">
            <v>SCHEME NAME :</v>
          </cell>
          <cell r="D3" t="str">
            <v>Magnum Tax Saving Scheme - 1990</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406.02</v>
          </cell>
          <cell r="H48">
            <v>104.75</v>
          </cell>
        </row>
        <row r="49">
          <cell r="C49" t="str">
            <v>Total</v>
          </cell>
          <cell r="G49">
            <v>406.02</v>
          </cell>
          <cell r="H49">
            <v>104.75</v>
          </cell>
        </row>
        <row r="51">
          <cell r="C51" t="str">
            <v>Other Current Assets / (Liabilities)</v>
          </cell>
        </row>
        <row r="52">
          <cell r="C52" t="str">
            <v>Margin amount for Derivative positions</v>
          </cell>
          <cell r="G52" t="str">
            <v>NIL</v>
          </cell>
          <cell r="H52" t="str">
            <v>NIL</v>
          </cell>
        </row>
        <row r="53">
          <cell r="C53" t="str">
            <v>Net Receivable / Payable</v>
          </cell>
          <cell r="G53">
            <v>-18.399999999999999</v>
          </cell>
          <cell r="H53">
            <v>-4.75</v>
          </cell>
        </row>
        <row r="54">
          <cell r="C54" t="str">
            <v>Total</v>
          </cell>
          <cell r="G54">
            <v>-18.399999999999999</v>
          </cell>
          <cell r="H54">
            <v>-4.75</v>
          </cell>
        </row>
        <row r="56">
          <cell r="C56" t="str">
            <v>GRAND TOTAL (AUM)</v>
          </cell>
          <cell r="G56">
            <v>387.62</v>
          </cell>
          <cell r="H56">
            <v>100</v>
          </cell>
        </row>
      </sheetData>
      <sheetData sheetId="6">
        <row r="2">
          <cell r="C2" t="str">
            <v>SBI ALL FUNDS (LIVE &amp; MATURED)</v>
          </cell>
          <cell r="D2" t="str">
            <v>006</v>
          </cell>
          <cell r="J2" t="str">
            <v>Back to Index</v>
          </cell>
        </row>
        <row r="3">
          <cell r="C3" t="str">
            <v>SCHEME NAME :</v>
          </cell>
          <cell r="D3" t="str">
            <v>Magnum Rising Income Scheme -  1990</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67.28</v>
          </cell>
          <cell r="H48">
            <v>104.4</v>
          </cell>
        </row>
        <row r="49">
          <cell r="C49" t="str">
            <v>Total</v>
          </cell>
          <cell r="G49">
            <v>67.28</v>
          </cell>
          <cell r="H49">
            <v>104.4</v>
          </cell>
        </row>
        <row r="51">
          <cell r="C51" t="str">
            <v>Other Current Assets / (Liabilities)</v>
          </cell>
        </row>
        <row r="52">
          <cell r="C52" t="str">
            <v>Margin amount for Derivative positions</v>
          </cell>
          <cell r="G52" t="str">
            <v>NIL</v>
          </cell>
          <cell r="H52" t="str">
            <v>NIL</v>
          </cell>
        </row>
        <row r="53">
          <cell r="C53" t="str">
            <v>Net Receivable / Payable</v>
          </cell>
          <cell r="G53">
            <v>-2.83</v>
          </cell>
          <cell r="H53">
            <v>-4.3999999999999995</v>
          </cell>
        </row>
        <row r="54">
          <cell r="C54" t="str">
            <v>Total</v>
          </cell>
          <cell r="G54">
            <v>-2.83</v>
          </cell>
          <cell r="H54">
            <v>-4.3999999999999995</v>
          </cell>
        </row>
        <row r="56">
          <cell r="C56" t="str">
            <v>GRAND TOTAL (AUM)</v>
          </cell>
          <cell r="G56">
            <v>64.45</v>
          </cell>
          <cell r="H56">
            <v>100</v>
          </cell>
        </row>
      </sheetData>
      <sheetData sheetId="7">
        <row r="2">
          <cell r="C2" t="str">
            <v>SBI ALL FUNDS (LIVE &amp; MATURED)</v>
          </cell>
          <cell r="D2" t="str">
            <v>009</v>
          </cell>
          <cell r="J2" t="str">
            <v>Back to Index</v>
          </cell>
        </row>
        <row r="3">
          <cell r="C3" t="str">
            <v>SCHEME NAME :</v>
          </cell>
          <cell r="D3" t="str">
            <v>Magnum Equity Linked Savings Scheme - 1991</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cell r="G9" t="str">
            <v>NIL</v>
          </cell>
          <cell r="H9" t="str">
            <v>NIL</v>
          </cell>
        </row>
        <row r="11">
          <cell r="C11" t="str">
            <v>b) Unlisted</v>
          </cell>
        </row>
        <row r="12">
          <cell r="B12" t="str">
            <v>100480</v>
          </cell>
          <cell r="C12" t="str">
            <v>Jadoonet.Com</v>
          </cell>
          <cell r="D12" t="str">
            <v>EQ600401XXXX</v>
          </cell>
          <cell r="E12" t="str">
            <v>Software</v>
          </cell>
          <cell r="F12">
            <v>13500</v>
          </cell>
          <cell r="G12">
            <v>0</v>
          </cell>
          <cell r="H12" t="str">
            <v>#</v>
          </cell>
        </row>
        <row r="13">
          <cell r="C13" t="str">
            <v>Total</v>
          </cell>
          <cell r="G13">
            <v>0</v>
          </cell>
          <cell r="H13" t="str">
            <v>#</v>
          </cell>
        </row>
        <row r="15">
          <cell r="C15" t="str">
            <v>c) Foreign Securities and /or overseas ETF</v>
          </cell>
          <cell r="G15" t="str">
            <v>NIL</v>
          </cell>
          <cell r="H15" t="str">
            <v>NIL</v>
          </cell>
        </row>
        <row r="17">
          <cell r="C17" t="str">
            <v>DEBT INSTRUMENTS</v>
          </cell>
        </row>
        <row r="19">
          <cell r="C19" t="str">
            <v>a) Listed/awaiting listing on the stock exchanges</v>
          </cell>
          <cell r="G19" t="str">
            <v>NIL</v>
          </cell>
          <cell r="H19" t="str">
            <v>NIL</v>
          </cell>
        </row>
        <row r="21">
          <cell r="C21" t="str">
            <v>b) Privately Placed/Unlisted</v>
          </cell>
          <cell r="G21" t="str">
            <v>NIL</v>
          </cell>
          <cell r="H21" t="str">
            <v>NIL</v>
          </cell>
        </row>
        <row r="23">
          <cell r="C23" t="str">
            <v>c) Securitised Debt Instruments</v>
          </cell>
          <cell r="G23" t="str">
            <v>NIL</v>
          </cell>
          <cell r="H23" t="str">
            <v>NIL</v>
          </cell>
        </row>
        <row r="25">
          <cell r="C25" t="str">
            <v>d) Central Government Securities</v>
          </cell>
          <cell r="G25" t="str">
            <v>NIL</v>
          </cell>
          <cell r="H25" t="str">
            <v>NIL</v>
          </cell>
        </row>
        <row r="27">
          <cell r="C27" t="str">
            <v>e) State Government Securities</v>
          </cell>
          <cell r="G27" t="str">
            <v>NIL</v>
          </cell>
          <cell r="H27" t="str">
            <v>NIL</v>
          </cell>
        </row>
        <row r="29">
          <cell r="C29" t="str">
            <v>MONEY MARKET INSTRUMENTS</v>
          </cell>
        </row>
        <row r="31">
          <cell r="C31" t="str">
            <v>a) Commercial Paper</v>
          </cell>
          <cell r="G31" t="str">
            <v>NIL</v>
          </cell>
          <cell r="H31" t="str">
            <v>NIL</v>
          </cell>
        </row>
        <row r="33">
          <cell r="C33" t="str">
            <v>b) Certificate of Deposits</v>
          </cell>
          <cell r="G33" t="str">
            <v>NIL</v>
          </cell>
          <cell r="H33" t="str">
            <v>NIL</v>
          </cell>
        </row>
        <row r="35">
          <cell r="C35" t="str">
            <v>c) Treasury Bills</v>
          </cell>
          <cell r="G35" t="str">
            <v>NIL</v>
          </cell>
          <cell r="H35" t="str">
            <v>NIL</v>
          </cell>
        </row>
        <row r="37">
          <cell r="C37" t="str">
            <v>d) Bills Re- Discounting</v>
          </cell>
          <cell r="G37" t="str">
            <v>NIL</v>
          </cell>
          <cell r="H37" t="str">
            <v>NIL</v>
          </cell>
        </row>
        <row r="39">
          <cell r="C39" t="str">
            <v>OTHERS</v>
          </cell>
        </row>
        <row r="40">
          <cell r="C40" t="str">
            <v>a) Mutual Fund Units / Exchange Traded Funds</v>
          </cell>
          <cell r="G40" t="str">
            <v>NIL</v>
          </cell>
          <cell r="H40" t="str">
            <v>NIL</v>
          </cell>
        </row>
        <row r="42">
          <cell r="C42" t="str">
            <v>b) Gold</v>
          </cell>
          <cell r="G42" t="str">
            <v>NIL</v>
          </cell>
          <cell r="H42" t="str">
            <v>NIL</v>
          </cell>
        </row>
        <row r="44">
          <cell r="C44" t="str">
            <v>c) Short Term Deposits</v>
          </cell>
          <cell r="G44" t="str">
            <v>NIL</v>
          </cell>
          <cell r="H44" t="str">
            <v>NIL</v>
          </cell>
        </row>
        <row r="46">
          <cell r="C46" t="str">
            <v>d) Term Deposits Placed as Margins</v>
          </cell>
          <cell r="G46" t="str">
            <v>NIL</v>
          </cell>
          <cell r="H46" t="str">
            <v>NIL</v>
          </cell>
        </row>
        <row r="48">
          <cell r="C48" t="str">
            <v>e) TREPS / Reverse Repo Investments</v>
          </cell>
        </row>
        <row r="49">
          <cell r="B49" t="str">
            <v>110200100</v>
          </cell>
          <cell r="C49" t="str">
            <v>TREPS</v>
          </cell>
          <cell r="G49">
            <v>483.5</v>
          </cell>
          <cell r="H49">
            <v>104.98</v>
          </cell>
        </row>
        <row r="50">
          <cell r="C50" t="str">
            <v>Total</v>
          </cell>
          <cell r="G50">
            <v>483.5</v>
          </cell>
          <cell r="H50">
            <v>104.98</v>
          </cell>
        </row>
        <row r="52">
          <cell r="C52" t="str">
            <v>Other Current Assets / (Liabilities)</v>
          </cell>
        </row>
        <row r="53">
          <cell r="C53" t="str">
            <v>Margin amount for Derivative positions</v>
          </cell>
          <cell r="G53" t="str">
            <v>NIL</v>
          </cell>
          <cell r="H53" t="str">
            <v>NIL</v>
          </cell>
        </row>
        <row r="54">
          <cell r="C54" t="str">
            <v>Net Receivable / Payable</v>
          </cell>
          <cell r="G54">
            <v>-22.92</v>
          </cell>
          <cell r="H54">
            <v>-4.9800000000000004</v>
          </cell>
        </row>
        <row r="55">
          <cell r="C55" t="str">
            <v>Total</v>
          </cell>
          <cell r="G55">
            <v>-22.92</v>
          </cell>
          <cell r="H55">
            <v>-4.9800000000000004</v>
          </cell>
        </row>
        <row r="57">
          <cell r="C57" t="str">
            <v>GRAND TOTAL (AUM)</v>
          </cell>
          <cell r="G57">
            <v>460.58</v>
          </cell>
          <cell r="H57">
            <v>100</v>
          </cell>
        </row>
      </sheetData>
      <sheetData sheetId="8">
        <row r="2">
          <cell r="C2" t="str">
            <v>SBI ALL FUNDS (LIVE &amp; MATURED)</v>
          </cell>
          <cell r="D2" t="str">
            <v>012</v>
          </cell>
          <cell r="J2" t="str">
            <v>Back to Index</v>
          </cell>
        </row>
        <row r="3">
          <cell r="C3" t="str">
            <v>SCHEME NAME :</v>
          </cell>
          <cell r="D3" t="str">
            <v>Magnum Monthly Income Scheme - II - 1991</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row>
        <row r="10">
          <cell r="B10" t="str">
            <v>100479</v>
          </cell>
          <cell r="C10" t="str">
            <v>Udaipur Cement Works Ltd.</v>
          </cell>
          <cell r="D10" t="str">
            <v>INE225C01029</v>
          </cell>
          <cell r="E10" t="str">
            <v>Cement</v>
          </cell>
          <cell r="F10">
            <v>27947</v>
          </cell>
          <cell r="G10">
            <v>3</v>
          </cell>
          <cell r="H10">
            <v>1.61</v>
          </cell>
        </row>
        <row r="11">
          <cell r="B11" t="str">
            <v>100490</v>
          </cell>
          <cell r="C11" t="str">
            <v>Soma Papers &amp; Industries Ltd.</v>
          </cell>
          <cell r="D11" t="str">
            <v>INE737E01011</v>
          </cell>
          <cell r="E11" t="str">
            <v>Paper</v>
          </cell>
          <cell r="F11">
            <v>7750</v>
          </cell>
          <cell r="G11">
            <v>0.04</v>
          </cell>
          <cell r="H11">
            <v>0.02</v>
          </cell>
        </row>
        <row r="12">
          <cell r="C12" t="str">
            <v>Total</v>
          </cell>
          <cell r="G12">
            <v>3.04</v>
          </cell>
          <cell r="H12">
            <v>1.63</v>
          </cell>
        </row>
        <row r="14">
          <cell r="C14" t="str">
            <v>b) Unlisted</v>
          </cell>
        </row>
        <row r="15">
          <cell r="B15" t="str">
            <v>100482</v>
          </cell>
          <cell r="C15" t="str">
            <v>Anant Rotospin Ltd.</v>
          </cell>
          <cell r="D15" t="str">
            <v>EQ627601XXXX</v>
          </cell>
          <cell r="E15" t="str">
            <v>Textile Products</v>
          </cell>
          <cell r="F15">
            <v>25105</v>
          </cell>
          <cell r="G15">
            <v>0</v>
          </cell>
          <cell r="H15" t="str">
            <v>#</v>
          </cell>
        </row>
        <row r="16">
          <cell r="B16" t="str">
            <v>100483</v>
          </cell>
          <cell r="C16" t="str">
            <v>G.M. Mittal Stainless Steels Ltd.</v>
          </cell>
          <cell r="D16" t="str">
            <v>EQ627501XXXX</v>
          </cell>
          <cell r="E16" t="str">
            <v>Ferrous Metals</v>
          </cell>
          <cell r="F16">
            <v>72900</v>
          </cell>
          <cell r="G16">
            <v>0</v>
          </cell>
          <cell r="H16" t="str">
            <v>#</v>
          </cell>
        </row>
        <row r="17">
          <cell r="B17" t="str">
            <v>100484</v>
          </cell>
          <cell r="C17" t="str">
            <v>Kumar's Metallurgical Corporation Ltd.</v>
          </cell>
          <cell r="D17" t="str">
            <v>EQ630001XXXX</v>
          </cell>
          <cell r="E17" t="str">
            <v>Industrial Products</v>
          </cell>
          <cell r="F17">
            <v>250000</v>
          </cell>
          <cell r="G17">
            <v>0</v>
          </cell>
          <cell r="H17" t="str">
            <v>#</v>
          </cell>
        </row>
        <row r="18">
          <cell r="B18" t="str">
            <v>100485</v>
          </cell>
          <cell r="C18" t="str">
            <v>Malwa Vanaspathi &amp; Chemicals Co. Ltd.</v>
          </cell>
          <cell r="D18" t="str">
            <v>EQ630401XXXX</v>
          </cell>
          <cell r="E18" t="str">
            <v>Chemicals</v>
          </cell>
          <cell r="F18">
            <v>10000</v>
          </cell>
          <cell r="G18">
            <v>0</v>
          </cell>
          <cell r="H18" t="str">
            <v>#</v>
          </cell>
        </row>
        <row r="19">
          <cell r="B19" t="str">
            <v>100486</v>
          </cell>
          <cell r="C19" t="str">
            <v>Modern Syntex (India) Ltd.</v>
          </cell>
          <cell r="D19" t="str">
            <v>INE197801017</v>
          </cell>
          <cell r="E19" t="str">
            <v>Textiles - Cotton</v>
          </cell>
          <cell r="F19">
            <v>2</v>
          </cell>
          <cell r="G19">
            <v>0</v>
          </cell>
          <cell r="H19" t="str">
            <v>#</v>
          </cell>
        </row>
        <row r="20">
          <cell r="B20" t="str">
            <v>100487</v>
          </cell>
          <cell r="C20" t="str">
            <v>Niwas Spinning Mills Ltd.</v>
          </cell>
          <cell r="D20" t="str">
            <v>EQ628301XXXX</v>
          </cell>
          <cell r="E20" t="str">
            <v>Textile Products</v>
          </cell>
          <cell r="F20">
            <v>71800</v>
          </cell>
          <cell r="G20">
            <v>0</v>
          </cell>
          <cell r="H20" t="str">
            <v>#</v>
          </cell>
        </row>
        <row r="21">
          <cell r="B21" t="str">
            <v>100488</v>
          </cell>
          <cell r="C21" t="str">
            <v>Kashiram Pannalal Industries Ltd.</v>
          </cell>
          <cell r="D21" t="str">
            <v>EQ629501XXXX</v>
          </cell>
          <cell r="E21" t="str">
            <v>Textile Products</v>
          </cell>
          <cell r="F21">
            <v>100000</v>
          </cell>
          <cell r="G21">
            <v>0</v>
          </cell>
          <cell r="H21" t="str">
            <v>#</v>
          </cell>
        </row>
        <row r="22">
          <cell r="B22" t="str">
            <v>100489</v>
          </cell>
          <cell r="C22" t="str">
            <v>Renco Gears Ltd.</v>
          </cell>
          <cell r="D22" t="str">
            <v>EQ629401XXXX</v>
          </cell>
          <cell r="E22" t="str">
            <v>Auto Ancillaries</v>
          </cell>
          <cell r="F22">
            <v>50000</v>
          </cell>
          <cell r="G22">
            <v>0</v>
          </cell>
          <cell r="H22" t="str">
            <v>#</v>
          </cell>
        </row>
        <row r="23">
          <cell r="B23" t="str">
            <v>100491</v>
          </cell>
          <cell r="C23" t="str">
            <v>Swede (India) Teltronic Ltd.</v>
          </cell>
          <cell r="D23" t="str">
            <v>EQ629601XXXX</v>
          </cell>
          <cell r="E23" t="str">
            <v>Consumer Durables</v>
          </cell>
          <cell r="F23">
            <v>21500</v>
          </cell>
          <cell r="G23">
            <v>0</v>
          </cell>
          <cell r="H23" t="str">
            <v>#</v>
          </cell>
        </row>
        <row r="24">
          <cell r="B24" t="str">
            <v>100492</v>
          </cell>
          <cell r="C24" t="str">
            <v>Tirumala Fujitech Aquafarms Ltd.</v>
          </cell>
          <cell r="D24" t="str">
            <v>EQ630201XXXX</v>
          </cell>
          <cell r="E24" t="str">
            <v>Trading</v>
          </cell>
          <cell r="F24">
            <v>370000</v>
          </cell>
          <cell r="G24">
            <v>0</v>
          </cell>
          <cell r="H24" t="str">
            <v>#</v>
          </cell>
        </row>
        <row r="25">
          <cell r="B25" t="str">
            <v>100493</v>
          </cell>
          <cell r="C25" t="str">
            <v>Trichy Steel Rolling Mills Ltd.</v>
          </cell>
          <cell r="D25" t="str">
            <v>EQ629701XXXX</v>
          </cell>
          <cell r="E25" t="str">
            <v>Industrial Products</v>
          </cell>
          <cell r="F25">
            <v>18825</v>
          </cell>
          <cell r="G25">
            <v>0</v>
          </cell>
          <cell r="H25" t="str">
            <v>#</v>
          </cell>
        </row>
        <row r="26">
          <cell r="C26" t="str">
            <v>Total</v>
          </cell>
          <cell r="G26">
            <v>0</v>
          </cell>
          <cell r="H26" t="str">
            <v>#</v>
          </cell>
        </row>
        <row r="28">
          <cell r="C28" t="str">
            <v>c) Foreign Securities and /or overseas ETF</v>
          </cell>
          <cell r="G28" t="str">
            <v>NIL</v>
          </cell>
          <cell r="H28" t="str">
            <v>NIL</v>
          </cell>
        </row>
        <row r="30">
          <cell r="C30" t="str">
            <v>DEBT INSTRUMENTS</v>
          </cell>
        </row>
        <row r="32">
          <cell r="C32" t="str">
            <v>a) Listed/awaiting listing on the stock exchanges</v>
          </cell>
          <cell r="G32" t="str">
            <v>NIL</v>
          </cell>
          <cell r="H32" t="str">
            <v>NIL</v>
          </cell>
        </row>
        <row r="34">
          <cell r="C34" t="str">
            <v>b) Privately Placed/Unlisted</v>
          </cell>
          <cell r="G34" t="str">
            <v>NIL</v>
          </cell>
          <cell r="H34" t="str">
            <v>NIL</v>
          </cell>
        </row>
        <row r="36">
          <cell r="C36" t="str">
            <v>c) Securitised Debt Instruments</v>
          </cell>
          <cell r="G36" t="str">
            <v>NIL</v>
          </cell>
          <cell r="H36" t="str">
            <v>NIL</v>
          </cell>
        </row>
        <row r="38">
          <cell r="C38" t="str">
            <v>d) Central Government Securities</v>
          </cell>
          <cell r="G38" t="str">
            <v>NIL</v>
          </cell>
          <cell r="H38" t="str">
            <v>NIL</v>
          </cell>
        </row>
        <row r="40">
          <cell r="C40" t="str">
            <v>e) State Government Securities</v>
          </cell>
          <cell r="G40" t="str">
            <v>NIL</v>
          </cell>
          <cell r="H40" t="str">
            <v>NIL</v>
          </cell>
        </row>
        <row r="42">
          <cell r="C42" t="str">
            <v>MONEY MARKET INSTRUMENTS</v>
          </cell>
        </row>
        <row r="44">
          <cell r="C44" t="str">
            <v>a) Commercial Paper</v>
          </cell>
          <cell r="G44" t="str">
            <v>NIL</v>
          </cell>
          <cell r="H44" t="str">
            <v>NIL</v>
          </cell>
        </row>
        <row r="46">
          <cell r="C46" t="str">
            <v>b) Certificate of Deposits</v>
          </cell>
          <cell r="G46" t="str">
            <v>NIL</v>
          </cell>
          <cell r="H46" t="str">
            <v>NIL</v>
          </cell>
        </row>
        <row r="48">
          <cell r="C48" t="str">
            <v>c) Treasury Bills</v>
          </cell>
          <cell r="G48" t="str">
            <v>NIL</v>
          </cell>
          <cell r="H48" t="str">
            <v>NIL</v>
          </cell>
        </row>
        <row r="50">
          <cell r="C50" t="str">
            <v>d) Bills Re- Discounting</v>
          </cell>
          <cell r="G50" t="str">
            <v>NIL</v>
          </cell>
          <cell r="H50" t="str">
            <v>NIL</v>
          </cell>
        </row>
        <row r="52">
          <cell r="C52" t="str">
            <v>OTHERS</v>
          </cell>
        </row>
        <row r="53">
          <cell r="C53" t="str">
            <v>a) Mutual Fund Units / Exchange Traded Funds</v>
          </cell>
          <cell r="G53" t="str">
            <v>NIL</v>
          </cell>
          <cell r="H53" t="str">
            <v>NIL</v>
          </cell>
        </row>
        <row r="55">
          <cell r="C55" t="str">
            <v>b) Gold</v>
          </cell>
          <cell r="G55" t="str">
            <v>NIL</v>
          </cell>
          <cell r="H55" t="str">
            <v>NIL</v>
          </cell>
        </row>
        <row r="57">
          <cell r="C57" t="str">
            <v>c) Short Term Deposits</v>
          </cell>
          <cell r="G57" t="str">
            <v>NIL</v>
          </cell>
          <cell r="H57" t="str">
            <v>NIL</v>
          </cell>
        </row>
        <row r="59">
          <cell r="C59" t="str">
            <v>d) Term Deposits Placed as Margins</v>
          </cell>
          <cell r="G59" t="str">
            <v>NIL</v>
          </cell>
          <cell r="H59" t="str">
            <v>NIL</v>
          </cell>
        </row>
        <row r="61">
          <cell r="C61" t="str">
            <v>e) TREPS / Reverse Repo Investments</v>
          </cell>
        </row>
        <row r="62">
          <cell r="B62" t="str">
            <v>110200100</v>
          </cell>
          <cell r="C62" t="str">
            <v>TREPS</v>
          </cell>
          <cell r="G62">
            <v>178.03</v>
          </cell>
          <cell r="H62">
            <v>95.41</v>
          </cell>
        </row>
        <row r="63">
          <cell r="C63" t="str">
            <v>Total</v>
          </cell>
          <cell r="G63">
            <v>178.03</v>
          </cell>
          <cell r="H63">
            <v>95.41</v>
          </cell>
        </row>
        <row r="65">
          <cell r="C65" t="str">
            <v>Other Current Assets / (Liabilities)</v>
          </cell>
        </row>
        <row r="66">
          <cell r="C66" t="str">
            <v>Margin amount for Derivative positions</v>
          </cell>
          <cell r="G66" t="str">
            <v>NIL</v>
          </cell>
          <cell r="H66" t="str">
            <v>NIL</v>
          </cell>
        </row>
        <row r="67">
          <cell r="C67" t="str">
            <v>Net Receivable / Payable</v>
          </cell>
          <cell r="G67">
            <v>5.52</v>
          </cell>
          <cell r="H67">
            <v>2.96</v>
          </cell>
        </row>
        <row r="68">
          <cell r="C68" t="str">
            <v>Total</v>
          </cell>
          <cell r="G68">
            <v>5.52</v>
          </cell>
          <cell r="H68">
            <v>2.96</v>
          </cell>
        </row>
        <row r="70">
          <cell r="C70" t="str">
            <v>GRAND TOTAL (AUM)</v>
          </cell>
          <cell r="G70">
            <v>186.59</v>
          </cell>
          <cell r="H70">
            <v>99.999999999999986</v>
          </cell>
        </row>
      </sheetData>
      <sheetData sheetId="9">
        <row r="2">
          <cell r="C2" t="str">
            <v>SBI ALL FUNDS (LIVE &amp; MATURED)</v>
          </cell>
          <cell r="D2" t="str">
            <v>013</v>
          </cell>
          <cell r="J2" t="str">
            <v>Back to Index</v>
          </cell>
        </row>
        <row r="3">
          <cell r="C3" t="str">
            <v>SCHEME NAME :</v>
          </cell>
          <cell r="D3" t="str">
            <v>Magnum Triple Plus Scheme - 1991</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row>
        <row r="10">
          <cell r="B10" t="str">
            <v>100479</v>
          </cell>
          <cell r="C10" t="str">
            <v>Udaipur Cement Works Ltd.</v>
          </cell>
          <cell r="D10" t="str">
            <v>INE225C01029</v>
          </cell>
          <cell r="E10" t="str">
            <v>Cement</v>
          </cell>
          <cell r="F10">
            <v>206828</v>
          </cell>
          <cell r="G10">
            <v>22.19</v>
          </cell>
          <cell r="H10">
            <v>5.19</v>
          </cell>
        </row>
        <row r="11">
          <cell r="C11" t="str">
            <v>Total</v>
          </cell>
          <cell r="G11">
            <v>22.19</v>
          </cell>
          <cell r="H11">
            <v>5.19</v>
          </cell>
        </row>
        <row r="13">
          <cell r="C13" t="str">
            <v>b) Unlisted</v>
          </cell>
          <cell r="G13" t="str">
            <v>NIL</v>
          </cell>
          <cell r="H13" t="str">
            <v>NIL</v>
          </cell>
        </row>
        <row r="15">
          <cell r="C15" t="str">
            <v>c) Foreign Securities and /or overseas ETF</v>
          </cell>
          <cell r="G15" t="str">
            <v>NIL</v>
          </cell>
          <cell r="H15" t="str">
            <v>NIL</v>
          </cell>
        </row>
        <row r="17">
          <cell r="C17" t="str">
            <v>DEBT INSTRUMENTS</v>
          </cell>
        </row>
        <row r="19">
          <cell r="C19" t="str">
            <v>a) Listed/awaiting listing on the stock exchanges</v>
          </cell>
          <cell r="G19" t="str">
            <v>NIL</v>
          </cell>
          <cell r="H19" t="str">
            <v>NIL</v>
          </cell>
        </row>
        <row r="21">
          <cell r="C21" t="str">
            <v>b) Privately Placed/Unlisted</v>
          </cell>
          <cell r="G21" t="str">
            <v>NIL</v>
          </cell>
          <cell r="H21" t="str">
            <v>NIL</v>
          </cell>
        </row>
        <row r="23">
          <cell r="C23" t="str">
            <v>c) Securitised Debt Instruments</v>
          </cell>
          <cell r="G23" t="str">
            <v>NIL</v>
          </cell>
          <cell r="H23" t="str">
            <v>NIL</v>
          </cell>
        </row>
        <row r="25">
          <cell r="C25" t="str">
            <v>d) Central Government Securities</v>
          </cell>
          <cell r="G25" t="str">
            <v>NIL</v>
          </cell>
          <cell r="H25" t="str">
            <v>NIL</v>
          </cell>
        </row>
        <row r="27">
          <cell r="C27" t="str">
            <v>e) State Government Securities</v>
          </cell>
          <cell r="G27" t="str">
            <v>NIL</v>
          </cell>
          <cell r="H27" t="str">
            <v>NIL</v>
          </cell>
        </row>
        <row r="29">
          <cell r="C29" t="str">
            <v>MONEY MARKET INSTRUMENTS</v>
          </cell>
        </row>
        <row r="31">
          <cell r="C31" t="str">
            <v>a) Commercial Paper</v>
          </cell>
          <cell r="G31" t="str">
            <v>NIL</v>
          </cell>
          <cell r="H31" t="str">
            <v>NIL</v>
          </cell>
        </row>
        <row r="33">
          <cell r="C33" t="str">
            <v>b) Certificate of Deposits</v>
          </cell>
          <cell r="G33" t="str">
            <v>NIL</v>
          </cell>
          <cell r="H33" t="str">
            <v>NIL</v>
          </cell>
        </row>
        <row r="35">
          <cell r="C35" t="str">
            <v>c) Treasury Bills</v>
          </cell>
          <cell r="G35" t="str">
            <v>NIL</v>
          </cell>
          <cell r="H35" t="str">
            <v>NIL</v>
          </cell>
        </row>
        <row r="37">
          <cell r="C37" t="str">
            <v>d) Bills Re- Discounting</v>
          </cell>
          <cell r="G37" t="str">
            <v>NIL</v>
          </cell>
          <cell r="H37" t="str">
            <v>NIL</v>
          </cell>
        </row>
        <row r="39">
          <cell r="C39" t="str">
            <v>OTHERS</v>
          </cell>
        </row>
        <row r="40">
          <cell r="C40" t="str">
            <v>a) Mutual Fund Units / Exchange Traded Funds</v>
          </cell>
          <cell r="G40" t="str">
            <v>NIL</v>
          </cell>
          <cell r="H40" t="str">
            <v>NIL</v>
          </cell>
        </row>
        <row r="42">
          <cell r="C42" t="str">
            <v>b) Gold</v>
          </cell>
          <cell r="G42" t="str">
            <v>NIL</v>
          </cell>
          <cell r="H42" t="str">
            <v>NIL</v>
          </cell>
        </row>
        <row r="44">
          <cell r="C44" t="str">
            <v>c) Short Term Deposits</v>
          </cell>
          <cell r="G44" t="str">
            <v>NIL</v>
          </cell>
          <cell r="H44" t="str">
            <v>NIL</v>
          </cell>
        </row>
        <row r="46">
          <cell r="C46" t="str">
            <v>d) Term Deposits Placed as Margins</v>
          </cell>
          <cell r="G46" t="str">
            <v>NIL</v>
          </cell>
          <cell r="H46" t="str">
            <v>NIL</v>
          </cell>
        </row>
        <row r="48">
          <cell r="C48" t="str">
            <v>e) TREPS / Reverse Repo Investments</v>
          </cell>
        </row>
        <row r="49">
          <cell r="B49" t="str">
            <v>110200100</v>
          </cell>
          <cell r="C49" t="str">
            <v>TREPS</v>
          </cell>
          <cell r="G49">
            <v>459.59</v>
          </cell>
          <cell r="H49">
            <v>107.4</v>
          </cell>
        </row>
        <row r="50">
          <cell r="C50" t="str">
            <v>Total</v>
          </cell>
          <cell r="G50">
            <v>459.59</v>
          </cell>
          <cell r="H50">
            <v>107.4</v>
          </cell>
        </row>
        <row r="52">
          <cell r="C52" t="str">
            <v>Other Current Assets / (Liabilities)</v>
          </cell>
        </row>
        <row r="53">
          <cell r="C53" t="str">
            <v>Margin amount for Derivative positions</v>
          </cell>
          <cell r="G53" t="str">
            <v>NIL</v>
          </cell>
          <cell r="H53" t="str">
            <v>NIL</v>
          </cell>
        </row>
        <row r="54">
          <cell r="C54" t="str">
            <v>Net Receivable / Payable</v>
          </cell>
          <cell r="G54">
            <v>-53.87</v>
          </cell>
          <cell r="H54">
            <v>-12.59</v>
          </cell>
        </row>
        <row r="55">
          <cell r="C55" t="str">
            <v>Total</v>
          </cell>
          <cell r="G55">
            <v>-53.87</v>
          </cell>
          <cell r="H55">
            <v>-12.59</v>
          </cell>
        </row>
        <row r="57">
          <cell r="C57" t="str">
            <v>GRAND TOTAL (AUM)</v>
          </cell>
          <cell r="G57">
            <v>427.91</v>
          </cell>
          <cell r="H57">
            <v>100</v>
          </cell>
        </row>
      </sheetData>
      <sheetData sheetId="10">
        <row r="2">
          <cell r="C2" t="str">
            <v>SBI ALL FUNDS (LIVE &amp; MATURED)</v>
          </cell>
          <cell r="D2" t="str">
            <v>014</v>
          </cell>
          <cell r="J2" t="str">
            <v>Back to Index</v>
          </cell>
        </row>
        <row r="3">
          <cell r="C3" t="str">
            <v>SCHEME NAME :</v>
          </cell>
          <cell r="D3" t="str">
            <v>Magnum Express Scheme 1991</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240.74</v>
          </cell>
          <cell r="H48">
            <v>104.47</v>
          </cell>
        </row>
        <row r="49">
          <cell r="C49" t="str">
            <v>Total</v>
          </cell>
          <cell r="G49">
            <v>240.74</v>
          </cell>
          <cell r="H49">
            <v>104.47</v>
          </cell>
        </row>
        <row r="51">
          <cell r="C51" t="str">
            <v>Other Current Assets / (Liabilities)</v>
          </cell>
        </row>
        <row r="52">
          <cell r="C52" t="str">
            <v>Margin amount for Derivative positions</v>
          </cell>
          <cell r="G52" t="str">
            <v>NIL</v>
          </cell>
          <cell r="H52" t="str">
            <v>NIL</v>
          </cell>
        </row>
        <row r="53">
          <cell r="C53" t="str">
            <v>Net Receivable / Payable</v>
          </cell>
          <cell r="G53">
            <v>-10.3</v>
          </cell>
          <cell r="H53">
            <v>-4.47</v>
          </cell>
        </row>
        <row r="54">
          <cell r="C54" t="str">
            <v>Total</v>
          </cell>
          <cell r="G54">
            <v>-10.3</v>
          </cell>
          <cell r="H54">
            <v>-4.47</v>
          </cell>
        </row>
        <row r="56">
          <cell r="C56" t="str">
            <v>GRAND TOTAL (AUM)</v>
          </cell>
          <cell r="G56">
            <v>230.44</v>
          </cell>
          <cell r="H56">
            <v>100</v>
          </cell>
        </row>
      </sheetData>
      <sheetData sheetId="11">
        <row r="2">
          <cell r="C2" t="str">
            <v>SBI ALL FUNDS (LIVE &amp; MATURED)</v>
          </cell>
          <cell r="D2" t="str">
            <v>015</v>
          </cell>
          <cell r="J2" t="str">
            <v>Back to Index</v>
          </cell>
        </row>
        <row r="3">
          <cell r="C3" t="str">
            <v>SCHEME NAME :</v>
          </cell>
          <cell r="D3" t="str">
            <v>Magnum Growing Investments From Tax Saving, 1992  - Plan B</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cell r="G9" t="str">
            <v>NIL</v>
          </cell>
          <cell r="H9" t="str">
            <v>NIL</v>
          </cell>
        </row>
        <row r="11">
          <cell r="C11" t="str">
            <v>b) Unlisted</v>
          </cell>
        </row>
        <row r="12">
          <cell r="B12" t="str">
            <v>100480</v>
          </cell>
          <cell r="C12" t="str">
            <v>Jadoonet.Com</v>
          </cell>
          <cell r="D12" t="str">
            <v>EQ600401XXXX</v>
          </cell>
          <cell r="E12" t="str">
            <v>Software</v>
          </cell>
          <cell r="F12">
            <v>54000</v>
          </cell>
          <cell r="G12">
            <v>0</v>
          </cell>
          <cell r="H12" t="str">
            <v>#</v>
          </cell>
        </row>
        <row r="13">
          <cell r="B13" t="str">
            <v>100481</v>
          </cell>
          <cell r="C13" t="str">
            <v>Numero Uno International Ltd.</v>
          </cell>
          <cell r="D13" t="str">
            <v>INE703F01010</v>
          </cell>
          <cell r="E13" t="str">
            <v>Software</v>
          </cell>
          <cell r="F13">
            <v>86000</v>
          </cell>
          <cell r="G13">
            <v>0</v>
          </cell>
          <cell r="H13" t="str">
            <v>#</v>
          </cell>
        </row>
        <row r="14">
          <cell r="B14" t="str">
            <v>100494</v>
          </cell>
          <cell r="C14" t="str">
            <v>The Great Eastern Shipping Company Ltd.</v>
          </cell>
          <cell r="D14" t="str">
            <v>EQ372501XXXX</v>
          </cell>
          <cell r="E14" t="str">
            <v>Transportation</v>
          </cell>
          <cell r="F14">
            <v>725</v>
          </cell>
          <cell r="G14">
            <v>0</v>
          </cell>
          <cell r="H14" t="str">
            <v>#</v>
          </cell>
        </row>
        <row r="15">
          <cell r="B15" t="str">
            <v>100495</v>
          </cell>
          <cell r="C15" t="str">
            <v>Brillio Technologies Pvt. Ltd.</v>
          </cell>
          <cell r="D15" t="str">
            <v>INE763E01017</v>
          </cell>
          <cell r="E15" t="str">
            <v>Software</v>
          </cell>
          <cell r="F15">
            <v>167300</v>
          </cell>
          <cell r="G15">
            <v>0</v>
          </cell>
          <cell r="H15" t="str">
            <v>#</v>
          </cell>
        </row>
        <row r="16">
          <cell r="B16" t="str">
            <v>100496</v>
          </cell>
          <cell r="C16" t="str">
            <v>Raymond Ltd.</v>
          </cell>
          <cell r="D16" t="str">
            <v>EQ429801XXXX</v>
          </cell>
          <cell r="E16" t="str">
            <v>Textile Products</v>
          </cell>
          <cell r="F16">
            <v>1371</v>
          </cell>
          <cell r="G16">
            <v>0</v>
          </cell>
          <cell r="H16" t="str">
            <v>#</v>
          </cell>
        </row>
        <row r="17">
          <cell r="C17" t="str">
            <v>Total</v>
          </cell>
          <cell r="G17">
            <v>0</v>
          </cell>
          <cell r="H17" t="str">
            <v>#</v>
          </cell>
        </row>
        <row r="19">
          <cell r="C19" t="str">
            <v>c) Foreign Securities and /or overseas ETF</v>
          </cell>
          <cell r="G19" t="str">
            <v>NIL</v>
          </cell>
          <cell r="H19" t="str">
            <v>NIL</v>
          </cell>
        </row>
        <row r="21">
          <cell r="C21" t="str">
            <v>DEBT INSTRUMENTS</v>
          </cell>
        </row>
        <row r="23">
          <cell r="C23" t="str">
            <v>a) Listed/awaiting listing on the stock exchanges</v>
          </cell>
          <cell r="G23" t="str">
            <v>NIL</v>
          </cell>
          <cell r="H23" t="str">
            <v>NIL</v>
          </cell>
        </row>
        <row r="25">
          <cell r="C25" t="str">
            <v>b) Privately Placed/Unlisted</v>
          </cell>
          <cell r="G25" t="str">
            <v>NIL</v>
          </cell>
          <cell r="H25" t="str">
            <v>NIL</v>
          </cell>
        </row>
        <row r="27">
          <cell r="C27" t="str">
            <v>c) Securitised Debt Instruments</v>
          </cell>
          <cell r="G27" t="str">
            <v>NIL</v>
          </cell>
          <cell r="H27" t="str">
            <v>NIL</v>
          </cell>
        </row>
        <row r="29">
          <cell r="C29" t="str">
            <v>d) Central Government Securities</v>
          </cell>
          <cell r="G29" t="str">
            <v>NIL</v>
          </cell>
          <cell r="H29" t="str">
            <v>NIL</v>
          </cell>
        </row>
        <row r="31">
          <cell r="C31" t="str">
            <v>e) State Government Securities</v>
          </cell>
          <cell r="G31" t="str">
            <v>NIL</v>
          </cell>
          <cell r="H31" t="str">
            <v>NIL</v>
          </cell>
        </row>
        <row r="33">
          <cell r="C33" t="str">
            <v>MONEY MARKET INSTRUMENTS</v>
          </cell>
        </row>
        <row r="35">
          <cell r="C35" t="str">
            <v>a) Commercial Paper</v>
          </cell>
          <cell r="G35" t="str">
            <v>NIL</v>
          </cell>
          <cell r="H35" t="str">
            <v>NIL</v>
          </cell>
        </row>
        <row r="37">
          <cell r="C37" t="str">
            <v>b) Certificate of Deposits</v>
          </cell>
          <cell r="G37" t="str">
            <v>NIL</v>
          </cell>
          <cell r="H37" t="str">
            <v>NIL</v>
          </cell>
        </row>
        <row r="39">
          <cell r="C39" t="str">
            <v>c) Treasury Bills</v>
          </cell>
          <cell r="G39" t="str">
            <v>NIL</v>
          </cell>
          <cell r="H39" t="str">
            <v>NIL</v>
          </cell>
        </row>
        <row r="41">
          <cell r="C41" t="str">
            <v>d) Bills Re- Discounting</v>
          </cell>
          <cell r="G41" t="str">
            <v>NIL</v>
          </cell>
          <cell r="H41" t="str">
            <v>NIL</v>
          </cell>
        </row>
        <row r="43">
          <cell r="C43" t="str">
            <v>OTHERS</v>
          </cell>
        </row>
        <row r="44">
          <cell r="C44" t="str">
            <v>a) Mutual Fund Units / Exchange Traded Funds</v>
          </cell>
          <cell r="G44" t="str">
            <v>NIL</v>
          </cell>
          <cell r="H44" t="str">
            <v>NIL</v>
          </cell>
        </row>
        <row r="46">
          <cell r="C46" t="str">
            <v>b) Gold</v>
          </cell>
          <cell r="G46" t="str">
            <v>NIL</v>
          </cell>
          <cell r="H46" t="str">
            <v>NIL</v>
          </cell>
        </row>
        <row r="48">
          <cell r="C48" t="str">
            <v>c) Short Term Deposits</v>
          </cell>
          <cell r="G48" t="str">
            <v>NIL</v>
          </cell>
          <cell r="H48" t="str">
            <v>NIL</v>
          </cell>
        </row>
        <row r="50">
          <cell r="C50" t="str">
            <v>d) Term Deposits Placed as Margins</v>
          </cell>
          <cell r="G50" t="str">
            <v>NIL</v>
          </cell>
          <cell r="H50" t="str">
            <v>NIL</v>
          </cell>
        </row>
        <row r="52">
          <cell r="C52" t="str">
            <v>e) TREPS / Reverse Repo Investments</v>
          </cell>
        </row>
        <row r="53">
          <cell r="B53" t="str">
            <v>110200100</v>
          </cell>
          <cell r="C53" t="str">
            <v>TREPS</v>
          </cell>
          <cell r="G53">
            <v>1109.1500000000001</v>
          </cell>
          <cell r="H53">
            <v>105.54</v>
          </cell>
        </row>
        <row r="54">
          <cell r="C54" t="str">
            <v>Total</v>
          </cell>
          <cell r="G54">
            <v>1109.1500000000001</v>
          </cell>
          <cell r="H54">
            <v>105.54</v>
          </cell>
        </row>
        <row r="56">
          <cell r="C56" t="str">
            <v>Other Current Assets / (Liabilities)</v>
          </cell>
        </row>
        <row r="57">
          <cell r="C57" t="str">
            <v>Margin amount for Derivative positions</v>
          </cell>
          <cell r="G57" t="str">
            <v>NIL</v>
          </cell>
          <cell r="H57" t="str">
            <v>NIL</v>
          </cell>
        </row>
        <row r="58">
          <cell r="C58" t="str">
            <v>Net Receivable / Payable</v>
          </cell>
          <cell r="G58">
            <v>-58.19</v>
          </cell>
          <cell r="H58">
            <v>-5.54</v>
          </cell>
        </row>
        <row r="59">
          <cell r="C59" t="str">
            <v>Total</v>
          </cell>
          <cell r="G59">
            <v>-58.19</v>
          </cell>
          <cell r="H59">
            <v>-5.54</v>
          </cell>
        </row>
        <row r="61">
          <cell r="C61" t="str">
            <v>GRAND TOTAL (AUM)</v>
          </cell>
          <cell r="G61">
            <v>1050.96</v>
          </cell>
          <cell r="H61">
            <v>100</v>
          </cell>
        </row>
      </sheetData>
      <sheetData sheetId="12">
        <row r="2">
          <cell r="C2" t="str">
            <v>SBI ALL FUNDS (LIVE &amp; MATURED)</v>
          </cell>
          <cell r="D2" t="str">
            <v>016</v>
          </cell>
          <cell r="J2" t="str">
            <v>Back to Index</v>
          </cell>
        </row>
        <row r="3">
          <cell r="C3" t="str">
            <v>SCHEME NAME :</v>
          </cell>
          <cell r="D3" t="str">
            <v>Magnum Growing Investments From Tax Saving, 1992  - Plan A</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cell r="G9" t="str">
            <v>NIL</v>
          </cell>
          <cell r="H9" t="str">
            <v>NIL</v>
          </cell>
        </row>
        <row r="11">
          <cell r="C11" t="str">
            <v>b) Unlisted</v>
          </cell>
        </row>
        <row r="12">
          <cell r="B12" t="str">
            <v>100497</v>
          </cell>
          <cell r="C12" t="str">
            <v>Indian Seamless Enterprise Ltd.</v>
          </cell>
          <cell r="D12" t="str">
            <v>INE390E01019</v>
          </cell>
          <cell r="E12" t="str">
            <v>Non - Ferrous Metals</v>
          </cell>
          <cell r="F12">
            <v>1283</v>
          </cell>
          <cell r="G12">
            <v>0</v>
          </cell>
          <cell r="H12" t="str">
            <v>#</v>
          </cell>
        </row>
        <row r="13">
          <cell r="C13" t="str">
            <v>Total</v>
          </cell>
          <cell r="G13">
            <v>0</v>
          </cell>
          <cell r="H13" t="str">
            <v>#</v>
          </cell>
        </row>
        <row r="15">
          <cell r="C15" t="str">
            <v>c) Foreign Securities and /or overseas ETF</v>
          </cell>
          <cell r="G15" t="str">
            <v>NIL</v>
          </cell>
          <cell r="H15" t="str">
            <v>NIL</v>
          </cell>
        </row>
        <row r="17">
          <cell r="C17" t="str">
            <v>DEBT INSTRUMENTS</v>
          </cell>
        </row>
        <row r="19">
          <cell r="C19" t="str">
            <v>a) Listed/awaiting listing on the stock exchanges</v>
          </cell>
          <cell r="G19" t="str">
            <v>NIL</v>
          </cell>
          <cell r="H19" t="str">
            <v>NIL</v>
          </cell>
        </row>
        <row r="21">
          <cell r="C21" t="str">
            <v>b) Privately Placed/Unlisted</v>
          </cell>
          <cell r="G21" t="str">
            <v>NIL</v>
          </cell>
          <cell r="H21" t="str">
            <v>NIL</v>
          </cell>
        </row>
        <row r="23">
          <cell r="C23" t="str">
            <v>c) Securitised Debt Instruments</v>
          </cell>
          <cell r="G23" t="str">
            <v>NIL</v>
          </cell>
          <cell r="H23" t="str">
            <v>NIL</v>
          </cell>
        </row>
        <row r="25">
          <cell r="C25" t="str">
            <v>d) Central Government Securities</v>
          </cell>
          <cell r="G25" t="str">
            <v>NIL</v>
          </cell>
          <cell r="H25" t="str">
            <v>NIL</v>
          </cell>
        </row>
        <row r="27">
          <cell r="C27" t="str">
            <v>e) State Government Securities</v>
          </cell>
          <cell r="G27" t="str">
            <v>NIL</v>
          </cell>
          <cell r="H27" t="str">
            <v>NIL</v>
          </cell>
        </row>
        <row r="29">
          <cell r="C29" t="str">
            <v>MONEY MARKET INSTRUMENTS</v>
          </cell>
        </row>
        <row r="31">
          <cell r="C31" t="str">
            <v>a) Commercial Paper</v>
          </cell>
          <cell r="G31" t="str">
            <v>NIL</v>
          </cell>
          <cell r="H31" t="str">
            <v>NIL</v>
          </cell>
        </row>
        <row r="33">
          <cell r="C33" t="str">
            <v>b) Certificate of Deposits</v>
          </cell>
          <cell r="G33" t="str">
            <v>NIL</v>
          </cell>
          <cell r="H33" t="str">
            <v>NIL</v>
          </cell>
        </row>
        <row r="35">
          <cell r="C35" t="str">
            <v>c) Treasury Bills</v>
          </cell>
          <cell r="G35" t="str">
            <v>NIL</v>
          </cell>
          <cell r="H35" t="str">
            <v>NIL</v>
          </cell>
        </row>
        <row r="37">
          <cell r="C37" t="str">
            <v>d) Bills Re- Discounting</v>
          </cell>
          <cell r="G37" t="str">
            <v>NIL</v>
          </cell>
          <cell r="H37" t="str">
            <v>NIL</v>
          </cell>
        </row>
        <row r="39">
          <cell r="C39" t="str">
            <v>OTHERS</v>
          </cell>
        </row>
        <row r="40">
          <cell r="C40" t="str">
            <v>a) Mutual Fund Units / Exchange Traded Funds</v>
          </cell>
          <cell r="G40" t="str">
            <v>NIL</v>
          </cell>
          <cell r="H40" t="str">
            <v>NIL</v>
          </cell>
        </row>
        <row r="42">
          <cell r="C42" t="str">
            <v>b) Gold</v>
          </cell>
          <cell r="G42" t="str">
            <v>NIL</v>
          </cell>
          <cell r="H42" t="str">
            <v>NIL</v>
          </cell>
        </row>
        <row r="44">
          <cell r="C44" t="str">
            <v>c) Short Term Deposits</v>
          </cell>
          <cell r="G44" t="str">
            <v>NIL</v>
          </cell>
          <cell r="H44" t="str">
            <v>NIL</v>
          </cell>
        </row>
        <row r="46">
          <cell r="C46" t="str">
            <v>d) Term Deposits Placed as Margins</v>
          </cell>
          <cell r="G46" t="str">
            <v>NIL</v>
          </cell>
          <cell r="H46" t="str">
            <v>NIL</v>
          </cell>
        </row>
        <row r="48">
          <cell r="C48" t="str">
            <v>e) TREPS / Reverse Repo Investments</v>
          </cell>
        </row>
        <row r="49">
          <cell r="B49" t="str">
            <v>110200100</v>
          </cell>
          <cell r="C49" t="str">
            <v>TREPS</v>
          </cell>
          <cell r="G49">
            <v>512.48</v>
          </cell>
          <cell r="H49">
            <v>105.04</v>
          </cell>
        </row>
        <row r="50">
          <cell r="C50" t="str">
            <v>Total</v>
          </cell>
          <cell r="G50">
            <v>512.48</v>
          </cell>
          <cell r="H50">
            <v>105.04</v>
          </cell>
        </row>
        <row r="52">
          <cell r="C52" t="str">
            <v>Other Current Assets / (Liabilities)</v>
          </cell>
        </row>
        <row r="53">
          <cell r="C53" t="str">
            <v>Margin amount for Derivative positions</v>
          </cell>
          <cell r="G53" t="str">
            <v>NIL</v>
          </cell>
          <cell r="H53" t="str">
            <v>NIL</v>
          </cell>
        </row>
        <row r="54">
          <cell r="C54" t="str">
            <v>Net Receivable / Payable</v>
          </cell>
          <cell r="G54">
            <v>-24.59</v>
          </cell>
          <cell r="H54">
            <v>-5.04</v>
          </cell>
        </row>
        <row r="55">
          <cell r="C55" t="str">
            <v>Total</v>
          </cell>
          <cell r="G55">
            <v>-24.59</v>
          </cell>
          <cell r="H55">
            <v>-5.04</v>
          </cell>
        </row>
        <row r="57">
          <cell r="C57" t="str">
            <v>GRAND TOTAL (AUM)</v>
          </cell>
          <cell r="G57">
            <v>487.89</v>
          </cell>
          <cell r="H57">
            <v>100</v>
          </cell>
        </row>
      </sheetData>
      <sheetData sheetId="13">
        <row r="2">
          <cell r="C2" t="str">
            <v>SBI ALL FUNDS (LIVE &amp; MATURED)</v>
          </cell>
          <cell r="D2" t="str">
            <v>019</v>
          </cell>
          <cell r="J2" t="str">
            <v>Back to Index</v>
          </cell>
        </row>
        <row r="3">
          <cell r="C3" t="str">
            <v>SCHEME NAME :</v>
          </cell>
          <cell r="D3" t="str">
            <v>Magnum Rising Income Scheme - 1993</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cell r="G9" t="str">
            <v>NIL</v>
          </cell>
          <cell r="H9" t="str">
            <v>NIL</v>
          </cell>
        </row>
        <row r="11">
          <cell r="C11" t="str">
            <v>b) Unlisted</v>
          </cell>
        </row>
        <row r="12">
          <cell r="B12" t="str">
            <v>100497</v>
          </cell>
          <cell r="C12" t="str">
            <v>Indian Seamless Enterprise Ltd.</v>
          </cell>
          <cell r="D12" t="str">
            <v>INE390E01019</v>
          </cell>
          <cell r="E12" t="str">
            <v>Non - Ferrous Metals</v>
          </cell>
          <cell r="F12">
            <v>22</v>
          </cell>
          <cell r="G12">
            <v>0</v>
          </cell>
          <cell r="H12" t="str">
            <v>#</v>
          </cell>
        </row>
        <row r="13">
          <cell r="B13" t="str">
            <v>100507</v>
          </cell>
          <cell r="C13" t="str">
            <v>Baroda Rayon Corporation Ltd.</v>
          </cell>
          <cell r="D13" t="str">
            <v>INE461A01024</v>
          </cell>
          <cell r="E13" t="str">
            <v>Textiles - Synthetic</v>
          </cell>
          <cell r="F13">
            <v>4</v>
          </cell>
          <cell r="G13">
            <v>0</v>
          </cell>
          <cell r="H13" t="str">
            <v>#</v>
          </cell>
        </row>
        <row r="14">
          <cell r="B14" t="str">
            <v>100508</v>
          </cell>
          <cell r="C14" t="str">
            <v>Crest Paper Mills Ltd.</v>
          </cell>
          <cell r="D14" t="str">
            <v>EQ629801XXXX</v>
          </cell>
          <cell r="E14" t="str">
            <v>Paper</v>
          </cell>
          <cell r="F14">
            <v>70400</v>
          </cell>
          <cell r="G14">
            <v>0</v>
          </cell>
          <cell r="H14" t="str">
            <v>#</v>
          </cell>
        </row>
        <row r="15">
          <cell r="B15" t="str">
            <v>100509</v>
          </cell>
          <cell r="C15" t="str">
            <v>Northland Sugar Complex Ltd.</v>
          </cell>
          <cell r="D15" t="str">
            <v>EQ627801XXXX</v>
          </cell>
          <cell r="E15" t="str">
            <v>Consumer Durables</v>
          </cell>
          <cell r="F15">
            <v>427500</v>
          </cell>
          <cell r="G15">
            <v>0</v>
          </cell>
          <cell r="H15" t="str">
            <v>#</v>
          </cell>
        </row>
        <row r="16">
          <cell r="B16" t="str">
            <v>100510</v>
          </cell>
          <cell r="C16" t="str">
            <v>Shri Bhagavati Bright Bars Ltd.</v>
          </cell>
          <cell r="D16" t="str">
            <v>EQ627901XXXX</v>
          </cell>
          <cell r="E16" t="str">
            <v>Industrial Products</v>
          </cell>
          <cell r="F16">
            <v>89500</v>
          </cell>
          <cell r="G16">
            <v>0</v>
          </cell>
          <cell r="H16" t="str">
            <v>#</v>
          </cell>
        </row>
        <row r="17">
          <cell r="B17" t="str">
            <v>100511</v>
          </cell>
          <cell r="C17" t="str">
            <v>Teaktex Processing Complex Ltd.</v>
          </cell>
          <cell r="D17" t="str">
            <v>EQ628001XXXX</v>
          </cell>
          <cell r="E17" t="str">
            <v>Textile Products</v>
          </cell>
          <cell r="F17">
            <v>94200</v>
          </cell>
          <cell r="G17">
            <v>0</v>
          </cell>
          <cell r="H17" t="str">
            <v>#</v>
          </cell>
        </row>
        <row r="18">
          <cell r="C18" t="str">
            <v>Total</v>
          </cell>
          <cell r="G18">
            <v>0</v>
          </cell>
          <cell r="H18" t="str">
            <v>#</v>
          </cell>
        </row>
        <row r="20">
          <cell r="C20" t="str">
            <v>c) Foreign Securities and /or overseas ETF</v>
          </cell>
          <cell r="G20" t="str">
            <v>NIL</v>
          </cell>
          <cell r="H20" t="str">
            <v>NIL</v>
          </cell>
        </row>
        <row r="22">
          <cell r="C22" t="str">
            <v>DEBT INSTRUMENTS</v>
          </cell>
        </row>
        <row r="24">
          <cell r="C24" t="str">
            <v>a) Listed/awaiting listing on the stock exchanges</v>
          </cell>
          <cell r="G24" t="str">
            <v>NIL</v>
          </cell>
          <cell r="H24" t="str">
            <v>NIL</v>
          </cell>
        </row>
        <row r="26">
          <cell r="C26" t="str">
            <v>b) Privately Placed/Unlisted</v>
          </cell>
          <cell r="G26" t="str">
            <v>NIL</v>
          </cell>
          <cell r="H26" t="str">
            <v>NIL</v>
          </cell>
        </row>
        <row r="28">
          <cell r="C28" t="str">
            <v>c) Securitised Debt Instruments</v>
          </cell>
          <cell r="G28" t="str">
            <v>NIL</v>
          </cell>
          <cell r="H28" t="str">
            <v>NIL</v>
          </cell>
        </row>
        <row r="30">
          <cell r="C30" t="str">
            <v>d) Central Government Securities</v>
          </cell>
          <cell r="G30" t="str">
            <v>NIL</v>
          </cell>
          <cell r="H30" t="str">
            <v>NIL</v>
          </cell>
        </row>
        <row r="32">
          <cell r="C32" t="str">
            <v>e) State Government Securities</v>
          </cell>
          <cell r="G32" t="str">
            <v>NIL</v>
          </cell>
          <cell r="H32" t="str">
            <v>NIL</v>
          </cell>
        </row>
        <row r="34">
          <cell r="C34" t="str">
            <v>MONEY MARKET INSTRUMENTS</v>
          </cell>
        </row>
        <row r="36">
          <cell r="C36" t="str">
            <v>a) Commercial Paper</v>
          </cell>
          <cell r="G36" t="str">
            <v>NIL</v>
          </cell>
          <cell r="H36" t="str">
            <v>NIL</v>
          </cell>
        </row>
        <row r="38">
          <cell r="C38" t="str">
            <v>b) Certificate of Deposits</v>
          </cell>
          <cell r="G38" t="str">
            <v>NIL</v>
          </cell>
          <cell r="H38" t="str">
            <v>NIL</v>
          </cell>
        </row>
        <row r="40">
          <cell r="C40" t="str">
            <v>c) Treasury Bills</v>
          </cell>
          <cell r="G40" t="str">
            <v>NIL</v>
          </cell>
          <cell r="H40" t="str">
            <v>NIL</v>
          </cell>
        </row>
        <row r="42">
          <cell r="C42" t="str">
            <v>d) Bills Re- Discounting</v>
          </cell>
          <cell r="G42" t="str">
            <v>NIL</v>
          </cell>
          <cell r="H42" t="str">
            <v>NIL</v>
          </cell>
        </row>
        <row r="44">
          <cell r="C44" t="str">
            <v>OTHERS</v>
          </cell>
        </row>
        <row r="45">
          <cell r="C45" t="str">
            <v>a) Mutual Fund Units / Exchange Traded Funds</v>
          </cell>
          <cell r="G45" t="str">
            <v>NIL</v>
          </cell>
          <cell r="H45" t="str">
            <v>NIL</v>
          </cell>
        </row>
        <row r="47">
          <cell r="C47" t="str">
            <v>b) Gold</v>
          </cell>
          <cell r="G47" t="str">
            <v>NIL</v>
          </cell>
          <cell r="H47" t="str">
            <v>NIL</v>
          </cell>
        </row>
        <row r="49">
          <cell r="C49" t="str">
            <v>c) Short Term Deposits</v>
          </cell>
          <cell r="G49" t="str">
            <v>NIL</v>
          </cell>
          <cell r="H49" t="str">
            <v>NIL</v>
          </cell>
        </row>
        <row r="51">
          <cell r="C51" t="str">
            <v>d) Term Deposits Placed as Margins</v>
          </cell>
          <cell r="G51" t="str">
            <v>NIL</v>
          </cell>
          <cell r="H51" t="str">
            <v>NIL</v>
          </cell>
        </row>
        <row r="53">
          <cell r="C53" t="str">
            <v>e) TREPS / Reverse Repo Investments</v>
          </cell>
        </row>
        <row r="54">
          <cell r="B54" t="str">
            <v>110200100</v>
          </cell>
          <cell r="C54" t="str">
            <v>TREPS</v>
          </cell>
          <cell r="G54">
            <v>160.76</v>
          </cell>
          <cell r="H54">
            <v>125.62</v>
          </cell>
        </row>
        <row r="55">
          <cell r="C55" t="str">
            <v>Total</v>
          </cell>
          <cell r="G55">
            <v>160.76</v>
          </cell>
          <cell r="H55">
            <v>125.62</v>
          </cell>
        </row>
        <row r="57">
          <cell r="C57" t="str">
            <v>Other Current Assets / (Liabilities)</v>
          </cell>
        </row>
        <row r="58">
          <cell r="C58" t="str">
            <v>Margin amount for Derivative positions</v>
          </cell>
          <cell r="G58" t="str">
            <v>NIL</v>
          </cell>
          <cell r="H58" t="str">
            <v>NIL</v>
          </cell>
        </row>
        <row r="59">
          <cell r="C59" t="str">
            <v>Net Receivable / Payable</v>
          </cell>
          <cell r="G59">
            <v>-32.78</v>
          </cell>
          <cell r="H59">
            <v>-25.62</v>
          </cell>
        </row>
        <row r="60">
          <cell r="C60" t="str">
            <v>Total</v>
          </cell>
          <cell r="G60">
            <v>-32.78</v>
          </cell>
          <cell r="H60">
            <v>-25.62</v>
          </cell>
        </row>
        <row r="62">
          <cell r="C62" t="str">
            <v>GRAND TOTAL (AUM)</v>
          </cell>
          <cell r="G62">
            <v>127.98</v>
          </cell>
          <cell r="H62">
            <v>100</v>
          </cell>
        </row>
      </sheetData>
      <sheetData sheetId="14">
        <row r="2">
          <cell r="C2" t="str">
            <v>SBI ALL FUNDS (LIVE &amp; MATURED)</v>
          </cell>
          <cell r="D2" t="str">
            <v>020</v>
          </cell>
          <cell r="J2" t="str">
            <v>Back to Index</v>
          </cell>
        </row>
        <row r="3">
          <cell r="C3" t="str">
            <v>SCHEME NAME :</v>
          </cell>
          <cell r="D3" t="str">
            <v>Magnum Tax Profit Scheme - 1994</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cell r="G9" t="str">
            <v>NIL</v>
          </cell>
          <cell r="H9" t="str">
            <v>NIL</v>
          </cell>
        </row>
        <row r="11">
          <cell r="C11" t="str">
            <v>b) Unlisted</v>
          </cell>
        </row>
        <row r="12">
          <cell r="B12" t="str">
            <v>100481</v>
          </cell>
          <cell r="C12" t="str">
            <v>Numero Uno International Ltd.</v>
          </cell>
          <cell r="D12" t="str">
            <v>INE703F01010</v>
          </cell>
          <cell r="E12" t="str">
            <v>Software</v>
          </cell>
          <cell r="F12">
            <v>40000</v>
          </cell>
          <cell r="G12">
            <v>0</v>
          </cell>
          <cell r="H12" t="str">
            <v>#</v>
          </cell>
        </row>
        <row r="13">
          <cell r="C13" t="str">
            <v>Total</v>
          </cell>
          <cell r="G13">
            <v>0</v>
          </cell>
          <cell r="H13" t="str">
            <v>#</v>
          </cell>
        </row>
        <row r="15">
          <cell r="C15" t="str">
            <v>c) Foreign Securities and /or overseas ETF</v>
          </cell>
          <cell r="G15" t="str">
            <v>NIL</v>
          </cell>
          <cell r="H15" t="str">
            <v>NIL</v>
          </cell>
        </row>
        <row r="17">
          <cell r="C17" t="str">
            <v>DEBT INSTRUMENTS</v>
          </cell>
        </row>
        <row r="19">
          <cell r="C19" t="str">
            <v>a) Listed/awaiting listing on the stock exchanges</v>
          </cell>
          <cell r="G19" t="str">
            <v>NIL</v>
          </cell>
          <cell r="H19" t="str">
            <v>NIL</v>
          </cell>
        </row>
        <row r="21">
          <cell r="C21" t="str">
            <v>b) Privately Placed/Unlisted</v>
          </cell>
          <cell r="G21" t="str">
            <v>NIL</v>
          </cell>
          <cell r="H21" t="str">
            <v>NIL</v>
          </cell>
        </row>
        <row r="23">
          <cell r="C23" t="str">
            <v>c) Securitised Debt Instruments</v>
          </cell>
          <cell r="G23" t="str">
            <v>NIL</v>
          </cell>
          <cell r="H23" t="str">
            <v>NIL</v>
          </cell>
        </row>
        <row r="25">
          <cell r="C25" t="str">
            <v>d) Central Government Securities</v>
          </cell>
          <cell r="G25" t="str">
            <v>NIL</v>
          </cell>
          <cell r="H25" t="str">
            <v>NIL</v>
          </cell>
        </row>
        <row r="27">
          <cell r="C27" t="str">
            <v>e) State Government Securities</v>
          </cell>
          <cell r="G27" t="str">
            <v>NIL</v>
          </cell>
          <cell r="H27" t="str">
            <v>NIL</v>
          </cell>
        </row>
        <row r="29">
          <cell r="C29" t="str">
            <v>MONEY MARKET INSTRUMENTS</v>
          </cell>
        </row>
        <row r="31">
          <cell r="C31" t="str">
            <v>a) Commercial Paper</v>
          </cell>
          <cell r="G31" t="str">
            <v>NIL</v>
          </cell>
          <cell r="H31" t="str">
            <v>NIL</v>
          </cell>
        </row>
        <row r="33">
          <cell r="C33" t="str">
            <v>b) Certificate of Deposits</v>
          </cell>
          <cell r="G33" t="str">
            <v>NIL</v>
          </cell>
          <cell r="H33" t="str">
            <v>NIL</v>
          </cell>
        </row>
        <row r="35">
          <cell r="C35" t="str">
            <v>c) Treasury Bills</v>
          </cell>
          <cell r="G35" t="str">
            <v>NIL</v>
          </cell>
          <cell r="H35" t="str">
            <v>NIL</v>
          </cell>
        </row>
        <row r="37">
          <cell r="C37" t="str">
            <v>d) Bills Re- Discounting</v>
          </cell>
          <cell r="G37" t="str">
            <v>NIL</v>
          </cell>
          <cell r="H37" t="str">
            <v>NIL</v>
          </cell>
        </row>
        <row r="39">
          <cell r="C39" t="str">
            <v>OTHERS</v>
          </cell>
        </row>
        <row r="40">
          <cell r="C40" t="str">
            <v>a) Mutual Fund Units / Exchange Traded Funds</v>
          </cell>
          <cell r="G40" t="str">
            <v>NIL</v>
          </cell>
          <cell r="H40" t="str">
            <v>NIL</v>
          </cell>
        </row>
        <row r="42">
          <cell r="C42" t="str">
            <v>b) Gold</v>
          </cell>
          <cell r="G42" t="str">
            <v>NIL</v>
          </cell>
          <cell r="H42" t="str">
            <v>NIL</v>
          </cell>
        </row>
        <row r="44">
          <cell r="C44" t="str">
            <v>c) Short Term Deposits</v>
          </cell>
          <cell r="G44" t="str">
            <v>NIL</v>
          </cell>
          <cell r="H44" t="str">
            <v>NIL</v>
          </cell>
        </row>
        <row r="46">
          <cell r="C46" t="str">
            <v>d) Term Deposits Placed as Margins</v>
          </cell>
          <cell r="G46" t="str">
            <v>NIL</v>
          </cell>
          <cell r="H46" t="str">
            <v>NIL</v>
          </cell>
        </row>
        <row r="48">
          <cell r="C48" t="str">
            <v>e) TREPS / Reverse Repo Investments</v>
          </cell>
        </row>
        <row r="49">
          <cell r="B49" t="str">
            <v>110200100</v>
          </cell>
          <cell r="C49" t="str">
            <v>TREPS</v>
          </cell>
          <cell r="G49">
            <v>417.02</v>
          </cell>
          <cell r="H49">
            <v>104.74</v>
          </cell>
        </row>
        <row r="50">
          <cell r="C50" t="str">
            <v>Total</v>
          </cell>
          <cell r="G50">
            <v>417.02</v>
          </cell>
          <cell r="H50">
            <v>104.74</v>
          </cell>
        </row>
        <row r="52">
          <cell r="C52" t="str">
            <v>Other Current Assets / (Liabilities)</v>
          </cell>
        </row>
        <row r="53">
          <cell r="C53" t="str">
            <v>Margin amount for Derivative positions</v>
          </cell>
          <cell r="G53" t="str">
            <v>NIL</v>
          </cell>
          <cell r="H53" t="str">
            <v>NIL</v>
          </cell>
        </row>
        <row r="54">
          <cell r="C54" t="str">
            <v>Net Receivable / Payable</v>
          </cell>
          <cell r="G54">
            <v>-18.87</v>
          </cell>
          <cell r="H54">
            <v>-4.74</v>
          </cell>
        </row>
        <row r="55">
          <cell r="C55" t="str">
            <v>Total</v>
          </cell>
          <cell r="G55">
            <v>-18.87</v>
          </cell>
          <cell r="H55">
            <v>-4.74</v>
          </cell>
        </row>
        <row r="57">
          <cell r="C57" t="str">
            <v>GRAND TOTAL (AUM)</v>
          </cell>
          <cell r="G57">
            <v>398.15</v>
          </cell>
          <cell r="H57">
            <v>100</v>
          </cell>
        </row>
      </sheetData>
      <sheetData sheetId="15">
        <row r="2">
          <cell r="C2" t="str">
            <v>SBI ALL FUNDS (LIVE &amp; MATURED)</v>
          </cell>
          <cell r="D2" t="str">
            <v>022</v>
          </cell>
          <cell r="J2" t="str">
            <v>Back to Index</v>
          </cell>
        </row>
        <row r="3">
          <cell r="C3" t="str">
            <v>SCHEME NAME :</v>
          </cell>
          <cell r="D3" t="str">
            <v>Magnum Bond Fund - 1994</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row>
        <row r="10">
          <cell r="B10" t="str">
            <v>100523</v>
          </cell>
          <cell r="C10" t="str">
            <v>KIOCL Ltd.</v>
          </cell>
          <cell r="D10" t="str">
            <v>INE880L01014</v>
          </cell>
          <cell r="E10" t="str">
            <v>Ferrous Metals</v>
          </cell>
          <cell r="F10">
            <v>52504</v>
          </cell>
          <cell r="G10">
            <v>65.34</v>
          </cell>
          <cell r="H10">
            <v>25.55</v>
          </cell>
        </row>
        <row r="11">
          <cell r="C11" t="str">
            <v>Total</v>
          </cell>
          <cell r="G11">
            <v>65.34</v>
          </cell>
          <cell r="H11">
            <v>25.55</v>
          </cell>
        </row>
        <row r="13">
          <cell r="C13" t="str">
            <v>b) Unlisted</v>
          </cell>
        </row>
        <row r="14">
          <cell r="B14" t="str">
            <v>100491</v>
          </cell>
          <cell r="C14" t="str">
            <v>Swede (India) Teltronic Ltd.</v>
          </cell>
          <cell r="D14" t="str">
            <v>EQ629601XXXX</v>
          </cell>
          <cell r="E14" t="str">
            <v>Consumer Durables</v>
          </cell>
          <cell r="F14">
            <v>21900</v>
          </cell>
          <cell r="G14">
            <v>0</v>
          </cell>
          <cell r="H14" t="str">
            <v>#</v>
          </cell>
        </row>
        <row r="15">
          <cell r="B15" t="str">
            <v>100520</v>
          </cell>
          <cell r="C15" t="str">
            <v>Bonanza Pharmaceuticals Ltd.</v>
          </cell>
          <cell r="D15" t="str">
            <v>EQ628101XXXX</v>
          </cell>
          <cell r="E15" t="str">
            <v>Pharmaceuticals</v>
          </cell>
          <cell r="F15">
            <v>27000</v>
          </cell>
          <cell r="G15">
            <v>0</v>
          </cell>
          <cell r="H15" t="str">
            <v>#</v>
          </cell>
        </row>
        <row r="16">
          <cell r="B16" t="str">
            <v>100521</v>
          </cell>
          <cell r="C16" t="str">
            <v>Indian Maize &amp; Chemicals Ltd.</v>
          </cell>
          <cell r="D16" t="str">
            <v>EQ622001XXXX</v>
          </cell>
          <cell r="E16" t="str">
            <v>Chemicals</v>
          </cell>
          <cell r="F16">
            <v>127600</v>
          </cell>
          <cell r="G16">
            <v>0</v>
          </cell>
          <cell r="H16" t="str">
            <v>#</v>
          </cell>
        </row>
        <row r="17">
          <cell r="B17" t="str">
            <v>100522</v>
          </cell>
          <cell r="C17" t="str">
            <v>Indian Steel Rolling Mills Ltd.</v>
          </cell>
          <cell r="D17" t="str">
            <v>EQ628201XXXX</v>
          </cell>
          <cell r="E17" t="str">
            <v>Consumer Durables</v>
          </cell>
          <cell r="F17">
            <v>16400</v>
          </cell>
          <cell r="G17">
            <v>0</v>
          </cell>
          <cell r="H17" t="str">
            <v>#</v>
          </cell>
        </row>
        <row r="18">
          <cell r="B18" t="str">
            <v>100524</v>
          </cell>
          <cell r="C18" t="str">
            <v>Tamilnadu Industrial Corporation Ltd.</v>
          </cell>
          <cell r="D18" t="str">
            <v>EQ451302XXXX</v>
          </cell>
          <cell r="E18" t="str">
            <v>Industrial Products</v>
          </cell>
          <cell r="F18">
            <v>14400</v>
          </cell>
          <cell r="G18">
            <v>0</v>
          </cell>
          <cell r="H18" t="str">
            <v>#</v>
          </cell>
        </row>
        <row r="19">
          <cell r="B19" t="str">
            <v>100525</v>
          </cell>
          <cell r="C19" t="str">
            <v>BPL Display Devices Ltd.</v>
          </cell>
          <cell r="D19" t="str">
            <v>EQ627701XXXX</v>
          </cell>
          <cell r="E19" t="str">
            <v>Consumer Durables</v>
          </cell>
          <cell r="F19">
            <v>39830</v>
          </cell>
          <cell r="G19">
            <v>0</v>
          </cell>
          <cell r="H19" t="str">
            <v>#</v>
          </cell>
        </row>
        <row r="20">
          <cell r="C20" t="str">
            <v>Total</v>
          </cell>
          <cell r="G20">
            <v>0</v>
          </cell>
          <cell r="H20" t="str">
            <v>#</v>
          </cell>
        </row>
        <row r="22">
          <cell r="C22" t="str">
            <v>c) Foreign Securities and /or overseas ETF</v>
          </cell>
          <cell r="G22" t="str">
            <v>NIL</v>
          </cell>
          <cell r="H22" t="str">
            <v>NIL</v>
          </cell>
        </row>
        <row r="24">
          <cell r="C24" t="str">
            <v>DEBT INSTRUMENTS</v>
          </cell>
        </row>
        <row r="26">
          <cell r="C26" t="str">
            <v>a) Listed/awaiting listing on the stock exchanges</v>
          </cell>
          <cell r="G26" t="str">
            <v>NIL</v>
          </cell>
          <cell r="H26" t="str">
            <v>NIL</v>
          </cell>
        </row>
        <row r="28">
          <cell r="C28" t="str">
            <v>b) Privately Placed/Unlisted</v>
          </cell>
          <cell r="G28" t="str">
            <v>NIL</v>
          </cell>
          <cell r="H28" t="str">
            <v>NIL</v>
          </cell>
        </row>
        <row r="30">
          <cell r="C30" t="str">
            <v>c) Securitised Debt Instruments</v>
          </cell>
          <cell r="G30" t="str">
            <v>NIL</v>
          </cell>
          <cell r="H30" t="str">
            <v>NIL</v>
          </cell>
        </row>
        <row r="32">
          <cell r="C32" t="str">
            <v>d) Central Government Securities</v>
          </cell>
          <cell r="G32" t="str">
            <v>NIL</v>
          </cell>
          <cell r="H32" t="str">
            <v>NIL</v>
          </cell>
        </row>
        <row r="34">
          <cell r="C34" t="str">
            <v>e) State Government Securities</v>
          </cell>
          <cell r="G34" t="str">
            <v>NIL</v>
          </cell>
          <cell r="H34" t="str">
            <v>NIL</v>
          </cell>
        </row>
        <row r="36">
          <cell r="C36" t="str">
            <v>MONEY MARKET INSTRUMENTS</v>
          </cell>
        </row>
        <row r="38">
          <cell r="C38" t="str">
            <v>a) Commercial Paper</v>
          </cell>
          <cell r="G38" t="str">
            <v>NIL</v>
          </cell>
          <cell r="H38" t="str">
            <v>NIL</v>
          </cell>
        </row>
        <row r="40">
          <cell r="C40" t="str">
            <v>b) Certificate of Deposits</v>
          </cell>
          <cell r="G40" t="str">
            <v>NIL</v>
          </cell>
          <cell r="H40" t="str">
            <v>NIL</v>
          </cell>
        </row>
        <row r="42">
          <cell r="C42" t="str">
            <v>c) Treasury Bills</v>
          </cell>
          <cell r="G42" t="str">
            <v>NIL</v>
          </cell>
          <cell r="H42" t="str">
            <v>NIL</v>
          </cell>
        </row>
        <row r="44">
          <cell r="C44" t="str">
            <v>d) Bills Re- Discounting</v>
          </cell>
          <cell r="G44" t="str">
            <v>NIL</v>
          </cell>
          <cell r="H44" t="str">
            <v>NIL</v>
          </cell>
        </row>
        <row r="46">
          <cell r="C46" t="str">
            <v>OTHERS</v>
          </cell>
        </row>
        <row r="47">
          <cell r="C47" t="str">
            <v>a) Mutual Fund Units / Exchange Traded Funds</v>
          </cell>
          <cell r="G47" t="str">
            <v>NIL</v>
          </cell>
          <cell r="H47" t="str">
            <v>NIL</v>
          </cell>
        </row>
        <row r="49">
          <cell r="C49" t="str">
            <v>b) Gold</v>
          </cell>
          <cell r="G49" t="str">
            <v>NIL</v>
          </cell>
          <cell r="H49" t="str">
            <v>NIL</v>
          </cell>
        </row>
        <row r="51">
          <cell r="C51" t="str">
            <v>c) Short Term Deposits</v>
          </cell>
          <cell r="G51" t="str">
            <v>NIL</v>
          </cell>
          <cell r="H51" t="str">
            <v>NIL</v>
          </cell>
        </row>
        <row r="53">
          <cell r="C53" t="str">
            <v>d) Term Deposits Placed as Margins</v>
          </cell>
          <cell r="G53" t="str">
            <v>NIL</v>
          </cell>
          <cell r="H53" t="str">
            <v>NIL</v>
          </cell>
        </row>
        <row r="55">
          <cell r="C55" t="str">
            <v>e) TREPS / Reverse Repo Investments</v>
          </cell>
        </row>
        <row r="56">
          <cell r="B56" t="str">
            <v>110200100</v>
          </cell>
          <cell r="C56" t="str">
            <v>TREPS</v>
          </cell>
          <cell r="G56">
            <v>205.04</v>
          </cell>
          <cell r="H56">
            <v>80.19</v>
          </cell>
        </row>
        <row r="57">
          <cell r="C57" t="str">
            <v>Total</v>
          </cell>
          <cell r="G57">
            <v>205.04</v>
          </cell>
          <cell r="H57">
            <v>80.19</v>
          </cell>
        </row>
        <row r="59">
          <cell r="C59" t="str">
            <v>Other Current Assets / (Liabilities)</v>
          </cell>
        </row>
        <row r="60">
          <cell r="C60" t="str">
            <v>Margin amount for Derivative positions</v>
          </cell>
          <cell r="G60" t="str">
            <v>NIL</v>
          </cell>
          <cell r="H60" t="str">
            <v>NIL</v>
          </cell>
        </row>
        <row r="61">
          <cell r="C61" t="str">
            <v>Net Receivable / Payable</v>
          </cell>
          <cell r="G61">
            <v>-14.67</v>
          </cell>
          <cell r="H61">
            <v>-5.74</v>
          </cell>
        </row>
        <row r="62">
          <cell r="C62" t="str">
            <v>Total</v>
          </cell>
          <cell r="G62">
            <v>-14.67</v>
          </cell>
          <cell r="H62">
            <v>-5.74</v>
          </cell>
        </row>
        <row r="64">
          <cell r="C64" t="str">
            <v>GRAND TOTAL (AUM)</v>
          </cell>
          <cell r="G64">
            <v>255.71</v>
          </cell>
          <cell r="H64">
            <v>100</v>
          </cell>
        </row>
      </sheetData>
      <sheetData sheetId="16">
        <row r="2">
          <cell r="C2" t="str">
            <v>SBI ALL FUNDS (LIVE &amp; MATURED)</v>
          </cell>
          <cell r="D2" t="str">
            <v>023</v>
          </cell>
          <cell r="J2" t="str">
            <v>Back to Index</v>
          </cell>
        </row>
        <row r="3">
          <cell r="C3" t="str">
            <v>SCHEME NAME :</v>
          </cell>
          <cell r="D3" t="str">
            <v>Magnum Equity Linked Savings Scheme - 1995</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373.1</v>
          </cell>
          <cell r="H48">
            <v>105.92</v>
          </cell>
        </row>
        <row r="49">
          <cell r="C49" t="str">
            <v>Total</v>
          </cell>
          <cell r="G49">
            <v>373.1</v>
          </cell>
          <cell r="H49">
            <v>105.92</v>
          </cell>
        </row>
        <row r="51">
          <cell r="C51" t="str">
            <v>Other Current Assets / (Liabilities)</v>
          </cell>
        </row>
        <row r="52">
          <cell r="C52" t="str">
            <v>Margin amount for Derivative positions</v>
          </cell>
          <cell r="G52" t="str">
            <v>NIL</v>
          </cell>
          <cell r="H52" t="str">
            <v>NIL</v>
          </cell>
        </row>
        <row r="53">
          <cell r="C53" t="str">
            <v>Net Receivable / Payable</v>
          </cell>
          <cell r="G53">
            <v>-20.84</v>
          </cell>
          <cell r="H53">
            <v>-5.92</v>
          </cell>
        </row>
        <row r="54">
          <cell r="C54" t="str">
            <v>Total</v>
          </cell>
          <cell r="G54">
            <v>-20.84</v>
          </cell>
          <cell r="H54">
            <v>-5.92</v>
          </cell>
        </row>
        <row r="56">
          <cell r="C56" t="str">
            <v>GRAND TOTAL (AUM)</v>
          </cell>
          <cell r="G56">
            <v>352.26</v>
          </cell>
          <cell r="H56">
            <v>100</v>
          </cell>
        </row>
      </sheetData>
      <sheetData sheetId="17">
        <row r="2">
          <cell r="C2" t="str">
            <v>SBI ALL FUNDS (LIVE &amp; MATURED)</v>
          </cell>
          <cell r="D2" t="str">
            <v>025</v>
          </cell>
          <cell r="J2" t="str">
            <v>Back to Index</v>
          </cell>
        </row>
        <row r="3">
          <cell r="C3" t="str">
            <v>SCHEME NAME :</v>
          </cell>
          <cell r="D3" t="str">
            <v>Magnum Equity Linked Savings Scheme - 1996</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149.72</v>
          </cell>
          <cell r="H48">
            <v>104.54</v>
          </cell>
        </row>
        <row r="49">
          <cell r="C49" t="str">
            <v>Total</v>
          </cell>
          <cell r="G49">
            <v>149.72</v>
          </cell>
          <cell r="H49">
            <v>104.54</v>
          </cell>
        </row>
        <row r="51">
          <cell r="C51" t="str">
            <v>Other Current Assets / (Liabilities)</v>
          </cell>
        </row>
        <row r="52">
          <cell r="C52" t="str">
            <v>Margin amount for Derivative positions</v>
          </cell>
          <cell r="G52" t="str">
            <v>NIL</v>
          </cell>
          <cell r="H52" t="str">
            <v>NIL</v>
          </cell>
        </row>
        <row r="53">
          <cell r="C53" t="str">
            <v>Net Receivable / Payable</v>
          </cell>
          <cell r="G53">
            <v>-6.49</v>
          </cell>
          <cell r="H53">
            <v>-4.54</v>
          </cell>
        </row>
        <row r="54">
          <cell r="C54" t="str">
            <v>Total</v>
          </cell>
          <cell r="G54">
            <v>-6.49</v>
          </cell>
          <cell r="H54">
            <v>-4.54</v>
          </cell>
        </row>
        <row r="56">
          <cell r="C56" t="str">
            <v>GRAND TOTAL (AUM)</v>
          </cell>
          <cell r="G56">
            <v>143.22999999999999</v>
          </cell>
          <cell r="H56">
            <v>100</v>
          </cell>
        </row>
      </sheetData>
      <sheetData sheetId="18">
        <row r="2">
          <cell r="C2" t="str">
            <v>SBI ALL FUNDS (LIVE &amp; MATURED)</v>
          </cell>
          <cell r="D2" t="str">
            <v>026</v>
          </cell>
          <cell r="J2" t="str">
            <v>Back to Index</v>
          </cell>
        </row>
        <row r="3">
          <cell r="C3" t="str">
            <v>SCHEME NAME :</v>
          </cell>
          <cell r="D3" t="str">
            <v>Magnum Monthly Income Scheme - 1997</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63.94</v>
          </cell>
          <cell r="H48">
            <v>104.14</v>
          </cell>
        </row>
        <row r="49">
          <cell r="C49" t="str">
            <v>Total</v>
          </cell>
          <cell r="G49">
            <v>63.94</v>
          </cell>
          <cell r="H49">
            <v>104.14</v>
          </cell>
        </row>
        <row r="51">
          <cell r="C51" t="str">
            <v>Other Current Assets / (Liabilities)</v>
          </cell>
        </row>
        <row r="52">
          <cell r="C52" t="str">
            <v>Margin amount for Derivative positions</v>
          </cell>
          <cell r="G52" t="str">
            <v>NIL</v>
          </cell>
          <cell r="H52" t="str">
            <v>NIL</v>
          </cell>
        </row>
        <row r="53">
          <cell r="C53" t="str">
            <v>Net Receivable / Payable</v>
          </cell>
          <cell r="G53">
            <v>-2.5499999999999998</v>
          </cell>
          <cell r="H53">
            <v>-4.1400000000000006</v>
          </cell>
        </row>
        <row r="54">
          <cell r="C54" t="str">
            <v>Total</v>
          </cell>
          <cell r="G54">
            <v>-2.5499999999999998</v>
          </cell>
          <cell r="H54">
            <v>-4.1400000000000006</v>
          </cell>
        </row>
        <row r="56">
          <cell r="C56" t="str">
            <v>GRAND TOTAL (AUM)</v>
          </cell>
          <cell r="G56">
            <v>61.39</v>
          </cell>
          <cell r="H56">
            <v>100</v>
          </cell>
        </row>
      </sheetData>
      <sheetData sheetId="19">
        <row r="2">
          <cell r="C2" t="str">
            <v>SBI ALL FUNDS (LIVE &amp; MATURED)</v>
          </cell>
          <cell r="D2" t="str">
            <v>027</v>
          </cell>
          <cell r="J2" t="str">
            <v>Back to Index</v>
          </cell>
        </row>
        <row r="3">
          <cell r="C3" t="str">
            <v>SCHEME NAME :</v>
          </cell>
          <cell r="D3" t="str">
            <v>Magnum Monthly Income Scheme - 1998 (I)</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cell r="G9" t="str">
            <v>NIL</v>
          </cell>
          <cell r="H9" t="str">
            <v>NIL</v>
          </cell>
        </row>
        <row r="11">
          <cell r="C11" t="str">
            <v>b) Unlisted</v>
          </cell>
        </row>
        <row r="12">
          <cell r="B12" t="str">
            <v>100481</v>
          </cell>
          <cell r="C12" t="str">
            <v>Numero Uno International Ltd.</v>
          </cell>
          <cell r="D12" t="str">
            <v>INE703F01010</v>
          </cell>
          <cell r="E12" t="str">
            <v>Software</v>
          </cell>
          <cell r="F12">
            <v>14000</v>
          </cell>
          <cell r="G12">
            <v>0</v>
          </cell>
          <cell r="H12" t="str">
            <v>#</v>
          </cell>
        </row>
        <row r="13">
          <cell r="C13" t="str">
            <v>Total</v>
          </cell>
          <cell r="G13">
            <v>0</v>
          </cell>
          <cell r="H13" t="str">
            <v>#</v>
          </cell>
        </row>
        <row r="15">
          <cell r="C15" t="str">
            <v>c) Foreign Securities and /or overseas ETF</v>
          </cell>
          <cell r="G15" t="str">
            <v>NIL</v>
          </cell>
          <cell r="H15" t="str">
            <v>NIL</v>
          </cell>
        </row>
        <row r="17">
          <cell r="C17" t="str">
            <v>DEBT INSTRUMENTS</v>
          </cell>
        </row>
        <row r="19">
          <cell r="C19" t="str">
            <v>a) Listed/awaiting listing on the stock exchanges</v>
          </cell>
          <cell r="G19" t="str">
            <v>NIL</v>
          </cell>
          <cell r="H19" t="str">
            <v>NIL</v>
          </cell>
        </row>
        <row r="21">
          <cell r="C21" t="str">
            <v>b) Privately Placed/Unlisted</v>
          </cell>
          <cell r="G21" t="str">
            <v>NIL</v>
          </cell>
          <cell r="H21" t="str">
            <v>NIL</v>
          </cell>
        </row>
        <row r="23">
          <cell r="C23" t="str">
            <v>c) Securitised Debt Instruments</v>
          </cell>
          <cell r="G23" t="str">
            <v>NIL</v>
          </cell>
          <cell r="H23" t="str">
            <v>NIL</v>
          </cell>
        </row>
        <row r="25">
          <cell r="C25" t="str">
            <v>d) Central Government Securities</v>
          </cell>
          <cell r="G25" t="str">
            <v>NIL</v>
          </cell>
          <cell r="H25" t="str">
            <v>NIL</v>
          </cell>
        </row>
        <row r="27">
          <cell r="C27" t="str">
            <v>e) State Government Securities</v>
          </cell>
          <cell r="G27" t="str">
            <v>NIL</v>
          </cell>
          <cell r="H27" t="str">
            <v>NIL</v>
          </cell>
        </row>
        <row r="29">
          <cell r="C29" t="str">
            <v>MONEY MARKET INSTRUMENTS</v>
          </cell>
        </row>
        <row r="31">
          <cell r="C31" t="str">
            <v>a) Commercial Paper</v>
          </cell>
          <cell r="G31" t="str">
            <v>NIL</v>
          </cell>
          <cell r="H31" t="str">
            <v>NIL</v>
          </cell>
        </row>
        <row r="33">
          <cell r="C33" t="str">
            <v>b) Certificate of Deposits</v>
          </cell>
          <cell r="G33" t="str">
            <v>NIL</v>
          </cell>
          <cell r="H33" t="str">
            <v>NIL</v>
          </cell>
        </row>
        <row r="35">
          <cell r="C35" t="str">
            <v>c) Treasury Bills</v>
          </cell>
          <cell r="G35" t="str">
            <v>NIL</v>
          </cell>
          <cell r="H35" t="str">
            <v>NIL</v>
          </cell>
        </row>
        <row r="37">
          <cell r="C37" t="str">
            <v>d) Bills Re- Discounting</v>
          </cell>
          <cell r="G37" t="str">
            <v>NIL</v>
          </cell>
          <cell r="H37" t="str">
            <v>NIL</v>
          </cell>
        </row>
        <row r="39">
          <cell r="C39" t="str">
            <v>OTHERS</v>
          </cell>
        </row>
        <row r="40">
          <cell r="C40" t="str">
            <v>a) Mutual Fund Units / Exchange Traded Funds</v>
          </cell>
          <cell r="G40" t="str">
            <v>NIL</v>
          </cell>
          <cell r="H40" t="str">
            <v>NIL</v>
          </cell>
        </row>
        <row r="42">
          <cell r="C42" t="str">
            <v>b) Gold</v>
          </cell>
          <cell r="G42" t="str">
            <v>NIL</v>
          </cell>
          <cell r="H42" t="str">
            <v>NIL</v>
          </cell>
        </row>
        <row r="44">
          <cell r="C44" t="str">
            <v>c) Short Term Deposits</v>
          </cell>
          <cell r="G44" t="str">
            <v>NIL</v>
          </cell>
          <cell r="H44" t="str">
            <v>NIL</v>
          </cell>
        </row>
        <row r="46">
          <cell r="C46" t="str">
            <v>d) Term Deposits Placed as Margins</v>
          </cell>
          <cell r="G46" t="str">
            <v>NIL</v>
          </cell>
          <cell r="H46" t="str">
            <v>NIL</v>
          </cell>
        </row>
        <row r="48">
          <cell r="C48" t="str">
            <v>e) TREPS / Reverse Repo Investments</v>
          </cell>
        </row>
        <row r="49">
          <cell r="B49" t="str">
            <v>110200100</v>
          </cell>
          <cell r="C49" t="str">
            <v>TREPS</v>
          </cell>
          <cell r="G49">
            <v>218.76</v>
          </cell>
          <cell r="H49">
            <v>100.14</v>
          </cell>
        </row>
        <row r="50">
          <cell r="C50" t="str">
            <v>Total</v>
          </cell>
          <cell r="G50">
            <v>218.76</v>
          </cell>
          <cell r="H50">
            <v>100.14</v>
          </cell>
        </row>
        <row r="52">
          <cell r="C52" t="str">
            <v>Other Current Assets / (Liabilities)</v>
          </cell>
        </row>
        <row r="53">
          <cell r="C53" t="str">
            <v>Margin amount for Derivative positions</v>
          </cell>
          <cell r="G53" t="str">
            <v>NIL</v>
          </cell>
          <cell r="H53" t="str">
            <v>NIL</v>
          </cell>
        </row>
        <row r="54">
          <cell r="C54" t="str">
            <v>Net Receivable / Payable</v>
          </cell>
          <cell r="G54">
            <v>-0.32</v>
          </cell>
          <cell r="H54">
            <v>-0.13999999999999999</v>
          </cell>
        </row>
        <row r="55">
          <cell r="C55" t="str">
            <v>Total</v>
          </cell>
          <cell r="G55">
            <v>-0.32</v>
          </cell>
          <cell r="H55">
            <v>-0.13999999999999999</v>
          </cell>
        </row>
        <row r="57">
          <cell r="C57" t="str">
            <v>GRAND TOTAL (AUM)</v>
          </cell>
          <cell r="G57">
            <v>218.44</v>
          </cell>
          <cell r="H57">
            <v>100</v>
          </cell>
        </row>
      </sheetData>
      <sheetData sheetId="20">
        <row r="2">
          <cell r="C2" t="str">
            <v>SBI ALL FUNDS (LIVE &amp; MATURED)</v>
          </cell>
          <cell r="D2" t="str">
            <v>029</v>
          </cell>
          <cell r="J2" t="str">
            <v>Back to Index</v>
          </cell>
        </row>
        <row r="3">
          <cell r="C3" t="str">
            <v>SCHEME NAME :</v>
          </cell>
          <cell r="D3" t="str">
            <v>Magnum Monthly Income Scheme - 1998 (II)</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10">
          <cell r="C10" t="str">
            <v>a) Listed/awaiting listing on Stock Exchanges</v>
          </cell>
          <cell r="G10" t="str">
            <v>NIL</v>
          </cell>
          <cell r="H10" t="str">
            <v>NIL</v>
          </cell>
        </row>
        <row r="12">
          <cell r="C12" t="str">
            <v>b) Unlisted</v>
          </cell>
          <cell r="G12" t="str">
            <v>NIL</v>
          </cell>
          <cell r="H12" t="str">
            <v>NIL</v>
          </cell>
        </row>
        <row r="14">
          <cell r="C14" t="str">
            <v>c) Foreign Securities and /or overseas ETF</v>
          </cell>
          <cell r="G14" t="str">
            <v>NIL</v>
          </cell>
          <cell r="H14" t="str">
            <v>NIL</v>
          </cell>
        </row>
        <row r="16">
          <cell r="C16" t="str">
            <v>DEBT INSTRUMENTS</v>
          </cell>
        </row>
        <row r="18">
          <cell r="C18" t="str">
            <v>a) Listed/awaiting listing on the stock exchanges</v>
          </cell>
          <cell r="G18" t="str">
            <v>NIL</v>
          </cell>
          <cell r="H18" t="str">
            <v>NIL</v>
          </cell>
        </row>
        <row r="20">
          <cell r="C20" t="str">
            <v>b) Privately Placed/Unlisted</v>
          </cell>
          <cell r="G20" t="str">
            <v>NIL</v>
          </cell>
          <cell r="H20" t="str">
            <v>NIL</v>
          </cell>
        </row>
        <row r="22">
          <cell r="C22" t="str">
            <v>c) Securitised Debt Instruments</v>
          </cell>
          <cell r="G22" t="str">
            <v>NIL</v>
          </cell>
          <cell r="H22" t="str">
            <v>NIL</v>
          </cell>
        </row>
        <row r="24">
          <cell r="C24" t="str">
            <v>d) Central Government Securities</v>
          </cell>
          <cell r="G24" t="str">
            <v>NIL</v>
          </cell>
          <cell r="H24" t="str">
            <v>NIL</v>
          </cell>
        </row>
        <row r="26">
          <cell r="C26" t="str">
            <v>e) State Government Securities</v>
          </cell>
          <cell r="G26" t="str">
            <v>NIL</v>
          </cell>
          <cell r="H26" t="str">
            <v>NIL</v>
          </cell>
        </row>
        <row r="28">
          <cell r="C28" t="str">
            <v>MONEY MARKET INSTRUMENTS</v>
          </cell>
        </row>
        <row r="30">
          <cell r="C30" t="str">
            <v>a) Commercial Paper</v>
          </cell>
          <cell r="G30" t="str">
            <v>NIL</v>
          </cell>
          <cell r="H30" t="str">
            <v>NIL</v>
          </cell>
        </row>
        <row r="32">
          <cell r="C32" t="str">
            <v>b) Certificate of Deposits</v>
          </cell>
          <cell r="G32" t="str">
            <v>NIL</v>
          </cell>
          <cell r="H32" t="str">
            <v>NIL</v>
          </cell>
        </row>
        <row r="34">
          <cell r="C34" t="str">
            <v>c) Treasury Bills</v>
          </cell>
          <cell r="G34" t="str">
            <v>NIL</v>
          </cell>
          <cell r="H34" t="str">
            <v>NIL</v>
          </cell>
        </row>
        <row r="36">
          <cell r="C36" t="str">
            <v>d) Bills Re- Discounting</v>
          </cell>
          <cell r="G36" t="str">
            <v>NIL</v>
          </cell>
          <cell r="H36" t="str">
            <v>NIL</v>
          </cell>
        </row>
        <row r="38">
          <cell r="C38" t="str">
            <v>OTHERS</v>
          </cell>
        </row>
        <row r="39">
          <cell r="C39" t="str">
            <v>a) Mutual Fund Units / Exchange Traded Funds</v>
          </cell>
          <cell r="G39" t="str">
            <v>NIL</v>
          </cell>
          <cell r="H39" t="str">
            <v>NIL</v>
          </cell>
        </row>
        <row r="41">
          <cell r="C41" t="str">
            <v>b) Gold</v>
          </cell>
          <cell r="G41" t="str">
            <v>NIL</v>
          </cell>
          <cell r="H41" t="str">
            <v>NIL</v>
          </cell>
        </row>
        <row r="43">
          <cell r="C43" t="str">
            <v>c) Short Term Deposits</v>
          </cell>
          <cell r="G43" t="str">
            <v>NIL</v>
          </cell>
          <cell r="H43" t="str">
            <v>NIL</v>
          </cell>
        </row>
        <row r="45">
          <cell r="C45" t="str">
            <v>d) Term Deposits Placed as Margins</v>
          </cell>
          <cell r="G45" t="str">
            <v>NIL</v>
          </cell>
          <cell r="H45" t="str">
            <v>NIL</v>
          </cell>
        </row>
        <row r="47">
          <cell r="C47" t="str">
            <v>e) TREPS / Reverse Repo Investments</v>
          </cell>
        </row>
        <row r="48">
          <cell r="B48" t="str">
            <v>110200100</v>
          </cell>
          <cell r="C48" t="str">
            <v>TREPS</v>
          </cell>
          <cell r="G48">
            <v>5.24</v>
          </cell>
          <cell r="H48">
            <v>82.2</v>
          </cell>
        </row>
        <row r="49">
          <cell r="C49" t="str">
            <v>Total</v>
          </cell>
          <cell r="G49">
            <v>5.24</v>
          </cell>
          <cell r="H49">
            <v>82.2</v>
          </cell>
        </row>
        <row r="51">
          <cell r="C51" t="str">
            <v>Other Current Assets / (Liabilities)</v>
          </cell>
        </row>
        <row r="52">
          <cell r="C52" t="str">
            <v>Margin amount for Derivative positions</v>
          </cell>
          <cell r="G52" t="str">
            <v>NIL</v>
          </cell>
          <cell r="H52" t="str">
            <v>NIL</v>
          </cell>
        </row>
        <row r="53">
          <cell r="C53" t="str">
            <v>Net Receivable / Payable</v>
          </cell>
          <cell r="G53">
            <v>1.1399999999999999</v>
          </cell>
          <cell r="H53">
            <v>17.8</v>
          </cell>
        </row>
        <row r="54">
          <cell r="C54" t="str">
            <v>Total</v>
          </cell>
          <cell r="G54">
            <v>1.1399999999999999</v>
          </cell>
          <cell r="H54">
            <v>17.8</v>
          </cell>
        </row>
        <row r="56">
          <cell r="C56" t="str">
            <v>GRAND TOTAL (AUM)</v>
          </cell>
          <cell r="G56">
            <v>6.38</v>
          </cell>
          <cell r="H56">
            <v>100</v>
          </cell>
        </row>
      </sheetData>
      <sheetData sheetId="21">
        <row r="2">
          <cell r="C2" t="str">
            <v>SBI ALL FUNDS (LIVE &amp; MATURED)</v>
          </cell>
          <cell r="D2" t="str">
            <v>032</v>
          </cell>
          <cell r="J2" t="str">
            <v>Back to Index</v>
          </cell>
        </row>
        <row r="3">
          <cell r="C3" t="str">
            <v>SCHEME NAME :</v>
          </cell>
          <cell r="D3" t="str">
            <v>Magnum Growth Fund - 1999</v>
          </cell>
        </row>
        <row r="4">
          <cell r="C4" t="str">
            <v>PORTFOLIO STATEMENT AS ON :</v>
          </cell>
          <cell r="D4">
            <v>44104</v>
          </cell>
        </row>
        <row r="6">
          <cell r="C6" t="str">
            <v>Name of the Instrument / Issuer</v>
          </cell>
          <cell r="D6" t="str">
            <v>ISIN</v>
          </cell>
          <cell r="E6" t="str">
            <v>Rating / Industry</v>
          </cell>
          <cell r="F6" t="str">
            <v>Quantity</v>
          </cell>
          <cell r="G6" t="str">
            <v>Market value
(Rs. in Lakhs)</v>
          </cell>
          <cell r="H6" t="str">
            <v>% to AUM</v>
          </cell>
          <cell r="I6" t="str">
            <v>YTM %</v>
          </cell>
          <cell r="J6" t="str">
            <v>Notes &amp; Symbols</v>
          </cell>
        </row>
        <row r="8">
          <cell r="C8" t="str">
            <v>EQUITY &amp; EQUITY RELATED</v>
          </cell>
        </row>
        <row r="9">
          <cell r="C9" t="str">
            <v>a) Listed/awaiting listing on Stock Exchanges</v>
          </cell>
          <cell r="G9" t="str">
            <v>NIL</v>
          </cell>
          <cell r="H9" t="str">
            <v>NIL</v>
          </cell>
        </row>
        <row r="11">
          <cell r="C11" t="str">
            <v>b) Unlisted</v>
          </cell>
        </row>
        <row r="12">
          <cell r="B12" t="str">
            <v>100480</v>
          </cell>
          <cell r="C12" t="str">
            <v>Jadoonet.Com</v>
          </cell>
          <cell r="D12" t="str">
            <v>EQ600401XXXX</v>
          </cell>
          <cell r="E12" t="str">
            <v>Software</v>
          </cell>
          <cell r="F12">
            <v>54000</v>
          </cell>
          <cell r="G12">
            <v>0</v>
          </cell>
        </row>
        <row r="13">
          <cell r="C13" t="str">
            <v>Total</v>
          </cell>
          <cell r="G13">
            <v>0</v>
          </cell>
          <cell r="H13" t="str">
            <v>#</v>
          </cell>
        </row>
        <row r="15">
          <cell r="C15" t="str">
            <v>c) Foreign Securities and /or overseas ETF</v>
          </cell>
          <cell r="G15" t="str">
            <v>NIL</v>
          </cell>
          <cell r="H15" t="str">
            <v>NIL</v>
          </cell>
        </row>
        <row r="17">
          <cell r="C17" t="str">
            <v>DEBT INSTRUMENTS</v>
          </cell>
        </row>
        <row r="19">
          <cell r="C19" t="str">
            <v>a) Listed/awaiting listing on the stock exchanges</v>
          </cell>
          <cell r="G19" t="str">
            <v>NIL</v>
          </cell>
          <cell r="H19" t="str">
            <v>NIL</v>
          </cell>
        </row>
        <row r="21">
          <cell r="C21" t="str">
            <v>b) Privately Placed/Unlisted</v>
          </cell>
          <cell r="G21" t="str">
            <v>NIL</v>
          </cell>
          <cell r="H21" t="str">
            <v>NIL</v>
          </cell>
        </row>
        <row r="23">
          <cell r="C23" t="str">
            <v>c) Securitised Debt Instruments</v>
          </cell>
          <cell r="G23" t="str">
            <v>NIL</v>
          </cell>
          <cell r="H23" t="str">
            <v>NIL</v>
          </cell>
        </row>
        <row r="25">
          <cell r="C25" t="str">
            <v>d) Central Government Securities</v>
          </cell>
          <cell r="G25" t="str">
            <v>NIL</v>
          </cell>
          <cell r="H25" t="str">
            <v>NIL</v>
          </cell>
        </row>
        <row r="27">
          <cell r="C27" t="str">
            <v>e) State Government Securities</v>
          </cell>
          <cell r="G27" t="str">
            <v>NIL</v>
          </cell>
          <cell r="H27" t="str">
            <v>NIL</v>
          </cell>
        </row>
        <row r="29">
          <cell r="C29" t="str">
            <v>MONEY MARKET INSTRUMENTS</v>
          </cell>
        </row>
        <row r="31">
          <cell r="C31" t="str">
            <v>a) Commercial Paper</v>
          </cell>
          <cell r="G31" t="str">
            <v>NIL</v>
          </cell>
          <cell r="H31" t="str">
            <v>NIL</v>
          </cell>
        </row>
        <row r="33">
          <cell r="C33" t="str">
            <v>b) Certificate of Deposits</v>
          </cell>
          <cell r="G33" t="str">
            <v>NIL</v>
          </cell>
          <cell r="H33" t="str">
            <v>NIL</v>
          </cell>
        </row>
        <row r="35">
          <cell r="C35" t="str">
            <v>c) Treasury Bills</v>
          </cell>
          <cell r="G35" t="str">
            <v>NIL</v>
          </cell>
          <cell r="H35" t="str">
            <v>NIL</v>
          </cell>
        </row>
        <row r="37">
          <cell r="C37" t="str">
            <v>d) Bills Re- Discounting</v>
          </cell>
          <cell r="G37" t="str">
            <v>NIL</v>
          </cell>
          <cell r="H37" t="str">
            <v>NIL</v>
          </cell>
        </row>
        <row r="39">
          <cell r="C39" t="str">
            <v>OTHERS</v>
          </cell>
        </row>
        <row r="41">
          <cell r="C41" t="str">
            <v>a) Mutual Fund Units / Exchange Traded Funds</v>
          </cell>
          <cell r="G41" t="str">
            <v>NIL</v>
          </cell>
          <cell r="H41" t="str">
            <v>NIL</v>
          </cell>
        </row>
        <row r="43">
          <cell r="C43" t="str">
            <v>b) Gold</v>
          </cell>
          <cell r="G43" t="str">
            <v>NIL</v>
          </cell>
          <cell r="H43" t="str">
            <v>NIL</v>
          </cell>
        </row>
        <row r="45">
          <cell r="C45" t="str">
            <v>c) Short Term Deposits</v>
          </cell>
          <cell r="G45" t="str">
            <v>NIL</v>
          </cell>
          <cell r="H45" t="str">
            <v>NIL</v>
          </cell>
        </row>
        <row r="47">
          <cell r="C47" t="str">
            <v>d) Term Deposits Placed as Margins</v>
          </cell>
          <cell r="G47" t="str">
            <v>NIL</v>
          </cell>
          <cell r="H47" t="str">
            <v>NIL</v>
          </cell>
        </row>
        <row r="49">
          <cell r="C49" t="str">
            <v>e) TREPS / Reverse Repo Investments</v>
          </cell>
          <cell r="G49" t="str">
            <v>NIL</v>
          </cell>
          <cell r="H49" t="str">
            <v>NIL</v>
          </cell>
        </row>
        <row r="51">
          <cell r="C51" t="str">
            <v>Other Current Assets / (Liabilities)</v>
          </cell>
        </row>
        <row r="52">
          <cell r="C52" t="str">
            <v>Margin amount for Derivative positions</v>
          </cell>
          <cell r="G52" t="str">
            <v>NIL</v>
          </cell>
          <cell r="H52" t="str">
            <v>NIL</v>
          </cell>
        </row>
        <row r="53">
          <cell r="C53" t="str">
            <v>Net Receivable / Payable</v>
          </cell>
          <cell r="H53">
            <v>100</v>
          </cell>
        </row>
        <row r="54">
          <cell r="C54" t="str">
            <v>Total</v>
          </cell>
          <cell r="G54">
            <v>0</v>
          </cell>
          <cell r="H54">
            <v>100</v>
          </cell>
        </row>
        <row r="56">
          <cell r="C56" t="str">
            <v>GRAND TOTAL (AUM)</v>
          </cell>
          <cell r="G56">
            <v>0</v>
          </cell>
          <cell r="H56">
            <v>100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142"/>
  <sheetViews>
    <sheetView showGridLines="0" tabSelected="1" topLeftCell="A3" zoomScale="90" zoomScaleNormal="90" workbookViewId="0">
      <selection activeCell="B4" sqref="B4"/>
    </sheetView>
  </sheetViews>
  <sheetFormatPr defaultRowHeight="15" x14ac:dyDescent="0.25"/>
  <cols>
    <col min="1" max="1" width="13.140625" bestFit="1" customWidth="1"/>
    <col min="2" max="2" width="22.5703125" bestFit="1" customWidth="1"/>
    <col min="3" max="3" width="56.7109375" bestFit="1" customWidth="1"/>
    <col min="4" max="4" width="9.85546875" bestFit="1" customWidth="1"/>
  </cols>
  <sheetData>
    <row r="1" spans="1:4" s="27" customFormat="1" ht="18.75" x14ac:dyDescent="0.3">
      <c r="A1" s="115" t="s">
        <v>12</v>
      </c>
      <c r="B1" s="115"/>
      <c r="C1" s="115"/>
    </row>
    <row r="2" spans="1:4" s="27" customFormat="1" x14ac:dyDescent="0.25"/>
    <row r="3" spans="1:4" s="27" customFormat="1" x14ac:dyDescent="0.25">
      <c r="A3" s="38" t="s">
        <v>3308</v>
      </c>
      <c r="B3" s="38" t="s">
        <v>3309</v>
      </c>
      <c r="C3" s="38" t="s">
        <v>3310</v>
      </c>
    </row>
    <row r="4" spans="1:4" x14ac:dyDescent="0.25">
      <c r="A4" s="39" t="s">
        <v>42</v>
      </c>
      <c r="B4" s="40" t="s">
        <v>3168</v>
      </c>
      <c r="C4" s="39" t="s">
        <v>43</v>
      </c>
      <c r="D4" s="64"/>
    </row>
    <row r="5" spans="1:4" x14ac:dyDescent="0.25">
      <c r="A5" s="39" t="s">
        <v>198</v>
      </c>
      <c r="B5" s="40" t="s">
        <v>3169</v>
      </c>
      <c r="C5" s="39" t="s">
        <v>199</v>
      </c>
      <c r="D5" s="64"/>
    </row>
    <row r="6" spans="1:4" x14ac:dyDescent="0.25">
      <c r="A6" s="39" t="s">
        <v>322</v>
      </c>
      <c r="B6" s="40" t="s">
        <v>3170</v>
      </c>
      <c r="C6" s="39" t="s">
        <v>323</v>
      </c>
      <c r="D6" s="64"/>
    </row>
    <row r="7" spans="1:4" x14ac:dyDescent="0.25">
      <c r="A7" s="39" t="s">
        <v>404</v>
      </c>
      <c r="B7" s="40" t="s">
        <v>3171</v>
      </c>
      <c r="C7" s="39" t="s">
        <v>405</v>
      </c>
      <c r="D7" s="64"/>
    </row>
    <row r="8" spans="1:4" x14ac:dyDescent="0.25">
      <c r="A8" s="39" t="s">
        <v>478</v>
      </c>
      <c r="B8" s="40" t="s">
        <v>3172</v>
      </c>
      <c r="C8" s="39" t="s">
        <v>479</v>
      </c>
      <c r="D8" s="64"/>
    </row>
    <row r="9" spans="1:4" x14ac:dyDescent="0.25">
      <c r="A9" s="39" t="s">
        <v>679</v>
      </c>
      <c r="B9" s="40" t="s">
        <v>3173</v>
      </c>
      <c r="C9" s="39" t="s">
        <v>680</v>
      </c>
      <c r="D9" s="64"/>
    </row>
    <row r="10" spans="1:4" x14ac:dyDescent="0.25">
      <c r="A10" s="39" t="s">
        <v>696</v>
      </c>
      <c r="B10" s="40" t="s">
        <v>3174</v>
      </c>
      <c r="C10" s="39" t="s">
        <v>697</v>
      </c>
      <c r="D10" s="64"/>
    </row>
    <row r="11" spans="1:4" x14ac:dyDescent="0.25">
      <c r="A11" s="39" t="s">
        <v>735</v>
      </c>
      <c r="B11" s="40" t="s">
        <v>3175</v>
      </c>
      <c r="C11" s="39" t="s">
        <v>736</v>
      </c>
      <c r="D11" s="64"/>
    </row>
    <row r="12" spans="1:4" x14ac:dyDescent="0.25">
      <c r="A12" s="39" t="s">
        <v>767</v>
      </c>
      <c r="B12" s="40" t="s">
        <v>3176</v>
      </c>
      <c r="C12" s="39" t="s">
        <v>768</v>
      </c>
      <c r="D12" s="64"/>
    </row>
    <row r="13" spans="1:4" x14ac:dyDescent="0.25">
      <c r="A13" s="39" t="s">
        <v>800</v>
      </c>
      <c r="B13" s="40" t="s">
        <v>3177</v>
      </c>
      <c r="C13" s="39" t="s">
        <v>801</v>
      </c>
      <c r="D13" s="64"/>
    </row>
    <row r="14" spans="1:4" x14ac:dyDescent="0.25">
      <c r="A14" s="39" t="s">
        <v>851</v>
      </c>
      <c r="B14" s="40" t="s">
        <v>3178</v>
      </c>
      <c r="C14" s="39" t="s">
        <v>852</v>
      </c>
      <c r="D14" s="64"/>
    </row>
    <row r="15" spans="1:4" x14ac:dyDescent="0.25">
      <c r="A15" s="39" t="s">
        <v>891</v>
      </c>
      <c r="B15" s="40" t="s">
        <v>3179</v>
      </c>
      <c r="C15" s="39" t="s">
        <v>892</v>
      </c>
      <c r="D15" s="64"/>
    </row>
    <row r="16" spans="1:4" x14ac:dyDescent="0.25">
      <c r="A16" s="39" t="s">
        <v>919</v>
      </c>
      <c r="B16" s="40" t="s">
        <v>3180</v>
      </c>
      <c r="C16" s="39" t="s">
        <v>920</v>
      </c>
      <c r="D16" s="64"/>
    </row>
    <row r="17" spans="1:4" x14ac:dyDescent="0.25">
      <c r="A17" s="39" t="s">
        <v>923</v>
      </c>
      <c r="B17" s="40" t="s">
        <v>3181</v>
      </c>
      <c r="C17" s="39" t="s">
        <v>924</v>
      </c>
      <c r="D17" s="64"/>
    </row>
    <row r="18" spans="1:4" x14ac:dyDescent="0.25">
      <c r="A18" s="39" t="s">
        <v>976</v>
      </c>
      <c r="B18" s="40" t="s">
        <v>3182</v>
      </c>
      <c r="C18" s="39" t="s">
        <v>977</v>
      </c>
      <c r="D18" s="64"/>
    </row>
    <row r="19" spans="1:4" x14ac:dyDescent="0.25">
      <c r="A19" s="39" t="s">
        <v>1095</v>
      </c>
      <c r="B19" s="40" t="s">
        <v>3183</v>
      </c>
      <c r="C19" s="39" t="s">
        <v>1096</v>
      </c>
      <c r="D19" s="64"/>
    </row>
    <row r="20" spans="1:4" x14ac:dyDescent="0.25">
      <c r="A20" s="39" t="s">
        <v>1100</v>
      </c>
      <c r="B20" s="40" t="s">
        <v>3184</v>
      </c>
      <c r="C20" s="39" t="s">
        <v>1101</v>
      </c>
      <c r="D20" s="64"/>
    </row>
    <row r="21" spans="1:4" x14ac:dyDescent="0.25">
      <c r="A21" s="39" t="s">
        <v>1284</v>
      </c>
      <c r="B21" s="40" t="s">
        <v>3185</v>
      </c>
      <c r="C21" s="39" t="s">
        <v>1285</v>
      </c>
      <c r="D21" s="64"/>
    </row>
    <row r="22" spans="1:4" x14ac:dyDescent="0.25">
      <c r="A22" s="39" t="s">
        <v>1349</v>
      </c>
      <c r="B22" s="40" t="s">
        <v>3186</v>
      </c>
      <c r="C22" s="39" t="s">
        <v>1350</v>
      </c>
      <c r="D22" s="64"/>
    </row>
    <row r="23" spans="1:4" x14ac:dyDescent="0.25">
      <c r="A23" s="39" t="s">
        <v>1363</v>
      </c>
      <c r="B23" s="40" t="s">
        <v>3187</v>
      </c>
      <c r="C23" s="39" t="s">
        <v>1364</v>
      </c>
      <c r="D23" s="64"/>
    </row>
    <row r="24" spans="1:4" x14ac:dyDescent="0.25">
      <c r="A24" s="39" t="s">
        <v>1373</v>
      </c>
      <c r="B24" s="40" t="s">
        <v>3188</v>
      </c>
      <c r="C24" s="39" t="s">
        <v>1374</v>
      </c>
      <c r="D24" s="64"/>
    </row>
    <row r="25" spans="1:4" x14ac:dyDescent="0.25">
      <c r="A25" s="39" t="s">
        <v>1482</v>
      </c>
      <c r="B25" s="40" t="s">
        <v>3189</v>
      </c>
      <c r="C25" s="39" t="s">
        <v>1483</v>
      </c>
      <c r="D25" s="64"/>
    </row>
    <row r="26" spans="1:4" x14ac:dyDescent="0.25">
      <c r="A26" s="39" t="s">
        <v>1533</v>
      </c>
      <c r="B26" s="40" t="s">
        <v>3190</v>
      </c>
      <c r="C26" s="39" t="s">
        <v>1534</v>
      </c>
      <c r="D26" s="64"/>
    </row>
    <row r="27" spans="1:4" x14ac:dyDescent="0.25">
      <c r="A27" s="39" t="s">
        <v>1535</v>
      </c>
      <c r="B27" s="40" t="s">
        <v>3191</v>
      </c>
      <c r="C27" s="39" t="s">
        <v>1536</v>
      </c>
      <c r="D27" s="64"/>
    </row>
    <row r="28" spans="1:4" x14ac:dyDescent="0.25">
      <c r="A28" s="39" t="s">
        <v>1561</v>
      </c>
      <c r="B28" s="40" t="s">
        <v>3192</v>
      </c>
      <c r="C28" s="39" t="s">
        <v>1562</v>
      </c>
      <c r="D28" s="64"/>
    </row>
    <row r="29" spans="1:4" x14ac:dyDescent="0.25">
      <c r="A29" s="39" t="s">
        <v>1563</v>
      </c>
      <c r="B29" s="40" t="s">
        <v>3193</v>
      </c>
      <c r="C29" s="39" t="s">
        <v>1564</v>
      </c>
      <c r="D29" s="64"/>
    </row>
    <row r="30" spans="1:4" x14ac:dyDescent="0.25">
      <c r="A30" s="39" t="s">
        <v>1571</v>
      </c>
      <c r="B30" s="40" t="s">
        <v>3194</v>
      </c>
      <c r="C30" s="39" t="s">
        <v>1572</v>
      </c>
      <c r="D30" s="64"/>
    </row>
    <row r="31" spans="1:4" x14ac:dyDescent="0.25">
      <c r="A31" s="39" t="s">
        <v>1639</v>
      </c>
      <c r="B31" s="40" t="s">
        <v>3195</v>
      </c>
      <c r="C31" s="39" t="s">
        <v>1640</v>
      </c>
      <c r="D31" s="64"/>
    </row>
    <row r="32" spans="1:4" x14ac:dyDescent="0.25">
      <c r="A32" s="39" t="s">
        <v>1644</v>
      </c>
      <c r="B32" s="40" t="s">
        <v>3196</v>
      </c>
      <c r="C32" s="39" t="s">
        <v>1645</v>
      </c>
      <c r="D32" s="64"/>
    </row>
    <row r="33" spans="1:4" x14ac:dyDescent="0.25">
      <c r="A33" s="39" t="s">
        <v>1690</v>
      </c>
      <c r="B33" s="40" t="s">
        <v>3197</v>
      </c>
      <c r="C33" s="39" t="s">
        <v>1691</v>
      </c>
      <c r="D33" s="64"/>
    </row>
    <row r="34" spans="1:4" x14ac:dyDescent="0.25">
      <c r="A34" s="39" t="s">
        <v>1695</v>
      </c>
      <c r="B34" s="40" t="s">
        <v>3198</v>
      </c>
      <c r="C34" s="39" t="s">
        <v>1696</v>
      </c>
      <c r="D34" s="64"/>
    </row>
    <row r="35" spans="1:4" x14ac:dyDescent="0.25">
      <c r="A35" s="39" t="s">
        <v>1840</v>
      </c>
      <c r="B35" s="40" t="s">
        <v>3199</v>
      </c>
      <c r="C35" s="39" t="s">
        <v>1841</v>
      </c>
      <c r="D35" s="64"/>
    </row>
    <row r="36" spans="1:4" x14ac:dyDescent="0.25">
      <c r="A36" s="39" t="s">
        <v>1992</v>
      </c>
      <c r="B36" s="40" t="s">
        <v>3200</v>
      </c>
      <c r="C36" s="39" t="s">
        <v>1637</v>
      </c>
      <c r="D36" s="64"/>
    </row>
    <row r="37" spans="1:4" x14ac:dyDescent="0.25">
      <c r="A37" s="39" t="s">
        <v>1796</v>
      </c>
      <c r="B37" s="40" t="s">
        <v>3201</v>
      </c>
      <c r="C37" s="39" t="s">
        <v>1996</v>
      </c>
      <c r="D37" s="64"/>
    </row>
    <row r="38" spans="1:4" x14ac:dyDescent="0.25">
      <c r="A38" s="39" t="s">
        <v>2011</v>
      </c>
      <c r="B38" s="40" t="s">
        <v>3202</v>
      </c>
      <c r="C38" s="39" t="s">
        <v>2012</v>
      </c>
      <c r="D38" s="64"/>
    </row>
    <row r="39" spans="1:4" x14ac:dyDescent="0.25">
      <c r="A39" s="39" t="s">
        <v>2013</v>
      </c>
      <c r="B39" s="40" t="s">
        <v>3203</v>
      </c>
      <c r="C39" s="39" t="s">
        <v>2014</v>
      </c>
      <c r="D39" s="64"/>
    </row>
    <row r="40" spans="1:4" x14ac:dyDescent="0.25">
      <c r="A40" s="39" t="s">
        <v>2027</v>
      </c>
      <c r="B40" s="40" t="s">
        <v>3204</v>
      </c>
      <c r="C40" s="39" t="s">
        <v>2028</v>
      </c>
      <c r="D40" s="64"/>
    </row>
    <row r="41" spans="1:4" x14ac:dyDescent="0.25">
      <c r="A41" s="39" t="s">
        <v>2029</v>
      </c>
      <c r="B41" s="40" t="s">
        <v>3205</v>
      </c>
      <c r="C41" s="39" t="s">
        <v>2030</v>
      </c>
      <c r="D41" s="64"/>
    </row>
    <row r="42" spans="1:4" x14ac:dyDescent="0.25">
      <c r="A42" s="39" t="s">
        <v>2070</v>
      </c>
      <c r="B42" s="40" t="s">
        <v>3206</v>
      </c>
      <c r="C42" s="39" t="s">
        <v>2071</v>
      </c>
      <c r="D42" s="64"/>
    </row>
    <row r="43" spans="1:4" x14ac:dyDescent="0.25">
      <c r="A43" s="39" t="s">
        <v>2199</v>
      </c>
      <c r="B43" s="40" t="s">
        <v>3207</v>
      </c>
      <c r="C43" s="39" t="s">
        <v>2200</v>
      </c>
      <c r="D43" s="64"/>
    </row>
    <row r="44" spans="1:4" x14ac:dyDescent="0.25">
      <c r="A44" s="39" t="s">
        <v>2201</v>
      </c>
      <c r="B44" s="40" t="s">
        <v>3208</v>
      </c>
      <c r="C44" s="39" t="s">
        <v>2202</v>
      </c>
      <c r="D44" s="64"/>
    </row>
    <row r="45" spans="1:4" x14ac:dyDescent="0.25">
      <c r="A45" s="39" t="s">
        <v>2206</v>
      </c>
      <c r="B45" s="40" t="s">
        <v>3209</v>
      </c>
      <c r="C45" s="39" t="s">
        <v>2207</v>
      </c>
      <c r="D45" s="64"/>
    </row>
    <row r="46" spans="1:4" x14ac:dyDescent="0.25">
      <c r="A46" s="39" t="s">
        <v>2211</v>
      </c>
      <c r="B46" s="40" t="s">
        <v>3210</v>
      </c>
      <c r="C46" s="39" t="s">
        <v>2212</v>
      </c>
      <c r="D46" s="64"/>
    </row>
    <row r="47" spans="1:4" x14ac:dyDescent="0.25">
      <c r="A47" s="39" t="s">
        <v>2010</v>
      </c>
      <c r="B47" s="40" t="s">
        <v>3211</v>
      </c>
      <c r="C47" s="39" t="s">
        <v>2213</v>
      </c>
      <c r="D47" s="64"/>
    </row>
    <row r="48" spans="1:4" x14ac:dyDescent="0.25">
      <c r="A48" s="39" t="s">
        <v>1904</v>
      </c>
      <c r="B48" s="40" t="s">
        <v>3212</v>
      </c>
      <c r="C48" s="39" t="s">
        <v>2219</v>
      </c>
      <c r="D48" s="64"/>
    </row>
    <row r="49" spans="1:4" x14ac:dyDescent="0.25">
      <c r="A49" s="39" t="s">
        <v>2221</v>
      </c>
      <c r="B49" s="40" t="s">
        <v>3213</v>
      </c>
      <c r="C49" s="39" t="s">
        <v>2222</v>
      </c>
      <c r="D49" s="64"/>
    </row>
    <row r="50" spans="1:4" x14ac:dyDescent="0.25">
      <c r="A50" s="39" t="s">
        <v>2226</v>
      </c>
      <c r="B50" s="40" t="s">
        <v>3214</v>
      </c>
      <c r="C50" s="39" t="s">
        <v>2227</v>
      </c>
      <c r="D50" s="64"/>
    </row>
    <row r="51" spans="1:4" x14ac:dyDescent="0.25">
      <c r="A51" s="39" t="s">
        <v>2233</v>
      </c>
      <c r="B51" s="40" t="s">
        <v>3215</v>
      </c>
      <c r="C51" s="39" t="s">
        <v>2234</v>
      </c>
      <c r="D51" s="64"/>
    </row>
    <row r="52" spans="1:4" x14ac:dyDescent="0.25">
      <c r="A52" s="39" t="s">
        <v>2251</v>
      </c>
      <c r="B52" s="40" t="s">
        <v>3216</v>
      </c>
      <c r="C52" s="39" t="s">
        <v>2252</v>
      </c>
      <c r="D52" s="64"/>
    </row>
    <row r="53" spans="1:4" x14ac:dyDescent="0.25">
      <c r="A53" s="39" t="s">
        <v>2260</v>
      </c>
      <c r="B53" s="40" t="s">
        <v>3217</v>
      </c>
      <c r="C53" s="39" t="s">
        <v>2261</v>
      </c>
      <c r="D53" s="64"/>
    </row>
    <row r="54" spans="1:4" x14ac:dyDescent="0.25">
      <c r="A54" s="39" t="s">
        <v>2262</v>
      </c>
      <c r="B54" s="40" t="s">
        <v>3218</v>
      </c>
      <c r="C54" s="39" t="s">
        <v>2263</v>
      </c>
      <c r="D54" s="64"/>
    </row>
    <row r="55" spans="1:4" x14ac:dyDescent="0.25">
      <c r="A55" s="39" t="s">
        <v>2267</v>
      </c>
      <c r="B55" s="40" t="s">
        <v>3219</v>
      </c>
      <c r="C55" s="39" t="s">
        <v>2268</v>
      </c>
      <c r="D55" s="64"/>
    </row>
    <row r="56" spans="1:4" x14ac:dyDescent="0.25">
      <c r="A56" s="39" t="s">
        <v>2269</v>
      </c>
      <c r="B56" s="40" t="s">
        <v>3220</v>
      </c>
      <c r="C56" s="39" t="s">
        <v>2270</v>
      </c>
      <c r="D56" s="64"/>
    </row>
    <row r="57" spans="1:4" x14ac:dyDescent="0.25">
      <c r="A57" s="39" t="s">
        <v>2271</v>
      </c>
      <c r="B57" s="40" t="s">
        <v>3221</v>
      </c>
      <c r="C57" s="39" t="s">
        <v>2272</v>
      </c>
      <c r="D57" s="64"/>
    </row>
    <row r="58" spans="1:4" x14ac:dyDescent="0.25">
      <c r="A58" s="39" t="s">
        <v>2276</v>
      </c>
      <c r="B58" s="40" t="s">
        <v>3222</v>
      </c>
      <c r="C58" s="39" t="s">
        <v>2277</v>
      </c>
      <c r="D58" s="64"/>
    </row>
    <row r="59" spans="1:4" x14ac:dyDescent="0.25">
      <c r="A59" s="39" t="s">
        <v>2238</v>
      </c>
      <c r="B59" s="40" t="s">
        <v>3223</v>
      </c>
      <c r="C59" s="39" t="s">
        <v>2298</v>
      </c>
      <c r="D59" s="64"/>
    </row>
    <row r="60" spans="1:4" x14ac:dyDescent="0.25">
      <c r="A60" s="39" t="s">
        <v>2237</v>
      </c>
      <c r="B60" s="40" t="s">
        <v>3224</v>
      </c>
      <c r="C60" s="39" t="s">
        <v>2341</v>
      </c>
      <c r="D60" s="64"/>
    </row>
    <row r="61" spans="1:4" x14ac:dyDescent="0.25">
      <c r="A61" s="39" t="s">
        <v>2342</v>
      </c>
      <c r="B61" s="40" t="s">
        <v>3225</v>
      </c>
      <c r="C61" s="39" t="s">
        <v>2343</v>
      </c>
      <c r="D61" s="64"/>
    </row>
    <row r="62" spans="1:4" x14ac:dyDescent="0.25">
      <c r="A62" s="39" t="s">
        <v>2239</v>
      </c>
      <c r="B62" s="40" t="s">
        <v>3226</v>
      </c>
      <c r="C62" s="39" t="s">
        <v>2359</v>
      </c>
      <c r="D62" s="64"/>
    </row>
    <row r="63" spans="1:4" x14ac:dyDescent="0.25">
      <c r="A63" s="39" t="s">
        <v>2379</v>
      </c>
      <c r="B63" s="40" t="s">
        <v>3227</v>
      </c>
      <c r="C63" s="39" t="s">
        <v>2380</v>
      </c>
      <c r="D63" s="64"/>
    </row>
    <row r="64" spans="1:4" x14ac:dyDescent="0.25">
      <c r="A64" s="39" t="s">
        <v>2385</v>
      </c>
      <c r="B64" s="40" t="s">
        <v>3228</v>
      </c>
      <c r="C64" s="39" t="s">
        <v>2386</v>
      </c>
      <c r="D64" s="64"/>
    </row>
    <row r="65" spans="1:4" x14ac:dyDescent="0.25">
      <c r="A65" s="39" t="s">
        <v>2391</v>
      </c>
      <c r="B65" s="40" t="s">
        <v>3229</v>
      </c>
      <c r="C65" s="39" t="s">
        <v>2392</v>
      </c>
      <c r="D65" s="64"/>
    </row>
    <row r="66" spans="1:4" x14ac:dyDescent="0.25">
      <c r="A66" s="39" t="s">
        <v>2401</v>
      </c>
      <c r="B66" s="40" t="s">
        <v>3230</v>
      </c>
      <c r="C66" s="39" t="s">
        <v>2402</v>
      </c>
      <c r="D66" s="64"/>
    </row>
    <row r="67" spans="1:4" x14ac:dyDescent="0.25">
      <c r="A67" s="39" t="s">
        <v>2416</v>
      </c>
      <c r="B67" s="40" t="s">
        <v>3231</v>
      </c>
      <c r="C67" s="39" t="s">
        <v>2417</v>
      </c>
      <c r="D67" s="64"/>
    </row>
    <row r="68" spans="1:4" x14ac:dyDescent="0.25">
      <c r="A68" s="39" t="s">
        <v>2241</v>
      </c>
      <c r="B68" s="40" t="s">
        <v>3232</v>
      </c>
      <c r="C68" s="39" t="s">
        <v>2433</v>
      </c>
      <c r="D68" s="64"/>
    </row>
    <row r="69" spans="1:4" x14ac:dyDescent="0.25">
      <c r="A69" s="39" t="s">
        <v>2436</v>
      </c>
      <c r="B69" s="40" t="s">
        <v>3233</v>
      </c>
      <c r="C69" s="39" t="s">
        <v>2437</v>
      </c>
      <c r="D69" s="64"/>
    </row>
    <row r="70" spans="1:4" x14ac:dyDescent="0.25">
      <c r="A70" s="39" t="s">
        <v>2438</v>
      </c>
      <c r="B70" s="40" t="s">
        <v>3234</v>
      </c>
      <c r="C70" s="39" t="s">
        <v>2439</v>
      </c>
      <c r="D70" s="64"/>
    </row>
    <row r="71" spans="1:4" x14ac:dyDescent="0.25">
      <c r="A71" s="39" t="s">
        <v>2462</v>
      </c>
      <c r="B71" s="40" t="s">
        <v>3235</v>
      </c>
      <c r="C71" s="39" t="s">
        <v>2463</v>
      </c>
      <c r="D71" s="64"/>
    </row>
    <row r="72" spans="1:4" x14ac:dyDescent="0.25">
      <c r="A72" s="39" t="s">
        <v>2482</v>
      </c>
      <c r="B72" s="40" t="s">
        <v>3236</v>
      </c>
      <c r="C72" s="39" t="s">
        <v>2483</v>
      </c>
      <c r="D72" s="64"/>
    </row>
    <row r="73" spans="1:4" x14ac:dyDescent="0.25">
      <c r="A73" s="39" t="s">
        <v>2500</v>
      </c>
      <c r="B73" s="40" t="s">
        <v>3237</v>
      </c>
      <c r="C73" s="39" t="s">
        <v>2501</v>
      </c>
      <c r="D73" s="64"/>
    </row>
    <row r="74" spans="1:4" x14ac:dyDescent="0.25">
      <c r="A74" s="39" t="s">
        <v>2511</v>
      </c>
      <c r="B74" s="40" t="s">
        <v>3238</v>
      </c>
      <c r="C74" s="39" t="s">
        <v>2512</v>
      </c>
      <c r="D74" s="64"/>
    </row>
    <row r="75" spans="1:4" x14ac:dyDescent="0.25">
      <c r="A75" s="39" t="s">
        <v>2531</v>
      </c>
      <c r="B75" s="40" t="s">
        <v>3239</v>
      </c>
      <c r="C75" s="39" t="s">
        <v>2532</v>
      </c>
      <c r="D75" s="64"/>
    </row>
    <row r="76" spans="1:4" x14ac:dyDescent="0.25">
      <c r="A76" s="39" t="s">
        <v>2542</v>
      </c>
      <c r="B76" s="40" t="s">
        <v>3240</v>
      </c>
      <c r="C76" s="39" t="s">
        <v>2543</v>
      </c>
      <c r="D76" s="64"/>
    </row>
    <row r="77" spans="1:4" x14ac:dyDescent="0.25">
      <c r="A77" s="39" t="s">
        <v>2554</v>
      </c>
      <c r="B77" s="40" t="s">
        <v>3241</v>
      </c>
      <c r="C77" s="39" t="s">
        <v>2555</v>
      </c>
      <c r="D77" s="64"/>
    </row>
    <row r="78" spans="1:4" x14ac:dyDescent="0.25">
      <c r="A78" s="39" t="s">
        <v>2566</v>
      </c>
      <c r="B78" s="40" t="s">
        <v>3242</v>
      </c>
      <c r="C78" s="39" t="s">
        <v>2567</v>
      </c>
      <c r="D78" s="64"/>
    </row>
    <row r="79" spans="1:4" x14ac:dyDescent="0.25">
      <c r="A79" s="39" t="s">
        <v>2583</v>
      </c>
      <c r="B79" s="40" t="s">
        <v>3243</v>
      </c>
      <c r="C79" s="39" t="s">
        <v>2584</v>
      </c>
      <c r="D79" s="64"/>
    </row>
    <row r="80" spans="1:4" x14ac:dyDescent="0.25">
      <c r="A80" s="39" t="s">
        <v>2586</v>
      </c>
      <c r="B80" s="40" t="s">
        <v>3244</v>
      </c>
      <c r="C80" s="39" t="s">
        <v>2587</v>
      </c>
      <c r="D80" s="64"/>
    </row>
    <row r="81" spans="1:4" x14ac:dyDescent="0.25">
      <c r="A81" s="39" t="s">
        <v>890</v>
      </c>
      <c r="B81" s="40" t="s">
        <v>3245</v>
      </c>
      <c r="C81" s="39" t="s">
        <v>2594</v>
      </c>
      <c r="D81" s="64"/>
    </row>
    <row r="82" spans="1:4" x14ac:dyDescent="0.25">
      <c r="A82" s="39" t="s">
        <v>944</v>
      </c>
      <c r="B82" s="40" t="s">
        <v>3246</v>
      </c>
      <c r="C82" s="39" t="s">
        <v>2602</v>
      </c>
      <c r="D82" s="64"/>
    </row>
    <row r="83" spans="1:4" x14ac:dyDescent="0.25">
      <c r="A83" s="39" t="s">
        <v>2619</v>
      </c>
      <c r="B83" s="40" t="s">
        <v>3247</v>
      </c>
      <c r="C83" s="39" t="s">
        <v>2620</v>
      </c>
      <c r="D83" s="64"/>
    </row>
    <row r="84" spans="1:4" x14ac:dyDescent="0.25">
      <c r="A84" s="39" t="s">
        <v>2630</v>
      </c>
      <c r="B84" s="40" t="s">
        <v>3248</v>
      </c>
      <c r="C84" s="39" t="s">
        <v>2631</v>
      </c>
      <c r="D84" s="64"/>
    </row>
    <row r="85" spans="1:4" x14ac:dyDescent="0.25">
      <c r="A85" s="39" t="s">
        <v>2650</v>
      </c>
      <c r="B85" s="40" t="s">
        <v>3249</v>
      </c>
      <c r="C85" s="39" t="s">
        <v>2651</v>
      </c>
      <c r="D85" s="64"/>
    </row>
    <row r="86" spans="1:4" x14ac:dyDescent="0.25">
      <c r="A86" s="39" t="s">
        <v>2666</v>
      </c>
      <c r="B86" s="40" t="s">
        <v>3250</v>
      </c>
      <c r="C86" s="39" t="s">
        <v>2667</v>
      </c>
      <c r="D86" s="64"/>
    </row>
    <row r="87" spans="1:4" x14ac:dyDescent="0.25">
      <c r="A87" s="39" t="s">
        <v>2680</v>
      </c>
      <c r="B87" s="40" t="s">
        <v>3251</v>
      </c>
      <c r="C87" s="39" t="s">
        <v>2681</v>
      </c>
      <c r="D87" s="64"/>
    </row>
    <row r="88" spans="1:4" x14ac:dyDescent="0.25">
      <c r="A88" s="39" t="s">
        <v>2684</v>
      </c>
      <c r="B88" s="40" t="s">
        <v>3252</v>
      </c>
      <c r="C88" s="39" t="s">
        <v>2685</v>
      </c>
      <c r="D88" s="64"/>
    </row>
    <row r="89" spans="1:4" x14ac:dyDescent="0.25">
      <c r="A89" s="39" t="s">
        <v>2694</v>
      </c>
      <c r="B89" s="40" t="s">
        <v>3253</v>
      </c>
      <c r="C89" s="39" t="s">
        <v>2695</v>
      </c>
      <c r="D89" s="64"/>
    </row>
    <row r="90" spans="1:4" x14ac:dyDescent="0.25">
      <c r="A90" s="39" t="s">
        <v>2704</v>
      </c>
      <c r="B90" s="40" t="s">
        <v>3254</v>
      </c>
      <c r="C90" s="39" t="s">
        <v>2705</v>
      </c>
      <c r="D90" s="64"/>
    </row>
    <row r="91" spans="1:4" x14ac:dyDescent="0.25">
      <c r="A91" s="39" t="s">
        <v>2235</v>
      </c>
      <c r="B91" s="40" t="s">
        <v>3255</v>
      </c>
      <c r="C91" s="39" t="s">
        <v>2708</v>
      </c>
      <c r="D91" s="64"/>
    </row>
    <row r="92" spans="1:4" x14ac:dyDescent="0.25">
      <c r="A92" s="39" t="s">
        <v>2714</v>
      </c>
      <c r="B92" s="40" t="s">
        <v>3256</v>
      </c>
      <c r="C92" s="39" t="s">
        <v>2715</v>
      </c>
      <c r="D92" s="64"/>
    </row>
    <row r="93" spans="1:4" x14ac:dyDescent="0.25">
      <c r="A93" s="39" t="s">
        <v>2748</v>
      </c>
      <c r="B93" s="40" t="s">
        <v>3257</v>
      </c>
      <c r="C93" s="39" t="s">
        <v>2749</v>
      </c>
      <c r="D93" s="64"/>
    </row>
    <row r="94" spans="1:4" x14ac:dyDescent="0.25">
      <c r="A94" s="39" t="s">
        <v>2898</v>
      </c>
      <c r="B94" s="40" t="s">
        <v>3258</v>
      </c>
      <c r="C94" s="39" t="s">
        <v>2899</v>
      </c>
      <c r="D94" s="64"/>
    </row>
    <row r="95" spans="1:4" x14ac:dyDescent="0.25">
      <c r="A95" s="39" t="s">
        <v>2909</v>
      </c>
      <c r="B95" s="40" t="s">
        <v>3259</v>
      </c>
      <c r="C95" s="39" t="s">
        <v>2910</v>
      </c>
      <c r="D95" s="64"/>
    </row>
    <row r="96" spans="1:4" x14ac:dyDescent="0.25">
      <c r="A96" s="39" t="s">
        <v>1889</v>
      </c>
      <c r="B96" s="40" t="s">
        <v>3260</v>
      </c>
      <c r="C96" s="39" t="s">
        <v>2911</v>
      </c>
      <c r="D96" s="64"/>
    </row>
    <row r="97" spans="1:4" x14ac:dyDescent="0.25">
      <c r="A97" s="39" t="s">
        <v>2917</v>
      </c>
      <c r="B97" s="40" t="s">
        <v>3261</v>
      </c>
      <c r="C97" s="39" t="s">
        <v>2918</v>
      </c>
      <c r="D97" s="64"/>
    </row>
    <row r="98" spans="1:4" x14ac:dyDescent="0.25">
      <c r="A98" s="39" t="s">
        <v>2921</v>
      </c>
      <c r="B98" s="40" t="s">
        <v>3262</v>
      </c>
      <c r="C98" s="39" t="s">
        <v>2922</v>
      </c>
      <c r="D98" s="64"/>
    </row>
    <row r="99" spans="1:4" x14ac:dyDescent="0.25">
      <c r="A99" s="39" t="s">
        <v>2236</v>
      </c>
      <c r="B99" s="40" t="s">
        <v>3263</v>
      </c>
      <c r="C99" s="39" t="s">
        <v>2929</v>
      </c>
      <c r="D99" s="64"/>
    </row>
    <row r="100" spans="1:4" x14ac:dyDescent="0.25">
      <c r="A100" s="39" t="s">
        <v>2933</v>
      </c>
      <c r="B100" s="40" t="s">
        <v>3264</v>
      </c>
      <c r="C100" s="39" t="s">
        <v>2934</v>
      </c>
      <c r="D100" s="64"/>
    </row>
    <row r="101" spans="1:4" x14ac:dyDescent="0.25">
      <c r="A101" s="39" t="s">
        <v>2937</v>
      </c>
      <c r="B101" s="40" t="s">
        <v>3265</v>
      </c>
      <c r="C101" s="39" t="s">
        <v>2938</v>
      </c>
      <c r="D101" s="64"/>
    </row>
    <row r="102" spans="1:4" x14ac:dyDescent="0.25">
      <c r="A102" s="39" t="s">
        <v>2941</v>
      </c>
      <c r="B102" s="40" t="s">
        <v>3266</v>
      </c>
      <c r="C102" s="39" t="s">
        <v>2942</v>
      </c>
      <c r="D102" s="64"/>
    </row>
    <row r="103" spans="1:4" x14ac:dyDescent="0.25">
      <c r="A103" s="39" t="s">
        <v>2943</v>
      </c>
      <c r="B103" s="40" t="s">
        <v>3267</v>
      </c>
      <c r="C103" s="39" t="s">
        <v>2944</v>
      </c>
      <c r="D103" s="64"/>
    </row>
    <row r="104" spans="1:4" x14ac:dyDescent="0.25">
      <c r="A104" s="39" t="s">
        <v>2572</v>
      </c>
      <c r="B104" s="40" t="s">
        <v>3268</v>
      </c>
      <c r="C104" s="39" t="s">
        <v>2946</v>
      </c>
      <c r="D104" s="64"/>
    </row>
    <row r="105" spans="1:4" x14ac:dyDescent="0.25">
      <c r="A105" s="39" t="s">
        <v>2958</v>
      </c>
      <c r="B105" s="40" t="s">
        <v>3269</v>
      </c>
      <c r="C105" s="39" t="s">
        <v>2959</v>
      </c>
      <c r="D105" s="64"/>
    </row>
    <row r="106" spans="1:4" x14ac:dyDescent="0.25">
      <c r="A106" s="39" t="s">
        <v>2978</v>
      </c>
      <c r="B106" s="40" t="s">
        <v>3270</v>
      </c>
      <c r="C106" s="39" t="s">
        <v>2979</v>
      </c>
      <c r="D106" s="64"/>
    </row>
    <row r="107" spans="1:4" x14ac:dyDescent="0.25">
      <c r="A107" s="39" t="s">
        <v>2984</v>
      </c>
      <c r="B107" s="40" t="s">
        <v>3271</v>
      </c>
      <c r="C107" s="39" t="s">
        <v>2985</v>
      </c>
      <c r="D107" s="64"/>
    </row>
    <row r="108" spans="1:4" x14ac:dyDescent="0.25">
      <c r="A108" s="39" t="s">
        <v>2986</v>
      </c>
      <c r="B108" s="40" t="s">
        <v>3272</v>
      </c>
      <c r="C108" s="39" t="s">
        <v>2987</v>
      </c>
      <c r="D108" s="64"/>
    </row>
    <row r="109" spans="1:4" x14ac:dyDescent="0.25">
      <c r="A109" s="39" t="s">
        <v>2998</v>
      </c>
      <c r="B109" s="40" t="s">
        <v>3273</v>
      </c>
      <c r="C109" s="39" t="s">
        <v>2999</v>
      </c>
      <c r="D109" s="64"/>
    </row>
    <row r="110" spans="1:4" x14ac:dyDescent="0.25">
      <c r="A110" s="39" t="s">
        <v>3006</v>
      </c>
      <c r="B110" s="40" t="s">
        <v>3274</v>
      </c>
      <c r="C110" s="39" t="s">
        <v>3007</v>
      </c>
      <c r="D110" s="64"/>
    </row>
    <row r="111" spans="1:4" x14ac:dyDescent="0.25">
      <c r="A111" s="39" t="s">
        <v>3012</v>
      </c>
      <c r="B111" s="40" t="s">
        <v>3275</v>
      </c>
      <c r="C111" s="39" t="s">
        <v>3013</v>
      </c>
      <c r="D111" s="64"/>
    </row>
    <row r="112" spans="1:4" x14ac:dyDescent="0.25">
      <c r="A112" s="39" t="s">
        <v>1886</v>
      </c>
      <c r="B112" s="40" t="s">
        <v>3276</v>
      </c>
      <c r="C112" s="39" t="s">
        <v>3020</v>
      </c>
      <c r="D112" s="64"/>
    </row>
    <row r="113" spans="1:4" x14ac:dyDescent="0.25">
      <c r="A113" s="39" t="s">
        <v>580</v>
      </c>
      <c r="B113" s="40" t="s">
        <v>3277</v>
      </c>
      <c r="C113" s="39" t="s">
        <v>3031</v>
      </c>
      <c r="D113" s="64"/>
    </row>
    <row r="114" spans="1:4" x14ac:dyDescent="0.25">
      <c r="A114" s="39" t="s">
        <v>3038</v>
      </c>
      <c r="B114" s="40" t="s">
        <v>3278</v>
      </c>
      <c r="C114" s="39" t="s">
        <v>3039</v>
      </c>
      <c r="D114" s="64"/>
    </row>
    <row r="115" spans="1:4" x14ac:dyDescent="0.25">
      <c r="A115" s="39" t="s">
        <v>2945</v>
      </c>
      <c r="B115" s="40" t="s">
        <v>3279</v>
      </c>
      <c r="C115" s="39" t="s">
        <v>3040</v>
      </c>
      <c r="D115" s="64"/>
    </row>
    <row r="116" spans="1:4" x14ac:dyDescent="0.25">
      <c r="A116" s="39" t="s">
        <v>3043</v>
      </c>
      <c r="B116" s="40" t="s">
        <v>3280</v>
      </c>
      <c r="C116" s="39" t="s">
        <v>3044</v>
      </c>
      <c r="D116" s="64"/>
    </row>
    <row r="117" spans="1:4" x14ac:dyDescent="0.25">
      <c r="A117" s="39" t="s">
        <v>3045</v>
      </c>
      <c r="B117" s="40" t="s">
        <v>3281</v>
      </c>
      <c r="C117" s="39" t="s">
        <v>3046</v>
      </c>
      <c r="D117" s="64"/>
    </row>
    <row r="118" spans="1:4" x14ac:dyDescent="0.25">
      <c r="A118" s="39" t="s">
        <v>3051</v>
      </c>
      <c r="B118" s="40" t="s">
        <v>3282</v>
      </c>
      <c r="C118" s="39" t="s">
        <v>3052</v>
      </c>
      <c r="D118" s="64"/>
    </row>
    <row r="119" spans="1:4" x14ac:dyDescent="0.25">
      <c r="A119" s="39" t="s">
        <v>3053</v>
      </c>
      <c r="B119" s="40" t="s">
        <v>3283</v>
      </c>
      <c r="C119" s="39" t="s">
        <v>3054</v>
      </c>
      <c r="D119" s="64"/>
    </row>
    <row r="120" spans="1:4" x14ac:dyDescent="0.25">
      <c r="A120" s="39" t="s">
        <v>3055</v>
      </c>
      <c r="B120" s="40" t="s">
        <v>3284</v>
      </c>
      <c r="C120" s="39" t="s">
        <v>3056</v>
      </c>
      <c r="D120" s="64"/>
    </row>
    <row r="121" spans="1:4" x14ac:dyDescent="0.25">
      <c r="A121" s="39" t="s">
        <v>3061</v>
      </c>
      <c r="B121" s="40" t="s">
        <v>3285</v>
      </c>
      <c r="C121" s="39" t="s">
        <v>3062</v>
      </c>
      <c r="D121" s="64"/>
    </row>
    <row r="122" spans="1:4" x14ac:dyDescent="0.25">
      <c r="A122" s="39" t="s">
        <v>681</v>
      </c>
      <c r="B122" s="40" t="s">
        <v>3286</v>
      </c>
      <c r="C122" s="39" t="s">
        <v>3063</v>
      </c>
      <c r="D122" s="64"/>
    </row>
    <row r="123" spans="1:4" x14ac:dyDescent="0.25">
      <c r="A123" s="39" t="s">
        <v>3068</v>
      </c>
      <c r="B123" s="40" t="s">
        <v>3287</v>
      </c>
      <c r="C123" s="39" t="s">
        <v>3069</v>
      </c>
      <c r="D123" s="64"/>
    </row>
    <row r="124" spans="1:4" x14ac:dyDescent="0.25">
      <c r="A124" s="39" t="s">
        <v>3072</v>
      </c>
      <c r="B124" s="40" t="s">
        <v>3288</v>
      </c>
      <c r="C124" s="39" t="s">
        <v>3073</v>
      </c>
      <c r="D124" s="64"/>
    </row>
    <row r="125" spans="1:4" x14ac:dyDescent="0.25">
      <c r="A125" s="39" t="s">
        <v>3078</v>
      </c>
      <c r="B125" s="40" t="s">
        <v>3289</v>
      </c>
      <c r="C125" s="39" t="s">
        <v>3079</v>
      </c>
      <c r="D125" s="64"/>
    </row>
    <row r="126" spans="1:4" x14ac:dyDescent="0.25">
      <c r="A126" s="39" t="s">
        <v>3086</v>
      </c>
      <c r="B126" s="40" t="s">
        <v>3290</v>
      </c>
      <c r="C126" s="39" t="s">
        <v>3087</v>
      </c>
      <c r="D126" s="64"/>
    </row>
    <row r="127" spans="1:4" x14ac:dyDescent="0.25">
      <c r="A127" s="39" t="s">
        <v>3090</v>
      </c>
      <c r="B127" s="40" t="s">
        <v>3291</v>
      </c>
      <c r="C127" s="39" t="s">
        <v>3091</v>
      </c>
      <c r="D127" s="64"/>
    </row>
    <row r="128" spans="1:4" x14ac:dyDescent="0.25">
      <c r="A128" s="39" t="s">
        <v>3092</v>
      </c>
      <c r="B128" s="40" t="s">
        <v>3292</v>
      </c>
      <c r="C128" s="39" t="s">
        <v>3093</v>
      </c>
      <c r="D128" s="64"/>
    </row>
    <row r="129" spans="1:4" x14ac:dyDescent="0.25">
      <c r="A129" s="39" t="s">
        <v>3094</v>
      </c>
      <c r="B129" s="40" t="s">
        <v>3293</v>
      </c>
      <c r="C129" s="39" t="s">
        <v>3095</v>
      </c>
      <c r="D129" s="64"/>
    </row>
    <row r="130" spans="1:4" x14ac:dyDescent="0.25">
      <c r="A130" s="39" t="s">
        <v>3100</v>
      </c>
      <c r="B130" s="40" t="s">
        <v>3294</v>
      </c>
      <c r="C130" s="39" t="s">
        <v>3101</v>
      </c>
      <c r="D130" s="64"/>
    </row>
    <row r="131" spans="1:4" x14ac:dyDescent="0.25">
      <c r="A131" s="39" t="s">
        <v>2240</v>
      </c>
      <c r="B131" s="40" t="s">
        <v>3295</v>
      </c>
      <c r="C131" s="39" t="s">
        <v>3104</v>
      </c>
      <c r="D131" s="64"/>
    </row>
    <row r="132" spans="1:4" x14ac:dyDescent="0.25">
      <c r="A132" s="39" t="s">
        <v>3105</v>
      </c>
      <c r="B132" s="40" t="s">
        <v>3296</v>
      </c>
      <c r="C132" s="39" t="s">
        <v>3106</v>
      </c>
      <c r="D132" s="64"/>
    </row>
    <row r="133" spans="1:4" x14ac:dyDescent="0.25">
      <c r="A133" s="39" t="s">
        <v>3107</v>
      </c>
      <c r="B133" s="40" t="s">
        <v>3297</v>
      </c>
      <c r="C133" s="39" t="s">
        <v>3108</v>
      </c>
      <c r="D133" s="64"/>
    </row>
    <row r="134" spans="1:4" x14ac:dyDescent="0.25">
      <c r="A134" s="39" t="s">
        <v>3116</v>
      </c>
      <c r="B134" s="40" t="s">
        <v>3298</v>
      </c>
      <c r="C134" s="39" t="s">
        <v>3117</v>
      </c>
      <c r="D134" s="64"/>
    </row>
    <row r="135" spans="1:4" x14ac:dyDescent="0.25">
      <c r="A135" s="39" t="s">
        <v>3121</v>
      </c>
      <c r="B135" s="40" t="s">
        <v>3299</v>
      </c>
      <c r="C135" s="39" t="s">
        <v>3122</v>
      </c>
      <c r="D135" s="64"/>
    </row>
    <row r="136" spans="1:4" x14ac:dyDescent="0.25">
      <c r="A136" s="39" t="s">
        <v>3130</v>
      </c>
      <c r="B136" s="40" t="s">
        <v>3300</v>
      </c>
      <c r="C136" s="39" t="s">
        <v>3131</v>
      </c>
      <c r="D136" s="64"/>
    </row>
    <row r="137" spans="1:4" x14ac:dyDescent="0.25">
      <c r="A137" s="39" t="s">
        <v>3135</v>
      </c>
      <c r="B137" s="40" t="s">
        <v>3301</v>
      </c>
      <c r="C137" s="39" t="s">
        <v>3136</v>
      </c>
      <c r="D137" s="64"/>
    </row>
    <row r="138" spans="1:4" x14ac:dyDescent="0.25">
      <c r="A138" s="39" t="s">
        <v>3148</v>
      </c>
      <c r="B138" s="40" t="s">
        <v>3302</v>
      </c>
      <c r="C138" s="39" t="s">
        <v>3149</v>
      </c>
      <c r="D138" s="64"/>
    </row>
    <row r="139" spans="1:4" x14ac:dyDescent="0.25">
      <c r="A139" s="39" t="s">
        <v>3153</v>
      </c>
      <c r="B139" s="40" t="s">
        <v>3303</v>
      </c>
      <c r="C139" s="39" t="s">
        <v>3154</v>
      </c>
      <c r="D139" s="64"/>
    </row>
    <row r="140" spans="1:4" x14ac:dyDescent="0.25">
      <c r="A140" s="39" t="s">
        <v>2585</v>
      </c>
      <c r="B140" s="40" t="s">
        <v>3304</v>
      </c>
      <c r="C140" s="39" t="s">
        <v>3155</v>
      </c>
      <c r="D140" s="64"/>
    </row>
    <row r="141" spans="1:4" x14ac:dyDescent="0.25">
      <c r="A141" s="39" t="s">
        <v>3159</v>
      </c>
      <c r="B141" s="40" t="s">
        <v>3305</v>
      </c>
      <c r="C141" s="39" t="s">
        <v>3160</v>
      </c>
      <c r="D141" s="64"/>
    </row>
    <row r="142" spans="1:4" x14ac:dyDescent="0.25">
      <c r="A142" s="39" t="s">
        <v>2923</v>
      </c>
      <c r="B142" s="40" t="s">
        <v>3306</v>
      </c>
      <c r="C142" s="39" t="s">
        <v>3161</v>
      </c>
      <c r="D142" s="64"/>
    </row>
  </sheetData>
  <mergeCells count="1">
    <mergeCell ref="A1:C1"/>
  </mergeCells>
  <hyperlinks>
    <hyperlink ref="B4" location="'SMEEF'!A1" display="'SMEEF'!A1"/>
    <hyperlink ref="B5" location="'SLMF'!A1" display="'SLMF'!A1"/>
    <hyperlink ref="B6" location="'SLTEF'!A1" display="'SLTEF'!A1"/>
    <hyperlink ref="B7" location="'SMGLF'!A1" display="'SMGLF'!A1"/>
    <hyperlink ref="B8" location="'SEHF'!A1" display="'SEHF'!A1"/>
    <hyperlink ref="B9" location="'SMIF'!A1" display="'SMIF'!A1"/>
    <hyperlink ref="B10" location="'SCOF'!A1" display="'SCOF'!A1"/>
    <hyperlink ref="B11" location="'STOF'!A1" display="'STOF'!A1"/>
    <hyperlink ref="B12" location="'SHOF'!A1" display="'SHOF'!A1"/>
    <hyperlink ref="B13" location="'SCF'!A1" display="'SCF'!A1"/>
    <hyperlink ref="B14" location="'SNIF'!A1" display="'SNIF'!A1"/>
    <hyperlink ref="B15" location="'SMCBF'!A1" display="'SMCBF'!A1"/>
    <hyperlink ref="B16" location="'SOF'!A1" display="'SOF'!A1"/>
    <hyperlink ref="B17" location="'SMMDF'!A1" display="'SMMDF'!A1"/>
    <hyperlink ref="B18" location="'SLF'!A1" display="'SLF'!A1"/>
    <hyperlink ref="B19" location="'SDBF'!A1" display="'SDBF'!A1"/>
    <hyperlink ref="B20" location="'SSF'!A1" display="'SSF'!A1"/>
    <hyperlink ref="B21" location="'SCRF'!A1" display="'SCRF'!A1"/>
    <hyperlink ref="B22" location="'SFEF'!A1" display="'SFEF'!A1"/>
    <hyperlink ref="B23" location="'SDHF'!A1" display="'SDHF'!A1"/>
    <hyperlink ref="B24" location="'SMUSD'!A1" display="'SMUSD'!A1"/>
    <hyperlink ref="B25" location="'SMIDCAP'!A1" display="'SMIDCAP'!A1"/>
    <hyperlink ref="B26" location="'SMCMF'!A1" display="'SMCMF'!A1"/>
    <hyperlink ref="B27" location="'SMCOMMA'!A1" display="'SMCOMMA'!A1"/>
    <hyperlink ref="B28" location="'SMGF'!A1" display="'SMGF'!A1"/>
    <hyperlink ref="B29" location="'SMMULTI'!A1" display="'SMMULTI'!A1"/>
    <hyperlink ref="B30" location="'SMAAF'!A1" display="'SMAAF'!A1"/>
    <hyperlink ref="B31" location="'SBLUECHIP'!A1" display="'SBLUECHIP'!A1"/>
    <hyperlink ref="B32" location="'SAOF'!A1" display="'SAOF'!A1"/>
    <hyperlink ref="B33" location="'SIF'!A1" display="'SIF'!A1"/>
    <hyperlink ref="B34" location="'SMLDF'!A1" display="'SMLDF'!A1"/>
    <hyperlink ref="B35" location="'SSTDF'!A1" display="'SSTDF'!A1"/>
    <hyperlink ref="B36" location="'SETF-Gold'!A1" display="'SETF-Gold'!A1"/>
    <hyperlink ref="B37" location="'SPSU'!A1" display="'SPSU'!A1"/>
    <hyperlink ref="B38" location="'SGF'!A1" display="'SGF'!A1"/>
    <hyperlink ref="B39" location="'STAF-II'!A1" display="'STAF-II'!A1"/>
    <hyperlink ref="B40" location="'SETF-SENSEX'!A1" display="'SETF-SENSEX'!A1"/>
    <hyperlink ref="B41" location="'SSCF'!A1" display="'SSCF'!A1"/>
    <hyperlink ref="B42" location="'SBPF'!A1" display="'SBPF'!A1"/>
    <hyperlink ref="B43" location="'STAF-III'!A1" display="'STAF-III'!A1"/>
    <hyperlink ref="B44" location="'SEOF-I'!A1" display="'SEOF-I'!A1"/>
    <hyperlink ref="B45" location="'SLTAF-I'!A1" display="'SLTAF-I'!A1"/>
    <hyperlink ref="B46" location="'SLTAF-II'!A1" display="'SLTAF-II'!A1"/>
    <hyperlink ref="B47" location="'SBFS'!A1" display="'SBFS'!A1"/>
    <hyperlink ref="B48" location="'SDAAF'!A1" display="'SDAAF'!A1"/>
    <hyperlink ref="B49" location="'SETF-NN50'!A1" display="'SETF-NN50'!A1"/>
    <hyperlink ref="B50" location="'SETF-NBank'!A1" display="'SETF-NBank'!A1"/>
    <hyperlink ref="B51" location="'SETF-BSE 100'!A1" display="'SETF-BSE 100'!A1"/>
    <hyperlink ref="B52" location="'SESF'!A1" display="'SESF'!A1"/>
    <hyperlink ref="B53" location="'SETF-Nifty 50'!A1" display="'SETF-Nifty 50'!A1"/>
    <hyperlink ref="B54" location="'SEOF-IV'!A1" display="'SEOF-IV'!A1"/>
    <hyperlink ref="B55" location="'SLTAF-III'!A1" display="'SLTAF-III'!A1"/>
    <hyperlink ref="B56" location="'SETF-10 Yr Gilt'!A1" display="'SETF-10 Yr Gilt'!A1"/>
    <hyperlink ref="B57" location="'SLTAF-IV'!A1" display="'SLTAF-IV'!A1"/>
    <hyperlink ref="B58" location="'SDAFS-XXIV'!A1" display="'SDAFS-XXIV'!A1"/>
    <hyperlink ref="B59" location="'SDAFS-XXV'!A1" display="'SDAFS-XXV'!A1"/>
    <hyperlink ref="B60" location="'SLTAF-V'!A1" display="'SLTAF-V'!A1"/>
    <hyperlink ref="B61" location="'SDFS-C-7'!A1" display="'SDFS-C-7'!A1"/>
    <hyperlink ref="B62" location="'SDAFS-XXVI'!A1" display="'SDAFS-XXVI'!A1"/>
    <hyperlink ref="B63" location="'SDFS-C-8'!A1" display="'SDFS-C-8'!A1"/>
    <hyperlink ref="B64" location="'SDFS-C-9'!A1" display="'SDFS-C-9'!A1"/>
    <hyperlink ref="B65" location="'SDFS-C-10'!A1" display="'SDFS-C-10'!A1"/>
    <hyperlink ref="B66" location="'SDAFS-XXVII'!A1" display="'SDAFS-XXVII'!A1"/>
    <hyperlink ref="B67" location="'SDFS-C-12'!A1" display="'SDFS-C-12'!A1"/>
    <hyperlink ref="B68" location="'SDFS-C-14'!A1" display="'SDFS-C-14'!A1"/>
    <hyperlink ref="B69" location="'SLTAF-VI'!A1" display="'SLTAF-VI'!A1"/>
    <hyperlink ref="B70" location="'SDAFS-XXVIII'!A1" display="'SDAFS-XXVIII'!A1"/>
    <hyperlink ref="B71" location="'SDFS-C-16'!A1" display="'SDFS-C-16'!A1"/>
    <hyperlink ref="B72" location="'SDFS-C-18'!A1" display="'SDFS-C-18'!A1"/>
    <hyperlink ref="B73" location="'SDFS-C-19'!A1" display="'SDFS-C-19'!A1"/>
    <hyperlink ref="B74" location="'SDAFS-XXIX'!A1" display="'SDAFS-XXIX'!A1"/>
    <hyperlink ref="B75" location="'SDFS-C-20'!A1" display="'SDFS-C-20'!A1"/>
    <hyperlink ref="B76" location="'SDFS-C-21'!A1" display="'SDFS-C-21'!A1"/>
    <hyperlink ref="B77" location="'SDFS-C-22'!A1" display="'SDFS-C-22'!A1"/>
    <hyperlink ref="B78" location="'SDFS-C-23'!A1" display="'SDFS-C-23'!A1"/>
    <hyperlink ref="B79" location="'SETF-SN50'!A1" display="'SETF-SN50'!A1"/>
    <hyperlink ref="B80" location="'SDFS-C-24'!A1" display="'SDFS-C-24'!A1"/>
    <hyperlink ref="B81" location="'SDFS-C-25'!A1" display="'SDFS-C-25'!A1"/>
    <hyperlink ref="B82" location="'SDAFS-XXX'!A1" display="'SDAFS-XXX'!A1"/>
    <hyperlink ref="B83" location="'SDFS-C-26'!A1" display="'SDFS-C-26'!A1"/>
    <hyperlink ref="B84" location="'SDFS-C-27'!A1" display="'SDFS-C-27'!A1"/>
    <hyperlink ref="B85" location="'SDFS-C-28'!A1" display="'SDFS-C-28'!A1"/>
    <hyperlink ref="B86" location="'SDFS-C-30'!A1" display="'SDFS-C-30'!A1"/>
    <hyperlink ref="B87" location="'SETF-Quality'!A1" display="'SETF-Quality'!A1"/>
    <hyperlink ref="B88" location="'SDFS-C-32'!A1" display="'SDFS-C-32'!A1"/>
    <hyperlink ref="B89" location="'SDFS-C-33'!A1" display="'SDFS-C-33'!A1"/>
    <hyperlink ref="B90" location="'SDFS-C-34'!A1" display="'SDFS-C-34'!A1"/>
    <hyperlink ref="B91" location="'SDFS-C-35'!A1" display="'SDFS-C-35'!A1"/>
    <hyperlink ref="B92" location="'SDFS-C-38'!A1" display="'SDFS-C-38'!A1"/>
    <hyperlink ref="B93" location="'SCBF'!A1" display="'SCBF'!A1"/>
    <hyperlink ref="B94" location="'SDFS-C-40'!A1" display="'SDFS-C-40'!A1"/>
    <hyperlink ref="B95" location="'SDFS-C-41'!A1" display="'SDFS-C-41'!A1"/>
    <hyperlink ref="B96" location="'SDFS-C-43'!A1" display="'SDFS-C-43'!A1"/>
    <hyperlink ref="B97" location="'SDFS-C-44'!A1" display="'SDFS-C-44'!A1"/>
    <hyperlink ref="B98" location="'SCPOF-A1'!A1" display="'SCPOF-A1'!A1"/>
    <hyperlink ref="B99" location="'SDFS-C-46'!A1" display="'SDFS-C-46'!A1"/>
    <hyperlink ref="B100" location="'SEMVF'!A1" display="'SEMVF'!A1"/>
    <hyperlink ref="B101" location="'SDFS-C-48'!A1" display="'SDFS-C-48'!A1"/>
    <hyperlink ref="B102" location="'SDFS-C-49'!A1" display="'SDFS-C-49'!A1"/>
    <hyperlink ref="B103" location="'SCPOF-Series A (Plan 2)'!A1" display="'SCPOF-Series A (Plan 2)'!A1"/>
    <hyperlink ref="B104" location="'SDFS-C-50'!A1" display="'SDFS-C-50'!A1"/>
    <hyperlink ref="B105" location="'SFMP- Series 1'!A1" display="'SFMP- Series 1'!A1"/>
    <hyperlink ref="B106" location="'SFMP- Series 2'!A1" display="'SFMP- Series 2'!A1"/>
    <hyperlink ref="B107" location="'SFMP- Series 3'!A1" display="'SFMP- Series 3'!A1"/>
    <hyperlink ref="B108" location="'SCPOF-Series A (Plan 3)'!A1" display="'SCPOF-Series A (Plan 3)'!A1"/>
    <hyperlink ref="B109" location="'SFMP- Series 6'!A1" display="'SFMP- Series 6'!A1"/>
    <hyperlink ref="B110" location="'SFMP- Series 7'!A1" display="'SFMP- Series 7'!A1"/>
    <hyperlink ref="B111" location="'SFMP- Series 8'!A1" display="'SFMP- Series 8'!A1"/>
    <hyperlink ref="B112" location="'SCPOF-Series A (Plan 4)'!A1" display="'SCPOF-Series A (Plan 4)'!A1"/>
    <hyperlink ref="B113" location="'SFMP- Series 9'!A1" display="'SFMP- Series 9'!A1"/>
    <hyperlink ref="B114" location="'SFMP- Series 10'!A1" display="'SFMP- Series 10'!A1"/>
    <hyperlink ref="B115" location="'SFMP- Series 11'!A1" display="'SFMP- Series 11'!A1"/>
    <hyperlink ref="B116" location="'SFMP- Series 12'!A1" display="'SFMP- Series 12'!A1"/>
    <hyperlink ref="B117" location="'SFMP- Series 13'!A1" display="'SFMP- Series 13'!A1"/>
    <hyperlink ref="B118" location="'SFMP- Series 14'!A1" display="'SFMP- Series 14'!A1"/>
    <hyperlink ref="B119" location="'SFMP- Series 15'!A1" display="'SFMP- Series 15'!A1"/>
    <hyperlink ref="B120" location="'SFMP- Series 16'!A1" display="'SFMP- Series 16'!A1"/>
    <hyperlink ref="B121" location="'SFMP- Series 17'!A1" display="'SFMP- Series 17'!A1"/>
    <hyperlink ref="B122" location="'SCPOF-Series A (Plan 5)'!A1" display="'SCPOF-Series A (Plan 5)'!A1"/>
    <hyperlink ref="B123" location="'SFMP- Series 18'!A1" display="'SFMP- Series 18'!A1"/>
    <hyperlink ref="B124" location="'SCPOF-Series A (Plan 6)'!A1" display="'SCPOF-Series A (Plan 6)'!A1"/>
    <hyperlink ref="B125" location="'SFMP- Series 19'!A1" display="'SFMP- Series 19'!A1"/>
    <hyperlink ref="B126" location="'SFMP- Series 20'!A1" display="'SFMP- Series 20'!A1"/>
    <hyperlink ref="B127" location="'SFMP- Series 21'!A1" display="'SFMP- Series 21'!A1"/>
    <hyperlink ref="B128" location="'SFMP- Series 22'!A1" display="'SFMP- Series 22'!A1"/>
    <hyperlink ref="B129" location="'SFMP- Series 23'!A1" display="'SFMP- Series 23'!A1"/>
    <hyperlink ref="B130" location="'SFMP- Series 24'!A1" display="'SFMP- Series 24'!A1"/>
    <hyperlink ref="B131" location="'SFMP- Series 25'!A1" display="'SFMP- Series 25'!A1"/>
    <hyperlink ref="B132" location="'SFMP- Series 26'!A1" display="'SFMP- Series 26'!A1"/>
    <hyperlink ref="B133" location="'SFMP- Series 27'!A1" display="'SFMP- Series 27'!A1"/>
    <hyperlink ref="B134" location="'SCPOF-Series A (Plan 7)'!A1" display="'SCPOF-Series A (Plan 7)'!A1"/>
    <hyperlink ref="B135" location="'SFMP- Series 28'!A1" display="'SFMP- Series 28'!A1"/>
    <hyperlink ref="B136" location="'SCPOF-Series A (Plan 8)'!A1" display="'SCPOF-Series A (Plan 8)'!A1"/>
    <hyperlink ref="B137" location="'SFMP- Series 31'!A1" display="'SFMP- Series 31'!A1"/>
    <hyperlink ref="B138" location="'SFMP- Series 32'!A1" display="'SFMP- Series 32'!A1"/>
    <hyperlink ref="B139" location="'SFMP- Series 33'!A1" display="'SFMP- Series 33'!A1"/>
    <hyperlink ref="B140" location="'SFMP- Series 34'!A1" display="'SFMP- Series 34'!A1"/>
    <hyperlink ref="B141" location="'SMCBF-Investment Plan'!A1" display="'SMCBF-Investment Plan'!A1"/>
    <hyperlink ref="B142" location="'SBIRIOS'!A1" display="'SBIRIOS'!A1"/>
  </hyperlink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18"/>
  <sheetViews>
    <sheetView showGridLines="0" zoomScale="90" zoomScaleNormal="90" workbookViewId="0">
      <pane ySplit="6" topLeftCell="A103" activePane="bottomLeft" state="frozen"/>
      <selection pane="bottomLeft"/>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42</v>
      </c>
      <c r="J2" s="37" t="s">
        <v>3307</v>
      </c>
    </row>
    <row r="3" spans="1:10" ht="16.5" x14ac:dyDescent="0.3">
      <c r="C3" s="1" t="s">
        <v>24</v>
      </c>
      <c r="D3" s="21" t="s">
        <v>43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2650000</v>
      </c>
      <c r="G10" s="24">
        <v>26718.63</v>
      </c>
      <c r="H10" s="24">
        <v>9.7799999999999994</v>
      </c>
      <c r="I10" s="31"/>
      <c r="J10" s="35"/>
    </row>
    <row r="11" spans="1:10" x14ac:dyDescent="0.25">
      <c r="B11" s="8" t="s">
        <v>48</v>
      </c>
      <c r="C11" s="56" t="s">
        <v>49</v>
      </c>
      <c r="D11" s="53" t="s">
        <v>50</v>
      </c>
      <c r="E11" s="6" t="s">
        <v>51</v>
      </c>
      <c r="F11" s="19">
        <v>2175000</v>
      </c>
      <c r="G11" s="24">
        <v>23459.55</v>
      </c>
      <c r="H11" s="24">
        <v>8.59</v>
      </c>
      <c r="I11" s="31"/>
      <c r="J11" s="35"/>
    </row>
    <row r="12" spans="1:10" x14ac:dyDescent="0.25">
      <c r="B12" s="8" t="s">
        <v>52</v>
      </c>
      <c r="C12" s="56" t="s">
        <v>53</v>
      </c>
      <c r="D12" s="53" t="s">
        <v>54</v>
      </c>
      <c r="E12" s="6" t="s">
        <v>55</v>
      </c>
      <c r="F12" s="19">
        <v>970035</v>
      </c>
      <c r="G12" s="24">
        <v>21673.98</v>
      </c>
      <c r="H12" s="24">
        <v>7.94</v>
      </c>
      <c r="I12" s="31"/>
      <c r="J12" s="35"/>
    </row>
    <row r="13" spans="1:10" x14ac:dyDescent="0.25">
      <c r="B13" s="8" t="s">
        <v>56</v>
      </c>
      <c r="C13" s="56" t="s">
        <v>57</v>
      </c>
      <c r="D13" s="53" t="s">
        <v>58</v>
      </c>
      <c r="E13" s="6" t="s">
        <v>47</v>
      </c>
      <c r="F13" s="19">
        <v>600000</v>
      </c>
      <c r="G13" s="24">
        <v>14953.8</v>
      </c>
      <c r="H13" s="24">
        <v>5.47</v>
      </c>
      <c r="I13" s="31"/>
      <c r="J13" s="35"/>
    </row>
    <row r="14" spans="1:10" x14ac:dyDescent="0.25">
      <c r="B14" s="8" t="s">
        <v>59</v>
      </c>
      <c r="C14" s="56" t="s">
        <v>60</v>
      </c>
      <c r="D14" s="53" t="s">
        <v>61</v>
      </c>
      <c r="E14" s="6" t="s">
        <v>51</v>
      </c>
      <c r="F14" s="19">
        <v>900000</v>
      </c>
      <c r="G14" s="24">
        <v>11413.8</v>
      </c>
      <c r="H14" s="24">
        <v>4.18</v>
      </c>
      <c r="I14" s="31"/>
      <c r="J14" s="35"/>
    </row>
    <row r="15" spans="1:10" x14ac:dyDescent="0.25">
      <c r="B15" s="8" t="s">
        <v>62</v>
      </c>
      <c r="C15" s="56" t="s">
        <v>63</v>
      </c>
      <c r="D15" s="53" t="s">
        <v>64</v>
      </c>
      <c r="E15" s="6" t="s">
        <v>51</v>
      </c>
      <c r="F15" s="19">
        <v>2700000</v>
      </c>
      <c r="G15" s="24">
        <v>9578.25</v>
      </c>
      <c r="H15" s="24">
        <v>3.51</v>
      </c>
      <c r="I15" s="31"/>
      <c r="J15" s="35"/>
    </row>
    <row r="16" spans="1:10" x14ac:dyDescent="0.25">
      <c r="B16" s="8" t="s">
        <v>65</v>
      </c>
      <c r="C16" s="56" t="s">
        <v>66</v>
      </c>
      <c r="D16" s="53" t="s">
        <v>67</v>
      </c>
      <c r="E16" s="6" t="s">
        <v>68</v>
      </c>
      <c r="F16" s="19">
        <v>2100000</v>
      </c>
      <c r="G16" s="24">
        <v>8839.9500000000007</v>
      </c>
      <c r="H16" s="24">
        <v>3.24</v>
      </c>
      <c r="I16" s="31"/>
      <c r="J16" s="35"/>
    </row>
    <row r="17" spans="2:10" x14ac:dyDescent="0.25">
      <c r="B17" s="8" t="s">
        <v>69</v>
      </c>
      <c r="C17" s="56" t="s">
        <v>70</v>
      </c>
      <c r="D17" s="53" t="s">
        <v>71</v>
      </c>
      <c r="E17" s="6" t="s">
        <v>72</v>
      </c>
      <c r="F17" s="19">
        <v>40000</v>
      </c>
      <c r="G17" s="24">
        <v>8534.3799999999992</v>
      </c>
      <c r="H17" s="24">
        <v>3.12</v>
      </c>
      <c r="I17" s="31"/>
      <c r="J17" s="35"/>
    </row>
    <row r="18" spans="2:10" x14ac:dyDescent="0.25">
      <c r="B18" s="8" t="s">
        <v>73</v>
      </c>
      <c r="C18" s="56" t="s">
        <v>74</v>
      </c>
      <c r="D18" s="53" t="s">
        <v>75</v>
      </c>
      <c r="E18" s="6" t="s">
        <v>51</v>
      </c>
      <c r="F18" s="19">
        <v>1750000</v>
      </c>
      <c r="G18" s="24">
        <v>7431.38</v>
      </c>
      <c r="H18" s="24">
        <v>2.72</v>
      </c>
      <c r="I18" s="31"/>
      <c r="J18" s="35"/>
    </row>
    <row r="19" spans="2:10" x14ac:dyDescent="0.25">
      <c r="B19" s="8" t="s">
        <v>76</v>
      </c>
      <c r="C19" s="56" t="s">
        <v>77</v>
      </c>
      <c r="D19" s="53" t="s">
        <v>78</v>
      </c>
      <c r="E19" s="6" t="s">
        <v>79</v>
      </c>
      <c r="F19" s="19">
        <v>800000</v>
      </c>
      <c r="G19" s="24">
        <v>7212.8</v>
      </c>
      <c r="H19" s="24">
        <v>2.64</v>
      </c>
      <c r="I19" s="31"/>
      <c r="J19" s="35"/>
    </row>
    <row r="20" spans="2:10" x14ac:dyDescent="0.25">
      <c r="B20" s="8" t="s">
        <v>80</v>
      </c>
      <c r="C20" s="56" t="s">
        <v>81</v>
      </c>
      <c r="D20" s="53" t="s">
        <v>82</v>
      </c>
      <c r="E20" s="6" t="s">
        <v>83</v>
      </c>
      <c r="F20" s="19">
        <v>550000</v>
      </c>
      <c r="G20" s="24">
        <v>6607.43</v>
      </c>
      <c r="H20" s="24">
        <v>2.42</v>
      </c>
      <c r="I20" s="31"/>
      <c r="J20" s="35"/>
    </row>
    <row r="21" spans="2:10" x14ac:dyDescent="0.25">
      <c r="B21" s="8" t="s">
        <v>84</v>
      </c>
      <c r="C21" s="56" t="s">
        <v>85</v>
      </c>
      <c r="D21" s="53" t="s">
        <v>86</v>
      </c>
      <c r="E21" s="6" t="s">
        <v>41</v>
      </c>
      <c r="F21" s="19">
        <v>30000</v>
      </c>
      <c r="G21" s="24">
        <v>6077.09</v>
      </c>
      <c r="H21" s="24">
        <v>2.2200000000000002</v>
      </c>
      <c r="I21" s="31"/>
      <c r="J21" s="35"/>
    </row>
    <row r="22" spans="2:10" x14ac:dyDescent="0.25">
      <c r="B22" s="8" t="s">
        <v>87</v>
      </c>
      <c r="C22" s="56" t="s">
        <v>88</v>
      </c>
      <c r="D22" s="53" t="s">
        <v>89</v>
      </c>
      <c r="E22" s="6" t="s">
        <v>90</v>
      </c>
      <c r="F22" s="19">
        <v>400000</v>
      </c>
      <c r="G22" s="24">
        <v>5734</v>
      </c>
      <c r="H22" s="24">
        <v>2.1</v>
      </c>
      <c r="I22" s="31"/>
      <c r="J22" s="35"/>
    </row>
    <row r="23" spans="2:10" x14ac:dyDescent="0.25">
      <c r="B23" s="8" t="s">
        <v>91</v>
      </c>
      <c r="C23" s="56" t="s">
        <v>92</v>
      </c>
      <c r="D23" s="53" t="s">
        <v>93</v>
      </c>
      <c r="E23" s="6" t="s">
        <v>94</v>
      </c>
      <c r="F23" s="19">
        <v>170000</v>
      </c>
      <c r="G23" s="24">
        <v>5573.62</v>
      </c>
      <c r="H23" s="24">
        <v>2.04</v>
      </c>
      <c r="I23" s="31"/>
      <c r="J23" s="35"/>
    </row>
    <row r="24" spans="2:10" x14ac:dyDescent="0.25">
      <c r="B24" s="8" t="s">
        <v>95</v>
      </c>
      <c r="C24" s="56" t="s">
        <v>96</v>
      </c>
      <c r="D24" s="53" t="s">
        <v>97</v>
      </c>
      <c r="E24" s="6" t="s">
        <v>98</v>
      </c>
      <c r="F24" s="19">
        <v>900000</v>
      </c>
      <c r="G24" s="24">
        <v>5471.1</v>
      </c>
      <c r="H24" s="24">
        <v>2</v>
      </c>
      <c r="I24" s="31"/>
      <c r="J24" s="35"/>
    </row>
    <row r="25" spans="2:10" x14ac:dyDescent="0.25">
      <c r="B25" s="8" t="s">
        <v>99</v>
      </c>
      <c r="C25" s="56" t="s">
        <v>100</v>
      </c>
      <c r="D25" s="53" t="s">
        <v>101</v>
      </c>
      <c r="E25" s="6" t="s">
        <v>90</v>
      </c>
      <c r="F25" s="19">
        <v>140000</v>
      </c>
      <c r="G25" s="24">
        <v>5317.41</v>
      </c>
      <c r="H25" s="24">
        <v>1.95</v>
      </c>
      <c r="I25" s="31"/>
      <c r="J25" s="35"/>
    </row>
    <row r="26" spans="2:10" x14ac:dyDescent="0.25">
      <c r="B26" s="8" t="s">
        <v>102</v>
      </c>
      <c r="C26" s="56" t="s">
        <v>103</v>
      </c>
      <c r="D26" s="53" t="s">
        <v>104</v>
      </c>
      <c r="E26" s="6" t="s">
        <v>94</v>
      </c>
      <c r="F26" s="19">
        <v>950000</v>
      </c>
      <c r="G26" s="24">
        <v>5314.3</v>
      </c>
      <c r="H26" s="24">
        <v>1.95</v>
      </c>
      <c r="I26" s="31"/>
      <c r="J26" s="35"/>
    </row>
    <row r="27" spans="2:10" x14ac:dyDescent="0.25">
      <c r="B27" s="8" t="s">
        <v>105</v>
      </c>
      <c r="C27" s="56" t="s">
        <v>106</v>
      </c>
      <c r="D27" s="53" t="s">
        <v>107</v>
      </c>
      <c r="E27" s="6" t="s">
        <v>98</v>
      </c>
      <c r="F27" s="19">
        <v>1100000</v>
      </c>
      <c r="G27" s="24">
        <v>5151.3</v>
      </c>
      <c r="H27" s="24">
        <v>1.89</v>
      </c>
      <c r="I27" s="31"/>
      <c r="J27" s="35"/>
    </row>
    <row r="28" spans="2:10" x14ac:dyDescent="0.25">
      <c r="B28" s="8" t="s">
        <v>108</v>
      </c>
      <c r="C28" s="56" t="s">
        <v>109</v>
      </c>
      <c r="D28" s="53" t="s">
        <v>110</v>
      </c>
      <c r="E28" s="6" t="s">
        <v>111</v>
      </c>
      <c r="F28" s="19">
        <v>600000</v>
      </c>
      <c r="G28" s="24">
        <v>4648.2</v>
      </c>
      <c r="H28" s="24">
        <v>1.7</v>
      </c>
      <c r="I28" s="31"/>
      <c r="J28" s="35"/>
    </row>
    <row r="29" spans="2:10" x14ac:dyDescent="0.25">
      <c r="B29" s="8" t="s">
        <v>112</v>
      </c>
      <c r="C29" s="56" t="s">
        <v>113</v>
      </c>
      <c r="D29" s="53" t="s">
        <v>114</v>
      </c>
      <c r="E29" s="6" t="s">
        <v>111</v>
      </c>
      <c r="F29" s="19">
        <v>150000</v>
      </c>
      <c r="G29" s="24">
        <v>4571.93</v>
      </c>
      <c r="H29" s="24">
        <v>1.67</v>
      </c>
      <c r="I29" s="31"/>
      <c r="J29" s="35"/>
    </row>
    <row r="30" spans="2:10" x14ac:dyDescent="0.25">
      <c r="B30" s="8" t="s">
        <v>115</v>
      </c>
      <c r="C30" s="56" t="s">
        <v>116</v>
      </c>
      <c r="D30" s="53" t="s">
        <v>117</v>
      </c>
      <c r="E30" s="6" t="s">
        <v>94</v>
      </c>
      <c r="F30" s="19">
        <v>350000</v>
      </c>
      <c r="G30" s="24">
        <v>4548.25</v>
      </c>
      <c r="H30" s="24">
        <v>1.67</v>
      </c>
      <c r="I30" s="31"/>
      <c r="J30" s="35"/>
    </row>
    <row r="31" spans="2:10" x14ac:dyDescent="0.25">
      <c r="B31" s="8" t="s">
        <v>118</v>
      </c>
      <c r="C31" s="56" t="s">
        <v>119</v>
      </c>
      <c r="D31" s="53" t="s">
        <v>120</v>
      </c>
      <c r="E31" s="6" t="s">
        <v>98</v>
      </c>
      <c r="F31" s="19">
        <v>3400000</v>
      </c>
      <c r="G31" s="24">
        <v>4532.2</v>
      </c>
      <c r="H31" s="24">
        <v>1.66</v>
      </c>
      <c r="I31" s="31"/>
      <c r="J31" s="35"/>
    </row>
    <row r="32" spans="2:10" x14ac:dyDescent="0.25">
      <c r="B32" s="8" t="s">
        <v>121</v>
      </c>
      <c r="C32" s="56" t="s">
        <v>122</v>
      </c>
      <c r="D32" s="53" t="s">
        <v>123</v>
      </c>
      <c r="E32" s="6" t="s">
        <v>90</v>
      </c>
      <c r="F32" s="19">
        <v>191251</v>
      </c>
      <c r="G32" s="24">
        <v>4483.59</v>
      </c>
      <c r="H32" s="24">
        <v>1.64</v>
      </c>
      <c r="I32" s="31"/>
      <c r="J32" s="35"/>
    </row>
    <row r="33" spans="2:10" x14ac:dyDescent="0.25">
      <c r="B33" s="8" t="s">
        <v>124</v>
      </c>
      <c r="C33" s="56" t="s">
        <v>125</v>
      </c>
      <c r="D33" s="53" t="s">
        <v>126</v>
      </c>
      <c r="E33" s="6" t="s">
        <v>94</v>
      </c>
      <c r="F33" s="19">
        <v>250000</v>
      </c>
      <c r="G33" s="24">
        <v>4350.13</v>
      </c>
      <c r="H33" s="24">
        <v>1.59</v>
      </c>
      <c r="I33" s="31"/>
      <c r="J33" s="35"/>
    </row>
    <row r="34" spans="2:10" x14ac:dyDescent="0.25">
      <c r="B34" s="8" t="s">
        <v>127</v>
      </c>
      <c r="C34" s="56" t="s">
        <v>128</v>
      </c>
      <c r="D34" s="53" t="s">
        <v>129</v>
      </c>
      <c r="E34" s="6" t="s">
        <v>90</v>
      </c>
      <c r="F34" s="19">
        <v>200000</v>
      </c>
      <c r="G34" s="24">
        <v>4136.5</v>
      </c>
      <c r="H34" s="24">
        <v>1.51</v>
      </c>
      <c r="I34" s="31"/>
      <c r="J34" s="35"/>
    </row>
    <row r="35" spans="2:10" x14ac:dyDescent="0.25">
      <c r="B35" s="8" t="s">
        <v>130</v>
      </c>
      <c r="C35" s="56" t="s">
        <v>131</v>
      </c>
      <c r="D35" s="53" t="s">
        <v>132</v>
      </c>
      <c r="E35" s="6" t="s">
        <v>47</v>
      </c>
      <c r="F35" s="19">
        <v>105096</v>
      </c>
      <c r="G35" s="24">
        <v>3819.92</v>
      </c>
      <c r="H35" s="24">
        <v>1.4</v>
      </c>
      <c r="I35" s="31"/>
      <c r="J35" s="35"/>
    </row>
    <row r="36" spans="2:10" x14ac:dyDescent="0.25">
      <c r="B36" s="8" t="s">
        <v>133</v>
      </c>
      <c r="C36" s="56" t="s">
        <v>134</v>
      </c>
      <c r="D36" s="53" t="s">
        <v>135</v>
      </c>
      <c r="E36" s="6" t="s">
        <v>47</v>
      </c>
      <c r="F36" s="19">
        <v>470000</v>
      </c>
      <c r="G36" s="24">
        <v>3814.52</v>
      </c>
      <c r="H36" s="24">
        <v>1.4</v>
      </c>
      <c r="I36" s="31"/>
      <c r="J36" s="35"/>
    </row>
    <row r="37" spans="2:10" x14ac:dyDescent="0.25">
      <c r="B37" s="8" t="s">
        <v>136</v>
      </c>
      <c r="C37" s="56" t="s">
        <v>137</v>
      </c>
      <c r="D37" s="53" t="s">
        <v>138</v>
      </c>
      <c r="E37" s="6" t="s">
        <v>41</v>
      </c>
      <c r="F37" s="19">
        <v>90000</v>
      </c>
      <c r="G37" s="24">
        <v>3644.6</v>
      </c>
      <c r="H37" s="24">
        <v>1.33</v>
      </c>
      <c r="I37" s="31"/>
      <c r="J37" s="35"/>
    </row>
    <row r="38" spans="2:10" x14ac:dyDescent="0.25">
      <c r="B38" s="8" t="s">
        <v>139</v>
      </c>
      <c r="C38" s="56" t="s">
        <v>140</v>
      </c>
      <c r="D38" s="53" t="s">
        <v>141</v>
      </c>
      <c r="E38" s="6" t="s">
        <v>142</v>
      </c>
      <c r="F38" s="19">
        <v>290000</v>
      </c>
      <c r="G38" s="24">
        <v>3622.39</v>
      </c>
      <c r="H38" s="24">
        <v>1.33</v>
      </c>
      <c r="I38" s="31"/>
      <c r="J38" s="35"/>
    </row>
    <row r="39" spans="2:10" x14ac:dyDescent="0.25">
      <c r="B39" s="8" t="s">
        <v>143</v>
      </c>
      <c r="C39" s="56" t="s">
        <v>144</v>
      </c>
      <c r="D39" s="53" t="s">
        <v>145</v>
      </c>
      <c r="E39" s="6" t="s">
        <v>146</v>
      </c>
      <c r="F39" s="19">
        <v>152421</v>
      </c>
      <c r="G39" s="24">
        <v>3358.06</v>
      </c>
      <c r="H39" s="24">
        <v>1.23</v>
      </c>
      <c r="I39" s="31"/>
      <c r="J39" s="35"/>
    </row>
    <row r="40" spans="2:10" x14ac:dyDescent="0.25">
      <c r="B40" s="8" t="s">
        <v>147</v>
      </c>
      <c r="C40" s="56" t="s">
        <v>148</v>
      </c>
      <c r="D40" s="53" t="s">
        <v>149</v>
      </c>
      <c r="E40" s="6" t="s">
        <v>98</v>
      </c>
      <c r="F40" s="19">
        <v>150000</v>
      </c>
      <c r="G40" s="24">
        <v>3304.2</v>
      </c>
      <c r="H40" s="24">
        <v>1.21</v>
      </c>
      <c r="I40" s="31"/>
      <c r="J40" s="35"/>
    </row>
    <row r="41" spans="2:10" x14ac:dyDescent="0.25">
      <c r="B41" s="8" t="s">
        <v>150</v>
      </c>
      <c r="C41" s="56" t="s">
        <v>151</v>
      </c>
      <c r="D41" s="53" t="s">
        <v>152</v>
      </c>
      <c r="E41" s="6" t="s">
        <v>153</v>
      </c>
      <c r="F41" s="19">
        <v>900000</v>
      </c>
      <c r="G41" s="24">
        <v>3237.75</v>
      </c>
      <c r="H41" s="24">
        <v>1.19</v>
      </c>
      <c r="I41" s="31"/>
      <c r="J41" s="35"/>
    </row>
    <row r="42" spans="2:10" x14ac:dyDescent="0.25">
      <c r="B42" s="8" t="s">
        <v>154</v>
      </c>
      <c r="C42" s="56" t="s">
        <v>155</v>
      </c>
      <c r="D42" s="53" t="s">
        <v>156</v>
      </c>
      <c r="E42" s="6" t="s">
        <v>157</v>
      </c>
      <c r="F42" s="19">
        <v>700000</v>
      </c>
      <c r="G42" s="24">
        <v>3116.4</v>
      </c>
      <c r="H42" s="24">
        <v>1.1399999999999999</v>
      </c>
      <c r="I42" s="31"/>
      <c r="J42" s="35"/>
    </row>
    <row r="43" spans="2:10" x14ac:dyDescent="0.25">
      <c r="B43" s="8" t="s">
        <v>158</v>
      </c>
      <c r="C43" s="56" t="s">
        <v>159</v>
      </c>
      <c r="D43" s="53" t="s">
        <v>160</v>
      </c>
      <c r="E43" s="6" t="s">
        <v>111</v>
      </c>
      <c r="F43" s="19">
        <v>300000</v>
      </c>
      <c r="G43" s="24">
        <v>3022.2</v>
      </c>
      <c r="H43" s="24">
        <v>1.1100000000000001</v>
      </c>
      <c r="I43" s="31"/>
      <c r="J43" s="35"/>
    </row>
    <row r="44" spans="2:10" x14ac:dyDescent="0.25">
      <c r="B44" s="8" t="s">
        <v>161</v>
      </c>
      <c r="C44" s="56" t="s">
        <v>162</v>
      </c>
      <c r="D44" s="53" t="s">
        <v>163</v>
      </c>
      <c r="E44" s="6" t="s">
        <v>94</v>
      </c>
      <c r="F44" s="19">
        <v>700000</v>
      </c>
      <c r="G44" s="24">
        <v>2946.3</v>
      </c>
      <c r="H44" s="24">
        <v>1.08</v>
      </c>
      <c r="I44" s="31"/>
      <c r="J44" s="35"/>
    </row>
    <row r="45" spans="2:10" x14ac:dyDescent="0.25">
      <c r="B45" s="8" t="s">
        <v>164</v>
      </c>
      <c r="C45" s="56" t="s">
        <v>165</v>
      </c>
      <c r="D45" s="53" t="s">
        <v>166</v>
      </c>
      <c r="E45" s="6" t="s">
        <v>51</v>
      </c>
      <c r="F45" s="19">
        <v>1400000</v>
      </c>
      <c r="G45" s="24">
        <v>2595.6</v>
      </c>
      <c r="H45" s="24">
        <v>0.95</v>
      </c>
      <c r="I45" s="31"/>
      <c r="J45" s="35"/>
    </row>
    <row r="46" spans="2:10" x14ac:dyDescent="0.25">
      <c r="B46" s="8" t="s">
        <v>167</v>
      </c>
      <c r="C46" s="56" t="s">
        <v>168</v>
      </c>
      <c r="D46" s="53" t="s">
        <v>169</v>
      </c>
      <c r="E46" s="6" t="s">
        <v>170</v>
      </c>
      <c r="F46" s="19">
        <v>1400000</v>
      </c>
      <c r="G46" s="24">
        <v>2453.5</v>
      </c>
      <c r="H46" s="24">
        <v>0.9</v>
      </c>
      <c r="I46" s="31"/>
      <c r="J46" s="35"/>
    </row>
    <row r="47" spans="2:10" x14ac:dyDescent="0.25">
      <c r="B47" s="8" t="s">
        <v>171</v>
      </c>
      <c r="C47" s="56" t="s">
        <v>172</v>
      </c>
      <c r="D47" s="53" t="s">
        <v>173</v>
      </c>
      <c r="E47" s="6" t="s">
        <v>55</v>
      </c>
      <c r="F47" s="19">
        <v>600000</v>
      </c>
      <c r="G47" s="24">
        <v>2118.3000000000002</v>
      </c>
      <c r="H47" s="24">
        <v>0.78</v>
      </c>
      <c r="I47" s="31"/>
      <c r="J47" s="35"/>
    </row>
    <row r="48" spans="2:10" x14ac:dyDescent="0.25">
      <c r="B48" s="8" t="s">
        <v>174</v>
      </c>
      <c r="C48" s="56" t="s">
        <v>175</v>
      </c>
      <c r="D48" s="53" t="s">
        <v>176</v>
      </c>
      <c r="E48" s="6" t="s">
        <v>157</v>
      </c>
      <c r="F48" s="19">
        <v>350000</v>
      </c>
      <c r="G48" s="24">
        <v>1566.43</v>
      </c>
      <c r="H48" s="24">
        <v>0.56999999999999995</v>
      </c>
      <c r="I48" s="31"/>
      <c r="J48" s="35"/>
    </row>
    <row r="49" spans="2:10" x14ac:dyDescent="0.25">
      <c r="B49" s="8" t="s">
        <v>177</v>
      </c>
      <c r="C49" s="56" t="s">
        <v>178</v>
      </c>
      <c r="D49" s="53" t="s">
        <v>179</v>
      </c>
      <c r="E49" s="6" t="s">
        <v>111</v>
      </c>
      <c r="F49" s="19">
        <v>50000</v>
      </c>
      <c r="G49" s="24">
        <v>1399.98</v>
      </c>
      <c r="H49" s="24">
        <v>0.51</v>
      </c>
      <c r="I49" s="31"/>
      <c r="J49" s="35"/>
    </row>
    <row r="50" spans="2:10" x14ac:dyDescent="0.25">
      <c r="B50" s="8" t="s">
        <v>180</v>
      </c>
      <c r="C50" s="56" t="s">
        <v>53</v>
      </c>
      <c r="D50" s="53" t="s">
        <v>181</v>
      </c>
      <c r="E50" s="6" t="s">
        <v>55</v>
      </c>
      <c r="F50" s="19">
        <v>88000</v>
      </c>
      <c r="G50" s="24">
        <v>1182.28</v>
      </c>
      <c r="H50" s="24">
        <v>0.43</v>
      </c>
      <c r="I50" s="31"/>
      <c r="J50" s="35" t="s">
        <v>182</v>
      </c>
    </row>
    <row r="51" spans="2:10" x14ac:dyDescent="0.25">
      <c r="C51" s="57" t="s">
        <v>35</v>
      </c>
      <c r="D51" s="53"/>
      <c r="E51" s="6"/>
      <c r="F51" s="19"/>
      <c r="G51" s="25">
        <v>261536</v>
      </c>
      <c r="H51" s="25">
        <v>95.76</v>
      </c>
      <c r="I51" s="31"/>
      <c r="J51" s="35"/>
    </row>
    <row r="52" spans="2:10" x14ac:dyDescent="0.25">
      <c r="C52" s="56"/>
      <c r="D52" s="53"/>
      <c r="E52" s="6"/>
      <c r="F52" s="19"/>
      <c r="G52" s="24"/>
      <c r="H52" s="24"/>
      <c r="I52" s="31"/>
      <c r="J52" s="35"/>
    </row>
    <row r="53" spans="2:10" x14ac:dyDescent="0.25">
      <c r="C53" s="59" t="s">
        <v>3</v>
      </c>
      <c r="D53" s="53"/>
      <c r="E53" s="6"/>
      <c r="F53" s="19"/>
      <c r="G53" s="24"/>
      <c r="H53" s="24"/>
      <c r="I53" s="31"/>
      <c r="J53" s="35"/>
    </row>
    <row r="54" spans="2:10" x14ac:dyDescent="0.25">
      <c r="B54" s="8" t="s">
        <v>183</v>
      </c>
      <c r="C54" s="56" t="s">
        <v>184</v>
      </c>
      <c r="D54" s="53" t="s">
        <v>185</v>
      </c>
      <c r="E54" s="6" t="s">
        <v>47</v>
      </c>
      <c r="F54" s="19">
        <v>27000</v>
      </c>
      <c r="G54" s="62">
        <v>0</v>
      </c>
      <c r="H54" s="24" t="s">
        <v>3399</v>
      </c>
      <c r="I54" s="31"/>
      <c r="J54" s="35" t="s">
        <v>3419</v>
      </c>
    </row>
    <row r="55" spans="2:10" x14ac:dyDescent="0.25">
      <c r="B55" s="8" t="s">
        <v>186</v>
      </c>
      <c r="C55" s="56" t="s">
        <v>187</v>
      </c>
      <c r="D55" s="53" t="s">
        <v>188</v>
      </c>
      <c r="E55" s="6" t="s">
        <v>47</v>
      </c>
      <c r="F55" s="19">
        <v>80000</v>
      </c>
      <c r="G55" s="62">
        <v>0</v>
      </c>
      <c r="H55" s="24" t="s">
        <v>3399</v>
      </c>
      <c r="I55" s="31"/>
      <c r="J55" s="35" t="s">
        <v>3419</v>
      </c>
    </row>
    <row r="56" spans="2:10" x14ac:dyDescent="0.25">
      <c r="C56" s="57" t="s">
        <v>35</v>
      </c>
      <c r="D56" s="53"/>
      <c r="E56" s="6"/>
      <c r="F56" s="19"/>
      <c r="G56" s="63">
        <v>0</v>
      </c>
      <c r="H56" s="25" t="s">
        <v>3399</v>
      </c>
      <c r="I56" s="31"/>
      <c r="J56" s="35"/>
    </row>
    <row r="57" spans="2:10" x14ac:dyDescent="0.25">
      <c r="C57" s="56"/>
      <c r="D57" s="53"/>
      <c r="E57" s="6"/>
      <c r="F57" s="19"/>
      <c r="G57" s="24"/>
      <c r="H57" s="24"/>
      <c r="I57" s="31"/>
      <c r="J57" s="35"/>
    </row>
    <row r="58" spans="2:10" x14ac:dyDescent="0.25">
      <c r="C58" s="57" t="s">
        <v>4</v>
      </c>
      <c r="D58" s="53"/>
      <c r="E58" s="6"/>
      <c r="F58" s="19"/>
      <c r="G58" s="24" t="s">
        <v>2</v>
      </c>
      <c r="H58" s="24" t="s">
        <v>2</v>
      </c>
      <c r="I58" s="31"/>
      <c r="J58" s="35"/>
    </row>
    <row r="59" spans="2:10" x14ac:dyDescent="0.25">
      <c r="C59" s="56"/>
      <c r="D59" s="53"/>
      <c r="E59" s="6"/>
      <c r="F59" s="19"/>
      <c r="G59" s="24"/>
      <c r="H59" s="24"/>
      <c r="I59" s="31"/>
      <c r="J59" s="35"/>
    </row>
    <row r="60" spans="2:10" x14ac:dyDescent="0.25">
      <c r="C60" s="57" t="s">
        <v>5</v>
      </c>
      <c r="D60" s="53"/>
      <c r="E60" s="6"/>
      <c r="F60" s="19"/>
      <c r="G60" s="24"/>
      <c r="H60" s="24"/>
      <c r="I60" s="31"/>
      <c r="J60" s="35"/>
    </row>
    <row r="61" spans="2:10" x14ac:dyDescent="0.25">
      <c r="C61" s="56"/>
      <c r="D61" s="53"/>
      <c r="E61" s="6"/>
      <c r="F61" s="19"/>
      <c r="G61" s="24"/>
      <c r="H61" s="24"/>
      <c r="I61" s="31"/>
      <c r="J61" s="35"/>
    </row>
    <row r="62" spans="2:10" x14ac:dyDescent="0.25">
      <c r="C62" s="57" t="s">
        <v>6</v>
      </c>
      <c r="D62" s="53"/>
      <c r="E62" s="6"/>
      <c r="F62" s="19"/>
      <c r="G62" s="24" t="s">
        <v>2</v>
      </c>
      <c r="H62" s="24" t="s">
        <v>2</v>
      </c>
      <c r="I62" s="31"/>
      <c r="J62" s="35"/>
    </row>
    <row r="63" spans="2:10" x14ac:dyDescent="0.25">
      <c r="C63" s="56"/>
      <c r="D63" s="53"/>
      <c r="E63" s="6"/>
      <c r="F63" s="19"/>
      <c r="G63" s="24"/>
      <c r="H63" s="24"/>
      <c r="I63" s="31"/>
      <c r="J63" s="35"/>
    </row>
    <row r="64" spans="2:10" x14ac:dyDescent="0.25">
      <c r="C64" s="57" t="s">
        <v>7</v>
      </c>
      <c r="D64" s="53"/>
      <c r="E64" s="6"/>
      <c r="F64" s="19"/>
      <c r="G64" s="24" t="s">
        <v>2</v>
      </c>
      <c r="H64" s="24" t="s">
        <v>2</v>
      </c>
      <c r="I64" s="31"/>
      <c r="J64" s="35"/>
    </row>
    <row r="65" spans="3:10" x14ac:dyDescent="0.25">
      <c r="C65" s="56"/>
      <c r="D65" s="53"/>
      <c r="E65" s="6"/>
      <c r="F65" s="19"/>
      <c r="G65" s="24"/>
      <c r="H65" s="24"/>
      <c r="I65" s="31"/>
      <c r="J65" s="35"/>
    </row>
    <row r="66" spans="3:10" x14ac:dyDescent="0.25">
      <c r="C66" s="57" t="s">
        <v>8</v>
      </c>
      <c r="D66" s="53"/>
      <c r="E66" s="6"/>
      <c r="F66" s="19"/>
      <c r="G66" s="24" t="s">
        <v>2</v>
      </c>
      <c r="H66" s="24" t="s">
        <v>2</v>
      </c>
      <c r="I66" s="31"/>
      <c r="J66" s="35"/>
    </row>
    <row r="67" spans="3:10" x14ac:dyDescent="0.25">
      <c r="C67" s="56"/>
      <c r="D67" s="53"/>
      <c r="E67" s="6"/>
      <c r="F67" s="19"/>
      <c r="G67" s="24"/>
      <c r="H67" s="24"/>
      <c r="I67" s="31"/>
      <c r="J67" s="35"/>
    </row>
    <row r="68" spans="3:10" x14ac:dyDescent="0.25">
      <c r="C68" s="57" t="s">
        <v>9</v>
      </c>
      <c r="D68" s="53"/>
      <c r="E68" s="6"/>
      <c r="F68" s="19"/>
      <c r="G68" s="24" t="s">
        <v>2</v>
      </c>
      <c r="H68" s="24" t="s">
        <v>2</v>
      </c>
      <c r="I68" s="31"/>
      <c r="J68" s="35"/>
    </row>
    <row r="69" spans="3:10" x14ac:dyDescent="0.25">
      <c r="C69" s="56"/>
      <c r="D69" s="53"/>
      <c r="E69" s="6"/>
      <c r="F69" s="19"/>
      <c r="G69" s="24"/>
      <c r="H69" s="24"/>
      <c r="I69" s="31"/>
      <c r="J69" s="35"/>
    </row>
    <row r="70" spans="3:10" x14ac:dyDescent="0.25">
      <c r="C70" s="57" t="s">
        <v>10</v>
      </c>
      <c r="D70" s="53"/>
      <c r="E70" s="6"/>
      <c r="F70" s="19"/>
      <c r="G70" s="24" t="s">
        <v>2</v>
      </c>
      <c r="H70" s="24" t="s">
        <v>2</v>
      </c>
      <c r="I70" s="31"/>
      <c r="J70" s="35"/>
    </row>
    <row r="71" spans="3:10" x14ac:dyDescent="0.25">
      <c r="C71" s="56"/>
      <c r="D71" s="53"/>
      <c r="E71" s="6"/>
      <c r="F71" s="19"/>
      <c r="G71" s="24"/>
      <c r="H71" s="24"/>
      <c r="I71" s="31"/>
      <c r="J71" s="35"/>
    </row>
    <row r="72" spans="3:10" x14ac:dyDescent="0.25">
      <c r="C72" s="57" t="s">
        <v>11</v>
      </c>
      <c r="D72" s="53"/>
      <c r="E72" s="6"/>
      <c r="F72" s="19"/>
      <c r="G72" s="24"/>
      <c r="H72" s="24"/>
      <c r="I72" s="31"/>
      <c r="J72" s="35"/>
    </row>
    <row r="73" spans="3:10" x14ac:dyDescent="0.25">
      <c r="C73" s="56"/>
      <c r="D73" s="53"/>
      <c r="E73" s="6"/>
      <c r="F73" s="19"/>
      <c r="G73" s="24"/>
      <c r="H73" s="24"/>
      <c r="I73" s="31"/>
      <c r="J73" s="35"/>
    </row>
    <row r="74" spans="3:10" x14ac:dyDescent="0.25">
      <c r="C74" s="57" t="s">
        <v>13</v>
      </c>
      <c r="D74" s="53"/>
      <c r="E74" s="6"/>
      <c r="F74" s="19"/>
      <c r="G74" s="24" t="s">
        <v>2</v>
      </c>
      <c r="H74" s="24" t="s">
        <v>2</v>
      </c>
      <c r="I74" s="31"/>
      <c r="J74" s="35"/>
    </row>
    <row r="75" spans="3:10" x14ac:dyDescent="0.25">
      <c r="C75" s="56"/>
      <c r="D75" s="53"/>
      <c r="E75" s="6"/>
      <c r="F75" s="19"/>
      <c r="G75" s="24"/>
      <c r="H75" s="24"/>
      <c r="I75" s="31"/>
      <c r="J75" s="35"/>
    </row>
    <row r="76" spans="3:10" x14ac:dyDescent="0.25">
      <c r="C76" s="57" t="s">
        <v>14</v>
      </c>
      <c r="D76" s="53"/>
      <c r="E76" s="6"/>
      <c r="F76" s="19"/>
      <c r="G76" s="24" t="s">
        <v>2</v>
      </c>
      <c r="H76" s="24" t="s">
        <v>2</v>
      </c>
      <c r="I76" s="31"/>
      <c r="J76" s="35"/>
    </row>
    <row r="77" spans="3:10" x14ac:dyDescent="0.25">
      <c r="C77" s="56"/>
      <c r="D77" s="53"/>
      <c r="E77" s="6"/>
      <c r="F77" s="19"/>
      <c r="G77" s="24"/>
      <c r="H77" s="24"/>
      <c r="I77" s="31"/>
      <c r="J77" s="35"/>
    </row>
    <row r="78" spans="3:10" x14ac:dyDescent="0.25">
      <c r="C78" s="57" t="s">
        <v>15</v>
      </c>
      <c r="D78" s="53"/>
      <c r="E78" s="6"/>
      <c r="F78" s="19"/>
      <c r="G78" s="24" t="s">
        <v>2</v>
      </c>
      <c r="H78" s="24" t="s">
        <v>2</v>
      </c>
      <c r="I78" s="31"/>
      <c r="J78" s="35"/>
    </row>
    <row r="79" spans="3:10" x14ac:dyDescent="0.25">
      <c r="C79" s="56"/>
      <c r="D79" s="53"/>
      <c r="E79" s="6"/>
      <c r="F79" s="19"/>
      <c r="G79" s="24"/>
      <c r="H79" s="24"/>
      <c r="I79" s="31"/>
      <c r="J79" s="35"/>
    </row>
    <row r="80" spans="3:10" x14ac:dyDescent="0.25">
      <c r="C80" s="57" t="s">
        <v>16</v>
      </c>
      <c r="D80" s="53"/>
      <c r="E80" s="6"/>
      <c r="F80" s="19"/>
      <c r="G80" s="24" t="s">
        <v>2</v>
      </c>
      <c r="H80" s="24" t="s">
        <v>2</v>
      </c>
      <c r="I80" s="31"/>
      <c r="J80" s="35"/>
    </row>
    <row r="81" spans="1:10" x14ac:dyDescent="0.25">
      <c r="C81" s="56"/>
      <c r="D81" s="53"/>
      <c r="E81" s="6"/>
      <c r="F81" s="19"/>
      <c r="G81" s="24"/>
      <c r="H81" s="24"/>
      <c r="I81" s="31"/>
      <c r="J81" s="35"/>
    </row>
    <row r="82" spans="1:10" x14ac:dyDescent="0.25">
      <c r="A82" s="10"/>
      <c r="B82" s="28"/>
      <c r="C82" s="58" t="s">
        <v>17</v>
      </c>
      <c r="D82" s="53"/>
      <c r="E82" s="6"/>
      <c r="F82" s="19"/>
      <c r="G82" s="24"/>
      <c r="H82" s="24"/>
      <c r="I82" s="31"/>
      <c r="J82" s="35"/>
    </row>
    <row r="83" spans="1:10" x14ac:dyDescent="0.25">
      <c r="C83" s="59" t="s">
        <v>18</v>
      </c>
      <c r="D83" s="53"/>
      <c r="E83" s="6"/>
      <c r="F83" s="19"/>
      <c r="G83" s="24"/>
      <c r="H83" s="24"/>
      <c r="I83" s="31"/>
      <c r="J83" s="35"/>
    </row>
    <row r="84" spans="1:10" x14ac:dyDescent="0.25">
      <c r="B84" s="8" t="s">
        <v>189</v>
      </c>
      <c r="C84" s="56" t="s">
        <v>3402</v>
      </c>
      <c r="D84" s="53" t="s">
        <v>190</v>
      </c>
      <c r="E84" s="6" t="s">
        <v>191</v>
      </c>
      <c r="F84" s="19">
        <v>5398.6890000000003</v>
      </c>
      <c r="G84" s="24">
        <v>249.89</v>
      </c>
      <c r="H84" s="24">
        <v>0.09</v>
      </c>
      <c r="I84" s="31"/>
      <c r="J84" s="35"/>
    </row>
    <row r="85" spans="1:10" x14ac:dyDescent="0.25">
      <c r="C85" s="57" t="s">
        <v>35</v>
      </c>
      <c r="D85" s="53"/>
      <c r="E85" s="6"/>
      <c r="F85" s="19"/>
      <c r="G85" s="25">
        <v>249.89</v>
      </c>
      <c r="H85" s="25">
        <v>0.09</v>
      </c>
      <c r="I85" s="31"/>
      <c r="J85" s="35"/>
    </row>
    <row r="86" spans="1:10" x14ac:dyDescent="0.25">
      <c r="C86" s="56"/>
      <c r="D86" s="53"/>
      <c r="E86" s="6"/>
      <c r="F86" s="19"/>
      <c r="G86" s="24"/>
      <c r="H86" s="24"/>
      <c r="I86" s="31"/>
      <c r="J86" s="35"/>
    </row>
    <row r="87" spans="1:10" x14ac:dyDescent="0.25">
      <c r="C87" s="57" t="s">
        <v>19</v>
      </c>
      <c r="D87" s="53"/>
      <c r="E87" s="6"/>
      <c r="F87" s="19"/>
      <c r="G87" s="24" t="s">
        <v>2</v>
      </c>
      <c r="H87" s="24" t="s">
        <v>2</v>
      </c>
      <c r="I87" s="31"/>
      <c r="J87" s="35"/>
    </row>
    <row r="88" spans="1:10" x14ac:dyDescent="0.25">
      <c r="C88" s="56"/>
      <c r="D88" s="53"/>
      <c r="E88" s="6"/>
      <c r="F88" s="19"/>
      <c r="G88" s="24"/>
      <c r="H88" s="24"/>
      <c r="I88" s="31"/>
      <c r="J88" s="35"/>
    </row>
    <row r="89" spans="1:10" x14ac:dyDescent="0.25">
      <c r="C89" s="57" t="s">
        <v>20</v>
      </c>
      <c r="D89" s="53"/>
      <c r="E89" s="6"/>
      <c r="F89" s="19"/>
      <c r="G89" s="24" t="s">
        <v>2</v>
      </c>
      <c r="H89" s="24" t="s">
        <v>2</v>
      </c>
      <c r="I89" s="31"/>
      <c r="J89" s="35"/>
    </row>
    <row r="90" spans="1:10" x14ac:dyDescent="0.25">
      <c r="C90" s="56"/>
      <c r="D90" s="53"/>
      <c r="E90" s="6"/>
      <c r="F90" s="19"/>
      <c r="G90" s="24"/>
      <c r="H90" s="24"/>
      <c r="I90" s="31"/>
      <c r="J90" s="35"/>
    </row>
    <row r="91" spans="1:10" x14ac:dyDescent="0.25">
      <c r="C91" s="59" t="s">
        <v>21</v>
      </c>
      <c r="D91" s="53"/>
      <c r="E91" s="6"/>
      <c r="F91" s="19"/>
      <c r="G91" s="24"/>
      <c r="H91" s="24"/>
      <c r="I91" s="31"/>
      <c r="J91" s="35"/>
    </row>
    <row r="92" spans="1:10" x14ac:dyDescent="0.25">
      <c r="B92" s="8" t="s">
        <v>192</v>
      </c>
      <c r="C92" s="56" t="s">
        <v>193</v>
      </c>
      <c r="D92" s="53"/>
      <c r="E92" s="6"/>
      <c r="F92" s="19"/>
      <c r="G92" s="24">
        <v>2500</v>
      </c>
      <c r="H92" s="24">
        <v>0.92</v>
      </c>
      <c r="I92" s="31"/>
      <c r="J92" s="35"/>
    </row>
    <row r="93" spans="1:10" x14ac:dyDescent="0.25">
      <c r="C93" s="57" t="s">
        <v>35</v>
      </c>
      <c r="D93" s="53"/>
      <c r="E93" s="6"/>
      <c r="F93" s="19"/>
      <c r="G93" s="25">
        <v>2500</v>
      </c>
      <c r="H93" s="25">
        <v>0.92</v>
      </c>
      <c r="I93" s="31"/>
      <c r="J93" s="35"/>
    </row>
    <row r="94" spans="1:10" x14ac:dyDescent="0.25">
      <c r="C94" s="56"/>
      <c r="D94" s="53"/>
      <c r="E94" s="6"/>
      <c r="F94" s="19"/>
      <c r="G94" s="24"/>
      <c r="H94" s="24"/>
      <c r="I94" s="31"/>
      <c r="J94" s="35"/>
    </row>
    <row r="95" spans="1:10" x14ac:dyDescent="0.25">
      <c r="C95" s="59" t="s">
        <v>22</v>
      </c>
      <c r="D95" s="53"/>
      <c r="E95" s="6"/>
      <c r="F95" s="19"/>
      <c r="G95" s="24"/>
      <c r="H95" s="24"/>
      <c r="I95" s="31"/>
      <c r="J95" s="35"/>
    </row>
    <row r="96" spans="1:10" x14ac:dyDescent="0.25">
      <c r="B96" s="8" t="s">
        <v>33</v>
      </c>
      <c r="C96" s="56" t="s">
        <v>34</v>
      </c>
      <c r="D96" s="53"/>
      <c r="E96" s="6"/>
      <c r="F96" s="19"/>
      <c r="G96" s="24">
        <v>3705.75</v>
      </c>
      <c r="H96" s="24">
        <v>1.36</v>
      </c>
      <c r="I96" s="31"/>
      <c r="J96" s="35"/>
    </row>
    <row r="97" spans="1:10" x14ac:dyDescent="0.25">
      <c r="C97" s="57" t="s">
        <v>35</v>
      </c>
      <c r="D97" s="53"/>
      <c r="E97" s="6"/>
      <c r="F97" s="19"/>
      <c r="G97" s="25">
        <v>3705.75</v>
      </c>
      <c r="H97" s="25">
        <v>1.36</v>
      </c>
      <c r="I97" s="31"/>
      <c r="J97" s="35"/>
    </row>
    <row r="98" spans="1:10" x14ac:dyDescent="0.25">
      <c r="C98" s="56"/>
      <c r="D98" s="53"/>
      <c r="E98" s="6"/>
      <c r="F98" s="19"/>
      <c r="G98" s="24"/>
      <c r="H98" s="24"/>
      <c r="I98" s="31"/>
      <c r="J98" s="35"/>
    </row>
    <row r="99" spans="1:10" x14ac:dyDescent="0.25">
      <c r="A99" s="10"/>
      <c r="B99" s="28"/>
      <c r="C99" s="58" t="s">
        <v>23</v>
      </c>
      <c r="D99" s="53"/>
      <c r="E99" s="6"/>
      <c r="F99" s="19"/>
      <c r="G99" s="24"/>
      <c r="H99" s="24"/>
      <c r="I99" s="31"/>
      <c r="J99" s="35"/>
    </row>
    <row r="100" spans="1:10" x14ac:dyDescent="0.25">
      <c r="A100" s="28"/>
      <c r="B100" s="28"/>
      <c r="C100" s="60" t="s">
        <v>3398</v>
      </c>
      <c r="D100" s="53"/>
      <c r="E100" s="6"/>
      <c r="F100" s="19"/>
      <c r="G100" s="24">
        <v>4025</v>
      </c>
      <c r="H100" s="24">
        <v>1.47</v>
      </c>
      <c r="I100" s="31"/>
      <c r="J100" s="35"/>
    </row>
    <row r="101" spans="1:10" x14ac:dyDescent="0.25">
      <c r="B101" s="8"/>
      <c r="C101" s="56" t="s">
        <v>36</v>
      </c>
      <c r="D101" s="53"/>
      <c r="E101" s="6"/>
      <c r="F101" s="19"/>
      <c r="G101" s="24">
        <v>1118.67</v>
      </c>
      <c r="H101" s="24">
        <v>0.39999999999999991</v>
      </c>
      <c r="I101" s="31"/>
      <c r="J101" s="35"/>
    </row>
    <row r="102" spans="1:10" x14ac:dyDescent="0.25">
      <c r="C102" s="57" t="s">
        <v>35</v>
      </c>
      <c r="D102" s="53"/>
      <c r="E102" s="6"/>
      <c r="F102" s="19"/>
      <c r="G102" s="25">
        <v>5143.67</v>
      </c>
      <c r="H102" s="25">
        <v>1.8699999999999999</v>
      </c>
      <c r="I102" s="31"/>
      <c r="J102" s="35"/>
    </row>
    <row r="103" spans="1:10" x14ac:dyDescent="0.25">
      <c r="C103" s="56"/>
      <c r="D103" s="53"/>
      <c r="E103" s="6"/>
      <c r="F103" s="19"/>
      <c r="G103" s="24"/>
      <c r="H103" s="24"/>
      <c r="I103" s="31"/>
      <c r="J103" s="35"/>
    </row>
    <row r="104" spans="1:10" x14ac:dyDescent="0.25">
      <c r="C104" s="61" t="s">
        <v>37</v>
      </c>
      <c r="D104" s="54"/>
      <c r="E104" s="5"/>
      <c r="F104" s="20"/>
      <c r="G104" s="26">
        <v>273135.31</v>
      </c>
      <c r="H104" s="26">
        <f>SUMIFS(H:H,C:C,"Total")</f>
        <v>100.00000000000001</v>
      </c>
      <c r="I104" s="32"/>
      <c r="J104" s="36"/>
    </row>
    <row r="106" spans="1:10" s="49" customFormat="1" ht="15.75" x14ac:dyDescent="0.3">
      <c r="C106" s="49" t="s">
        <v>3323</v>
      </c>
      <c r="F106" s="50"/>
      <c r="G106" s="50"/>
      <c r="H106" s="50"/>
    </row>
    <row r="107" spans="1:10" s="41" customFormat="1" ht="27" x14ac:dyDescent="0.25">
      <c r="B107" s="42"/>
      <c r="C107" s="42" t="s">
        <v>3318</v>
      </c>
      <c r="D107" s="42" t="s">
        <v>3319</v>
      </c>
      <c r="E107" s="42" t="s">
        <v>3320</v>
      </c>
      <c r="F107" s="43" t="s">
        <v>28</v>
      </c>
      <c r="G107" s="44" t="s">
        <v>3321</v>
      </c>
      <c r="H107" s="43" t="s">
        <v>30</v>
      </c>
      <c r="I107" s="42" t="s">
        <v>32</v>
      </c>
    </row>
    <row r="108" spans="1:10" s="41" customFormat="1" x14ac:dyDescent="0.25">
      <c r="B108" s="42"/>
      <c r="C108" s="42" t="s">
        <v>3313</v>
      </c>
      <c r="D108" s="42"/>
      <c r="E108" s="42"/>
      <c r="F108" s="43"/>
      <c r="G108" s="44"/>
      <c r="H108" s="43"/>
      <c r="I108" s="42"/>
    </row>
    <row r="109" spans="1:10" x14ac:dyDescent="0.25">
      <c r="B109" s="45">
        <v>2209345</v>
      </c>
      <c r="C109" s="45" t="s">
        <v>3317</v>
      </c>
      <c r="D109" s="45" t="s">
        <v>3316</v>
      </c>
      <c r="E109" s="45" t="s">
        <v>722</v>
      </c>
      <c r="F109" s="46">
        <v>2550000</v>
      </c>
      <c r="G109" s="46">
        <v>5363.9250000000002</v>
      </c>
      <c r="H109" s="46">
        <v>1.96</v>
      </c>
      <c r="I109" s="45"/>
      <c r="J109" s="2"/>
    </row>
    <row r="110" spans="1:10" x14ac:dyDescent="0.25">
      <c r="B110" s="45">
        <v>2209333</v>
      </c>
      <c r="C110" s="45" t="s">
        <v>3315</v>
      </c>
      <c r="D110" s="45" t="s">
        <v>3316</v>
      </c>
      <c r="E110" s="45" t="s">
        <v>47</v>
      </c>
      <c r="F110" s="46">
        <v>99000</v>
      </c>
      <c r="G110" s="46">
        <v>2457.1305000000002</v>
      </c>
      <c r="H110" s="46">
        <v>0.9</v>
      </c>
      <c r="I110" s="45"/>
      <c r="J110" s="2"/>
    </row>
    <row r="111" spans="1:10" x14ac:dyDescent="0.25">
      <c r="B111" s="45">
        <v>2209308</v>
      </c>
      <c r="C111" s="45" t="s">
        <v>3314</v>
      </c>
      <c r="D111" s="45" t="s">
        <v>3312</v>
      </c>
      <c r="E111" s="45" t="s">
        <v>72</v>
      </c>
      <c r="F111" s="46">
        <v>-5610</v>
      </c>
      <c r="G111" s="46">
        <v>-1206.12195</v>
      </c>
      <c r="H111" s="46">
        <v>-0.44</v>
      </c>
      <c r="I111" s="45"/>
      <c r="J111" s="2"/>
    </row>
    <row r="112" spans="1:10" x14ac:dyDescent="0.25">
      <c r="B112" s="45">
        <v>2209228</v>
      </c>
      <c r="C112" s="45" t="s">
        <v>3311</v>
      </c>
      <c r="D112" s="45" t="s">
        <v>3312</v>
      </c>
      <c r="E112" s="45" t="s">
        <v>94</v>
      </c>
      <c r="F112" s="46">
        <v>-170000</v>
      </c>
      <c r="G112" s="46">
        <v>-5584.16</v>
      </c>
      <c r="H112" s="46">
        <v>-2.04</v>
      </c>
      <c r="I112" s="45"/>
      <c r="J112" s="2"/>
    </row>
    <row r="113" spans="2:9" s="1" customFormat="1" x14ac:dyDescent="0.25">
      <c r="B113" s="47"/>
      <c r="C113" s="47" t="s">
        <v>3322</v>
      </c>
      <c r="D113" s="47"/>
      <c r="E113" s="47"/>
      <c r="F113" s="48"/>
      <c r="G113" s="48">
        <f>SUM(G108:G112)</f>
        <v>1030.7735500000008</v>
      </c>
      <c r="H113" s="48">
        <f>SUM(H108:H112)</f>
        <v>0.37999999999999989</v>
      </c>
      <c r="I113" s="47"/>
    </row>
    <row r="115" spans="2:9" x14ac:dyDescent="0.25">
      <c r="C115" s="1" t="s">
        <v>38</v>
      </c>
    </row>
    <row r="116" spans="2:9" x14ac:dyDescent="0.25">
      <c r="C116" s="2" t="s">
        <v>39</v>
      </c>
    </row>
    <row r="117" spans="2:9" x14ac:dyDescent="0.25">
      <c r="C117" s="2" t="s">
        <v>40</v>
      </c>
    </row>
    <row r="118" spans="2:9" x14ac:dyDescent="0.25">
      <c r="C118" s="2" t="s">
        <v>3430</v>
      </c>
    </row>
  </sheetData>
  <sortState ref="A109:J112">
    <sortCondition descending="1" ref="H109:H112"/>
  </sortState>
  <hyperlinks>
    <hyperlink ref="J2" location="'Index'!A1" display="'Index'!A1"/>
  </hyperlinks>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128"/>
  <sheetViews>
    <sheetView showGridLines="0" zoomScale="85" zoomScaleNormal="85" workbookViewId="0">
      <pane ySplit="6" topLeftCell="A51" activePane="bottomLeft" state="frozen"/>
      <selection pane="bottomLeft" activeCell="C59" sqref="C59"/>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198</v>
      </c>
      <c r="J2" s="37" t="s">
        <v>3307</v>
      </c>
    </row>
    <row r="3" spans="1:10" ht="16.5" x14ac:dyDescent="0.3">
      <c r="C3" s="1" t="s">
        <v>24</v>
      </c>
      <c r="D3" s="21" t="s">
        <v>199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62</v>
      </c>
      <c r="C10" s="56" t="s">
        <v>63</v>
      </c>
      <c r="D10" s="53" t="s">
        <v>64</v>
      </c>
      <c r="E10" s="6" t="s">
        <v>51</v>
      </c>
      <c r="F10" s="19">
        <v>3530000</v>
      </c>
      <c r="G10" s="24">
        <v>12522.68</v>
      </c>
      <c r="H10" s="24">
        <v>4.38</v>
      </c>
      <c r="I10" s="31"/>
      <c r="J10" s="35"/>
    </row>
    <row r="11" spans="1:10" x14ac:dyDescent="0.25">
      <c r="B11" s="8" t="s">
        <v>200</v>
      </c>
      <c r="C11" s="56" t="s">
        <v>201</v>
      </c>
      <c r="D11" s="53" t="s">
        <v>202</v>
      </c>
      <c r="E11" s="6" t="s">
        <v>196</v>
      </c>
      <c r="F11" s="19">
        <v>830000</v>
      </c>
      <c r="G11" s="24">
        <v>12259.1</v>
      </c>
      <c r="H11" s="24">
        <v>4.29</v>
      </c>
      <c r="I11" s="31"/>
      <c r="J11" s="35"/>
    </row>
    <row r="12" spans="1:10" x14ac:dyDescent="0.25">
      <c r="B12" s="8" t="s">
        <v>48</v>
      </c>
      <c r="C12" s="56" t="s">
        <v>49</v>
      </c>
      <c r="D12" s="53" t="s">
        <v>50</v>
      </c>
      <c r="E12" s="6" t="s">
        <v>51</v>
      </c>
      <c r="F12" s="19">
        <v>1100000</v>
      </c>
      <c r="G12" s="24">
        <v>11864.6</v>
      </c>
      <c r="H12" s="24">
        <v>4.1500000000000004</v>
      </c>
      <c r="I12" s="31"/>
      <c r="J12" s="35"/>
    </row>
    <row r="13" spans="1:10" x14ac:dyDescent="0.25">
      <c r="B13" s="8" t="s">
        <v>44</v>
      </c>
      <c r="C13" s="56" t="s">
        <v>45</v>
      </c>
      <c r="D13" s="53" t="s">
        <v>46</v>
      </c>
      <c r="E13" s="6" t="s">
        <v>47</v>
      </c>
      <c r="F13" s="19">
        <v>1100000</v>
      </c>
      <c r="G13" s="24">
        <v>11090.75</v>
      </c>
      <c r="H13" s="24">
        <v>3.88</v>
      </c>
      <c r="I13" s="31"/>
      <c r="J13" s="35"/>
    </row>
    <row r="14" spans="1:10" x14ac:dyDescent="0.25">
      <c r="B14" s="8" t="s">
        <v>65</v>
      </c>
      <c r="C14" s="56" t="s">
        <v>66</v>
      </c>
      <c r="D14" s="53" t="s">
        <v>67</v>
      </c>
      <c r="E14" s="6" t="s">
        <v>68</v>
      </c>
      <c r="F14" s="19">
        <v>2090000</v>
      </c>
      <c r="G14" s="24">
        <v>8797.86</v>
      </c>
      <c r="H14" s="24">
        <v>3.08</v>
      </c>
      <c r="I14" s="31"/>
      <c r="J14" s="35"/>
    </row>
    <row r="15" spans="1:10" x14ac:dyDescent="0.25">
      <c r="B15" s="8" t="s">
        <v>203</v>
      </c>
      <c r="C15" s="56" t="s">
        <v>204</v>
      </c>
      <c r="D15" s="53" t="s">
        <v>205</v>
      </c>
      <c r="E15" s="6" t="s">
        <v>111</v>
      </c>
      <c r="F15" s="19">
        <v>920000</v>
      </c>
      <c r="G15" s="24">
        <v>8739.08</v>
      </c>
      <c r="H15" s="24">
        <v>3.06</v>
      </c>
      <c r="I15" s="31"/>
      <c r="J15" s="35"/>
    </row>
    <row r="16" spans="1:10" x14ac:dyDescent="0.25">
      <c r="B16" s="8" t="s">
        <v>164</v>
      </c>
      <c r="C16" s="56" t="s">
        <v>165</v>
      </c>
      <c r="D16" s="53" t="s">
        <v>166</v>
      </c>
      <c r="E16" s="6" t="s">
        <v>51</v>
      </c>
      <c r="F16" s="19">
        <v>4700000</v>
      </c>
      <c r="G16" s="24">
        <v>8713.7999999999993</v>
      </c>
      <c r="H16" s="24">
        <v>3.05</v>
      </c>
      <c r="I16" s="31"/>
      <c r="J16" s="35"/>
    </row>
    <row r="17" spans="2:10" x14ac:dyDescent="0.25">
      <c r="B17" s="8" t="s">
        <v>206</v>
      </c>
      <c r="C17" s="56" t="s">
        <v>207</v>
      </c>
      <c r="D17" s="53" t="s">
        <v>208</v>
      </c>
      <c r="E17" s="6" t="s">
        <v>41</v>
      </c>
      <c r="F17" s="19">
        <v>560000</v>
      </c>
      <c r="G17" s="24">
        <v>8438.36</v>
      </c>
      <c r="H17" s="24">
        <v>2.95</v>
      </c>
      <c r="I17" s="31"/>
      <c r="J17" s="35"/>
    </row>
    <row r="18" spans="2:10" x14ac:dyDescent="0.25">
      <c r="B18" s="8" t="s">
        <v>69</v>
      </c>
      <c r="C18" s="56" t="s">
        <v>70</v>
      </c>
      <c r="D18" s="53" t="s">
        <v>71</v>
      </c>
      <c r="E18" s="6" t="s">
        <v>72</v>
      </c>
      <c r="F18" s="19">
        <v>38000</v>
      </c>
      <c r="G18" s="24">
        <v>8107.66</v>
      </c>
      <c r="H18" s="24">
        <v>2.83</v>
      </c>
      <c r="I18" s="31"/>
      <c r="J18" s="35"/>
    </row>
    <row r="19" spans="2:10" x14ac:dyDescent="0.25">
      <c r="B19" s="8" t="s">
        <v>209</v>
      </c>
      <c r="C19" s="56" t="s">
        <v>210</v>
      </c>
      <c r="D19" s="53" t="s">
        <v>211</v>
      </c>
      <c r="E19" s="6" t="s">
        <v>83</v>
      </c>
      <c r="F19" s="19">
        <v>1167724</v>
      </c>
      <c r="G19" s="24">
        <v>7784.63</v>
      </c>
      <c r="H19" s="24">
        <v>2.72</v>
      </c>
      <c r="I19" s="31"/>
      <c r="J19" s="35"/>
    </row>
    <row r="20" spans="2:10" x14ac:dyDescent="0.25">
      <c r="B20" s="8" t="s">
        <v>212</v>
      </c>
      <c r="C20" s="56" t="s">
        <v>213</v>
      </c>
      <c r="D20" s="53" t="s">
        <v>214</v>
      </c>
      <c r="E20" s="6" t="s">
        <v>196</v>
      </c>
      <c r="F20" s="19">
        <v>4430000</v>
      </c>
      <c r="G20" s="24">
        <v>7305.07</v>
      </c>
      <c r="H20" s="24">
        <v>2.5499999999999998</v>
      </c>
      <c r="I20" s="31"/>
      <c r="J20" s="35"/>
    </row>
    <row r="21" spans="2:10" x14ac:dyDescent="0.25">
      <c r="B21" s="8" t="s">
        <v>215</v>
      </c>
      <c r="C21" s="56" t="s">
        <v>216</v>
      </c>
      <c r="D21" s="53" t="s">
        <v>217</v>
      </c>
      <c r="E21" s="6" t="s">
        <v>218</v>
      </c>
      <c r="F21" s="19">
        <v>7400000</v>
      </c>
      <c r="G21" s="24">
        <v>7030</v>
      </c>
      <c r="H21" s="24">
        <v>2.46</v>
      </c>
      <c r="I21" s="31"/>
      <c r="J21" s="35"/>
    </row>
    <row r="22" spans="2:10" x14ac:dyDescent="0.25">
      <c r="B22" s="8" t="s">
        <v>219</v>
      </c>
      <c r="C22" s="56" t="s">
        <v>220</v>
      </c>
      <c r="D22" s="53" t="s">
        <v>221</v>
      </c>
      <c r="E22" s="6" t="s">
        <v>157</v>
      </c>
      <c r="F22" s="19">
        <v>500000</v>
      </c>
      <c r="G22" s="24">
        <v>7003.25</v>
      </c>
      <c r="H22" s="24">
        <v>2.4500000000000002</v>
      </c>
      <c r="I22" s="31"/>
      <c r="J22" s="35"/>
    </row>
    <row r="23" spans="2:10" x14ac:dyDescent="0.25">
      <c r="B23" s="8" t="s">
        <v>133</v>
      </c>
      <c r="C23" s="56" t="s">
        <v>134</v>
      </c>
      <c r="D23" s="53" t="s">
        <v>135</v>
      </c>
      <c r="E23" s="6" t="s">
        <v>47</v>
      </c>
      <c r="F23" s="19">
        <v>830000</v>
      </c>
      <c r="G23" s="24">
        <v>6736.28</v>
      </c>
      <c r="H23" s="24">
        <v>2.35</v>
      </c>
      <c r="I23" s="31"/>
      <c r="J23" s="35"/>
    </row>
    <row r="24" spans="2:10" x14ac:dyDescent="0.25">
      <c r="B24" s="8" t="s">
        <v>222</v>
      </c>
      <c r="C24" s="56" t="s">
        <v>223</v>
      </c>
      <c r="D24" s="53" t="s">
        <v>224</v>
      </c>
      <c r="E24" s="6" t="s">
        <v>83</v>
      </c>
      <c r="F24" s="19">
        <v>501265</v>
      </c>
      <c r="G24" s="24">
        <v>6650.28</v>
      </c>
      <c r="H24" s="24">
        <v>2.3199999999999998</v>
      </c>
      <c r="I24" s="31"/>
      <c r="J24" s="35"/>
    </row>
    <row r="25" spans="2:10" x14ac:dyDescent="0.25">
      <c r="B25" s="8" t="s">
        <v>52</v>
      </c>
      <c r="C25" s="56" t="s">
        <v>53</v>
      </c>
      <c r="D25" s="53" t="s">
        <v>54</v>
      </c>
      <c r="E25" s="6" t="s">
        <v>55</v>
      </c>
      <c r="F25" s="19">
        <v>290000</v>
      </c>
      <c r="G25" s="24">
        <v>6479.62</v>
      </c>
      <c r="H25" s="24">
        <v>2.27</v>
      </c>
      <c r="I25" s="31"/>
      <c r="J25" s="35"/>
    </row>
    <row r="26" spans="2:10" x14ac:dyDescent="0.25">
      <c r="B26" s="8" t="s">
        <v>225</v>
      </c>
      <c r="C26" s="56" t="s">
        <v>226</v>
      </c>
      <c r="D26" s="53" t="s">
        <v>227</v>
      </c>
      <c r="E26" s="6" t="s">
        <v>228</v>
      </c>
      <c r="F26" s="19">
        <v>322272</v>
      </c>
      <c r="G26" s="24">
        <v>6353.59</v>
      </c>
      <c r="H26" s="24">
        <v>2.2200000000000002</v>
      </c>
      <c r="I26" s="31"/>
      <c r="J26" s="35"/>
    </row>
    <row r="27" spans="2:10" x14ac:dyDescent="0.25">
      <c r="B27" s="8" t="s">
        <v>229</v>
      </c>
      <c r="C27" s="56" t="s">
        <v>230</v>
      </c>
      <c r="D27" s="53" t="s">
        <v>231</v>
      </c>
      <c r="E27" s="6" t="s">
        <v>94</v>
      </c>
      <c r="F27" s="19">
        <v>560000</v>
      </c>
      <c r="G27" s="24">
        <v>6339.76</v>
      </c>
      <c r="H27" s="24">
        <v>2.2200000000000002</v>
      </c>
      <c r="I27" s="31"/>
      <c r="J27" s="35"/>
    </row>
    <row r="28" spans="2:10" x14ac:dyDescent="0.25">
      <c r="B28" s="8" t="s">
        <v>232</v>
      </c>
      <c r="C28" s="56" t="s">
        <v>233</v>
      </c>
      <c r="D28" s="53" t="s">
        <v>234</v>
      </c>
      <c r="E28" s="6" t="s">
        <v>90</v>
      </c>
      <c r="F28" s="19">
        <v>1799984</v>
      </c>
      <c r="G28" s="24">
        <v>6323.34</v>
      </c>
      <c r="H28" s="24">
        <v>2.21</v>
      </c>
      <c r="I28" s="31"/>
      <c r="J28" s="35"/>
    </row>
    <row r="29" spans="2:10" x14ac:dyDescent="0.25">
      <c r="B29" s="8" t="s">
        <v>235</v>
      </c>
      <c r="C29" s="56" t="s">
        <v>236</v>
      </c>
      <c r="D29" s="53" t="s">
        <v>3424</v>
      </c>
      <c r="E29" s="6" t="s">
        <v>90</v>
      </c>
      <c r="F29" s="19">
        <v>326100</v>
      </c>
      <c r="G29" s="24">
        <v>5998.45</v>
      </c>
      <c r="H29" s="24">
        <v>2.1</v>
      </c>
      <c r="I29" s="31"/>
      <c r="J29" s="35"/>
    </row>
    <row r="30" spans="2:10" x14ac:dyDescent="0.25">
      <c r="B30" s="8" t="s">
        <v>177</v>
      </c>
      <c r="C30" s="56" t="s">
        <v>178</v>
      </c>
      <c r="D30" s="53" t="s">
        <v>179</v>
      </c>
      <c r="E30" s="6" t="s">
        <v>111</v>
      </c>
      <c r="F30" s="19">
        <v>200000</v>
      </c>
      <c r="G30" s="24">
        <v>5599.9</v>
      </c>
      <c r="H30" s="24">
        <v>1.96</v>
      </c>
      <c r="I30" s="31"/>
      <c r="J30" s="35"/>
    </row>
    <row r="31" spans="2:10" x14ac:dyDescent="0.25">
      <c r="B31" s="8" t="s">
        <v>158</v>
      </c>
      <c r="C31" s="56" t="s">
        <v>159</v>
      </c>
      <c r="D31" s="53" t="s">
        <v>160</v>
      </c>
      <c r="E31" s="6" t="s">
        <v>111</v>
      </c>
      <c r="F31" s="19">
        <v>540000</v>
      </c>
      <c r="G31" s="24">
        <v>5439.96</v>
      </c>
      <c r="H31" s="24">
        <v>1.9</v>
      </c>
      <c r="I31" s="31"/>
      <c r="J31" s="35"/>
    </row>
    <row r="32" spans="2:10" x14ac:dyDescent="0.25">
      <c r="B32" s="8" t="s">
        <v>237</v>
      </c>
      <c r="C32" s="56" t="s">
        <v>238</v>
      </c>
      <c r="D32" s="53" t="s">
        <v>239</v>
      </c>
      <c r="E32" s="6" t="s">
        <v>41</v>
      </c>
      <c r="F32" s="19">
        <v>9290000</v>
      </c>
      <c r="G32" s="24">
        <v>5174.53</v>
      </c>
      <c r="H32" s="24">
        <v>1.81</v>
      </c>
      <c r="I32" s="31"/>
      <c r="J32" s="35"/>
    </row>
    <row r="33" spans="2:10" x14ac:dyDescent="0.25">
      <c r="B33" s="8" t="s">
        <v>240</v>
      </c>
      <c r="C33" s="56" t="s">
        <v>241</v>
      </c>
      <c r="D33" s="53" t="s">
        <v>242</v>
      </c>
      <c r="E33" s="6" t="s">
        <v>196</v>
      </c>
      <c r="F33" s="19">
        <v>600000</v>
      </c>
      <c r="G33" s="24">
        <v>5101.8</v>
      </c>
      <c r="H33" s="24">
        <v>1.78</v>
      </c>
      <c r="I33" s="31"/>
      <c r="J33" s="35"/>
    </row>
    <row r="34" spans="2:10" x14ac:dyDescent="0.25">
      <c r="B34" s="8" t="s">
        <v>174</v>
      </c>
      <c r="C34" s="56" t="s">
        <v>175</v>
      </c>
      <c r="D34" s="53" t="s">
        <v>176</v>
      </c>
      <c r="E34" s="6" t="s">
        <v>157</v>
      </c>
      <c r="F34" s="19">
        <v>1100000</v>
      </c>
      <c r="G34" s="24">
        <v>4923.05</v>
      </c>
      <c r="H34" s="24">
        <v>1.72</v>
      </c>
      <c r="I34" s="31"/>
      <c r="J34" s="35"/>
    </row>
    <row r="35" spans="2:10" x14ac:dyDescent="0.25">
      <c r="B35" s="8" t="s">
        <v>154</v>
      </c>
      <c r="C35" s="56" t="s">
        <v>155</v>
      </c>
      <c r="D35" s="53" t="s">
        <v>156</v>
      </c>
      <c r="E35" s="6" t="s">
        <v>157</v>
      </c>
      <c r="F35" s="19">
        <v>1100000</v>
      </c>
      <c r="G35" s="24">
        <v>4897.2</v>
      </c>
      <c r="H35" s="24">
        <v>1.71</v>
      </c>
      <c r="I35" s="31"/>
      <c r="J35" s="35"/>
    </row>
    <row r="36" spans="2:10" x14ac:dyDescent="0.25">
      <c r="B36" s="8" t="s">
        <v>59</v>
      </c>
      <c r="C36" s="56" t="s">
        <v>60</v>
      </c>
      <c r="D36" s="53" t="s">
        <v>61</v>
      </c>
      <c r="E36" s="6" t="s">
        <v>51</v>
      </c>
      <c r="F36" s="19">
        <v>380000</v>
      </c>
      <c r="G36" s="24">
        <v>4819.16</v>
      </c>
      <c r="H36" s="24">
        <v>1.68</v>
      </c>
      <c r="I36" s="31"/>
      <c r="J36" s="35"/>
    </row>
    <row r="37" spans="2:10" x14ac:dyDescent="0.25">
      <c r="B37" s="8" t="s">
        <v>108</v>
      </c>
      <c r="C37" s="56" t="s">
        <v>109</v>
      </c>
      <c r="D37" s="53" t="s">
        <v>110</v>
      </c>
      <c r="E37" s="6" t="s">
        <v>111</v>
      </c>
      <c r="F37" s="19">
        <v>560000</v>
      </c>
      <c r="G37" s="24">
        <v>4338.32</v>
      </c>
      <c r="H37" s="24">
        <v>1.52</v>
      </c>
      <c r="I37" s="31"/>
      <c r="J37" s="35"/>
    </row>
    <row r="38" spans="2:10" x14ac:dyDescent="0.25">
      <c r="B38" s="8" t="s">
        <v>243</v>
      </c>
      <c r="C38" s="56" t="s">
        <v>197</v>
      </c>
      <c r="D38" s="53" t="s">
        <v>244</v>
      </c>
      <c r="E38" s="6" t="s">
        <v>142</v>
      </c>
      <c r="F38" s="19">
        <v>1820000</v>
      </c>
      <c r="G38" s="24">
        <v>4275.18</v>
      </c>
      <c r="H38" s="24">
        <v>1.49</v>
      </c>
      <c r="I38" s="31"/>
      <c r="J38" s="35"/>
    </row>
    <row r="39" spans="2:10" x14ac:dyDescent="0.25">
      <c r="B39" s="8" t="s">
        <v>245</v>
      </c>
      <c r="C39" s="56" t="s">
        <v>246</v>
      </c>
      <c r="D39" s="53" t="s">
        <v>247</v>
      </c>
      <c r="E39" s="6" t="s">
        <v>111</v>
      </c>
      <c r="F39" s="19">
        <v>830000</v>
      </c>
      <c r="G39" s="24">
        <v>4153.74</v>
      </c>
      <c r="H39" s="24">
        <v>1.45</v>
      </c>
      <c r="I39" s="31"/>
      <c r="J39" s="35"/>
    </row>
    <row r="40" spans="2:10" x14ac:dyDescent="0.25">
      <c r="B40" s="8" t="s">
        <v>136</v>
      </c>
      <c r="C40" s="56" t="s">
        <v>137</v>
      </c>
      <c r="D40" s="53" t="s">
        <v>138</v>
      </c>
      <c r="E40" s="6" t="s">
        <v>41</v>
      </c>
      <c r="F40" s="19">
        <v>100000</v>
      </c>
      <c r="G40" s="24">
        <v>4049.55</v>
      </c>
      <c r="H40" s="24">
        <v>1.42</v>
      </c>
      <c r="I40" s="31"/>
      <c r="J40" s="35"/>
    </row>
    <row r="41" spans="2:10" x14ac:dyDescent="0.25">
      <c r="B41" s="8" t="s">
        <v>73</v>
      </c>
      <c r="C41" s="56" t="s">
        <v>74</v>
      </c>
      <c r="D41" s="53" t="s">
        <v>75</v>
      </c>
      <c r="E41" s="6" t="s">
        <v>51</v>
      </c>
      <c r="F41" s="19">
        <v>920000</v>
      </c>
      <c r="G41" s="24">
        <v>3906.78</v>
      </c>
      <c r="H41" s="24">
        <v>1.37</v>
      </c>
      <c r="I41" s="31"/>
      <c r="J41" s="35"/>
    </row>
    <row r="42" spans="2:10" x14ac:dyDescent="0.25">
      <c r="B42" s="8" t="s">
        <v>248</v>
      </c>
      <c r="C42" s="56" t="s">
        <v>249</v>
      </c>
      <c r="D42" s="53" t="s">
        <v>250</v>
      </c>
      <c r="E42" s="6" t="s">
        <v>90</v>
      </c>
      <c r="F42" s="19">
        <v>618144</v>
      </c>
      <c r="G42" s="24">
        <v>3728.03</v>
      </c>
      <c r="H42" s="24">
        <v>1.3</v>
      </c>
      <c r="I42" s="31"/>
      <c r="J42" s="35"/>
    </row>
    <row r="43" spans="2:10" x14ac:dyDescent="0.25">
      <c r="B43" s="8" t="s">
        <v>251</v>
      </c>
      <c r="C43" s="56" t="s">
        <v>252</v>
      </c>
      <c r="D43" s="53" t="s">
        <v>253</v>
      </c>
      <c r="E43" s="6" t="s">
        <v>254</v>
      </c>
      <c r="F43" s="19">
        <v>5200000</v>
      </c>
      <c r="G43" s="24">
        <v>3567.2</v>
      </c>
      <c r="H43" s="24">
        <v>1.25</v>
      </c>
      <c r="I43" s="31"/>
      <c r="J43" s="35"/>
    </row>
    <row r="44" spans="2:10" x14ac:dyDescent="0.25">
      <c r="B44" s="8" t="s">
        <v>255</v>
      </c>
      <c r="C44" s="56" t="s">
        <v>256</v>
      </c>
      <c r="D44" s="53" t="s">
        <v>257</v>
      </c>
      <c r="E44" s="6" t="s">
        <v>51</v>
      </c>
      <c r="F44" s="19">
        <v>1277500</v>
      </c>
      <c r="G44" s="24">
        <v>3487.58</v>
      </c>
      <c r="H44" s="24">
        <v>1.22</v>
      </c>
      <c r="I44" s="31"/>
      <c r="J44" s="35"/>
    </row>
    <row r="45" spans="2:10" x14ac:dyDescent="0.25">
      <c r="B45" s="8" t="s">
        <v>258</v>
      </c>
      <c r="C45" s="56" t="s">
        <v>259</v>
      </c>
      <c r="D45" s="53" t="s">
        <v>260</v>
      </c>
      <c r="E45" s="6" t="s">
        <v>261</v>
      </c>
      <c r="F45" s="19">
        <v>6105666</v>
      </c>
      <c r="G45" s="24">
        <v>3443.6</v>
      </c>
      <c r="H45" s="24">
        <v>1.2</v>
      </c>
      <c r="I45" s="31"/>
      <c r="J45" s="35"/>
    </row>
    <row r="46" spans="2:10" x14ac:dyDescent="0.25">
      <c r="B46" s="8" t="s">
        <v>76</v>
      </c>
      <c r="C46" s="56" t="s">
        <v>77</v>
      </c>
      <c r="D46" s="53" t="s">
        <v>78</v>
      </c>
      <c r="E46" s="6" t="s">
        <v>79</v>
      </c>
      <c r="F46" s="19">
        <v>380000</v>
      </c>
      <c r="G46" s="24">
        <v>3426.08</v>
      </c>
      <c r="H46" s="24">
        <v>1.2</v>
      </c>
      <c r="I46" s="31"/>
      <c r="J46" s="35"/>
    </row>
    <row r="47" spans="2:10" x14ac:dyDescent="0.25">
      <c r="B47" s="8" t="s">
        <v>262</v>
      </c>
      <c r="C47" s="56" t="s">
        <v>263</v>
      </c>
      <c r="D47" s="53" t="s">
        <v>264</v>
      </c>
      <c r="E47" s="6" t="s">
        <v>194</v>
      </c>
      <c r="F47" s="19">
        <v>1750000</v>
      </c>
      <c r="G47" s="24">
        <v>3376.63</v>
      </c>
      <c r="H47" s="24">
        <v>1.18</v>
      </c>
      <c r="I47" s="31"/>
      <c r="J47" s="35"/>
    </row>
    <row r="48" spans="2:10" x14ac:dyDescent="0.25">
      <c r="B48" s="8" t="s">
        <v>265</v>
      </c>
      <c r="C48" s="56" t="s">
        <v>266</v>
      </c>
      <c r="D48" s="53" t="s">
        <v>267</v>
      </c>
      <c r="E48" s="6" t="s">
        <v>157</v>
      </c>
      <c r="F48" s="19">
        <v>200000</v>
      </c>
      <c r="G48" s="24">
        <v>2923</v>
      </c>
      <c r="H48" s="24">
        <v>1.02</v>
      </c>
      <c r="I48" s="31"/>
      <c r="J48" s="35"/>
    </row>
    <row r="49" spans="2:10" x14ac:dyDescent="0.25">
      <c r="B49" s="8" t="s">
        <v>268</v>
      </c>
      <c r="C49" s="56" t="s">
        <v>269</v>
      </c>
      <c r="D49" s="53" t="s">
        <v>270</v>
      </c>
      <c r="E49" s="6" t="s">
        <v>196</v>
      </c>
      <c r="F49" s="19">
        <v>378993</v>
      </c>
      <c r="G49" s="24">
        <v>2896.08</v>
      </c>
      <c r="H49" s="24">
        <v>1.01</v>
      </c>
      <c r="I49" s="31"/>
      <c r="J49" s="35"/>
    </row>
    <row r="50" spans="2:10" x14ac:dyDescent="0.25">
      <c r="B50" s="8" t="s">
        <v>271</v>
      </c>
      <c r="C50" s="56" t="s">
        <v>272</v>
      </c>
      <c r="D50" s="53" t="s">
        <v>273</v>
      </c>
      <c r="E50" s="6" t="s">
        <v>274</v>
      </c>
      <c r="F50" s="19">
        <v>1214084</v>
      </c>
      <c r="G50" s="24">
        <v>2845.21</v>
      </c>
      <c r="H50" s="24">
        <v>0.99</v>
      </c>
      <c r="I50" s="31"/>
      <c r="J50" s="35"/>
    </row>
    <row r="51" spans="2:10" x14ac:dyDescent="0.25">
      <c r="B51" s="8" t="s">
        <v>275</v>
      </c>
      <c r="C51" s="56" t="s">
        <v>276</v>
      </c>
      <c r="D51" s="53" t="s">
        <v>277</v>
      </c>
      <c r="E51" s="6" t="s">
        <v>218</v>
      </c>
      <c r="F51" s="19">
        <v>10000000</v>
      </c>
      <c r="G51" s="24">
        <v>2790</v>
      </c>
      <c r="H51" s="24">
        <v>0.98</v>
      </c>
      <c r="I51" s="31"/>
      <c r="J51" s="35"/>
    </row>
    <row r="52" spans="2:10" x14ac:dyDescent="0.25">
      <c r="B52" s="8" t="s">
        <v>161</v>
      </c>
      <c r="C52" s="56" t="s">
        <v>162</v>
      </c>
      <c r="D52" s="53" t="s">
        <v>163</v>
      </c>
      <c r="E52" s="6" t="s">
        <v>94</v>
      </c>
      <c r="F52" s="19">
        <v>650000</v>
      </c>
      <c r="G52" s="24">
        <v>2735.85</v>
      </c>
      <c r="H52" s="24">
        <v>0.96</v>
      </c>
      <c r="I52" s="31"/>
      <c r="J52" s="35"/>
    </row>
    <row r="53" spans="2:10" x14ac:dyDescent="0.25">
      <c r="B53" s="8" t="s">
        <v>278</v>
      </c>
      <c r="C53" s="56" t="s">
        <v>279</v>
      </c>
      <c r="D53" s="53" t="s">
        <v>280</v>
      </c>
      <c r="E53" s="6" t="s">
        <v>281</v>
      </c>
      <c r="F53" s="19">
        <v>1108459</v>
      </c>
      <c r="G53" s="24">
        <v>2582.16</v>
      </c>
      <c r="H53" s="24">
        <v>0.9</v>
      </c>
      <c r="I53" s="31"/>
      <c r="J53" s="35"/>
    </row>
    <row r="54" spans="2:10" x14ac:dyDescent="0.25">
      <c r="B54" s="8" t="s">
        <v>282</v>
      </c>
      <c r="C54" s="56" t="s">
        <v>283</v>
      </c>
      <c r="D54" s="53" t="s">
        <v>284</v>
      </c>
      <c r="E54" s="6" t="s">
        <v>254</v>
      </c>
      <c r="F54" s="19">
        <v>300000</v>
      </c>
      <c r="G54" s="24">
        <v>2578.5</v>
      </c>
      <c r="H54" s="24">
        <v>0.9</v>
      </c>
      <c r="I54" s="31"/>
      <c r="J54" s="35"/>
    </row>
    <row r="55" spans="2:10" x14ac:dyDescent="0.25">
      <c r="B55" s="8" t="s">
        <v>285</v>
      </c>
      <c r="C55" s="56" t="s">
        <v>286</v>
      </c>
      <c r="D55" s="53" t="s">
        <v>287</v>
      </c>
      <c r="E55" s="6" t="s">
        <v>47</v>
      </c>
      <c r="F55" s="19">
        <v>725850</v>
      </c>
      <c r="G55" s="24">
        <v>2532.13</v>
      </c>
      <c r="H55" s="24">
        <v>0.89</v>
      </c>
      <c r="I55" s="31"/>
      <c r="J55" s="35"/>
    </row>
    <row r="56" spans="2:10" x14ac:dyDescent="0.25">
      <c r="B56" s="8" t="s">
        <v>288</v>
      </c>
      <c r="C56" s="56" t="s">
        <v>289</v>
      </c>
      <c r="D56" s="53" t="s">
        <v>290</v>
      </c>
      <c r="E56" s="6" t="s">
        <v>157</v>
      </c>
      <c r="F56" s="19">
        <v>2243000</v>
      </c>
      <c r="G56" s="24">
        <v>2416.83</v>
      </c>
      <c r="H56" s="24">
        <v>0.84</v>
      </c>
      <c r="I56" s="31"/>
      <c r="J56" s="35"/>
    </row>
    <row r="57" spans="2:10" x14ac:dyDescent="0.25">
      <c r="B57" s="8" t="s">
        <v>291</v>
      </c>
      <c r="C57" s="56" t="s">
        <v>292</v>
      </c>
      <c r="D57" s="53" t="s">
        <v>293</v>
      </c>
      <c r="E57" s="6" t="s">
        <v>261</v>
      </c>
      <c r="F57" s="19">
        <v>10000000</v>
      </c>
      <c r="G57" s="24">
        <v>2195</v>
      </c>
      <c r="H57" s="24">
        <v>0.77</v>
      </c>
      <c r="I57" s="31"/>
      <c r="J57" s="35"/>
    </row>
    <row r="58" spans="2:10" x14ac:dyDescent="0.25">
      <c r="B58" s="8" t="s">
        <v>294</v>
      </c>
      <c r="C58" s="56" t="s">
        <v>295</v>
      </c>
      <c r="D58" s="53" t="s">
        <v>296</v>
      </c>
      <c r="E58" s="6" t="s">
        <v>274</v>
      </c>
      <c r="F58" s="19">
        <v>1370000</v>
      </c>
      <c r="G58" s="24">
        <v>2091.31</v>
      </c>
      <c r="H58" s="24">
        <v>0.73</v>
      </c>
      <c r="I58" s="31"/>
      <c r="J58" s="35"/>
    </row>
    <row r="59" spans="2:10" x14ac:dyDescent="0.25">
      <c r="B59" s="8" t="s">
        <v>297</v>
      </c>
      <c r="C59" s="56" t="s">
        <v>298</v>
      </c>
      <c r="D59" s="53" t="s">
        <v>299</v>
      </c>
      <c r="E59" s="6" t="s">
        <v>195</v>
      </c>
      <c r="F59" s="19">
        <v>340000</v>
      </c>
      <c r="G59" s="24">
        <v>1899.75</v>
      </c>
      <c r="H59" s="24">
        <v>0.66</v>
      </c>
      <c r="I59" s="31"/>
      <c r="J59" s="35"/>
    </row>
    <row r="60" spans="2:10" x14ac:dyDescent="0.25">
      <c r="B60" s="8" t="s">
        <v>300</v>
      </c>
      <c r="C60" s="56" t="s">
        <v>301</v>
      </c>
      <c r="D60" s="53" t="s">
        <v>302</v>
      </c>
      <c r="E60" s="6" t="s">
        <v>153</v>
      </c>
      <c r="F60" s="19">
        <v>338034</v>
      </c>
      <c r="G60" s="24">
        <v>1759.47</v>
      </c>
      <c r="H60" s="24">
        <v>0.62</v>
      </c>
      <c r="I60" s="31"/>
      <c r="J60" s="35"/>
    </row>
    <row r="61" spans="2:10" x14ac:dyDescent="0.25">
      <c r="B61" s="8" t="s">
        <v>316</v>
      </c>
      <c r="C61" s="56" t="s">
        <v>317</v>
      </c>
      <c r="D61" s="53" t="s">
        <v>318</v>
      </c>
      <c r="E61" s="6" t="s">
        <v>94</v>
      </c>
      <c r="F61" s="19">
        <v>65040</v>
      </c>
      <c r="G61" s="24">
        <v>799.99</v>
      </c>
      <c r="H61" s="24">
        <v>0.28000000000000003</v>
      </c>
      <c r="I61" s="31"/>
      <c r="J61" s="35" t="s">
        <v>3420</v>
      </c>
    </row>
    <row r="62" spans="2:10" x14ac:dyDescent="0.25">
      <c r="B62" s="8" t="s">
        <v>303</v>
      </c>
      <c r="C62" s="56" t="s">
        <v>304</v>
      </c>
      <c r="D62" s="53" t="s">
        <v>305</v>
      </c>
      <c r="E62" s="6" t="s">
        <v>306</v>
      </c>
      <c r="F62" s="19">
        <v>200000</v>
      </c>
      <c r="G62" s="24">
        <v>514.79999999999995</v>
      </c>
      <c r="H62" s="24">
        <v>0.18</v>
      </c>
      <c r="I62" s="31"/>
      <c r="J62" s="35"/>
    </row>
    <row r="63" spans="2:10" x14ac:dyDescent="0.25">
      <c r="B63" s="8" t="s">
        <v>307</v>
      </c>
      <c r="C63" s="56" t="s">
        <v>308</v>
      </c>
      <c r="D63" s="53" t="s">
        <v>309</v>
      </c>
      <c r="E63" s="6" t="s">
        <v>90</v>
      </c>
      <c r="F63" s="19">
        <v>20630</v>
      </c>
      <c r="G63" s="24">
        <v>160.9</v>
      </c>
      <c r="H63" s="24">
        <v>0.06</v>
      </c>
      <c r="I63" s="31"/>
      <c r="J63" s="35"/>
    </row>
    <row r="64" spans="2:10" x14ac:dyDescent="0.25">
      <c r="B64" s="8" t="s">
        <v>310</v>
      </c>
      <c r="C64" s="56" t="s">
        <v>311</v>
      </c>
      <c r="D64" s="53" t="s">
        <v>312</v>
      </c>
      <c r="E64" s="6" t="s">
        <v>90</v>
      </c>
      <c r="F64" s="19">
        <v>1682520</v>
      </c>
      <c r="G64" s="24">
        <v>98.43</v>
      </c>
      <c r="H64" s="24">
        <v>0.03</v>
      </c>
      <c r="I64" s="31"/>
      <c r="J64" s="35" t="s">
        <v>3421</v>
      </c>
    </row>
    <row r="65" spans="2:10" x14ac:dyDescent="0.25">
      <c r="B65" s="8" t="s">
        <v>313</v>
      </c>
      <c r="C65" s="56" t="s">
        <v>314</v>
      </c>
      <c r="D65" s="53" t="s">
        <v>315</v>
      </c>
      <c r="E65" s="6" t="s">
        <v>195</v>
      </c>
      <c r="F65" s="19">
        <v>452200</v>
      </c>
      <c r="G65" s="24">
        <v>31.74</v>
      </c>
      <c r="H65" s="24">
        <v>0.01</v>
      </c>
      <c r="I65" s="31"/>
      <c r="J65" s="35"/>
    </row>
    <row r="66" spans="2:10" x14ac:dyDescent="0.25">
      <c r="C66" s="57" t="s">
        <v>35</v>
      </c>
      <c r="D66" s="53"/>
      <c r="E66" s="6"/>
      <c r="F66" s="19"/>
      <c r="G66" s="25">
        <f>SUM(XDO_?FINAL_MV?36?)</f>
        <v>276097.59999999992</v>
      </c>
      <c r="H66" s="25">
        <f>SUM(XDO_?FINAL_PER_NET?36?)</f>
        <v>96.530000000000044</v>
      </c>
      <c r="I66" s="31"/>
      <c r="J66" s="35"/>
    </row>
    <row r="67" spans="2:10" x14ac:dyDescent="0.25">
      <c r="C67" s="56"/>
      <c r="D67" s="53"/>
      <c r="E67" s="6"/>
      <c r="F67" s="19"/>
      <c r="G67" s="24"/>
      <c r="H67" s="24"/>
      <c r="I67" s="31"/>
      <c r="J67" s="35"/>
    </row>
    <row r="68" spans="2:10" x14ac:dyDescent="0.25">
      <c r="C68" s="59" t="s">
        <v>3</v>
      </c>
      <c r="D68" s="53"/>
      <c r="E68" s="6"/>
      <c r="F68" s="19"/>
      <c r="G68" s="24"/>
      <c r="H68" s="24"/>
      <c r="I68" s="31"/>
      <c r="J68" s="35"/>
    </row>
    <row r="69" spans="2:10" x14ac:dyDescent="0.25">
      <c r="B69" s="8" t="s">
        <v>183</v>
      </c>
      <c r="C69" s="56" t="s">
        <v>184</v>
      </c>
      <c r="D69" s="53" t="s">
        <v>185</v>
      </c>
      <c r="E69" s="6" t="s">
        <v>47</v>
      </c>
      <c r="F69" s="19">
        <v>81000</v>
      </c>
      <c r="G69" s="62">
        <v>0</v>
      </c>
      <c r="H69" s="24" t="s">
        <v>3399</v>
      </c>
      <c r="I69" s="31"/>
      <c r="J69" s="35" t="s">
        <v>3419</v>
      </c>
    </row>
    <row r="70" spans="2:10" x14ac:dyDescent="0.25">
      <c r="B70" s="8" t="s">
        <v>186</v>
      </c>
      <c r="C70" s="56" t="s">
        <v>187</v>
      </c>
      <c r="D70" s="53" t="s">
        <v>188</v>
      </c>
      <c r="E70" s="6" t="s">
        <v>47</v>
      </c>
      <c r="F70" s="19">
        <v>500000</v>
      </c>
      <c r="G70" s="62">
        <v>0</v>
      </c>
      <c r="H70" s="24" t="s">
        <v>3399</v>
      </c>
      <c r="I70" s="31"/>
      <c r="J70" s="35" t="s">
        <v>3419</v>
      </c>
    </row>
    <row r="71" spans="2:10" x14ac:dyDescent="0.25">
      <c r="B71" s="8" t="s">
        <v>319</v>
      </c>
      <c r="C71" s="56" t="s">
        <v>320</v>
      </c>
      <c r="D71" s="53" t="s">
        <v>321</v>
      </c>
      <c r="E71" s="6" t="s">
        <v>47</v>
      </c>
      <c r="F71" s="19">
        <v>250</v>
      </c>
      <c r="G71" s="62">
        <v>0</v>
      </c>
      <c r="H71" s="24" t="s">
        <v>3399</v>
      </c>
      <c r="I71" s="31"/>
      <c r="J71" s="35" t="s">
        <v>3419</v>
      </c>
    </row>
    <row r="72" spans="2:10" x14ac:dyDescent="0.25">
      <c r="C72" s="57" t="s">
        <v>35</v>
      </c>
      <c r="D72" s="53"/>
      <c r="E72" s="6"/>
      <c r="F72" s="19"/>
      <c r="G72" s="112">
        <f>SUM(G69:G71)</f>
        <v>0</v>
      </c>
      <c r="H72" s="112">
        <v>0</v>
      </c>
      <c r="I72" s="31"/>
      <c r="J72" s="35"/>
    </row>
    <row r="73" spans="2:10" x14ac:dyDescent="0.25">
      <c r="C73" s="56"/>
      <c r="D73" s="53"/>
      <c r="E73" s="6"/>
      <c r="F73" s="19"/>
      <c r="G73" s="24"/>
      <c r="H73" s="24"/>
      <c r="I73" s="31"/>
      <c r="J73" s="35"/>
    </row>
    <row r="74" spans="2:10" x14ac:dyDescent="0.25">
      <c r="C74" s="57" t="s">
        <v>4</v>
      </c>
      <c r="D74" s="53"/>
      <c r="E74" s="6"/>
      <c r="F74" s="19"/>
      <c r="G74" s="24" t="s">
        <v>2</v>
      </c>
      <c r="H74" s="24" t="s">
        <v>2</v>
      </c>
      <c r="I74" s="31"/>
      <c r="J74" s="35"/>
    </row>
    <row r="75" spans="2:10" x14ac:dyDescent="0.25">
      <c r="C75" s="56"/>
      <c r="D75" s="53"/>
      <c r="E75" s="6"/>
      <c r="F75" s="19"/>
      <c r="G75" s="24"/>
      <c r="H75" s="24"/>
      <c r="I75" s="31"/>
      <c r="J75" s="35"/>
    </row>
    <row r="76" spans="2:10" x14ac:dyDescent="0.25">
      <c r="C76" s="57" t="s">
        <v>5</v>
      </c>
      <c r="D76" s="53"/>
      <c r="E76" s="6"/>
      <c r="F76" s="19"/>
      <c r="G76" s="24"/>
      <c r="H76" s="24"/>
      <c r="I76" s="31"/>
      <c r="J76" s="35"/>
    </row>
    <row r="77" spans="2:10" x14ac:dyDescent="0.25">
      <c r="C77" s="56"/>
      <c r="D77" s="53"/>
      <c r="E77" s="6"/>
      <c r="F77" s="19"/>
      <c r="G77" s="24"/>
      <c r="H77" s="24"/>
      <c r="I77" s="31"/>
      <c r="J77" s="35"/>
    </row>
    <row r="78" spans="2:10" x14ac:dyDescent="0.25">
      <c r="C78" s="57" t="s">
        <v>6</v>
      </c>
      <c r="D78" s="53"/>
      <c r="E78" s="6"/>
      <c r="F78" s="19"/>
      <c r="G78" s="24" t="s">
        <v>2</v>
      </c>
      <c r="H78" s="24" t="s">
        <v>2</v>
      </c>
      <c r="I78" s="31"/>
      <c r="J78" s="35"/>
    </row>
    <row r="79" spans="2:10" x14ac:dyDescent="0.25">
      <c r="C79" s="56"/>
      <c r="D79" s="53"/>
      <c r="E79" s="6"/>
      <c r="F79" s="19"/>
      <c r="G79" s="24"/>
      <c r="H79" s="24"/>
      <c r="I79" s="31"/>
      <c r="J79" s="35"/>
    </row>
    <row r="80" spans="2:10" x14ac:dyDescent="0.25">
      <c r="C80" s="57" t="s">
        <v>7</v>
      </c>
      <c r="D80" s="53"/>
      <c r="E80" s="6"/>
      <c r="F80" s="19"/>
      <c r="G80" s="24" t="s">
        <v>2</v>
      </c>
      <c r="H80" s="24" t="s">
        <v>2</v>
      </c>
      <c r="I80" s="31"/>
      <c r="J80" s="35"/>
    </row>
    <row r="81" spans="3:10" x14ac:dyDescent="0.25">
      <c r="C81" s="56"/>
      <c r="D81" s="53"/>
      <c r="E81" s="6"/>
      <c r="F81" s="19"/>
      <c r="G81" s="24"/>
      <c r="H81" s="24"/>
      <c r="I81" s="31"/>
      <c r="J81" s="35"/>
    </row>
    <row r="82" spans="3:10" x14ac:dyDescent="0.25">
      <c r="C82" s="57" t="s">
        <v>8</v>
      </c>
      <c r="D82" s="53"/>
      <c r="E82" s="6"/>
      <c r="F82" s="19"/>
      <c r="G82" s="24" t="s">
        <v>2</v>
      </c>
      <c r="H82" s="24" t="s">
        <v>2</v>
      </c>
      <c r="I82" s="31"/>
      <c r="J82" s="35"/>
    </row>
    <row r="83" spans="3:10" x14ac:dyDescent="0.25">
      <c r="C83" s="56"/>
      <c r="D83" s="53"/>
      <c r="E83" s="6"/>
      <c r="F83" s="19"/>
      <c r="G83" s="24"/>
      <c r="H83" s="24"/>
      <c r="I83" s="31"/>
      <c r="J83" s="35"/>
    </row>
    <row r="84" spans="3:10" x14ac:dyDescent="0.25">
      <c r="C84" s="57" t="s">
        <v>9</v>
      </c>
      <c r="D84" s="53"/>
      <c r="E84" s="6"/>
      <c r="F84" s="19"/>
      <c r="G84" s="24" t="s">
        <v>2</v>
      </c>
      <c r="H84" s="24" t="s">
        <v>2</v>
      </c>
      <c r="I84" s="31"/>
      <c r="J84" s="35"/>
    </row>
    <row r="85" spans="3:10" x14ac:dyDescent="0.25">
      <c r="C85" s="56"/>
      <c r="D85" s="53"/>
      <c r="E85" s="6"/>
      <c r="F85" s="19"/>
      <c r="G85" s="24"/>
      <c r="H85" s="24"/>
      <c r="I85" s="31"/>
      <c r="J85" s="35"/>
    </row>
    <row r="86" spans="3:10" x14ac:dyDescent="0.25">
      <c r="C86" s="57" t="s">
        <v>10</v>
      </c>
      <c r="D86" s="53"/>
      <c r="E86" s="6"/>
      <c r="F86" s="19"/>
      <c r="G86" s="24" t="s">
        <v>2</v>
      </c>
      <c r="H86" s="24" t="s">
        <v>2</v>
      </c>
      <c r="I86" s="31"/>
      <c r="J86" s="35"/>
    </row>
    <row r="87" spans="3:10" x14ac:dyDescent="0.25">
      <c r="C87" s="56"/>
      <c r="D87" s="53"/>
      <c r="E87" s="6"/>
      <c r="F87" s="19"/>
      <c r="G87" s="24"/>
      <c r="H87" s="24"/>
      <c r="I87" s="31"/>
      <c r="J87" s="35"/>
    </row>
    <row r="88" spans="3:10" x14ac:dyDescent="0.25">
      <c r="C88" s="57" t="s">
        <v>11</v>
      </c>
      <c r="D88" s="53"/>
      <c r="E88" s="6"/>
      <c r="F88" s="19"/>
      <c r="G88" s="24"/>
      <c r="H88" s="24"/>
      <c r="I88" s="31"/>
      <c r="J88" s="35"/>
    </row>
    <row r="89" spans="3:10" x14ac:dyDescent="0.25">
      <c r="C89" s="56"/>
      <c r="D89" s="53"/>
      <c r="E89" s="6"/>
      <c r="F89" s="19"/>
      <c r="G89" s="24"/>
      <c r="H89" s="24"/>
      <c r="I89" s="31"/>
      <c r="J89" s="35"/>
    </row>
    <row r="90" spans="3:10" x14ac:dyDescent="0.25">
      <c r="C90" s="57" t="s">
        <v>13</v>
      </c>
      <c r="D90" s="53"/>
      <c r="E90" s="6"/>
      <c r="F90" s="19"/>
      <c r="G90" s="24" t="s">
        <v>2</v>
      </c>
      <c r="H90" s="24" t="s">
        <v>2</v>
      </c>
      <c r="I90" s="31"/>
      <c r="J90" s="35"/>
    </row>
    <row r="91" spans="3:10" x14ac:dyDescent="0.25">
      <c r="C91" s="56"/>
      <c r="D91" s="53"/>
      <c r="E91" s="6"/>
      <c r="F91" s="19"/>
      <c r="G91" s="24"/>
      <c r="H91" s="24"/>
      <c r="I91" s="31"/>
      <c r="J91" s="35"/>
    </row>
    <row r="92" spans="3:10" x14ac:dyDescent="0.25">
      <c r="C92" s="57" t="s">
        <v>14</v>
      </c>
      <c r="D92" s="53"/>
      <c r="E92" s="6"/>
      <c r="F92" s="19"/>
      <c r="G92" s="24" t="s">
        <v>2</v>
      </c>
      <c r="H92" s="24" t="s">
        <v>2</v>
      </c>
      <c r="I92" s="31"/>
      <c r="J92" s="35"/>
    </row>
    <row r="93" spans="3:10" x14ac:dyDescent="0.25">
      <c r="C93" s="56"/>
      <c r="D93" s="53"/>
      <c r="E93" s="6"/>
      <c r="F93" s="19"/>
      <c r="G93" s="24"/>
      <c r="H93" s="24"/>
      <c r="I93" s="31"/>
      <c r="J93" s="35"/>
    </row>
    <row r="94" spans="3:10" x14ac:dyDescent="0.25">
      <c r="C94" s="57" t="s">
        <v>15</v>
      </c>
      <c r="D94" s="53"/>
      <c r="E94" s="6"/>
      <c r="F94" s="19"/>
      <c r="G94" s="24" t="s">
        <v>2</v>
      </c>
      <c r="H94" s="24" t="s">
        <v>2</v>
      </c>
      <c r="I94" s="31"/>
      <c r="J94" s="35"/>
    </row>
    <row r="95" spans="3:10" x14ac:dyDescent="0.25">
      <c r="C95" s="56"/>
      <c r="D95" s="53"/>
      <c r="E95" s="6"/>
      <c r="F95" s="19"/>
      <c r="G95" s="24"/>
      <c r="H95" s="24"/>
      <c r="I95" s="31"/>
      <c r="J95" s="35"/>
    </row>
    <row r="96" spans="3:10" x14ac:dyDescent="0.25">
      <c r="C96" s="57" t="s">
        <v>16</v>
      </c>
      <c r="D96" s="53"/>
      <c r="E96" s="6"/>
      <c r="F96" s="19"/>
      <c r="G96" s="24" t="s">
        <v>2</v>
      </c>
      <c r="H96" s="24" t="s">
        <v>2</v>
      </c>
      <c r="I96" s="31"/>
      <c r="J96" s="35"/>
    </row>
    <row r="97" spans="1:10" x14ac:dyDescent="0.25">
      <c r="C97" s="56"/>
      <c r="D97" s="53"/>
      <c r="E97" s="6"/>
      <c r="F97" s="19"/>
      <c r="G97" s="24"/>
      <c r="H97" s="24"/>
      <c r="I97" s="31"/>
      <c r="J97" s="35"/>
    </row>
    <row r="98" spans="1:10" x14ac:dyDescent="0.25">
      <c r="A98" s="10"/>
      <c r="B98" s="28"/>
      <c r="C98" s="58" t="s">
        <v>17</v>
      </c>
      <c r="D98" s="53"/>
      <c r="E98" s="6"/>
      <c r="F98" s="19"/>
      <c r="G98" s="24"/>
      <c r="H98" s="24"/>
      <c r="I98" s="31"/>
      <c r="J98" s="35"/>
    </row>
    <row r="99" spans="1:10" x14ac:dyDescent="0.25">
      <c r="A99" s="28"/>
      <c r="B99" s="28"/>
      <c r="C99" s="58" t="s">
        <v>18</v>
      </c>
      <c r="D99" s="53"/>
      <c r="E99" s="6"/>
      <c r="F99" s="19"/>
      <c r="G99" s="24" t="s">
        <v>2</v>
      </c>
      <c r="H99" s="24" t="s">
        <v>2</v>
      </c>
      <c r="I99" s="31"/>
      <c r="J99" s="35"/>
    </row>
    <row r="100" spans="1:10" x14ac:dyDescent="0.25">
      <c r="A100" s="28"/>
      <c r="B100" s="28"/>
      <c r="C100" s="58"/>
      <c r="D100" s="53"/>
      <c r="E100" s="6"/>
      <c r="F100" s="19"/>
      <c r="G100" s="24"/>
      <c r="H100" s="24"/>
      <c r="I100" s="31"/>
      <c r="J100" s="35"/>
    </row>
    <row r="101" spans="1:10" x14ac:dyDescent="0.25">
      <c r="A101" s="28"/>
      <c r="B101" s="28"/>
      <c r="C101" s="58" t="s">
        <v>19</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20</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A105" s="28"/>
      <c r="B105" s="28"/>
      <c r="C105" s="58" t="s">
        <v>21</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C107" s="59" t="s">
        <v>22</v>
      </c>
      <c r="D107" s="53"/>
      <c r="E107" s="6"/>
      <c r="F107" s="19"/>
      <c r="G107" s="24"/>
      <c r="H107" s="24"/>
      <c r="I107" s="31"/>
      <c r="J107" s="35"/>
    </row>
    <row r="108" spans="1:10" x14ac:dyDescent="0.25">
      <c r="B108" s="8" t="s">
        <v>33</v>
      </c>
      <c r="C108" s="56" t="s">
        <v>34</v>
      </c>
      <c r="D108" s="53"/>
      <c r="E108" s="6"/>
      <c r="F108" s="19"/>
      <c r="G108" s="24">
        <v>4959.32</v>
      </c>
      <c r="H108" s="24">
        <v>1.73</v>
      </c>
      <c r="I108" s="31"/>
      <c r="J108" s="35"/>
    </row>
    <row r="109" spans="1:10" x14ac:dyDescent="0.25">
      <c r="C109" s="57" t="s">
        <v>35</v>
      </c>
      <c r="D109" s="53"/>
      <c r="E109" s="6"/>
      <c r="F109" s="19"/>
      <c r="G109" s="25">
        <v>4959.32</v>
      </c>
      <c r="H109" s="25">
        <v>1.73</v>
      </c>
      <c r="I109" s="31"/>
      <c r="J109" s="35"/>
    </row>
    <row r="110" spans="1:10" x14ac:dyDescent="0.25">
      <c r="C110" s="56"/>
      <c r="D110" s="53"/>
      <c r="E110" s="6"/>
      <c r="F110" s="19"/>
      <c r="G110" s="24"/>
      <c r="H110" s="24"/>
      <c r="I110" s="31"/>
      <c r="J110" s="35"/>
    </row>
    <row r="111" spans="1:10" x14ac:dyDescent="0.25">
      <c r="A111" s="10"/>
      <c r="B111" s="28"/>
      <c r="C111" s="58" t="s">
        <v>23</v>
      </c>
      <c r="D111" s="53"/>
      <c r="E111" s="6"/>
      <c r="F111" s="19"/>
      <c r="G111" s="24"/>
      <c r="H111" s="24"/>
      <c r="I111" s="31"/>
      <c r="J111" s="35"/>
    </row>
    <row r="112" spans="1:10" x14ac:dyDescent="0.25">
      <c r="A112" s="28"/>
      <c r="B112" s="28"/>
      <c r="C112" s="60" t="s">
        <v>3398</v>
      </c>
      <c r="D112" s="53"/>
      <c r="E112" s="6"/>
      <c r="F112" s="19"/>
      <c r="G112" s="24">
        <v>3360</v>
      </c>
      <c r="H112" s="24">
        <v>1.17</v>
      </c>
      <c r="I112" s="31"/>
      <c r="J112" s="35"/>
    </row>
    <row r="113" spans="2:10" x14ac:dyDescent="0.25">
      <c r="B113" s="8"/>
      <c r="C113" s="56" t="s">
        <v>36</v>
      </c>
      <c r="D113" s="53"/>
      <c r="E113" s="6"/>
      <c r="F113" s="19"/>
      <c r="G113" s="24">
        <v>1628.13</v>
      </c>
      <c r="H113" s="24">
        <v>0.57000000000000006</v>
      </c>
      <c r="I113" s="31"/>
      <c r="J113" s="35"/>
    </row>
    <row r="114" spans="2:10" x14ac:dyDescent="0.25">
      <c r="C114" s="57" t="s">
        <v>35</v>
      </c>
      <c r="D114" s="53"/>
      <c r="E114" s="6"/>
      <c r="F114" s="19"/>
      <c r="G114" s="25">
        <v>4988.13</v>
      </c>
      <c r="H114" s="25">
        <v>1.74</v>
      </c>
      <c r="I114" s="31"/>
      <c r="J114" s="35"/>
    </row>
    <row r="115" spans="2:10" x14ac:dyDescent="0.25">
      <c r="C115" s="56"/>
      <c r="D115" s="53"/>
      <c r="E115" s="6"/>
      <c r="F115" s="19"/>
      <c r="G115" s="24"/>
      <c r="H115" s="24"/>
      <c r="I115" s="31"/>
      <c r="J115" s="35"/>
    </row>
    <row r="116" spans="2:10" x14ac:dyDescent="0.25">
      <c r="C116" s="61" t="s">
        <v>37</v>
      </c>
      <c r="D116" s="54"/>
      <c r="E116" s="5"/>
      <c r="F116" s="20"/>
      <c r="G116" s="26">
        <v>286045.05</v>
      </c>
      <c r="H116" s="26">
        <f>SUMIFS(H:H,C:C,"Total")</f>
        <v>100.00000000000004</v>
      </c>
      <c r="I116" s="32"/>
      <c r="J116" s="36"/>
    </row>
    <row r="118" spans="2:10" s="49" customFormat="1" ht="15.75" x14ac:dyDescent="0.3">
      <c r="C118" s="49" t="s">
        <v>3323</v>
      </c>
      <c r="F118" s="50"/>
      <c r="G118" s="50"/>
      <c r="H118" s="50"/>
    </row>
    <row r="119" spans="2:10" s="41" customFormat="1" ht="27" x14ac:dyDescent="0.25">
      <c r="B119" s="42"/>
      <c r="C119" s="42" t="s">
        <v>3318</v>
      </c>
      <c r="D119" s="42" t="s">
        <v>3319</v>
      </c>
      <c r="E119" s="42" t="s">
        <v>3320</v>
      </c>
      <c r="F119" s="43" t="s">
        <v>28</v>
      </c>
      <c r="G119" s="44" t="s">
        <v>3321</v>
      </c>
      <c r="H119" s="43" t="s">
        <v>30</v>
      </c>
      <c r="I119" s="42" t="s">
        <v>32</v>
      </c>
    </row>
    <row r="120" spans="2:10" s="41" customFormat="1" x14ac:dyDescent="0.25">
      <c r="B120" s="42"/>
      <c r="C120" s="42" t="s">
        <v>3313</v>
      </c>
      <c r="D120" s="42"/>
      <c r="E120" s="42"/>
      <c r="F120" s="43"/>
      <c r="G120" s="44"/>
      <c r="H120" s="43"/>
      <c r="I120" s="42"/>
    </row>
    <row r="121" spans="2:10" x14ac:dyDescent="0.25">
      <c r="B121" s="45">
        <v>2209317</v>
      </c>
      <c r="C121" s="45" t="s">
        <v>3325</v>
      </c>
      <c r="D121" s="45" t="s">
        <v>3316</v>
      </c>
      <c r="E121" s="45" t="s">
        <v>51</v>
      </c>
      <c r="F121" s="46">
        <v>2002000</v>
      </c>
      <c r="G121" s="46">
        <v>3401.3980000000001</v>
      </c>
      <c r="H121" s="46">
        <v>1.19</v>
      </c>
      <c r="I121" s="45"/>
      <c r="J121" s="2"/>
    </row>
    <row r="122" spans="2:10" x14ac:dyDescent="0.25">
      <c r="B122" s="45">
        <v>2209224</v>
      </c>
      <c r="C122" s="45" t="s">
        <v>3324</v>
      </c>
      <c r="D122" s="45" t="s">
        <v>3316</v>
      </c>
      <c r="E122" s="45" t="s">
        <v>111</v>
      </c>
      <c r="F122" s="46">
        <v>260000</v>
      </c>
      <c r="G122" s="46">
        <v>2079.61</v>
      </c>
      <c r="H122" s="46">
        <v>0.73</v>
      </c>
      <c r="I122" s="45"/>
      <c r="J122" s="2"/>
    </row>
    <row r="123" spans="2:10" s="1" customFormat="1" x14ac:dyDescent="0.25">
      <c r="B123" s="47"/>
      <c r="C123" s="47" t="s">
        <v>3322</v>
      </c>
      <c r="D123" s="47"/>
      <c r="E123" s="47"/>
      <c r="F123" s="48"/>
      <c r="G123" s="48">
        <f>SUM(G120:G122)</f>
        <v>5481.0079999999998</v>
      </c>
      <c r="H123" s="48">
        <f>SUM(H120:H122)</f>
        <v>1.92</v>
      </c>
      <c r="I123" s="47"/>
    </row>
    <row r="125" spans="2:10" x14ac:dyDescent="0.25">
      <c r="C125" s="1" t="s">
        <v>38</v>
      </c>
    </row>
    <row r="126" spans="2:10" x14ac:dyDescent="0.25">
      <c r="C126" s="2" t="s">
        <v>3422</v>
      </c>
    </row>
    <row r="127" spans="2:10" x14ac:dyDescent="0.25">
      <c r="C127" s="2" t="s">
        <v>40</v>
      </c>
    </row>
    <row r="128" spans="2:10" x14ac:dyDescent="0.25">
      <c r="C128" s="2" t="s">
        <v>3430</v>
      </c>
    </row>
  </sheetData>
  <sortState ref="A121:J122">
    <sortCondition descending="1" ref="H121:H122"/>
  </sortState>
  <hyperlinks>
    <hyperlink ref="J2" location="'Index'!A1" display="'Index'!A1"/>
  </hyperlinks>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J119"/>
  <sheetViews>
    <sheetView showGridLines="0" zoomScale="90" zoomScaleNormal="90" workbookViewId="0">
      <pane ySplit="6" topLeftCell="A116" activePane="bottomLeft" state="frozen"/>
      <selection pane="bottomLeft" activeCell="C130" sqref="C130"/>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322</v>
      </c>
      <c r="J2" s="37" t="s">
        <v>3307</v>
      </c>
    </row>
    <row r="3" spans="1:10" ht="16.5" x14ac:dyDescent="0.3">
      <c r="C3" s="1" t="s">
        <v>24</v>
      </c>
      <c r="D3" s="21" t="s">
        <v>323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2007009</v>
      </c>
      <c r="G10" s="24">
        <v>44843.61</v>
      </c>
      <c r="H10" s="24">
        <v>6.05</v>
      </c>
      <c r="I10" s="31"/>
      <c r="J10" s="35"/>
    </row>
    <row r="11" spans="1:10" x14ac:dyDescent="0.25">
      <c r="B11" s="8" t="s">
        <v>108</v>
      </c>
      <c r="C11" s="56" t="s">
        <v>109</v>
      </c>
      <c r="D11" s="53" t="s">
        <v>110</v>
      </c>
      <c r="E11" s="6" t="s">
        <v>111</v>
      </c>
      <c r="F11" s="19">
        <v>4393528</v>
      </c>
      <c r="G11" s="24">
        <v>34036.660000000003</v>
      </c>
      <c r="H11" s="24">
        <v>4.59</v>
      </c>
      <c r="I11" s="31"/>
      <c r="J11" s="35"/>
    </row>
    <row r="12" spans="1:10" x14ac:dyDescent="0.25">
      <c r="B12" s="8" t="s">
        <v>161</v>
      </c>
      <c r="C12" s="56" t="s">
        <v>162</v>
      </c>
      <c r="D12" s="53" t="s">
        <v>163</v>
      </c>
      <c r="E12" s="6" t="s">
        <v>94</v>
      </c>
      <c r="F12" s="19">
        <v>6904842</v>
      </c>
      <c r="G12" s="24">
        <v>29062.48</v>
      </c>
      <c r="H12" s="24">
        <v>3.92</v>
      </c>
      <c r="I12" s="31"/>
      <c r="J12" s="35"/>
    </row>
    <row r="13" spans="1:10" x14ac:dyDescent="0.25">
      <c r="B13" s="8" t="s">
        <v>95</v>
      </c>
      <c r="C13" s="56" t="s">
        <v>96</v>
      </c>
      <c r="D13" s="53" t="s">
        <v>97</v>
      </c>
      <c r="E13" s="6" t="s">
        <v>98</v>
      </c>
      <c r="F13" s="19">
        <v>3968024</v>
      </c>
      <c r="G13" s="24">
        <v>24121.62</v>
      </c>
      <c r="H13" s="24">
        <v>3.25</v>
      </c>
      <c r="I13" s="31"/>
      <c r="J13" s="35"/>
    </row>
    <row r="14" spans="1:10" x14ac:dyDescent="0.25">
      <c r="B14" s="8" t="s">
        <v>324</v>
      </c>
      <c r="C14" s="56" t="s">
        <v>325</v>
      </c>
      <c r="D14" s="53" t="s">
        <v>326</v>
      </c>
      <c r="E14" s="6" t="s">
        <v>41</v>
      </c>
      <c r="F14" s="19">
        <v>11063638</v>
      </c>
      <c r="G14" s="24">
        <v>24008.09</v>
      </c>
      <c r="H14" s="24">
        <v>3.24</v>
      </c>
      <c r="I14" s="31"/>
      <c r="J14" s="35"/>
    </row>
    <row r="15" spans="1:10" x14ac:dyDescent="0.25">
      <c r="B15" s="8" t="s">
        <v>65</v>
      </c>
      <c r="C15" s="56" t="s">
        <v>66</v>
      </c>
      <c r="D15" s="53" t="s">
        <v>67</v>
      </c>
      <c r="E15" s="6" t="s">
        <v>68</v>
      </c>
      <c r="F15" s="19">
        <v>5528671</v>
      </c>
      <c r="G15" s="24">
        <v>23272.94</v>
      </c>
      <c r="H15" s="24">
        <v>3.14</v>
      </c>
      <c r="I15" s="31"/>
      <c r="J15" s="35"/>
    </row>
    <row r="16" spans="1:10" x14ac:dyDescent="0.25">
      <c r="B16" s="8" t="s">
        <v>327</v>
      </c>
      <c r="C16" s="56" t="s">
        <v>328</v>
      </c>
      <c r="D16" s="53" t="s">
        <v>329</v>
      </c>
      <c r="E16" s="6" t="s">
        <v>47</v>
      </c>
      <c r="F16" s="19">
        <v>2924921</v>
      </c>
      <c r="G16" s="24">
        <v>23158.06</v>
      </c>
      <c r="H16" s="24">
        <v>3.12</v>
      </c>
      <c r="I16" s="31"/>
      <c r="J16" s="35"/>
    </row>
    <row r="17" spans="2:10" x14ac:dyDescent="0.25">
      <c r="B17" s="8" t="s">
        <v>76</v>
      </c>
      <c r="C17" s="56" t="s">
        <v>77</v>
      </c>
      <c r="D17" s="53" t="s">
        <v>78</v>
      </c>
      <c r="E17" s="6" t="s">
        <v>79</v>
      </c>
      <c r="F17" s="19">
        <v>2548968</v>
      </c>
      <c r="G17" s="24">
        <v>22981.5</v>
      </c>
      <c r="H17" s="24">
        <v>3.1</v>
      </c>
      <c r="I17" s="31"/>
      <c r="J17" s="35"/>
    </row>
    <row r="18" spans="2:10" x14ac:dyDescent="0.25">
      <c r="B18" s="8" t="s">
        <v>62</v>
      </c>
      <c r="C18" s="56" t="s">
        <v>63</v>
      </c>
      <c r="D18" s="53" t="s">
        <v>64</v>
      </c>
      <c r="E18" s="6" t="s">
        <v>51</v>
      </c>
      <c r="F18" s="19">
        <v>6216237</v>
      </c>
      <c r="G18" s="24">
        <v>22052.1</v>
      </c>
      <c r="H18" s="24">
        <v>2.97</v>
      </c>
      <c r="I18" s="31"/>
      <c r="J18" s="35"/>
    </row>
    <row r="19" spans="2:10" x14ac:dyDescent="0.25">
      <c r="B19" s="8" t="s">
        <v>56</v>
      </c>
      <c r="C19" s="56" t="s">
        <v>57</v>
      </c>
      <c r="D19" s="53" t="s">
        <v>58</v>
      </c>
      <c r="E19" s="6" t="s">
        <v>47</v>
      </c>
      <c r="F19" s="19">
        <v>883909</v>
      </c>
      <c r="G19" s="24">
        <v>22029.66</v>
      </c>
      <c r="H19" s="24">
        <v>2.97</v>
      </c>
      <c r="I19" s="31"/>
      <c r="J19" s="35"/>
    </row>
    <row r="20" spans="2:10" x14ac:dyDescent="0.25">
      <c r="B20" s="8" t="s">
        <v>48</v>
      </c>
      <c r="C20" s="56" t="s">
        <v>49</v>
      </c>
      <c r="D20" s="53" t="s">
        <v>50</v>
      </c>
      <c r="E20" s="6" t="s">
        <v>51</v>
      </c>
      <c r="F20" s="19">
        <v>1976345</v>
      </c>
      <c r="G20" s="24">
        <v>21316.86</v>
      </c>
      <c r="H20" s="24">
        <v>2.88</v>
      </c>
      <c r="I20" s="31"/>
      <c r="J20" s="35"/>
    </row>
    <row r="21" spans="2:10" x14ac:dyDescent="0.25">
      <c r="B21" s="8" t="s">
        <v>124</v>
      </c>
      <c r="C21" s="56" t="s">
        <v>125</v>
      </c>
      <c r="D21" s="53" t="s">
        <v>126</v>
      </c>
      <c r="E21" s="6" t="s">
        <v>94</v>
      </c>
      <c r="F21" s="19">
        <v>1217104</v>
      </c>
      <c r="G21" s="24">
        <v>21178.22</v>
      </c>
      <c r="H21" s="24">
        <v>2.86</v>
      </c>
      <c r="I21" s="31"/>
      <c r="J21" s="35"/>
    </row>
    <row r="22" spans="2:10" x14ac:dyDescent="0.25">
      <c r="B22" s="8" t="s">
        <v>59</v>
      </c>
      <c r="C22" s="56" t="s">
        <v>60</v>
      </c>
      <c r="D22" s="53" t="s">
        <v>61</v>
      </c>
      <c r="E22" s="6" t="s">
        <v>51</v>
      </c>
      <c r="F22" s="19">
        <v>1658982</v>
      </c>
      <c r="G22" s="24">
        <v>21039.21</v>
      </c>
      <c r="H22" s="24">
        <v>2.84</v>
      </c>
      <c r="I22" s="31"/>
      <c r="J22" s="35"/>
    </row>
    <row r="23" spans="2:10" x14ac:dyDescent="0.25">
      <c r="B23" s="8" t="s">
        <v>44</v>
      </c>
      <c r="C23" s="56" t="s">
        <v>45</v>
      </c>
      <c r="D23" s="53" t="s">
        <v>46</v>
      </c>
      <c r="E23" s="6" t="s">
        <v>47</v>
      </c>
      <c r="F23" s="19">
        <v>2031001</v>
      </c>
      <c r="G23" s="24">
        <v>20477.57</v>
      </c>
      <c r="H23" s="24">
        <v>2.76</v>
      </c>
      <c r="I23" s="31"/>
      <c r="J23" s="35"/>
    </row>
    <row r="24" spans="2:10" x14ac:dyDescent="0.25">
      <c r="B24" s="8" t="s">
        <v>330</v>
      </c>
      <c r="C24" s="56" t="s">
        <v>331</v>
      </c>
      <c r="D24" s="53" t="s">
        <v>332</v>
      </c>
      <c r="E24" s="6" t="s">
        <v>83</v>
      </c>
      <c r="F24" s="19">
        <v>6820000</v>
      </c>
      <c r="G24" s="24">
        <v>19938.27</v>
      </c>
      <c r="H24" s="24">
        <v>2.69</v>
      </c>
      <c r="I24" s="31"/>
      <c r="J24" s="35"/>
    </row>
    <row r="25" spans="2:10" x14ac:dyDescent="0.25">
      <c r="B25" s="8" t="s">
        <v>164</v>
      </c>
      <c r="C25" s="56" t="s">
        <v>165</v>
      </c>
      <c r="D25" s="53" t="s">
        <v>166</v>
      </c>
      <c r="E25" s="6" t="s">
        <v>51</v>
      </c>
      <c r="F25" s="19">
        <v>9685639</v>
      </c>
      <c r="G25" s="24">
        <v>17957.169999999998</v>
      </c>
      <c r="H25" s="24">
        <v>2.42</v>
      </c>
      <c r="I25" s="31"/>
      <c r="J25" s="35"/>
    </row>
    <row r="26" spans="2:10" x14ac:dyDescent="0.25">
      <c r="B26" s="8" t="s">
        <v>158</v>
      </c>
      <c r="C26" s="56" t="s">
        <v>159</v>
      </c>
      <c r="D26" s="53" t="s">
        <v>160</v>
      </c>
      <c r="E26" s="6" t="s">
        <v>111</v>
      </c>
      <c r="F26" s="19">
        <v>1687887</v>
      </c>
      <c r="G26" s="24">
        <v>17003.77</v>
      </c>
      <c r="H26" s="24">
        <v>2.29</v>
      </c>
      <c r="I26" s="31"/>
      <c r="J26" s="35"/>
    </row>
    <row r="27" spans="2:10" x14ac:dyDescent="0.25">
      <c r="B27" s="8" t="s">
        <v>333</v>
      </c>
      <c r="C27" s="56" t="s">
        <v>334</v>
      </c>
      <c r="D27" s="53" t="s">
        <v>335</v>
      </c>
      <c r="E27" s="6" t="s">
        <v>228</v>
      </c>
      <c r="F27" s="19">
        <v>5666503</v>
      </c>
      <c r="G27" s="24">
        <v>16143.87</v>
      </c>
      <c r="H27" s="24">
        <v>2.1800000000000002</v>
      </c>
      <c r="I27" s="31"/>
      <c r="J27" s="35"/>
    </row>
    <row r="28" spans="2:10" x14ac:dyDescent="0.25">
      <c r="B28" s="8" t="s">
        <v>336</v>
      </c>
      <c r="C28" s="56" t="s">
        <v>337</v>
      </c>
      <c r="D28" s="53" t="s">
        <v>338</v>
      </c>
      <c r="E28" s="6" t="s">
        <v>94</v>
      </c>
      <c r="F28" s="19">
        <v>902312</v>
      </c>
      <c r="G28" s="24">
        <v>15545.03</v>
      </c>
      <c r="H28" s="24">
        <v>2.1</v>
      </c>
      <c r="I28" s="31"/>
      <c r="J28" s="35"/>
    </row>
    <row r="29" spans="2:10" x14ac:dyDescent="0.25">
      <c r="B29" s="8" t="s">
        <v>339</v>
      </c>
      <c r="C29" s="56" t="s">
        <v>340</v>
      </c>
      <c r="D29" s="53" t="s">
        <v>341</v>
      </c>
      <c r="E29" s="6" t="s">
        <v>261</v>
      </c>
      <c r="F29" s="19">
        <v>4600000</v>
      </c>
      <c r="G29" s="24">
        <v>14414.1</v>
      </c>
      <c r="H29" s="24">
        <v>1.94</v>
      </c>
      <c r="I29" s="31"/>
      <c r="J29" s="35"/>
    </row>
    <row r="30" spans="2:10" x14ac:dyDescent="0.25">
      <c r="B30" s="8" t="s">
        <v>69</v>
      </c>
      <c r="C30" s="56" t="s">
        <v>70</v>
      </c>
      <c r="D30" s="53" t="s">
        <v>71</v>
      </c>
      <c r="E30" s="6" t="s">
        <v>72</v>
      </c>
      <c r="F30" s="19">
        <v>67000</v>
      </c>
      <c r="G30" s="24">
        <v>14295.09</v>
      </c>
      <c r="H30" s="24">
        <v>1.93</v>
      </c>
      <c r="I30" s="31"/>
      <c r="J30" s="35"/>
    </row>
    <row r="31" spans="2:10" x14ac:dyDescent="0.25">
      <c r="B31" s="8" t="s">
        <v>342</v>
      </c>
      <c r="C31" s="56" t="s">
        <v>343</v>
      </c>
      <c r="D31" s="53" t="s">
        <v>344</v>
      </c>
      <c r="E31" s="6" t="s">
        <v>111</v>
      </c>
      <c r="F31" s="19">
        <v>510000</v>
      </c>
      <c r="G31" s="24">
        <v>14167.55</v>
      </c>
      <c r="H31" s="24">
        <v>1.91</v>
      </c>
      <c r="I31" s="31"/>
      <c r="J31" s="35"/>
    </row>
    <row r="32" spans="2:10" x14ac:dyDescent="0.25">
      <c r="B32" s="8" t="s">
        <v>245</v>
      </c>
      <c r="C32" s="56" t="s">
        <v>246</v>
      </c>
      <c r="D32" s="53" t="s">
        <v>247</v>
      </c>
      <c r="E32" s="6" t="s">
        <v>111</v>
      </c>
      <c r="F32" s="19">
        <v>2708636</v>
      </c>
      <c r="G32" s="24">
        <v>13555.37</v>
      </c>
      <c r="H32" s="24">
        <v>1.83</v>
      </c>
      <c r="I32" s="31"/>
      <c r="J32" s="35"/>
    </row>
    <row r="33" spans="2:10" x14ac:dyDescent="0.25">
      <c r="B33" s="8" t="s">
        <v>345</v>
      </c>
      <c r="C33" s="56" t="s">
        <v>346</v>
      </c>
      <c r="D33" s="53" t="s">
        <v>347</v>
      </c>
      <c r="E33" s="6" t="s">
        <v>111</v>
      </c>
      <c r="F33" s="19">
        <v>1840000</v>
      </c>
      <c r="G33" s="24">
        <v>13239.72</v>
      </c>
      <c r="H33" s="24">
        <v>1.79</v>
      </c>
      <c r="I33" s="31"/>
      <c r="J33" s="35"/>
    </row>
    <row r="34" spans="2:10" x14ac:dyDescent="0.25">
      <c r="B34" s="8" t="s">
        <v>348</v>
      </c>
      <c r="C34" s="56" t="s">
        <v>349</v>
      </c>
      <c r="D34" s="53" t="s">
        <v>350</v>
      </c>
      <c r="E34" s="6" t="s">
        <v>47</v>
      </c>
      <c r="F34" s="19">
        <v>4000000</v>
      </c>
      <c r="G34" s="24">
        <v>12542</v>
      </c>
      <c r="H34" s="24">
        <v>1.69</v>
      </c>
      <c r="I34" s="31"/>
      <c r="J34" s="35"/>
    </row>
    <row r="35" spans="2:10" x14ac:dyDescent="0.25">
      <c r="B35" s="8" t="s">
        <v>351</v>
      </c>
      <c r="C35" s="56" t="s">
        <v>352</v>
      </c>
      <c r="D35" s="53" t="s">
        <v>353</v>
      </c>
      <c r="E35" s="6" t="s">
        <v>274</v>
      </c>
      <c r="F35" s="19">
        <v>10330562</v>
      </c>
      <c r="G35" s="24">
        <v>11683.87</v>
      </c>
      <c r="H35" s="24">
        <v>1.58</v>
      </c>
      <c r="I35" s="31"/>
      <c r="J35" s="35"/>
    </row>
    <row r="36" spans="2:10" x14ac:dyDescent="0.25">
      <c r="B36" s="8" t="s">
        <v>354</v>
      </c>
      <c r="C36" s="56" t="s">
        <v>355</v>
      </c>
      <c r="D36" s="53" t="s">
        <v>356</v>
      </c>
      <c r="E36" s="6" t="s">
        <v>90</v>
      </c>
      <c r="F36" s="19">
        <v>6707039</v>
      </c>
      <c r="G36" s="24">
        <v>11515.99</v>
      </c>
      <c r="H36" s="24">
        <v>1.55</v>
      </c>
      <c r="I36" s="31"/>
      <c r="J36" s="35"/>
    </row>
    <row r="37" spans="2:10" x14ac:dyDescent="0.25">
      <c r="B37" s="8" t="s">
        <v>357</v>
      </c>
      <c r="C37" s="56" t="s">
        <v>358</v>
      </c>
      <c r="D37" s="53" t="s">
        <v>359</v>
      </c>
      <c r="E37" s="6" t="s">
        <v>170</v>
      </c>
      <c r="F37" s="19">
        <v>8184774</v>
      </c>
      <c r="G37" s="24">
        <v>11204.96</v>
      </c>
      <c r="H37" s="24">
        <v>1.51</v>
      </c>
      <c r="I37" s="31"/>
      <c r="J37" s="35"/>
    </row>
    <row r="38" spans="2:10" x14ac:dyDescent="0.25">
      <c r="B38" s="8" t="s">
        <v>232</v>
      </c>
      <c r="C38" s="56" t="s">
        <v>233</v>
      </c>
      <c r="D38" s="53" t="s">
        <v>234</v>
      </c>
      <c r="E38" s="6" t="s">
        <v>90</v>
      </c>
      <c r="F38" s="19">
        <v>3032281</v>
      </c>
      <c r="G38" s="24">
        <v>10652.4</v>
      </c>
      <c r="H38" s="24">
        <v>1.44</v>
      </c>
      <c r="I38" s="31"/>
      <c r="J38" s="35"/>
    </row>
    <row r="39" spans="2:10" x14ac:dyDescent="0.25">
      <c r="B39" s="8" t="s">
        <v>154</v>
      </c>
      <c r="C39" s="56" t="s">
        <v>155</v>
      </c>
      <c r="D39" s="53" t="s">
        <v>156</v>
      </c>
      <c r="E39" s="6" t="s">
        <v>157</v>
      </c>
      <c r="F39" s="19">
        <v>2338066</v>
      </c>
      <c r="G39" s="24">
        <v>10409.07</v>
      </c>
      <c r="H39" s="24">
        <v>1.4</v>
      </c>
      <c r="I39" s="31"/>
      <c r="J39" s="35"/>
    </row>
    <row r="40" spans="2:10" x14ac:dyDescent="0.25">
      <c r="B40" s="8" t="s">
        <v>130</v>
      </c>
      <c r="C40" s="56" t="s">
        <v>131</v>
      </c>
      <c r="D40" s="53" t="s">
        <v>132</v>
      </c>
      <c r="E40" s="6" t="s">
        <v>47</v>
      </c>
      <c r="F40" s="19">
        <v>265821</v>
      </c>
      <c r="G40" s="24">
        <v>9661.7999999999993</v>
      </c>
      <c r="H40" s="24">
        <v>1.3</v>
      </c>
      <c r="I40" s="31"/>
      <c r="J40" s="35"/>
    </row>
    <row r="41" spans="2:10" x14ac:dyDescent="0.25">
      <c r="B41" s="8" t="s">
        <v>87</v>
      </c>
      <c r="C41" s="56" t="s">
        <v>88</v>
      </c>
      <c r="D41" s="53" t="s">
        <v>89</v>
      </c>
      <c r="E41" s="6" t="s">
        <v>90</v>
      </c>
      <c r="F41" s="19">
        <v>627235</v>
      </c>
      <c r="G41" s="24">
        <v>8991.41</v>
      </c>
      <c r="H41" s="24">
        <v>1.21</v>
      </c>
      <c r="I41" s="31"/>
      <c r="J41" s="35"/>
    </row>
    <row r="42" spans="2:10" x14ac:dyDescent="0.25">
      <c r="B42" s="8" t="s">
        <v>360</v>
      </c>
      <c r="C42" s="56" t="s">
        <v>361</v>
      </c>
      <c r="D42" s="53" t="s">
        <v>362</v>
      </c>
      <c r="E42" s="6" t="s">
        <v>111</v>
      </c>
      <c r="F42" s="19">
        <v>97988</v>
      </c>
      <c r="G42" s="24">
        <v>8466.7999999999993</v>
      </c>
      <c r="H42" s="24">
        <v>1.1399999999999999</v>
      </c>
      <c r="I42" s="31"/>
      <c r="J42" s="35"/>
    </row>
    <row r="43" spans="2:10" x14ac:dyDescent="0.25">
      <c r="B43" s="8" t="s">
        <v>115</v>
      </c>
      <c r="C43" s="56" t="s">
        <v>116</v>
      </c>
      <c r="D43" s="53" t="s">
        <v>117</v>
      </c>
      <c r="E43" s="6" t="s">
        <v>94</v>
      </c>
      <c r="F43" s="19">
        <v>637813</v>
      </c>
      <c r="G43" s="24">
        <v>8288.3799999999992</v>
      </c>
      <c r="H43" s="24">
        <v>1.1200000000000001</v>
      </c>
      <c r="I43" s="31"/>
      <c r="J43" s="35"/>
    </row>
    <row r="44" spans="2:10" x14ac:dyDescent="0.25">
      <c r="B44" s="8" t="s">
        <v>363</v>
      </c>
      <c r="C44" s="56" t="s">
        <v>364</v>
      </c>
      <c r="D44" s="53" t="s">
        <v>365</v>
      </c>
      <c r="E44" s="6" t="s">
        <v>366</v>
      </c>
      <c r="F44" s="19">
        <v>2200000</v>
      </c>
      <c r="G44" s="24">
        <v>7876</v>
      </c>
      <c r="H44" s="24">
        <v>1.06</v>
      </c>
      <c r="I44" s="31"/>
      <c r="J44" s="35"/>
    </row>
    <row r="45" spans="2:10" x14ac:dyDescent="0.25">
      <c r="B45" s="8" t="s">
        <v>367</v>
      </c>
      <c r="C45" s="56" t="s">
        <v>368</v>
      </c>
      <c r="D45" s="53" t="s">
        <v>369</v>
      </c>
      <c r="E45" s="6" t="s">
        <v>254</v>
      </c>
      <c r="F45" s="19">
        <v>8525210</v>
      </c>
      <c r="G45" s="24">
        <v>7681.21</v>
      </c>
      <c r="H45" s="24">
        <v>1.04</v>
      </c>
      <c r="I45" s="31"/>
      <c r="J45" s="35"/>
    </row>
    <row r="46" spans="2:10" x14ac:dyDescent="0.25">
      <c r="B46" s="8" t="s">
        <v>370</v>
      </c>
      <c r="C46" s="56" t="s">
        <v>371</v>
      </c>
      <c r="D46" s="53" t="s">
        <v>372</v>
      </c>
      <c r="E46" s="6" t="s">
        <v>41</v>
      </c>
      <c r="F46" s="19">
        <v>527795</v>
      </c>
      <c r="G46" s="24">
        <v>7354.56</v>
      </c>
      <c r="H46" s="24">
        <v>0.99</v>
      </c>
      <c r="I46" s="31"/>
      <c r="J46" s="35"/>
    </row>
    <row r="47" spans="2:10" x14ac:dyDescent="0.25">
      <c r="B47" s="8" t="s">
        <v>294</v>
      </c>
      <c r="C47" s="56" t="s">
        <v>295</v>
      </c>
      <c r="D47" s="53" t="s">
        <v>296</v>
      </c>
      <c r="E47" s="6" t="s">
        <v>274</v>
      </c>
      <c r="F47" s="19">
        <v>4500000</v>
      </c>
      <c r="G47" s="24">
        <v>6869.25</v>
      </c>
      <c r="H47" s="24">
        <v>0.93</v>
      </c>
      <c r="I47" s="31"/>
      <c r="J47" s="35"/>
    </row>
    <row r="48" spans="2:10" x14ac:dyDescent="0.25">
      <c r="B48" s="8" t="s">
        <v>373</v>
      </c>
      <c r="C48" s="56" t="s">
        <v>374</v>
      </c>
      <c r="D48" s="53" t="s">
        <v>375</v>
      </c>
      <c r="E48" s="6" t="s">
        <v>51</v>
      </c>
      <c r="F48" s="19">
        <v>13273299</v>
      </c>
      <c r="G48" s="24">
        <v>6450.82</v>
      </c>
      <c r="H48" s="24">
        <v>0.87</v>
      </c>
      <c r="I48" s="31"/>
      <c r="J48" s="35"/>
    </row>
    <row r="49" spans="2:10" x14ac:dyDescent="0.25">
      <c r="B49" s="8" t="s">
        <v>171</v>
      </c>
      <c r="C49" s="56" t="s">
        <v>172</v>
      </c>
      <c r="D49" s="53" t="s">
        <v>173</v>
      </c>
      <c r="E49" s="6" t="s">
        <v>55</v>
      </c>
      <c r="F49" s="19">
        <v>1750000</v>
      </c>
      <c r="G49" s="24">
        <v>6178.38</v>
      </c>
      <c r="H49" s="24">
        <v>0.83</v>
      </c>
      <c r="I49" s="31"/>
      <c r="J49" s="35"/>
    </row>
    <row r="50" spans="2:10" x14ac:dyDescent="0.25">
      <c r="B50" s="8" t="s">
        <v>258</v>
      </c>
      <c r="C50" s="56" t="s">
        <v>259</v>
      </c>
      <c r="D50" s="53" t="s">
        <v>260</v>
      </c>
      <c r="E50" s="6" t="s">
        <v>261</v>
      </c>
      <c r="F50" s="19">
        <v>10703200</v>
      </c>
      <c r="G50" s="24">
        <v>6036.6</v>
      </c>
      <c r="H50" s="24">
        <v>0.81</v>
      </c>
      <c r="I50" s="31"/>
      <c r="J50" s="35"/>
    </row>
    <row r="51" spans="2:10" x14ac:dyDescent="0.25">
      <c r="B51" s="8" t="s">
        <v>376</v>
      </c>
      <c r="C51" s="56" t="s">
        <v>377</v>
      </c>
      <c r="D51" s="53" t="s">
        <v>378</v>
      </c>
      <c r="E51" s="6" t="s">
        <v>94</v>
      </c>
      <c r="F51" s="19">
        <v>4824196</v>
      </c>
      <c r="G51" s="24">
        <v>5046.1099999999997</v>
      </c>
      <c r="H51" s="24">
        <v>0.68</v>
      </c>
      <c r="I51" s="31"/>
      <c r="J51" s="35"/>
    </row>
    <row r="52" spans="2:10" x14ac:dyDescent="0.25">
      <c r="B52" s="8" t="s">
        <v>379</v>
      </c>
      <c r="C52" s="56" t="s">
        <v>380</v>
      </c>
      <c r="D52" s="53" t="s">
        <v>381</v>
      </c>
      <c r="E52" s="6" t="s">
        <v>55</v>
      </c>
      <c r="F52" s="19">
        <v>6823906</v>
      </c>
      <c r="G52" s="24">
        <v>5042.87</v>
      </c>
      <c r="H52" s="24">
        <v>0.68</v>
      </c>
      <c r="I52" s="31"/>
      <c r="J52" s="35"/>
    </row>
    <row r="53" spans="2:10" x14ac:dyDescent="0.25">
      <c r="B53" s="8" t="s">
        <v>282</v>
      </c>
      <c r="C53" s="56" t="s">
        <v>283</v>
      </c>
      <c r="D53" s="53" t="s">
        <v>284</v>
      </c>
      <c r="E53" s="6" t="s">
        <v>254</v>
      </c>
      <c r="F53" s="19">
        <v>565467</v>
      </c>
      <c r="G53" s="24">
        <v>4860.1899999999996</v>
      </c>
      <c r="H53" s="24">
        <v>0.66</v>
      </c>
      <c r="I53" s="31"/>
      <c r="J53" s="35"/>
    </row>
    <row r="54" spans="2:10" x14ac:dyDescent="0.25">
      <c r="B54" s="8" t="s">
        <v>382</v>
      </c>
      <c r="C54" s="56" t="s">
        <v>383</v>
      </c>
      <c r="D54" s="53" t="s">
        <v>384</v>
      </c>
      <c r="E54" s="6" t="s">
        <v>196</v>
      </c>
      <c r="F54" s="19">
        <v>290017</v>
      </c>
      <c r="G54" s="24">
        <v>4717.5600000000004</v>
      </c>
      <c r="H54" s="24">
        <v>0.64</v>
      </c>
      <c r="I54" s="31"/>
      <c r="J54" s="35"/>
    </row>
    <row r="55" spans="2:10" x14ac:dyDescent="0.25">
      <c r="B55" s="8" t="s">
        <v>385</v>
      </c>
      <c r="C55" s="56" t="s">
        <v>386</v>
      </c>
      <c r="D55" s="53" t="s">
        <v>387</v>
      </c>
      <c r="E55" s="6" t="s">
        <v>366</v>
      </c>
      <c r="F55" s="19">
        <v>3478478</v>
      </c>
      <c r="G55" s="24">
        <v>4610.72</v>
      </c>
      <c r="H55" s="24">
        <v>0.62</v>
      </c>
      <c r="I55" s="31"/>
      <c r="J55" s="35"/>
    </row>
    <row r="56" spans="2:10" x14ac:dyDescent="0.25">
      <c r="B56" s="8" t="s">
        <v>180</v>
      </c>
      <c r="C56" s="56" t="s">
        <v>53</v>
      </c>
      <c r="D56" s="53" t="s">
        <v>181</v>
      </c>
      <c r="E56" s="6" t="s">
        <v>55</v>
      </c>
      <c r="F56" s="19">
        <v>330565</v>
      </c>
      <c r="G56" s="24">
        <v>4441.1400000000003</v>
      </c>
      <c r="H56" s="24">
        <v>0.6</v>
      </c>
      <c r="I56" s="31"/>
      <c r="J56" s="35" t="s">
        <v>182</v>
      </c>
    </row>
    <row r="57" spans="2:10" x14ac:dyDescent="0.25">
      <c r="B57" s="8" t="s">
        <v>316</v>
      </c>
      <c r="C57" s="56" t="s">
        <v>317</v>
      </c>
      <c r="D57" s="53" t="s">
        <v>318</v>
      </c>
      <c r="E57" s="6" t="s">
        <v>94</v>
      </c>
      <c r="F57" s="19">
        <v>312208</v>
      </c>
      <c r="G57" s="24">
        <v>3840.16</v>
      </c>
      <c r="H57" s="24">
        <v>0.52</v>
      </c>
      <c r="I57" s="31"/>
      <c r="J57" s="35" t="s">
        <v>3431</v>
      </c>
    </row>
    <row r="58" spans="2:10" x14ac:dyDescent="0.25">
      <c r="B58" s="8" t="s">
        <v>388</v>
      </c>
      <c r="C58" s="56" t="s">
        <v>389</v>
      </c>
      <c r="D58" s="53" t="s">
        <v>390</v>
      </c>
      <c r="E58" s="6" t="s">
        <v>254</v>
      </c>
      <c r="F58" s="19">
        <v>12303115</v>
      </c>
      <c r="G58" s="24">
        <v>3598.66</v>
      </c>
      <c r="H58" s="24">
        <v>0.49</v>
      </c>
      <c r="I58" s="31"/>
      <c r="J58" s="35"/>
    </row>
    <row r="59" spans="2:10" x14ac:dyDescent="0.25">
      <c r="B59" s="8" t="s">
        <v>391</v>
      </c>
      <c r="C59" s="56" t="s">
        <v>392</v>
      </c>
      <c r="D59" s="53" t="s">
        <v>393</v>
      </c>
      <c r="E59" s="6" t="s">
        <v>98</v>
      </c>
      <c r="F59" s="19">
        <v>5679797</v>
      </c>
      <c r="G59" s="24">
        <v>3566.91</v>
      </c>
      <c r="H59" s="24">
        <v>0.48</v>
      </c>
      <c r="I59" s="31"/>
      <c r="J59" s="35"/>
    </row>
    <row r="60" spans="2:10" x14ac:dyDescent="0.25">
      <c r="B60" s="8" t="s">
        <v>212</v>
      </c>
      <c r="C60" s="56" t="s">
        <v>213</v>
      </c>
      <c r="D60" s="53" t="s">
        <v>214</v>
      </c>
      <c r="E60" s="6" t="s">
        <v>196</v>
      </c>
      <c r="F60" s="19">
        <v>2006858</v>
      </c>
      <c r="G60" s="24">
        <v>3309.31</v>
      </c>
      <c r="H60" s="24">
        <v>0.45</v>
      </c>
      <c r="I60" s="31"/>
      <c r="J60" s="35"/>
    </row>
    <row r="61" spans="2:10" x14ac:dyDescent="0.25">
      <c r="B61" s="8" t="s">
        <v>394</v>
      </c>
      <c r="C61" s="56" t="s">
        <v>395</v>
      </c>
      <c r="D61" s="53" t="s">
        <v>396</v>
      </c>
      <c r="E61" s="6" t="s">
        <v>397</v>
      </c>
      <c r="F61" s="19">
        <v>1578163</v>
      </c>
      <c r="G61" s="24">
        <v>3079.79</v>
      </c>
      <c r="H61" s="24">
        <v>0.42</v>
      </c>
      <c r="I61" s="31"/>
      <c r="J61" s="35"/>
    </row>
    <row r="62" spans="2:10" x14ac:dyDescent="0.25">
      <c r="B62" s="8" t="s">
        <v>398</v>
      </c>
      <c r="C62" s="56" t="s">
        <v>399</v>
      </c>
      <c r="D62" s="53" t="s">
        <v>400</v>
      </c>
      <c r="E62" s="6" t="s">
        <v>90</v>
      </c>
      <c r="F62" s="19">
        <v>795000</v>
      </c>
      <c r="G62" s="24">
        <v>2885.85</v>
      </c>
      <c r="H62" s="24">
        <v>0.39</v>
      </c>
      <c r="I62" s="31"/>
      <c r="J62" s="35"/>
    </row>
    <row r="63" spans="2:10" x14ac:dyDescent="0.25">
      <c r="B63" s="8" t="s">
        <v>401</v>
      </c>
      <c r="C63" s="56" t="s">
        <v>402</v>
      </c>
      <c r="D63" s="53" t="s">
        <v>403</v>
      </c>
      <c r="E63" s="6" t="s">
        <v>51</v>
      </c>
      <c r="F63" s="19">
        <v>6204882</v>
      </c>
      <c r="G63" s="24">
        <v>1771.49</v>
      </c>
      <c r="H63" s="24">
        <v>0.24</v>
      </c>
      <c r="I63" s="31"/>
      <c r="J63" s="35"/>
    </row>
    <row r="64" spans="2:10" x14ac:dyDescent="0.25">
      <c r="B64" s="8" t="s">
        <v>73</v>
      </c>
      <c r="C64" s="56" t="s">
        <v>74</v>
      </c>
      <c r="D64" s="53" t="s">
        <v>75</v>
      </c>
      <c r="E64" s="6" t="s">
        <v>51</v>
      </c>
      <c r="F64" s="19">
        <v>166308</v>
      </c>
      <c r="G64" s="24">
        <v>706.23</v>
      </c>
      <c r="H64" s="24">
        <v>0.1</v>
      </c>
      <c r="I64" s="31"/>
      <c r="J64" s="35"/>
    </row>
    <row r="65" spans="2:10" x14ac:dyDescent="0.25">
      <c r="B65" s="8" t="s">
        <v>310</v>
      </c>
      <c r="C65" s="56" t="s">
        <v>311</v>
      </c>
      <c r="D65" s="53" t="s">
        <v>312</v>
      </c>
      <c r="E65" s="6" t="s">
        <v>90</v>
      </c>
      <c r="F65" s="19">
        <v>1035288</v>
      </c>
      <c r="G65" s="24">
        <v>60.56</v>
      </c>
      <c r="H65" s="24">
        <v>0.01</v>
      </c>
      <c r="I65" s="31"/>
      <c r="J65" s="35" t="s">
        <v>3421</v>
      </c>
    </row>
    <row r="66" spans="2:10" x14ac:dyDescent="0.25">
      <c r="C66" s="57" t="s">
        <v>35</v>
      </c>
      <c r="D66" s="53"/>
      <c r="E66" s="6"/>
      <c r="F66" s="19"/>
      <c r="G66" s="25">
        <f>SUM(XDO_?FINAL_MV?40?)</f>
        <v>713239.57000000018</v>
      </c>
      <c r="H66" s="25">
        <f>SUM(XDO_?FINAL_PER_NET?40?)</f>
        <v>96.220000000000027</v>
      </c>
      <c r="I66" s="31"/>
      <c r="J66" s="35"/>
    </row>
    <row r="67" spans="2:10" x14ac:dyDescent="0.25">
      <c r="C67" s="56"/>
      <c r="D67" s="53"/>
      <c r="E67" s="6"/>
      <c r="F67" s="19"/>
      <c r="G67" s="24"/>
      <c r="H67" s="24"/>
      <c r="I67" s="31"/>
      <c r="J67" s="35"/>
    </row>
    <row r="68" spans="2:10" x14ac:dyDescent="0.25">
      <c r="C68" s="59" t="s">
        <v>3</v>
      </c>
      <c r="D68" s="53"/>
      <c r="E68" s="6"/>
      <c r="F68" s="19"/>
      <c r="G68" s="24" t="s">
        <v>2</v>
      </c>
      <c r="H68" s="24" t="s">
        <v>2</v>
      </c>
      <c r="I68" s="31"/>
      <c r="J68" s="35"/>
    </row>
    <row r="69" spans="2:10" x14ac:dyDescent="0.25">
      <c r="C69" s="56"/>
      <c r="D69" s="53"/>
      <c r="E69" s="6"/>
      <c r="F69" s="19"/>
      <c r="G69" s="24"/>
      <c r="H69" s="24"/>
      <c r="I69" s="31"/>
      <c r="J69" s="35"/>
    </row>
    <row r="70" spans="2:10" x14ac:dyDescent="0.25">
      <c r="C70" s="57" t="s">
        <v>4</v>
      </c>
      <c r="D70" s="53"/>
      <c r="E70" s="6"/>
      <c r="F70" s="19"/>
      <c r="G70" s="24" t="s">
        <v>2</v>
      </c>
      <c r="H70" s="24" t="s">
        <v>2</v>
      </c>
      <c r="I70" s="31"/>
      <c r="J70" s="35"/>
    </row>
    <row r="71" spans="2:10" x14ac:dyDescent="0.25">
      <c r="C71" s="56"/>
      <c r="D71" s="53"/>
      <c r="E71" s="6"/>
      <c r="F71" s="19"/>
      <c r="G71" s="24"/>
      <c r="H71" s="24"/>
      <c r="I71" s="31"/>
      <c r="J71" s="35"/>
    </row>
    <row r="72" spans="2:10" x14ac:dyDescent="0.25">
      <c r="C72" s="57" t="s">
        <v>5</v>
      </c>
      <c r="D72" s="53"/>
      <c r="E72" s="6"/>
      <c r="F72" s="19"/>
      <c r="G72" s="24"/>
      <c r="H72" s="24"/>
      <c r="I72" s="31"/>
      <c r="J72" s="35"/>
    </row>
    <row r="73" spans="2:10" x14ac:dyDescent="0.25">
      <c r="C73" s="56"/>
      <c r="D73" s="53"/>
      <c r="E73" s="6"/>
      <c r="F73" s="19"/>
      <c r="G73" s="24"/>
      <c r="H73" s="24"/>
      <c r="I73" s="31"/>
      <c r="J73" s="35"/>
    </row>
    <row r="74" spans="2:10" x14ac:dyDescent="0.25">
      <c r="C74" s="57" t="s">
        <v>6</v>
      </c>
      <c r="D74" s="53"/>
      <c r="E74" s="6"/>
      <c r="F74" s="19"/>
      <c r="G74" s="24" t="s">
        <v>2</v>
      </c>
      <c r="H74" s="24" t="s">
        <v>2</v>
      </c>
      <c r="I74" s="31"/>
      <c r="J74" s="35"/>
    </row>
    <row r="75" spans="2:10" x14ac:dyDescent="0.25">
      <c r="C75" s="56"/>
      <c r="D75" s="53"/>
      <c r="E75" s="6"/>
      <c r="F75" s="19"/>
      <c r="G75" s="24"/>
      <c r="H75" s="24"/>
      <c r="I75" s="31"/>
      <c r="J75" s="35"/>
    </row>
    <row r="76" spans="2:10" x14ac:dyDescent="0.25">
      <c r="C76" s="57" t="s">
        <v>7</v>
      </c>
      <c r="D76" s="53"/>
      <c r="E76" s="6"/>
      <c r="F76" s="19"/>
      <c r="G76" s="24" t="s">
        <v>2</v>
      </c>
      <c r="H76" s="24" t="s">
        <v>2</v>
      </c>
      <c r="I76" s="31"/>
      <c r="J76" s="35"/>
    </row>
    <row r="77" spans="2:10" x14ac:dyDescent="0.25">
      <c r="C77" s="56"/>
      <c r="D77" s="53"/>
      <c r="E77" s="6"/>
      <c r="F77" s="19"/>
      <c r="G77" s="24"/>
      <c r="H77" s="24"/>
      <c r="I77" s="31"/>
      <c r="J77" s="35"/>
    </row>
    <row r="78" spans="2:10" x14ac:dyDescent="0.25">
      <c r="C78" s="57" t="s">
        <v>8</v>
      </c>
      <c r="D78" s="53"/>
      <c r="E78" s="6"/>
      <c r="F78" s="19"/>
      <c r="G78" s="24" t="s">
        <v>2</v>
      </c>
      <c r="H78" s="24" t="s">
        <v>2</v>
      </c>
      <c r="I78" s="31"/>
      <c r="J78" s="35"/>
    </row>
    <row r="79" spans="2:10" x14ac:dyDescent="0.25">
      <c r="C79" s="56"/>
      <c r="D79" s="53"/>
      <c r="E79" s="6"/>
      <c r="F79" s="19"/>
      <c r="G79" s="24"/>
      <c r="H79" s="24"/>
      <c r="I79" s="31"/>
      <c r="J79" s="35"/>
    </row>
    <row r="80" spans="2:10" x14ac:dyDescent="0.25">
      <c r="C80" s="57" t="s">
        <v>9</v>
      </c>
      <c r="D80" s="53"/>
      <c r="E80" s="6"/>
      <c r="F80" s="19"/>
      <c r="G80" s="24" t="s">
        <v>2</v>
      </c>
      <c r="H80" s="24" t="s">
        <v>2</v>
      </c>
      <c r="I80" s="31"/>
      <c r="J80" s="35"/>
    </row>
    <row r="81" spans="1:10" x14ac:dyDescent="0.25">
      <c r="C81" s="56"/>
      <c r="D81" s="53"/>
      <c r="E81" s="6"/>
      <c r="F81" s="19"/>
      <c r="G81" s="24"/>
      <c r="H81" s="24"/>
      <c r="I81" s="31"/>
      <c r="J81" s="35"/>
    </row>
    <row r="82" spans="1:10" x14ac:dyDescent="0.25">
      <c r="C82" s="57" t="s">
        <v>10</v>
      </c>
      <c r="D82" s="53"/>
      <c r="E82" s="6"/>
      <c r="F82" s="19"/>
      <c r="G82" s="24" t="s">
        <v>2</v>
      </c>
      <c r="H82" s="24" t="s">
        <v>2</v>
      </c>
      <c r="I82" s="31"/>
      <c r="J82" s="35"/>
    </row>
    <row r="83" spans="1:10" x14ac:dyDescent="0.25">
      <c r="C83" s="56"/>
      <c r="D83" s="53"/>
      <c r="E83" s="6"/>
      <c r="F83" s="19"/>
      <c r="G83" s="24"/>
      <c r="H83" s="24"/>
      <c r="I83" s="31"/>
      <c r="J83" s="35"/>
    </row>
    <row r="84" spans="1:10" x14ac:dyDescent="0.25">
      <c r="C84" s="57" t="s">
        <v>11</v>
      </c>
      <c r="D84" s="53"/>
      <c r="E84" s="6"/>
      <c r="F84" s="19"/>
      <c r="G84" s="24"/>
      <c r="H84" s="24"/>
      <c r="I84" s="31"/>
      <c r="J84" s="35"/>
    </row>
    <row r="85" spans="1:10" x14ac:dyDescent="0.25">
      <c r="C85" s="56"/>
      <c r="D85" s="53"/>
      <c r="E85" s="6"/>
      <c r="F85" s="19"/>
      <c r="G85" s="24"/>
      <c r="H85" s="24"/>
      <c r="I85" s="31"/>
      <c r="J85" s="35"/>
    </row>
    <row r="86" spans="1:10" x14ac:dyDescent="0.25">
      <c r="C86" s="57" t="s">
        <v>13</v>
      </c>
      <c r="D86" s="53"/>
      <c r="E86" s="6"/>
      <c r="F86" s="19"/>
      <c r="G86" s="24" t="s">
        <v>2</v>
      </c>
      <c r="H86" s="24" t="s">
        <v>2</v>
      </c>
      <c r="I86" s="31"/>
      <c r="J86" s="35"/>
    </row>
    <row r="87" spans="1:10" x14ac:dyDescent="0.25">
      <c r="C87" s="56"/>
      <c r="D87" s="53"/>
      <c r="E87" s="6"/>
      <c r="F87" s="19"/>
      <c r="G87" s="24"/>
      <c r="H87" s="24"/>
      <c r="I87" s="31"/>
      <c r="J87" s="35"/>
    </row>
    <row r="88" spans="1:10" x14ac:dyDescent="0.25">
      <c r="C88" s="57" t="s">
        <v>14</v>
      </c>
      <c r="D88" s="53"/>
      <c r="E88" s="6"/>
      <c r="F88" s="19"/>
      <c r="G88" s="24" t="s">
        <v>2</v>
      </c>
      <c r="H88" s="24" t="s">
        <v>2</v>
      </c>
      <c r="I88" s="31"/>
      <c r="J88" s="35"/>
    </row>
    <row r="89" spans="1:10" x14ac:dyDescent="0.25">
      <c r="C89" s="56"/>
      <c r="D89" s="53"/>
      <c r="E89" s="6"/>
      <c r="F89" s="19"/>
      <c r="G89" s="24"/>
      <c r="H89" s="24"/>
      <c r="I89" s="31"/>
      <c r="J89" s="35"/>
    </row>
    <row r="90" spans="1:10" x14ac:dyDescent="0.25">
      <c r="C90" s="57" t="s">
        <v>15</v>
      </c>
      <c r="D90" s="53"/>
      <c r="E90" s="6"/>
      <c r="F90" s="19"/>
      <c r="G90" s="24" t="s">
        <v>2</v>
      </c>
      <c r="H90" s="24" t="s">
        <v>2</v>
      </c>
      <c r="I90" s="31"/>
      <c r="J90" s="35"/>
    </row>
    <row r="91" spans="1:10" x14ac:dyDescent="0.25">
      <c r="C91" s="56"/>
      <c r="D91" s="53"/>
      <c r="E91" s="6"/>
      <c r="F91" s="19"/>
      <c r="G91" s="24"/>
      <c r="H91" s="24"/>
      <c r="I91" s="31"/>
      <c r="J91" s="35"/>
    </row>
    <row r="92" spans="1:10" x14ac:dyDescent="0.25">
      <c r="C92" s="57" t="s">
        <v>16</v>
      </c>
      <c r="D92" s="53"/>
      <c r="E92" s="6"/>
      <c r="F92" s="19"/>
      <c r="G92" s="24" t="s">
        <v>2</v>
      </c>
      <c r="H92" s="24" t="s">
        <v>2</v>
      </c>
      <c r="I92" s="31"/>
      <c r="J92" s="35"/>
    </row>
    <row r="93" spans="1:10" x14ac:dyDescent="0.25">
      <c r="C93" s="56"/>
      <c r="D93" s="53"/>
      <c r="E93" s="6"/>
      <c r="F93" s="19"/>
      <c r="G93" s="24"/>
      <c r="H93" s="24"/>
      <c r="I93" s="31"/>
      <c r="J93" s="35"/>
    </row>
    <row r="94" spans="1:10" x14ac:dyDescent="0.25">
      <c r="A94" s="10"/>
      <c r="B94" s="28"/>
      <c r="C94" s="58" t="s">
        <v>17</v>
      </c>
      <c r="D94" s="53"/>
      <c r="E94" s="6"/>
      <c r="F94" s="19"/>
      <c r="G94" s="24"/>
      <c r="H94" s="24"/>
      <c r="I94" s="31"/>
      <c r="J94" s="35"/>
    </row>
    <row r="95" spans="1:10" x14ac:dyDescent="0.25">
      <c r="A95" s="28"/>
      <c r="B95" s="28"/>
      <c r="C95" s="58" t="s">
        <v>18</v>
      </c>
      <c r="D95" s="53"/>
      <c r="E95" s="6"/>
      <c r="F95" s="19"/>
      <c r="G95" s="24" t="s">
        <v>2</v>
      </c>
      <c r="H95" s="24" t="s">
        <v>2</v>
      </c>
      <c r="I95" s="31"/>
      <c r="J95" s="35"/>
    </row>
    <row r="96" spans="1:10" x14ac:dyDescent="0.25">
      <c r="A96" s="28"/>
      <c r="B96" s="28"/>
      <c r="C96" s="58"/>
      <c r="D96" s="53"/>
      <c r="E96" s="6"/>
      <c r="F96" s="19"/>
      <c r="G96" s="24"/>
      <c r="H96" s="24"/>
      <c r="I96" s="31"/>
      <c r="J96" s="35"/>
    </row>
    <row r="97" spans="1:10" x14ac:dyDescent="0.25">
      <c r="A97" s="28"/>
      <c r="B97" s="28"/>
      <c r="C97" s="58" t="s">
        <v>19</v>
      </c>
      <c r="D97" s="53"/>
      <c r="E97" s="6"/>
      <c r="F97" s="19"/>
      <c r="G97" s="24" t="s">
        <v>2</v>
      </c>
      <c r="H97" s="24" t="s">
        <v>2</v>
      </c>
      <c r="I97" s="31"/>
      <c r="J97" s="35"/>
    </row>
    <row r="98" spans="1:10" x14ac:dyDescent="0.25">
      <c r="A98" s="28"/>
      <c r="B98" s="28"/>
      <c r="C98" s="58"/>
      <c r="D98" s="53"/>
      <c r="E98" s="6"/>
      <c r="F98" s="19"/>
      <c r="G98" s="24"/>
      <c r="H98" s="24"/>
      <c r="I98" s="31"/>
      <c r="J98" s="35"/>
    </row>
    <row r="99" spans="1:10" x14ac:dyDescent="0.25">
      <c r="A99" s="28"/>
      <c r="B99" s="28"/>
      <c r="C99" s="58" t="s">
        <v>20</v>
      </c>
      <c r="D99" s="53"/>
      <c r="E99" s="6"/>
      <c r="F99" s="19"/>
      <c r="G99" s="24" t="s">
        <v>2</v>
      </c>
      <c r="H99" s="24" t="s">
        <v>2</v>
      </c>
      <c r="I99" s="31"/>
      <c r="J99" s="35"/>
    </row>
    <row r="100" spans="1:10" x14ac:dyDescent="0.25">
      <c r="A100" s="28"/>
      <c r="B100" s="28"/>
      <c r="C100" s="58"/>
      <c r="D100" s="53"/>
      <c r="E100" s="6"/>
      <c r="F100" s="19"/>
      <c r="G100" s="24"/>
      <c r="H100" s="24"/>
      <c r="I100" s="31"/>
      <c r="J100" s="35"/>
    </row>
    <row r="101" spans="1:10" x14ac:dyDescent="0.25">
      <c r="A101" s="28"/>
      <c r="B101" s="28"/>
      <c r="C101" s="58" t="s">
        <v>21</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C103" s="59" t="s">
        <v>22</v>
      </c>
      <c r="D103" s="53"/>
      <c r="E103" s="6"/>
      <c r="F103" s="19"/>
      <c r="G103" s="24"/>
      <c r="H103" s="24"/>
      <c r="I103" s="31"/>
      <c r="J103" s="35"/>
    </row>
    <row r="104" spans="1:10" x14ac:dyDescent="0.25">
      <c r="B104" s="8" t="s">
        <v>33</v>
      </c>
      <c r="C104" s="56" t="s">
        <v>34</v>
      </c>
      <c r="D104" s="53"/>
      <c r="E104" s="6"/>
      <c r="F104" s="19"/>
      <c r="G104" s="24">
        <v>30431.200000000001</v>
      </c>
      <c r="H104" s="24">
        <v>4.0999999999999996</v>
      </c>
      <c r="I104" s="31"/>
      <c r="J104" s="35"/>
    </row>
    <row r="105" spans="1:10" x14ac:dyDescent="0.25">
      <c r="C105" s="57" t="s">
        <v>35</v>
      </c>
      <c r="D105" s="53"/>
      <c r="E105" s="6"/>
      <c r="F105" s="19"/>
      <c r="G105" s="25">
        <v>30431.200000000001</v>
      </c>
      <c r="H105" s="25">
        <v>4.0999999999999996</v>
      </c>
      <c r="I105" s="31"/>
      <c r="J105" s="35"/>
    </row>
    <row r="106" spans="1:10" x14ac:dyDescent="0.25">
      <c r="C106" s="56"/>
      <c r="D106" s="53"/>
      <c r="E106" s="6"/>
      <c r="F106" s="19"/>
      <c r="G106" s="24"/>
      <c r="H106" s="24"/>
      <c r="I106" s="31"/>
      <c r="J106" s="35"/>
    </row>
    <row r="107" spans="1:10" x14ac:dyDescent="0.25">
      <c r="A107" s="10"/>
      <c r="B107" s="28"/>
      <c r="C107" s="58" t="s">
        <v>23</v>
      </c>
      <c r="D107" s="53"/>
      <c r="E107" s="6"/>
      <c r="F107" s="19"/>
      <c r="G107" s="24"/>
      <c r="H107" s="24"/>
      <c r="I107" s="31"/>
      <c r="J107" s="35"/>
    </row>
    <row r="108" spans="1:10" x14ac:dyDescent="0.25">
      <c r="A108" s="28"/>
      <c r="B108" s="28"/>
      <c r="C108" s="60" t="s">
        <v>3398</v>
      </c>
      <c r="D108" s="53"/>
      <c r="E108" s="6"/>
      <c r="F108" s="19"/>
      <c r="G108" s="24" t="s">
        <v>2</v>
      </c>
      <c r="H108" s="24" t="s">
        <v>2</v>
      </c>
      <c r="I108" s="31"/>
      <c r="J108" s="35"/>
    </row>
    <row r="109" spans="1:10" x14ac:dyDescent="0.25">
      <c r="B109" s="8"/>
      <c r="C109" s="56" t="s">
        <v>36</v>
      </c>
      <c r="D109" s="53"/>
      <c r="E109" s="6"/>
      <c r="F109" s="19"/>
      <c r="G109" s="24">
        <v>-2248.17</v>
      </c>
      <c r="H109" s="24">
        <v>-0.32</v>
      </c>
      <c r="I109" s="31"/>
      <c r="J109" s="35"/>
    </row>
    <row r="110" spans="1:10" x14ac:dyDescent="0.25">
      <c r="C110" s="57" t="s">
        <v>35</v>
      </c>
      <c r="D110" s="53"/>
      <c r="E110" s="6"/>
      <c r="F110" s="19"/>
      <c r="G110" s="25">
        <v>-2248.17</v>
      </c>
      <c r="H110" s="25">
        <v>-0.32</v>
      </c>
      <c r="I110" s="31"/>
      <c r="J110" s="35"/>
    </row>
    <row r="111" spans="1:10" x14ac:dyDescent="0.25">
      <c r="C111" s="56"/>
      <c r="D111" s="53"/>
      <c r="E111" s="6"/>
      <c r="F111" s="19"/>
      <c r="G111" s="24"/>
      <c r="H111" s="24"/>
      <c r="I111" s="31"/>
      <c r="J111" s="35"/>
    </row>
    <row r="112" spans="1:10" x14ac:dyDescent="0.25">
      <c r="C112" s="61" t="s">
        <v>37</v>
      </c>
      <c r="D112" s="54"/>
      <c r="E112" s="5"/>
      <c r="F112" s="20"/>
      <c r="G112" s="26">
        <v>741422.6</v>
      </c>
      <c r="H112" s="26">
        <f>SUMIFS(H:H,C:C,"Total")</f>
        <v>100.00000000000003</v>
      </c>
      <c r="I112" s="32"/>
      <c r="J112" s="36"/>
    </row>
    <row r="115" spans="3:3" x14ac:dyDescent="0.25">
      <c r="C115" s="1" t="s">
        <v>38</v>
      </c>
    </row>
    <row r="116" spans="3:3" x14ac:dyDescent="0.25">
      <c r="C116" s="2" t="s">
        <v>3422</v>
      </c>
    </row>
    <row r="117" spans="3:3" x14ac:dyDescent="0.25">
      <c r="C117" s="2" t="s">
        <v>40</v>
      </c>
    </row>
    <row r="118" spans="3:3" x14ac:dyDescent="0.25">
      <c r="C118" s="2" t="s">
        <v>3430</v>
      </c>
    </row>
    <row r="119" spans="3:3" x14ac:dyDescent="0.25">
      <c r="C119" s="2" t="s">
        <v>3432</v>
      </c>
    </row>
  </sheetData>
  <hyperlinks>
    <hyperlink ref="J2" location="'Index'!A1" display="'Index'!A1"/>
  </hyperlinks>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J101"/>
  <sheetViews>
    <sheetView showGridLines="0" zoomScale="90" zoomScaleNormal="90" workbookViewId="0">
      <pane ySplit="6" topLeftCell="A96" activePane="bottomLeft" state="frozen"/>
      <selection pane="bottomLeft" activeCell="F110" sqref="F110"/>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404</v>
      </c>
      <c r="J2" s="37" t="s">
        <v>3307</v>
      </c>
    </row>
    <row r="3" spans="1:10" ht="16.5" x14ac:dyDescent="0.3">
      <c r="C3" s="1" t="s">
        <v>24</v>
      </c>
      <c r="D3" s="21" t="s">
        <v>405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99</v>
      </c>
      <c r="C10" s="56" t="s">
        <v>100</v>
      </c>
      <c r="D10" s="53" t="s">
        <v>101</v>
      </c>
      <c r="E10" s="6" t="s">
        <v>90</v>
      </c>
      <c r="F10" s="19">
        <v>861500</v>
      </c>
      <c r="G10" s="24">
        <v>32721.06</v>
      </c>
      <c r="H10" s="24">
        <v>8.34</v>
      </c>
      <c r="I10" s="31"/>
      <c r="J10" s="35"/>
    </row>
    <row r="11" spans="1:10" x14ac:dyDescent="0.25">
      <c r="B11" s="8" t="s">
        <v>87</v>
      </c>
      <c r="C11" s="56" t="s">
        <v>88</v>
      </c>
      <c r="D11" s="53" t="s">
        <v>89</v>
      </c>
      <c r="E11" s="6" t="s">
        <v>90</v>
      </c>
      <c r="F11" s="19">
        <v>2194688</v>
      </c>
      <c r="G11" s="24">
        <v>31460.85</v>
      </c>
      <c r="H11" s="24">
        <v>8.01</v>
      </c>
      <c r="I11" s="31"/>
      <c r="J11" s="35"/>
    </row>
    <row r="12" spans="1:10" x14ac:dyDescent="0.25">
      <c r="B12" s="8" t="s">
        <v>406</v>
      </c>
      <c r="C12" s="56" t="s">
        <v>407</v>
      </c>
      <c r="D12" s="53" t="s">
        <v>408</v>
      </c>
      <c r="E12" s="6" t="s">
        <v>90</v>
      </c>
      <c r="F12" s="19">
        <v>145600</v>
      </c>
      <c r="G12" s="24">
        <v>23177.55</v>
      </c>
      <c r="H12" s="24">
        <v>5.9</v>
      </c>
      <c r="I12" s="31"/>
      <c r="J12" s="35"/>
    </row>
    <row r="13" spans="1:10" x14ac:dyDescent="0.25">
      <c r="B13" s="8" t="s">
        <v>409</v>
      </c>
      <c r="C13" s="56" t="s">
        <v>410</v>
      </c>
      <c r="D13" s="53" t="s">
        <v>411</v>
      </c>
      <c r="E13" s="6" t="s">
        <v>98</v>
      </c>
      <c r="F13" s="19">
        <v>268847</v>
      </c>
      <c r="G13" s="24">
        <v>18129.560000000001</v>
      </c>
      <c r="H13" s="24">
        <v>4.62</v>
      </c>
      <c r="I13" s="31"/>
      <c r="J13" s="35"/>
    </row>
    <row r="14" spans="1:10" x14ac:dyDescent="0.25">
      <c r="B14" s="8" t="s">
        <v>412</v>
      </c>
      <c r="C14" s="56" t="s">
        <v>413</v>
      </c>
      <c r="D14" s="53" t="s">
        <v>414</v>
      </c>
      <c r="E14" s="6" t="s">
        <v>111</v>
      </c>
      <c r="F14" s="19">
        <v>317658</v>
      </c>
      <c r="G14" s="24">
        <v>16479.46</v>
      </c>
      <c r="H14" s="24">
        <v>4.2</v>
      </c>
      <c r="I14" s="31"/>
      <c r="J14" s="35"/>
    </row>
    <row r="15" spans="1:10" x14ac:dyDescent="0.25">
      <c r="B15" s="8" t="s">
        <v>112</v>
      </c>
      <c r="C15" s="56" t="s">
        <v>113</v>
      </c>
      <c r="D15" s="53" t="s">
        <v>114</v>
      </c>
      <c r="E15" s="6" t="s">
        <v>111</v>
      </c>
      <c r="F15" s="19">
        <v>515000</v>
      </c>
      <c r="G15" s="24">
        <v>15696.94</v>
      </c>
      <c r="H15" s="24">
        <v>4</v>
      </c>
      <c r="I15" s="31"/>
      <c r="J15" s="35"/>
    </row>
    <row r="16" spans="1:10" x14ac:dyDescent="0.25">
      <c r="B16" s="8" t="s">
        <v>225</v>
      </c>
      <c r="C16" s="56" t="s">
        <v>226</v>
      </c>
      <c r="D16" s="53" t="s">
        <v>227</v>
      </c>
      <c r="E16" s="6" t="s">
        <v>228</v>
      </c>
      <c r="F16" s="19">
        <v>730219</v>
      </c>
      <c r="G16" s="24">
        <v>14396.27</v>
      </c>
      <c r="H16" s="24">
        <v>3.67</v>
      </c>
      <c r="I16" s="31"/>
      <c r="J16" s="35"/>
    </row>
    <row r="17" spans="2:10" x14ac:dyDescent="0.25">
      <c r="B17" s="8" t="s">
        <v>360</v>
      </c>
      <c r="C17" s="56" t="s">
        <v>361</v>
      </c>
      <c r="D17" s="53" t="s">
        <v>362</v>
      </c>
      <c r="E17" s="6" t="s">
        <v>111</v>
      </c>
      <c r="F17" s="19">
        <v>159211</v>
      </c>
      <c r="G17" s="24">
        <v>13756.87</v>
      </c>
      <c r="H17" s="24">
        <v>3.5</v>
      </c>
      <c r="I17" s="31"/>
      <c r="J17" s="35"/>
    </row>
    <row r="18" spans="2:10" x14ac:dyDescent="0.25">
      <c r="B18" s="8" t="s">
        <v>415</v>
      </c>
      <c r="C18" s="56" t="s">
        <v>416</v>
      </c>
      <c r="D18" s="53" t="s">
        <v>417</v>
      </c>
      <c r="E18" s="6" t="s">
        <v>90</v>
      </c>
      <c r="F18" s="19">
        <v>133000</v>
      </c>
      <c r="G18" s="24">
        <v>13229.11</v>
      </c>
      <c r="H18" s="24">
        <v>3.37</v>
      </c>
      <c r="I18" s="31"/>
      <c r="J18" s="35"/>
    </row>
    <row r="19" spans="2:10" x14ac:dyDescent="0.25">
      <c r="B19" s="8" t="s">
        <v>418</v>
      </c>
      <c r="C19" s="56" t="s">
        <v>419</v>
      </c>
      <c r="D19" s="53" t="s">
        <v>420</v>
      </c>
      <c r="E19" s="6" t="s">
        <v>157</v>
      </c>
      <c r="F19" s="19">
        <v>2358000</v>
      </c>
      <c r="G19" s="24">
        <v>12854.64</v>
      </c>
      <c r="H19" s="24">
        <v>3.27</v>
      </c>
      <c r="I19" s="31"/>
      <c r="J19" s="35"/>
    </row>
    <row r="20" spans="2:10" x14ac:dyDescent="0.25">
      <c r="B20" s="8" t="s">
        <v>127</v>
      </c>
      <c r="C20" s="56" t="s">
        <v>128</v>
      </c>
      <c r="D20" s="53" t="s">
        <v>129</v>
      </c>
      <c r="E20" s="6" t="s">
        <v>90</v>
      </c>
      <c r="F20" s="19">
        <v>615313</v>
      </c>
      <c r="G20" s="24">
        <v>12726.21</v>
      </c>
      <c r="H20" s="24">
        <v>3.24</v>
      </c>
      <c r="I20" s="31"/>
      <c r="J20" s="35"/>
    </row>
    <row r="21" spans="2:10" x14ac:dyDescent="0.25">
      <c r="B21" s="8" t="s">
        <v>421</v>
      </c>
      <c r="C21" s="56" t="s">
        <v>422</v>
      </c>
      <c r="D21" s="53" t="s">
        <v>423</v>
      </c>
      <c r="E21" s="6" t="s">
        <v>218</v>
      </c>
      <c r="F21" s="19">
        <v>2823284</v>
      </c>
      <c r="G21" s="24">
        <v>11160.44</v>
      </c>
      <c r="H21" s="24">
        <v>2.84</v>
      </c>
      <c r="I21" s="31"/>
      <c r="J21" s="35"/>
    </row>
    <row r="22" spans="2:10" x14ac:dyDescent="0.25">
      <c r="B22" s="8" t="s">
        <v>424</v>
      </c>
      <c r="C22" s="56" t="s">
        <v>425</v>
      </c>
      <c r="D22" s="53" t="s">
        <v>426</v>
      </c>
      <c r="E22" s="6" t="s">
        <v>83</v>
      </c>
      <c r="F22" s="19">
        <v>124000</v>
      </c>
      <c r="G22" s="24">
        <v>10864.94</v>
      </c>
      <c r="H22" s="24">
        <v>2.77</v>
      </c>
      <c r="I22" s="31"/>
      <c r="J22" s="35"/>
    </row>
    <row r="23" spans="2:10" x14ac:dyDescent="0.25">
      <c r="B23" s="8" t="s">
        <v>427</v>
      </c>
      <c r="C23" s="56" t="s">
        <v>428</v>
      </c>
      <c r="D23" s="53" t="s">
        <v>429</v>
      </c>
      <c r="E23" s="6" t="s">
        <v>111</v>
      </c>
      <c r="F23" s="19">
        <v>205472</v>
      </c>
      <c r="G23" s="24">
        <v>10067.41</v>
      </c>
      <c r="H23" s="24">
        <v>2.56</v>
      </c>
      <c r="I23" s="31"/>
      <c r="J23" s="35"/>
    </row>
    <row r="24" spans="2:10" x14ac:dyDescent="0.25">
      <c r="B24" s="8" t="s">
        <v>265</v>
      </c>
      <c r="C24" s="56" t="s">
        <v>266</v>
      </c>
      <c r="D24" s="53" t="s">
        <v>267</v>
      </c>
      <c r="E24" s="6" t="s">
        <v>157</v>
      </c>
      <c r="F24" s="19">
        <v>686100</v>
      </c>
      <c r="G24" s="24">
        <v>10027.35</v>
      </c>
      <c r="H24" s="24">
        <v>2.5499999999999998</v>
      </c>
      <c r="I24" s="31"/>
      <c r="J24" s="35"/>
    </row>
    <row r="25" spans="2:10" x14ac:dyDescent="0.25">
      <c r="B25" s="8" t="s">
        <v>133</v>
      </c>
      <c r="C25" s="56" t="s">
        <v>134</v>
      </c>
      <c r="D25" s="53" t="s">
        <v>135</v>
      </c>
      <c r="E25" s="6" t="s">
        <v>47</v>
      </c>
      <c r="F25" s="19">
        <v>1140000</v>
      </c>
      <c r="G25" s="24">
        <v>9252.24</v>
      </c>
      <c r="H25" s="24">
        <v>2.36</v>
      </c>
      <c r="I25" s="31"/>
      <c r="J25" s="35"/>
    </row>
    <row r="26" spans="2:10" x14ac:dyDescent="0.25">
      <c r="B26" s="8" t="s">
        <v>430</v>
      </c>
      <c r="C26" s="56" t="s">
        <v>431</v>
      </c>
      <c r="D26" s="53" t="s">
        <v>432</v>
      </c>
      <c r="E26" s="6" t="s">
        <v>195</v>
      </c>
      <c r="F26" s="19">
        <v>470000</v>
      </c>
      <c r="G26" s="24">
        <v>8910.73</v>
      </c>
      <c r="H26" s="24">
        <v>2.27</v>
      </c>
      <c r="I26" s="31"/>
      <c r="J26" s="35"/>
    </row>
    <row r="27" spans="2:10" x14ac:dyDescent="0.25">
      <c r="B27" s="8" t="s">
        <v>282</v>
      </c>
      <c r="C27" s="56" t="s">
        <v>283</v>
      </c>
      <c r="D27" s="53" t="s">
        <v>284</v>
      </c>
      <c r="E27" s="6" t="s">
        <v>254</v>
      </c>
      <c r="F27" s="19">
        <v>1031775</v>
      </c>
      <c r="G27" s="24">
        <v>8868.11</v>
      </c>
      <c r="H27" s="24">
        <v>2.2599999999999998</v>
      </c>
      <c r="I27" s="31"/>
      <c r="J27" s="35"/>
    </row>
    <row r="28" spans="2:10" x14ac:dyDescent="0.25">
      <c r="B28" s="8" t="s">
        <v>433</v>
      </c>
      <c r="C28" s="56" t="s">
        <v>434</v>
      </c>
      <c r="D28" s="53" t="s">
        <v>435</v>
      </c>
      <c r="E28" s="6" t="s">
        <v>157</v>
      </c>
      <c r="F28" s="19">
        <v>243917</v>
      </c>
      <c r="G28" s="24">
        <v>8637.83</v>
      </c>
      <c r="H28" s="24">
        <v>2.2000000000000002</v>
      </c>
      <c r="I28" s="31"/>
      <c r="J28" s="35"/>
    </row>
    <row r="29" spans="2:10" x14ac:dyDescent="0.25">
      <c r="B29" s="8" t="s">
        <v>436</v>
      </c>
      <c r="C29" s="56" t="s">
        <v>437</v>
      </c>
      <c r="D29" s="53" t="s">
        <v>438</v>
      </c>
      <c r="E29" s="6" t="s">
        <v>111</v>
      </c>
      <c r="F29" s="19">
        <v>534988</v>
      </c>
      <c r="G29" s="24">
        <v>8632.57</v>
      </c>
      <c r="H29" s="24">
        <v>2.2000000000000002</v>
      </c>
      <c r="I29" s="31"/>
      <c r="J29" s="35"/>
    </row>
    <row r="30" spans="2:10" x14ac:dyDescent="0.25">
      <c r="B30" s="8" t="s">
        <v>439</v>
      </c>
      <c r="C30" s="56" t="s">
        <v>440</v>
      </c>
      <c r="D30" s="53" t="s">
        <v>441</v>
      </c>
      <c r="E30" s="6" t="s">
        <v>111</v>
      </c>
      <c r="F30" s="19">
        <v>1841000</v>
      </c>
      <c r="G30" s="24">
        <v>8242.16</v>
      </c>
      <c r="H30" s="24">
        <v>2.1</v>
      </c>
      <c r="I30" s="31"/>
      <c r="J30" s="35"/>
    </row>
    <row r="31" spans="2:10" x14ac:dyDescent="0.25">
      <c r="B31" s="8" t="s">
        <v>442</v>
      </c>
      <c r="C31" s="56" t="s">
        <v>443</v>
      </c>
      <c r="D31" s="53" t="s">
        <v>444</v>
      </c>
      <c r="E31" s="6" t="s">
        <v>90</v>
      </c>
      <c r="F31" s="19">
        <v>1531000</v>
      </c>
      <c r="G31" s="24">
        <v>7897.66</v>
      </c>
      <c r="H31" s="24">
        <v>2.0099999999999998</v>
      </c>
      <c r="I31" s="31"/>
      <c r="J31" s="35"/>
    </row>
    <row r="32" spans="2:10" x14ac:dyDescent="0.25">
      <c r="B32" s="8" t="s">
        <v>324</v>
      </c>
      <c r="C32" s="56" t="s">
        <v>325</v>
      </c>
      <c r="D32" s="53" t="s">
        <v>326</v>
      </c>
      <c r="E32" s="6" t="s">
        <v>41</v>
      </c>
      <c r="F32" s="19">
        <v>3554000</v>
      </c>
      <c r="G32" s="24">
        <v>7712.18</v>
      </c>
      <c r="H32" s="24">
        <v>1.96</v>
      </c>
      <c r="I32" s="31"/>
      <c r="J32" s="35"/>
    </row>
    <row r="33" spans="2:10" x14ac:dyDescent="0.25">
      <c r="B33" s="8" t="s">
        <v>69</v>
      </c>
      <c r="C33" s="56" t="s">
        <v>70</v>
      </c>
      <c r="D33" s="53" t="s">
        <v>71</v>
      </c>
      <c r="E33" s="6" t="s">
        <v>72</v>
      </c>
      <c r="F33" s="19">
        <v>32500</v>
      </c>
      <c r="G33" s="24">
        <v>6934.18</v>
      </c>
      <c r="H33" s="24">
        <v>1.77</v>
      </c>
      <c r="I33" s="31"/>
      <c r="J33" s="35"/>
    </row>
    <row r="34" spans="2:10" x14ac:dyDescent="0.25">
      <c r="B34" s="8" t="s">
        <v>448</v>
      </c>
      <c r="C34" s="56" t="s">
        <v>449</v>
      </c>
      <c r="D34" s="53" t="s">
        <v>450</v>
      </c>
      <c r="E34" s="6" t="s">
        <v>157</v>
      </c>
      <c r="F34" s="19">
        <v>620475</v>
      </c>
      <c r="G34" s="24">
        <v>6864.94</v>
      </c>
      <c r="H34" s="24">
        <v>1.75</v>
      </c>
      <c r="I34" s="31"/>
      <c r="J34" s="35"/>
    </row>
    <row r="35" spans="2:10" x14ac:dyDescent="0.25">
      <c r="B35" s="8" t="s">
        <v>451</v>
      </c>
      <c r="C35" s="56" t="s">
        <v>452</v>
      </c>
      <c r="D35" s="53" t="s">
        <v>453</v>
      </c>
      <c r="E35" s="6" t="s">
        <v>157</v>
      </c>
      <c r="F35" s="19">
        <v>5405618</v>
      </c>
      <c r="G35" s="24">
        <v>6559.72</v>
      </c>
      <c r="H35" s="24">
        <v>1.67</v>
      </c>
      <c r="I35" s="31"/>
      <c r="J35" s="35"/>
    </row>
    <row r="36" spans="2:10" x14ac:dyDescent="0.25">
      <c r="B36" s="8" t="s">
        <v>454</v>
      </c>
      <c r="C36" s="56" t="s">
        <v>455</v>
      </c>
      <c r="D36" s="53" t="s">
        <v>456</v>
      </c>
      <c r="E36" s="6" t="s">
        <v>111</v>
      </c>
      <c r="F36" s="19">
        <v>37761</v>
      </c>
      <c r="G36" s="24">
        <v>6225.64</v>
      </c>
      <c r="H36" s="24">
        <v>1.59</v>
      </c>
      <c r="I36" s="31"/>
      <c r="J36" s="35"/>
    </row>
    <row r="37" spans="2:10" x14ac:dyDescent="0.25">
      <c r="B37" s="8" t="s">
        <v>167</v>
      </c>
      <c r="C37" s="56" t="s">
        <v>168</v>
      </c>
      <c r="D37" s="53" t="s">
        <v>169</v>
      </c>
      <c r="E37" s="6" t="s">
        <v>170</v>
      </c>
      <c r="F37" s="19">
        <v>3481000</v>
      </c>
      <c r="G37" s="24">
        <v>6100.45</v>
      </c>
      <c r="H37" s="24">
        <v>1.55</v>
      </c>
      <c r="I37" s="31"/>
      <c r="J37" s="35"/>
    </row>
    <row r="38" spans="2:10" x14ac:dyDescent="0.25">
      <c r="B38" s="8" t="s">
        <v>154</v>
      </c>
      <c r="C38" s="56" t="s">
        <v>155</v>
      </c>
      <c r="D38" s="53" t="s">
        <v>156</v>
      </c>
      <c r="E38" s="6" t="s">
        <v>157</v>
      </c>
      <c r="F38" s="19">
        <v>1200000</v>
      </c>
      <c r="G38" s="24">
        <v>5342.4</v>
      </c>
      <c r="H38" s="24">
        <v>1.36</v>
      </c>
      <c r="I38" s="31"/>
      <c r="J38" s="35"/>
    </row>
    <row r="39" spans="2:10" x14ac:dyDescent="0.25">
      <c r="B39" s="8" t="s">
        <v>457</v>
      </c>
      <c r="C39" s="56" t="s">
        <v>458</v>
      </c>
      <c r="D39" s="53" t="s">
        <v>459</v>
      </c>
      <c r="E39" s="6" t="s">
        <v>254</v>
      </c>
      <c r="F39" s="19">
        <v>836027</v>
      </c>
      <c r="G39" s="24">
        <v>3569.42</v>
      </c>
      <c r="H39" s="24">
        <v>0.91</v>
      </c>
      <c r="I39" s="31"/>
      <c r="J39" s="35"/>
    </row>
    <row r="40" spans="2:10" x14ac:dyDescent="0.25">
      <c r="B40" s="8" t="s">
        <v>460</v>
      </c>
      <c r="C40" s="56" t="s">
        <v>461</v>
      </c>
      <c r="D40" s="53" t="s">
        <v>462</v>
      </c>
      <c r="E40" s="6" t="s">
        <v>51</v>
      </c>
      <c r="F40" s="19">
        <v>1348505</v>
      </c>
      <c r="G40" s="24">
        <v>3052.34</v>
      </c>
      <c r="H40" s="24">
        <v>0.78</v>
      </c>
      <c r="I40" s="31"/>
      <c r="J40" s="35"/>
    </row>
    <row r="41" spans="2:10" x14ac:dyDescent="0.25">
      <c r="B41" s="8" t="s">
        <v>463</v>
      </c>
      <c r="C41" s="56" t="s">
        <v>464</v>
      </c>
      <c r="D41" s="53" t="s">
        <v>465</v>
      </c>
      <c r="E41" s="6" t="s">
        <v>47</v>
      </c>
      <c r="F41" s="19">
        <v>85000</v>
      </c>
      <c r="G41" s="24">
        <v>2611.67</v>
      </c>
      <c r="H41" s="24">
        <v>0.67</v>
      </c>
      <c r="I41" s="31"/>
      <c r="J41" s="35"/>
    </row>
    <row r="42" spans="2:10" x14ac:dyDescent="0.25">
      <c r="B42" s="8" t="s">
        <v>466</v>
      </c>
      <c r="C42" s="56" t="s">
        <v>467</v>
      </c>
      <c r="D42" s="53" t="s">
        <v>468</v>
      </c>
      <c r="E42" s="6" t="s">
        <v>254</v>
      </c>
      <c r="F42" s="19">
        <v>276355</v>
      </c>
      <c r="G42" s="24">
        <v>2554.4899999999998</v>
      </c>
      <c r="H42" s="24">
        <v>0.65</v>
      </c>
      <c r="I42" s="31"/>
      <c r="J42" s="35"/>
    </row>
    <row r="43" spans="2:10" x14ac:dyDescent="0.25">
      <c r="B43" s="8" t="s">
        <v>469</v>
      </c>
      <c r="C43" s="56" t="s">
        <v>470</v>
      </c>
      <c r="D43" s="53" t="s">
        <v>471</v>
      </c>
      <c r="E43" s="6" t="s">
        <v>90</v>
      </c>
      <c r="F43" s="19">
        <v>256009</v>
      </c>
      <c r="G43" s="24">
        <v>2448.21</v>
      </c>
      <c r="H43" s="24">
        <v>0.62</v>
      </c>
      <c r="I43" s="31"/>
      <c r="J43" s="35"/>
    </row>
    <row r="44" spans="2:10" x14ac:dyDescent="0.25">
      <c r="B44" s="8" t="s">
        <v>367</v>
      </c>
      <c r="C44" s="56" t="s">
        <v>368</v>
      </c>
      <c r="D44" s="53" t="s">
        <v>369</v>
      </c>
      <c r="E44" s="6" t="s">
        <v>254</v>
      </c>
      <c r="F44" s="19">
        <v>744083</v>
      </c>
      <c r="G44" s="24">
        <v>670.42</v>
      </c>
      <c r="H44" s="24">
        <v>0.17</v>
      </c>
      <c r="I44" s="31"/>
      <c r="J44" s="35"/>
    </row>
    <row r="45" spans="2:10" x14ac:dyDescent="0.25">
      <c r="B45" s="8" t="s">
        <v>472</v>
      </c>
      <c r="C45" s="56" t="s">
        <v>473</v>
      </c>
      <c r="D45" s="53" t="s">
        <v>474</v>
      </c>
      <c r="E45" s="6" t="s">
        <v>254</v>
      </c>
      <c r="F45" s="19">
        <v>60956</v>
      </c>
      <c r="G45" s="24">
        <v>444.4</v>
      </c>
      <c r="H45" s="24">
        <v>0.11</v>
      </c>
      <c r="I45" s="31"/>
      <c r="J45" s="35"/>
    </row>
    <row r="46" spans="2:10" x14ac:dyDescent="0.25">
      <c r="B46" s="8" t="s">
        <v>475</v>
      </c>
      <c r="C46" s="56" t="s">
        <v>476</v>
      </c>
      <c r="D46" s="53" t="s">
        <v>477</v>
      </c>
      <c r="E46" s="6" t="s">
        <v>94</v>
      </c>
      <c r="F46" s="19">
        <v>318850</v>
      </c>
      <c r="G46" s="24">
        <v>194.5</v>
      </c>
      <c r="H46" s="24">
        <v>0.05</v>
      </c>
      <c r="I46" s="31"/>
      <c r="J46" s="35"/>
    </row>
    <row r="47" spans="2:10" x14ac:dyDescent="0.25">
      <c r="C47" s="57" t="s">
        <v>35</v>
      </c>
      <c r="D47" s="53"/>
      <c r="E47" s="6"/>
      <c r="F47" s="19"/>
      <c r="G47" s="25">
        <f>SUM(XDO_?FINAL_MV?52?)</f>
        <v>368474.92</v>
      </c>
      <c r="H47" s="25">
        <f>SUM(XDO_?FINAL_PER_NET?52?)</f>
        <v>93.850000000000023</v>
      </c>
      <c r="I47" s="31"/>
      <c r="J47" s="35"/>
    </row>
    <row r="48" spans="2:10" x14ac:dyDescent="0.25">
      <c r="C48" s="56"/>
      <c r="D48" s="53"/>
      <c r="E48" s="6"/>
      <c r="F48" s="19"/>
      <c r="G48" s="24"/>
      <c r="H48" s="24"/>
      <c r="I48" s="31"/>
      <c r="J48" s="35"/>
    </row>
    <row r="49" spans="2:10" x14ac:dyDescent="0.25">
      <c r="C49" s="57" t="s">
        <v>3</v>
      </c>
      <c r="D49" s="53"/>
      <c r="E49" s="6"/>
      <c r="F49" s="19"/>
      <c r="G49" s="24" t="s">
        <v>2</v>
      </c>
      <c r="H49" s="24" t="s">
        <v>2</v>
      </c>
      <c r="I49" s="31"/>
      <c r="J49" s="35"/>
    </row>
    <row r="50" spans="2:10" x14ac:dyDescent="0.25">
      <c r="C50" s="56"/>
      <c r="D50" s="53"/>
      <c r="E50" s="6"/>
      <c r="F50" s="19"/>
      <c r="G50" s="24"/>
      <c r="H50" s="24"/>
      <c r="I50" s="31"/>
      <c r="J50" s="35"/>
    </row>
    <row r="51" spans="2:10" x14ac:dyDescent="0.25">
      <c r="C51" s="59" t="s">
        <v>4</v>
      </c>
      <c r="D51" s="53"/>
      <c r="E51" s="6"/>
      <c r="F51" s="19"/>
      <c r="G51" s="24"/>
      <c r="H51" s="24"/>
      <c r="I51" s="31"/>
      <c r="J51" s="35"/>
    </row>
    <row r="52" spans="2:10" x14ac:dyDescent="0.25">
      <c r="B52" s="8" t="s">
        <v>445</v>
      </c>
      <c r="C52" s="56" t="s">
        <v>446</v>
      </c>
      <c r="D52" s="53" t="s">
        <v>447</v>
      </c>
      <c r="E52" s="6" t="s">
        <v>47</v>
      </c>
      <c r="F52" s="19">
        <v>7200</v>
      </c>
      <c r="G52" s="24">
        <v>7789.61</v>
      </c>
      <c r="H52" s="24">
        <v>1.98</v>
      </c>
      <c r="I52" s="31"/>
      <c r="J52" s="35"/>
    </row>
    <row r="53" spans="2:10" x14ac:dyDescent="0.25">
      <c r="C53" s="57" t="s">
        <v>35</v>
      </c>
      <c r="D53" s="53"/>
      <c r="E53" s="6"/>
      <c r="F53" s="19"/>
      <c r="G53" s="25">
        <v>7789.61</v>
      </c>
      <c r="H53" s="25">
        <v>1.98</v>
      </c>
      <c r="I53" s="31"/>
      <c r="J53" s="35"/>
    </row>
    <row r="54" spans="2:10" x14ac:dyDescent="0.25">
      <c r="C54" s="56"/>
      <c r="D54" s="53"/>
      <c r="E54" s="6"/>
      <c r="F54" s="19"/>
      <c r="G54" s="24"/>
      <c r="H54" s="24"/>
      <c r="I54" s="31"/>
      <c r="J54" s="35"/>
    </row>
    <row r="55" spans="2:10" x14ac:dyDescent="0.25">
      <c r="C55" s="57" t="s">
        <v>5</v>
      </c>
      <c r="D55" s="53"/>
      <c r="E55" s="6"/>
      <c r="F55" s="19"/>
      <c r="G55" s="24"/>
      <c r="H55" s="24"/>
      <c r="I55" s="31"/>
      <c r="J55" s="35"/>
    </row>
    <row r="56" spans="2:10" x14ac:dyDescent="0.25">
      <c r="C56" s="56"/>
      <c r="D56" s="53"/>
      <c r="E56" s="6"/>
      <c r="F56" s="19"/>
      <c r="G56" s="24"/>
      <c r="H56" s="24"/>
      <c r="I56" s="31"/>
      <c r="J56" s="35"/>
    </row>
    <row r="57" spans="2:10" x14ac:dyDescent="0.25">
      <c r="C57" s="57" t="s">
        <v>6</v>
      </c>
      <c r="D57" s="53"/>
      <c r="E57" s="6"/>
      <c r="F57" s="19"/>
      <c r="G57" s="24" t="s">
        <v>2</v>
      </c>
      <c r="H57" s="24" t="s">
        <v>2</v>
      </c>
      <c r="I57" s="31"/>
      <c r="J57" s="35"/>
    </row>
    <row r="58" spans="2:10" x14ac:dyDescent="0.25">
      <c r="C58" s="56"/>
      <c r="D58" s="53"/>
      <c r="E58" s="6"/>
      <c r="F58" s="19"/>
      <c r="G58" s="24"/>
      <c r="H58" s="24"/>
      <c r="I58" s="31"/>
      <c r="J58" s="35"/>
    </row>
    <row r="59" spans="2:10" x14ac:dyDescent="0.25">
      <c r="C59" s="57" t="s">
        <v>7</v>
      </c>
      <c r="D59" s="53"/>
      <c r="E59" s="6"/>
      <c r="F59" s="19"/>
      <c r="G59" s="24" t="s">
        <v>2</v>
      </c>
      <c r="H59" s="24" t="s">
        <v>2</v>
      </c>
      <c r="I59" s="31"/>
      <c r="J59" s="35"/>
    </row>
    <row r="60" spans="2:10" x14ac:dyDescent="0.25">
      <c r="C60" s="56"/>
      <c r="D60" s="53"/>
      <c r="E60" s="6"/>
      <c r="F60" s="19"/>
      <c r="G60" s="24"/>
      <c r="H60" s="24"/>
      <c r="I60" s="31"/>
      <c r="J60" s="35"/>
    </row>
    <row r="61" spans="2:10" x14ac:dyDescent="0.25">
      <c r="C61" s="57" t="s">
        <v>8</v>
      </c>
      <c r="D61" s="53"/>
      <c r="E61" s="6"/>
      <c r="F61" s="19"/>
      <c r="G61" s="24" t="s">
        <v>2</v>
      </c>
      <c r="H61" s="24" t="s">
        <v>2</v>
      </c>
      <c r="I61" s="31"/>
      <c r="J61" s="35"/>
    </row>
    <row r="62" spans="2:10" x14ac:dyDescent="0.25">
      <c r="C62" s="56"/>
      <c r="D62" s="53"/>
      <c r="E62" s="6"/>
      <c r="F62" s="19"/>
      <c r="G62" s="24"/>
      <c r="H62" s="24"/>
      <c r="I62" s="31"/>
      <c r="J62" s="35"/>
    </row>
    <row r="63" spans="2:10" x14ac:dyDescent="0.25">
      <c r="C63" s="57" t="s">
        <v>9</v>
      </c>
      <c r="D63" s="53"/>
      <c r="E63" s="6"/>
      <c r="F63" s="19"/>
      <c r="G63" s="24" t="s">
        <v>2</v>
      </c>
      <c r="H63" s="24" t="s">
        <v>2</v>
      </c>
      <c r="I63" s="31"/>
      <c r="J63" s="35"/>
    </row>
    <row r="64" spans="2:10" x14ac:dyDescent="0.25">
      <c r="C64" s="56"/>
      <c r="D64" s="53"/>
      <c r="E64" s="6"/>
      <c r="F64" s="19"/>
      <c r="G64" s="24"/>
      <c r="H64" s="24"/>
      <c r="I64" s="31"/>
      <c r="J64" s="35"/>
    </row>
    <row r="65" spans="1:10" x14ac:dyDescent="0.25">
      <c r="C65" s="57" t="s">
        <v>10</v>
      </c>
      <c r="D65" s="53"/>
      <c r="E65" s="6"/>
      <c r="F65" s="19"/>
      <c r="G65" s="24" t="s">
        <v>2</v>
      </c>
      <c r="H65" s="24" t="s">
        <v>2</v>
      </c>
      <c r="I65" s="31"/>
      <c r="J65" s="35"/>
    </row>
    <row r="66" spans="1:10" x14ac:dyDescent="0.25">
      <c r="C66" s="56"/>
      <c r="D66" s="53"/>
      <c r="E66" s="6"/>
      <c r="F66" s="19"/>
      <c r="G66" s="24"/>
      <c r="H66" s="24"/>
      <c r="I66" s="31"/>
      <c r="J66" s="35"/>
    </row>
    <row r="67" spans="1:10" x14ac:dyDescent="0.25">
      <c r="C67" s="57" t="s">
        <v>11</v>
      </c>
      <c r="D67" s="53"/>
      <c r="E67" s="6"/>
      <c r="F67" s="19"/>
      <c r="G67" s="24"/>
      <c r="H67" s="24"/>
      <c r="I67" s="31"/>
      <c r="J67" s="35"/>
    </row>
    <row r="68" spans="1:10" x14ac:dyDescent="0.25">
      <c r="C68" s="56"/>
      <c r="D68" s="53"/>
      <c r="E68" s="6"/>
      <c r="F68" s="19"/>
      <c r="G68" s="24"/>
      <c r="H68" s="24"/>
      <c r="I68" s="31"/>
      <c r="J68" s="35"/>
    </row>
    <row r="69" spans="1:10" x14ac:dyDescent="0.25">
      <c r="C69" s="57" t="s">
        <v>13</v>
      </c>
      <c r="D69" s="53"/>
      <c r="E69" s="6"/>
      <c r="F69" s="19"/>
      <c r="G69" s="24" t="s">
        <v>2</v>
      </c>
      <c r="H69" s="24" t="s">
        <v>2</v>
      </c>
      <c r="I69" s="31"/>
      <c r="J69" s="35"/>
    </row>
    <row r="70" spans="1:10" x14ac:dyDescent="0.25">
      <c r="C70" s="56"/>
      <c r="D70" s="53"/>
      <c r="E70" s="6"/>
      <c r="F70" s="19"/>
      <c r="G70" s="24"/>
      <c r="H70" s="24"/>
      <c r="I70" s="31"/>
      <c r="J70" s="35"/>
    </row>
    <row r="71" spans="1:10" x14ac:dyDescent="0.25">
      <c r="C71" s="57" t="s">
        <v>14</v>
      </c>
      <c r="D71" s="53"/>
      <c r="E71" s="6"/>
      <c r="F71" s="19"/>
      <c r="G71" s="24" t="s">
        <v>2</v>
      </c>
      <c r="H71" s="24" t="s">
        <v>2</v>
      </c>
      <c r="I71" s="31"/>
      <c r="J71" s="35"/>
    </row>
    <row r="72" spans="1:10" x14ac:dyDescent="0.25">
      <c r="C72" s="56"/>
      <c r="D72" s="53"/>
      <c r="E72" s="6"/>
      <c r="F72" s="19"/>
      <c r="G72" s="24"/>
      <c r="H72" s="24"/>
      <c r="I72" s="31"/>
      <c r="J72" s="35"/>
    </row>
    <row r="73" spans="1:10" x14ac:dyDescent="0.25">
      <c r="C73" s="57" t="s">
        <v>15</v>
      </c>
      <c r="D73" s="53"/>
      <c r="E73" s="6"/>
      <c r="F73" s="19"/>
      <c r="G73" s="24" t="s">
        <v>2</v>
      </c>
      <c r="H73" s="24" t="s">
        <v>2</v>
      </c>
      <c r="I73" s="31"/>
      <c r="J73" s="35"/>
    </row>
    <row r="74" spans="1:10" x14ac:dyDescent="0.25">
      <c r="C74" s="56"/>
      <c r="D74" s="53"/>
      <c r="E74" s="6"/>
      <c r="F74" s="19"/>
      <c r="G74" s="24"/>
      <c r="H74" s="24"/>
      <c r="I74" s="31"/>
      <c r="J74" s="35"/>
    </row>
    <row r="75" spans="1:10" x14ac:dyDescent="0.25">
      <c r="C75" s="57" t="s">
        <v>16</v>
      </c>
      <c r="D75" s="53"/>
      <c r="E75" s="6"/>
      <c r="F75" s="19"/>
      <c r="G75" s="24" t="s">
        <v>2</v>
      </c>
      <c r="H75" s="24" t="s">
        <v>2</v>
      </c>
      <c r="I75" s="31"/>
      <c r="J75" s="35"/>
    </row>
    <row r="76" spans="1:10" x14ac:dyDescent="0.25">
      <c r="C76" s="56"/>
      <c r="D76" s="53"/>
      <c r="E76" s="6"/>
      <c r="F76" s="19"/>
      <c r="G76" s="24"/>
      <c r="H76" s="24"/>
      <c r="I76" s="31"/>
      <c r="J76" s="35"/>
    </row>
    <row r="77" spans="1:10" x14ac:dyDescent="0.25">
      <c r="A77" s="10"/>
      <c r="B77" s="28"/>
      <c r="C77" s="58" t="s">
        <v>17</v>
      </c>
      <c r="D77" s="53"/>
      <c r="E77" s="6"/>
      <c r="F77" s="19"/>
      <c r="G77" s="24"/>
      <c r="H77" s="24"/>
      <c r="I77" s="31"/>
      <c r="J77" s="35"/>
    </row>
    <row r="78" spans="1:10" x14ac:dyDescent="0.25">
      <c r="A78" s="28"/>
      <c r="B78" s="28"/>
      <c r="C78" s="58" t="s">
        <v>18</v>
      </c>
      <c r="D78" s="53"/>
      <c r="E78" s="6"/>
      <c r="F78" s="19"/>
      <c r="G78" s="24" t="s">
        <v>2</v>
      </c>
      <c r="H78" s="24" t="s">
        <v>2</v>
      </c>
      <c r="I78" s="31"/>
      <c r="J78" s="35"/>
    </row>
    <row r="79" spans="1:10" x14ac:dyDescent="0.25">
      <c r="A79" s="28"/>
      <c r="B79" s="28"/>
      <c r="C79" s="58"/>
      <c r="D79" s="53"/>
      <c r="E79" s="6"/>
      <c r="F79" s="19"/>
      <c r="G79" s="24"/>
      <c r="H79" s="24"/>
      <c r="I79" s="31"/>
      <c r="J79" s="35"/>
    </row>
    <row r="80" spans="1:10" x14ac:dyDescent="0.25">
      <c r="A80" s="28"/>
      <c r="B80" s="28"/>
      <c r="C80" s="58" t="s">
        <v>19</v>
      </c>
      <c r="D80" s="53"/>
      <c r="E80" s="6"/>
      <c r="F80" s="19"/>
      <c r="G80" s="24" t="s">
        <v>2</v>
      </c>
      <c r="H80" s="24" t="s">
        <v>2</v>
      </c>
      <c r="I80" s="31"/>
      <c r="J80" s="35"/>
    </row>
    <row r="81" spans="1:10" x14ac:dyDescent="0.25">
      <c r="A81" s="28"/>
      <c r="B81" s="28"/>
      <c r="C81" s="58"/>
      <c r="D81" s="53"/>
      <c r="E81" s="6"/>
      <c r="F81" s="19"/>
      <c r="G81" s="24"/>
      <c r="H81" s="24"/>
      <c r="I81" s="31"/>
      <c r="J81" s="35"/>
    </row>
    <row r="82" spans="1:10" x14ac:dyDescent="0.25">
      <c r="A82" s="28"/>
      <c r="B82" s="28"/>
      <c r="C82" s="58" t="s">
        <v>20</v>
      </c>
      <c r="D82" s="53"/>
      <c r="E82" s="6"/>
      <c r="F82" s="19"/>
      <c r="G82" s="24" t="s">
        <v>2</v>
      </c>
      <c r="H82" s="24" t="s">
        <v>2</v>
      </c>
      <c r="I82" s="31"/>
      <c r="J82" s="35"/>
    </row>
    <row r="83" spans="1:10" x14ac:dyDescent="0.25">
      <c r="A83" s="28"/>
      <c r="B83" s="28"/>
      <c r="C83" s="58"/>
      <c r="D83" s="53"/>
      <c r="E83" s="6"/>
      <c r="F83" s="19"/>
      <c r="G83" s="24"/>
      <c r="H83" s="24"/>
      <c r="I83" s="31"/>
      <c r="J83" s="35"/>
    </row>
    <row r="84" spans="1:10" x14ac:dyDescent="0.25">
      <c r="A84" s="28"/>
      <c r="B84" s="28"/>
      <c r="C84" s="58" t="s">
        <v>21</v>
      </c>
      <c r="D84" s="53"/>
      <c r="E84" s="6"/>
      <c r="F84" s="19"/>
      <c r="G84" s="24" t="s">
        <v>2</v>
      </c>
      <c r="H84" s="24" t="s">
        <v>2</v>
      </c>
      <c r="I84" s="31"/>
      <c r="J84" s="35"/>
    </row>
    <row r="85" spans="1:10" x14ac:dyDescent="0.25">
      <c r="A85" s="28"/>
      <c r="B85" s="28"/>
      <c r="C85" s="58"/>
      <c r="D85" s="53"/>
      <c r="E85" s="6"/>
      <c r="F85" s="19"/>
      <c r="G85" s="24"/>
      <c r="H85" s="24"/>
      <c r="I85" s="31"/>
      <c r="J85" s="35"/>
    </row>
    <row r="86" spans="1:10" x14ac:dyDescent="0.25">
      <c r="C86" s="59" t="s">
        <v>22</v>
      </c>
      <c r="D86" s="53"/>
      <c r="E86" s="6"/>
      <c r="F86" s="19"/>
      <c r="G86" s="24"/>
      <c r="H86" s="24"/>
      <c r="I86" s="31"/>
      <c r="J86" s="35"/>
    </row>
    <row r="87" spans="1:10" x14ac:dyDescent="0.25">
      <c r="B87" s="8" t="s">
        <v>33</v>
      </c>
      <c r="C87" s="56" t="s">
        <v>34</v>
      </c>
      <c r="D87" s="53"/>
      <c r="E87" s="6"/>
      <c r="F87" s="19"/>
      <c r="G87" s="24">
        <v>14298.12</v>
      </c>
      <c r="H87" s="24">
        <v>3.64</v>
      </c>
      <c r="I87" s="31"/>
      <c r="J87" s="35"/>
    </row>
    <row r="88" spans="1:10" x14ac:dyDescent="0.25">
      <c r="C88" s="57" t="s">
        <v>35</v>
      </c>
      <c r="D88" s="53"/>
      <c r="E88" s="6"/>
      <c r="F88" s="19"/>
      <c r="G88" s="25">
        <v>14298.12</v>
      </c>
      <c r="H88" s="25">
        <v>3.64</v>
      </c>
      <c r="I88" s="31"/>
      <c r="J88" s="35"/>
    </row>
    <row r="89" spans="1:10" x14ac:dyDescent="0.25">
      <c r="C89" s="56"/>
      <c r="D89" s="53"/>
      <c r="E89" s="6"/>
      <c r="F89" s="19"/>
      <c r="G89" s="24"/>
      <c r="H89" s="24"/>
      <c r="I89" s="31"/>
      <c r="J89" s="35"/>
    </row>
    <row r="90" spans="1:10" x14ac:dyDescent="0.25">
      <c r="A90" s="10"/>
      <c r="B90" s="28"/>
      <c r="C90" s="58" t="s">
        <v>23</v>
      </c>
      <c r="D90" s="53"/>
      <c r="E90" s="6"/>
      <c r="F90" s="19"/>
      <c r="G90" s="24"/>
      <c r="H90" s="24"/>
      <c r="I90" s="31"/>
      <c r="J90" s="35"/>
    </row>
    <row r="91" spans="1:10" x14ac:dyDescent="0.25">
      <c r="A91" s="28"/>
      <c r="B91" s="28"/>
      <c r="C91" s="60" t="s">
        <v>3398</v>
      </c>
      <c r="D91" s="53"/>
      <c r="E91" s="6"/>
      <c r="F91" s="19"/>
      <c r="G91" s="24">
        <v>2993</v>
      </c>
      <c r="H91" s="24">
        <v>0.76</v>
      </c>
      <c r="I91" s="31"/>
      <c r="J91" s="35"/>
    </row>
    <row r="92" spans="1:10" x14ac:dyDescent="0.25">
      <c r="B92" s="8"/>
      <c r="C92" s="56" t="s">
        <v>36</v>
      </c>
      <c r="D92" s="53"/>
      <c r="E92" s="6"/>
      <c r="F92" s="19"/>
      <c r="G92" s="24">
        <v>-982.31999999999994</v>
      </c>
      <c r="H92" s="24">
        <v>-0.23</v>
      </c>
      <c r="I92" s="31"/>
      <c r="J92" s="35"/>
    </row>
    <row r="93" spans="1:10" x14ac:dyDescent="0.25">
      <c r="C93" s="57" t="s">
        <v>35</v>
      </c>
      <c r="D93" s="53"/>
      <c r="E93" s="6"/>
      <c r="F93" s="19"/>
      <c r="G93" s="25">
        <v>2010.68</v>
      </c>
      <c r="H93" s="25">
        <v>0.53</v>
      </c>
      <c r="I93" s="31"/>
      <c r="J93" s="35"/>
    </row>
    <row r="94" spans="1:10" x14ac:dyDescent="0.25">
      <c r="C94" s="56"/>
      <c r="D94" s="53"/>
      <c r="E94" s="6"/>
      <c r="F94" s="19"/>
      <c r="G94" s="24"/>
      <c r="H94" s="24"/>
      <c r="I94" s="31"/>
      <c r="J94" s="35"/>
    </row>
    <row r="95" spans="1:10" x14ac:dyDescent="0.25">
      <c r="C95" s="61" t="s">
        <v>37</v>
      </c>
      <c r="D95" s="54"/>
      <c r="E95" s="5"/>
      <c r="F95" s="20"/>
      <c r="G95" s="26">
        <v>392573.33</v>
      </c>
      <c r="H95" s="26">
        <f>SUMIFS(H:H,C:C,"Total")</f>
        <v>100.00000000000003</v>
      </c>
      <c r="I95" s="32"/>
      <c r="J95" s="36"/>
    </row>
    <row r="98" spans="3:3" x14ac:dyDescent="0.25">
      <c r="C98" s="1" t="s">
        <v>38</v>
      </c>
    </row>
    <row r="99" spans="3:3" x14ac:dyDescent="0.25">
      <c r="C99" s="2" t="s">
        <v>39</v>
      </c>
    </row>
    <row r="100" spans="3:3" x14ac:dyDescent="0.25">
      <c r="C100" s="2" t="s">
        <v>40</v>
      </c>
    </row>
    <row r="101" spans="3:3" x14ac:dyDescent="0.25">
      <c r="C101" s="2" t="s">
        <v>3430</v>
      </c>
    </row>
  </sheetData>
  <hyperlinks>
    <hyperlink ref="J2" location="'Index'!A1" display="'Index'!A1"/>
  </hyperlinks>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J176"/>
  <sheetViews>
    <sheetView showGridLines="0" zoomScale="90" zoomScaleNormal="90" workbookViewId="0">
      <pane ySplit="6" topLeftCell="A159" activePane="bottomLeft" state="frozen"/>
      <selection pane="bottomLeft" activeCell="E167" sqref="E16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478</v>
      </c>
      <c r="J2" s="37" t="s">
        <v>3307</v>
      </c>
    </row>
    <row r="3" spans="1:10" ht="16.5" x14ac:dyDescent="0.3">
      <c r="C3" s="1" t="s">
        <v>24</v>
      </c>
      <c r="D3" s="21" t="s">
        <v>479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15000000</v>
      </c>
      <c r="G10" s="24">
        <v>161790</v>
      </c>
      <c r="H10" s="24">
        <v>5.18</v>
      </c>
      <c r="I10" s="31"/>
      <c r="J10" s="35"/>
    </row>
    <row r="11" spans="1:10" x14ac:dyDescent="0.25">
      <c r="B11" s="8" t="s">
        <v>44</v>
      </c>
      <c r="C11" s="56" t="s">
        <v>45</v>
      </c>
      <c r="D11" s="53" t="s">
        <v>46</v>
      </c>
      <c r="E11" s="6" t="s">
        <v>47</v>
      </c>
      <c r="F11" s="19">
        <v>13300000</v>
      </c>
      <c r="G11" s="24">
        <v>134097.25</v>
      </c>
      <c r="H11" s="24">
        <v>4.29</v>
      </c>
      <c r="I11" s="31"/>
      <c r="J11" s="35"/>
    </row>
    <row r="12" spans="1:10" x14ac:dyDescent="0.25">
      <c r="B12" s="8" t="s">
        <v>112</v>
      </c>
      <c r="C12" s="56" t="s">
        <v>113</v>
      </c>
      <c r="D12" s="53" t="s">
        <v>114</v>
      </c>
      <c r="E12" s="6" t="s">
        <v>111</v>
      </c>
      <c r="F12" s="19">
        <v>4100000</v>
      </c>
      <c r="G12" s="24">
        <v>124965.95</v>
      </c>
      <c r="H12" s="24">
        <v>4</v>
      </c>
      <c r="I12" s="31"/>
      <c r="J12" s="35"/>
    </row>
    <row r="13" spans="1:10" x14ac:dyDescent="0.25">
      <c r="B13" s="8" t="s">
        <v>91</v>
      </c>
      <c r="C13" s="56" t="s">
        <v>92</v>
      </c>
      <c r="D13" s="53" t="s">
        <v>93</v>
      </c>
      <c r="E13" s="6" t="s">
        <v>94</v>
      </c>
      <c r="F13" s="19">
        <v>3300000</v>
      </c>
      <c r="G13" s="24">
        <v>108193.8</v>
      </c>
      <c r="H13" s="24">
        <v>3.46</v>
      </c>
      <c r="I13" s="31"/>
      <c r="J13" s="35"/>
    </row>
    <row r="14" spans="1:10" x14ac:dyDescent="0.25">
      <c r="B14" s="8" t="s">
        <v>65</v>
      </c>
      <c r="C14" s="56" t="s">
        <v>66</v>
      </c>
      <c r="D14" s="53" t="s">
        <v>67</v>
      </c>
      <c r="E14" s="6" t="s">
        <v>68</v>
      </c>
      <c r="F14" s="19">
        <v>23000000</v>
      </c>
      <c r="G14" s="24">
        <v>96818.5</v>
      </c>
      <c r="H14" s="24">
        <v>3.1</v>
      </c>
      <c r="I14" s="31"/>
      <c r="J14" s="35"/>
    </row>
    <row r="15" spans="1:10" x14ac:dyDescent="0.25">
      <c r="B15" s="8" t="s">
        <v>164</v>
      </c>
      <c r="C15" s="56" t="s">
        <v>165</v>
      </c>
      <c r="D15" s="53" t="s">
        <v>166</v>
      </c>
      <c r="E15" s="6" t="s">
        <v>51</v>
      </c>
      <c r="F15" s="19">
        <v>41520169</v>
      </c>
      <c r="G15" s="24">
        <v>76978.39</v>
      </c>
      <c r="H15" s="24">
        <v>2.4700000000000002</v>
      </c>
      <c r="I15" s="31"/>
      <c r="J15" s="35"/>
    </row>
    <row r="16" spans="1:10" x14ac:dyDescent="0.25">
      <c r="B16" s="8" t="s">
        <v>133</v>
      </c>
      <c r="C16" s="56" t="s">
        <v>134</v>
      </c>
      <c r="D16" s="53" t="s">
        <v>135</v>
      </c>
      <c r="E16" s="6" t="s">
        <v>47</v>
      </c>
      <c r="F16" s="19">
        <v>9000000</v>
      </c>
      <c r="G16" s="24">
        <v>73044</v>
      </c>
      <c r="H16" s="24">
        <v>2.34</v>
      </c>
      <c r="I16" s="31"/>
      <c r="J16" s="35"/>
    </row>
    <row r="17" spans="2:10" x14ac:dyDescent="0.25">
      <c r="B17" s="8" t="s">
        <v>180</v>
      </c>
      <c r="C17" s="56" t="s">
        <v>53</v>
      </c>
      <c r="D17" s="53" t="s">
        <v>181</v>
      </c>
      <c r="E17" s="6" t="s">
        <v>55</v>
      </c>
      <c r="F17" s="19">
        <v>5434346</v>
      </c>
      <c r="G17" s="24">
        <v>73010.44</v>
      </c>
      <c r="H17" s="24">
        <v>2.34</v>
      </c>
      <c r="I17" s="31"/>
      <c r="J17" s="35" t="s">
        <v>182</v>
      </c>
    </row>
    <row r="18" spans="2:10" x14ac:dyDescent="0.25">
      <c r="B18" s="8" t="s">
        <v>76</v>
      </c>
      <c r="C18" s="56" t="s">
        <v>77</v>
      </c>
      <c r="D18" s="53" t="s">
        <v>78</v>
      </c>
      <c r="E18" s="6" t="s">
        <v>79</v>
      </c>
      <c r="F18" s="19">
        <v>7900000</v>
      </c>
      <c r="G18" s="24">
        <v>71226.399999999994</v>
      </c>
      <c r="H18" s="24">
        <v>2.2799999999999998</v>
      </c>
      <c r="I18" s="31"/>
      <c r="J18" s="35"/>
    </row>
    <row r="19" spans="2:10" x14ac:dyDescent="0.25">
      <c r="B19" s="8" t="s">
        <v>84</v>
      </c>
      <c r="C19" s="56" t="s">
        <v>85</v>
      </c>
      <c r="D19" s="53" t="s">
        <v>86</v>
      </c>
      <c r="E19" s="6" t="s">
        <v>41</v>
      </c>
      <c r="F19" s="19">
        <v>350000</v>
      </c>
      <c r="G19" s="24">
        <v>70899.33</v>
      </c>
      <c r="H19" s="24">
        <v>2.27</v>
      </c>
      <c r="I19" s="31"/>
      <c r="J19" s="35"/>
    </row>
    <row r="20" spans="2:10" x14ac:dyDescent="0.25">
      <c r="B20" s="8" t="s">
        <v>59</v>
      </c>
      <c r="C20" s="56" t="s">
        <v>60</v>
      </c>
      <c r="D20" s="53" t="s">
        <v>61</v>
      </c>
      <c r="E20" s="6" t="s">
        <v>51</v>
      </c>
      <c r="F20" s="19">
        <v>5450000</v>
      </c>
      <c r="G20" s="24">
        <v>69116.899999999994</v>
      </c>
      <c r="H20" s="24">
        <v>2.21</v>
      </c>
      <c r="I20" s="31"/>
      <c r="J20" s="35"/>
    </row>
    <row r="21" spans="2:10" x14ac:dyDescent="0.25">
      <c r="B21" s="8" t="s">
        <v>171</v>
      </c>
      <c r="C21" s="56" t="s">
        <v>172</v>
      </c>
      <c r="D21" s="53" t="s">
        <v>173</v>
      </c>
      <c r="E21" s="6" t="s">
        <v>55</v>
      </c>
      <c r="F21" s="19">
        <v>19000000</v>
      </c>
      <c r="G21" s="24">
        <v>67079.5</v>
      </c>
      <c r="H21" s="24">
        <v>2.15</v>
      </c>
      <c r="I21" s="31"/>
      <c r="J21" s="35"/>
    </row>
    <row r="22" spans="2:10" x14ac:dyDescent="0.25">
      <c r="B22" s="8" t="s">
        <v>412</v>
      </c>
      <c r="C22" s="56" t="s">
        <v>413</v>
      </c>
      <c r="D22" s="53" t="s">
        <v>414</v>
      </c>
      <c r="E22" s="6" t="s">
        <v>111</v>
      </c>
      <c r="F22" s="19">
        <v>1144830</v>
      </c>
      <c r="G22" s="24">
        <v>59391.49</v>
      </c>
      <c r="H22" s="24">
        <v>1.9</v>
      </c>
      <c r="I22" s="31"/>
      <c r="J22" s="35"/>
    </row>
    <row r="23" spans="2:10" x14ac:dyDescent="0.25">
      <c r="B23" s="8" t="s">
        <v>379</v>
      </c>
      <c r="C23" s="56" t="s">
        <v>380</v>
      </c>
      <c r="D23" s="53" t="s">
        <v>381</v>
      </c>
      <c r="E23" s="6" t="s">
        <v>55</v>
      </c>
      <c r="F23" s="19">
        <v>79000000</v>
      </c>
      <c r="G23" s="24">
        <v>58381</v>
      </c>
      <c r="H23" s="24">
        <v>1.87</v>
      </c>
      <c r="I23" s="31"/>
      <c r="J23" s="35"/>
    </row>
    <row r="24" spans="2:10" x14ac:dyDescent="0.25">
      <c r="B24" s="8" t="s">
        <v>480</v>
      </c>
      <c r="C24" s="56" t="s">
        <v>481</v>
      </c>
      <c r="D24" s="53" t="s">
        <v>482</v>
      </c>
      <c r="E24" s="6" t="s">
        <v>142</v>
      </c>
      <c r="F24" s="19">
        <v>17000000</v>
      </c>
      <c r="G24" s="24">
        <v>58097.5</v>
      </c>
      <c r="H24" s="24">
        <v>1.86</v>
      </c>
      <c r="I24" s="31"/>
      <c r="J24" s="35"/>
    </row>
    <row r="25" spans="2:10" x14ac:dyDescent="0.25">
      <c r="B25" s="8" t="s">
        <v>143</v>
      </c>
      <c r="C25" s="56" t="s">
        <v>144</v>
      </c>
      <c r="D25" s="53" t="s">
        <v>145</v>
      </c>
      <c r="E25" s="6" t="s">
        <v>146</v>
      </c>
      <c r="F25" s="19">
        <v>2455000</v>
      </c>
      <c r="G25" s="24">
        <v>54087.33</v>
      </c>
      <c r="H25" s="24">
        <v>1.73</v>
      </c>
      <c r="I25" s="31"/>
      <c r="J25" s="35"/>
    </row>
    <row r="26" spans="2:10" x14ac:dyDescent="0.25">
      <c r="B26" s="8" t="s">
        <v>115</v>
      </c>
      <c r="C26" s="56" t="s">
        <v>116</v>
      </c>
      <c r="D26" s="53" t="s">
        <v>117</v>
      </c>
      <c r="E26" s="6" t="s">
        <v>94</v>
      </c>
      <c r="F26" s="19">
        <v>4000000</v>
      </c>
      <c r="G26" s="24">
        <v>51980</v>
      </c>
      <c r="H26" s="24">
        <v>1.66</v>
      </c>
      <c r="I26" s="31"/>
      <c r="J26" s="35"/>
    </row>
    <row r="27" spans="2:10" x14ac:dyDescent="0.25">
      <c r="B27" s="8" t="s">
        <v>354</v>
      </c>
      <c r="C27" s="56" t="s">
        <v>355</v>
      </c>
      <c r="D27" s="53" t="s">
        <v>356</v>
      </c>
      <c r="E27" s="6" t="s">
        <v>90</v>
      </c>
      <c r="F27" s="19">
        <v>30000000</v>
      </c>
      <c r="G27" s="24">
        <v>51510</v>
      </c>
      <c r="H27" s="24">
        <v>1.65</v>
      </c>
      <c r="I27" s="31"/>
      <c r="J27" s="35"/>
    </row>
    <row r="28" spans="2:10" x14ac:dyDescent="0.25">
      <c r="B28" s="8" t="s">
        <v>245</v>
      </c>
      <c r="C28" s="56" t="s">
        <v>246</v>
      </c>
      <c r="D28" s="53" t="s">
        <v>247</v>
      </c>
      <c r="E28" s="6" t="s">
        <v>111</v>
      </c>
      <c r="F28" s="19">
        <v>10209237</v>
      </c>
      <c r="G28" s="24">
        <v>51092.13</v>
      </c>
      <c r="H28" s="24">
        <v>1.64</v>
      </c>
      <c r="I28" s="31"/>
      <c r="J28" s="35"/>
    </row>
    <row r="29" spans="2:10" x14ac:dyDescent="0.25">
      <c r="B29" s="8" t="s">
        <v>62</v>
      </c>
      <c r="C29" s="56" t="s">
        <v>63</v>
      </c>
      <c r="D29" s="53" t="s">
        <v>64</v>
      </c>
      <c r="E29" s="6" t="s">
        <v>51</v>
      </c>
      <c r="F29" s="19">
        <v>14000000</v>
      </c>
      <c r="G29" s="24">
        <v>49665</v>
      </c>
      <c r="H29" s="24">
        <v>1.59</v>
      </c>
      <c r="I29" s="31"/>
      <c r="J29" s="35"/>
    </row>
    <row r="30" spans="2:10" x14ac:dyDescent="0.25">
      <c r="B30" s="8" t="s">
        <v>56</v>
      </c>
      <c r="C30" s="56" t="s">
        <v>57</v>
      </c>
      <c r="D30" s="53" t="s">
        <v>58</v>
      </c>
      <c r="E30" s="6" t="s">
        <v>47</v>
      </c>
      <c r="F30" s="19">
        <v>1950000</v>
      </c>
      <c r="G30" s="24">
        <v>48599.85</v>
      </c>
      <c r="H30" s="24">
        <v>1.56</v>
      </c>
      <c r="I30" s="31"/>
      <c r="J30" s="35"/>
    </row>
    <row r="31" spans="2:10" x14ac:dyDescent="0.25">
      <c r="B31" s="8" t="s">
        <v>73</v>
      </c>
      <c r="C31" s="56" t="s">
        <v>74</v>
      </c>
      <c r="D31" s="53" t="s">
        <v>75</v>
      </c>
      <c r="E31" s="6" t="s">
        <v>51</v>
      </c>
      <c r="F31" s="19">
        <v>11000000</v>
      </c>
      <c r="G31" s="24">
        <v>46711.5</v>
      </c>
      <c r="H31" s="24">
        <v>1.5</v>
      </c>
      <c r="I31" s="31"/>
      <c r="J31" s="35"/>
    </row>
    <row r="32" spans="2:10" x14ac:dyDescent="0.25">
      <c r="B32" s="8" t="s">
        <v>483</v>
      </c>
      <c r="C32" s="56" t="s">
        <v>484</v>
      </c>
      <c r="D32" s="53" t="s">
        <v>485</v>
      </c>
      <c r="E32" s="6" t="s">
        <v>196</v>
      </c>
      <c r="F32" s="19">
        <v>77000</v>
      </c>
      <c r="G32" s="24">
        <v>45870.59</v>
      </c>
      <c r="H32" s="24">
        <v>1.47</v>
      </c>
      <c r="I32" s="31"/>
      <c r="J32" s="35"/>
    </row>
    <row r="33" spans="2:10" x14ac:dyDescent="0.25">
      <c r="B33" s="8" t="s">
        <v>255</v>
      </c>
      <c r="C33" s="56" t="s">
        <v>256</v>
      </c>
      <c r="D33" s="53" t="s">
        <v>257</v>
      </c>
      <c r="E33" s="6" t="s">
        <v>51</v>
      </c>
      <c r="F33" s="19">
        <v>15681252</v>
      </c>
      <c r="G33" s="24">
        <v>42809.82</v>
      </c>
      <c r="H33" s="24">
        <v>1.37</v>
      </c>
      <c r="I33" s="31"/>
      <c r="J33" s="35"/>
    </row>
    <row r="34" spans="2:10" x14ac:dyDescent="0.25">
      <c r="B34" s="8" t="s">
        <v>130</v>
      </c>
      <c r="C34" s="56" t="s">
        <v>131</v>
      </c>
      <c r="D34" s="53" t="s">
        <v>132</v>
      </c>
      <c r="E34" s="6" t="s">
        <v>47</v>
      </c>
      <c r="F34" s="19">
        <v>1100000</v>
      </c>
      <c r="G34" s="24">
        <v>39981.699999999997</v>
      </c>
      <c r="H34" s="24">
        <v>1.28</v>
      </c>
      <c r="I34" s="31"/>
      <c r="J34" s="35"/>
    </row>
    <row r="35" spans="2:10" x14ac:dyDescent="0.25">
      <c r="B35" s="8" t="s">
        <v>486</v>
      </c>
      <c r="C35" s="56" t="s">
        <v>487</v>
      </c>
      <c r="D35" s="53" t="s">
        <v>488</v>
      </c>
      <c r="E35" s="6" t="s">
        <v>41</v>
      </c>
      <c r="F35" s="19">
        <v>4881290</v>
      </c>
      <c r="G35" s="24">
        <v>36780.519999999997</v>
      </c>
      <c r="H35" s="24">
        <v>1.18</v>
      </c>
      <c r="I35" s="31"/>
      <c r="J35" s="35"/>
    </row>
    <row r="36" spans="2:10" x14ac:dyDescent="0.25">
      <c r="B36" s="8" t="s">
        <v>342</v>
      </c>
      <c r="C36" s="56" t="s">
        <v>343</v>
      </c>
      <c r="D36" s="53" t="s">
        <v>344</v>
      </c>
      <c r="E36" s="6" t="s">
        <v>111</v>
      </c>
      <c r="F36" s="19">
        <v>1262000</v>
      </c>
      <c r="G36" s="24">
        <v>35057.730000000003</v>
      </c>
      <c r="H36" s="24">
        <v>1.1200000000000001</v>
      </c>
      <c r="I36" s="31"/>
      <c r="J36" s="35"/>
    </row>
    <row r="37" spans="2:10" x14ac:dyDescent="0.25">
      <c r="B37" s="8" t="s">
        <v>489</v>
      </c>
      <c r="C37" s="56" t="s">
        <v>490</v>
      </c>
      <c r="D37" s="53" t="s">
        <v>491</v>
      </c>
      <c r="E37" s="6" t="s">
        <v>157</v>
      </c>
      <c r="F37" s="19">
        <v>1792212</v>
      </c>
      <c r="G37" s="24">
        <v>33129.93</v>
      </c>
      <c r="H37" s="24">
        <v>1.06</v>
      </c>
      <c r="I37" s="31"/>
      <c r="J37" s="35"/>
    </row>
    <row r="38" spans="2:10" x14ac:dyDescent="0.25">
      <c r="B38" s="8" t="s">
        <v>492</v>
      </c>
      <c r="C38" s="56" t="s">
        <v>493</v>
      </c>
      <c r="D38" s="53" t="s">
        <v>494</v>
      </c>
      <c r="E38" s="6" t="s">
        <v>195</v>
      </c>
      <c r="F38" s="19">
        <v>3075788</v>
      </c>
      <c r="G38" s="24">
        <v>31822.1</v>
      </c>
      <c r="H38" s="24">
        <v>1.02</v>
      </c>
      <c r="I38" s="31"/>
      <c r="J38" s="35"/>
    </row>
    <row r="39" spans="2:10" x14ac:dyDescent="0.25">
      <c r="B39" s="8" t="s">
        <v>154</v>
      </c>
      <c r="C39" s="56" t="s">
        <v>155</v>
      </c>
      <c r="D39" s="53" t="s">
        <v>156</v>
      </c>
      <c r="E39" s="6" t="s">
        <v>157</v>
      </c>
      <c r="F39" s="19">
        <v>6800000</v>
      </c>
      <c r="G39" s="24">
        <v>30273.599999999999</v>
      </c>
      <c r="H39" s="24">
        <v>0.97</v>
      </c>
      <c r="I39" s="31"/>
      <c r="J39" s="35"/>
    </row>
    <row r="40" spans="2:10" x14ac:dyDescent="0.25">
      <c r="B40" s="8" t="s">
        <v>409</v>
      </c>
      <c r="C40" s="56" t="s">
        <v>410</v>
      </c>
      <c r="D40" s="53" t="s">
        <v>411</v>
      </c>
      <c r="E40" s="6" t="s">
        <v>98</v>
      </c>
      <c r="F40" s="19">
        <v>446765</v>
      </c>
      <c r="G40" s="24">
        <v>30127.37</v>
      </c>
      <c r="H40" s="24">
        <v>0.96</v>
      </c>
      <c r="I40" s="31"/>
      <c r="J40" s="35"/>
    </row>
    <row r="41" spans="2:10" x14ac:dyDescent="0.25">
      <c r="B41" s="8" t="s">
        <v>421</v>
      </c>
      <c r="C41" s="56" t="s">
        <v>422</v>
      </c>
      <c r="D41" s="53" t="s">
        <v>423</v>
      </c>
      <c r="E41" s="6" t="s">
        <v>218</v>
      </c>
      <c r="F41" s="19">
        <v>7306962</v>
      </c>
      <c r="G41" s="24">
        <v>28884.42</v>
      </c>
      <c r="H41" s="24">
        <v>0.93</v>
      </c>
      <c r="I41" s="31"/>
      <c r="J41" s="35"/>
    </row>
    <row r="42" spans="2:10" x14ac:dyDescent="0.25">
      <c r="B42" s="8" t="s">
        <v>430</v>
      </c>
      <c r="C42" s="56" t="s">
        <v>431</v>
      </c>
      <c r="D42" s="53" t="s">
        <v>432</v>
      </c>
      <c r="E42" s="6" t="s">
        <v>195</v>
      </c>
      <c r="F42" s="19">
        <v>1442587</v>
      </c>
      <c r="G42" s="24">
        <v>27350.01</v>
      </c>
      <c r="H42" s="24">
        <v>0.88</v>
      </c>
      <c r="I42" s="31"/>
      <c r="J42" s="35"/>
    </row>
    <row r="43" spans="2:10" x14ac:dyDescent="0.25">
      <c r="B43" s="8" t="s">
        <v>495</v>
      </c>
      <c r="C43" s="56" t="s">
        <v>496</v>
      </c>
      <c r="D43" s="53" t="s">
        <v>497</v>
      </c>
      <c r="E43" s="6" t="s">
        <v>94</v>
      </c>
      <c r="F43" s="19">
        <v>1900000</v>
      </c>
      <c r="G43" s="24">
        <v>27256.45</v>
      </c>
      <c r="H43" s="24">
        <v>0.87</v>
      </c>
      <c r="I43" s="31"/>
      <c r="J43" s="35"/>
    </row>
    <row r="44" spans="2:10" x14ac:dyDescent="0.25">
      <c r="B44" s="8" t="s">
        <v>69</v>
      </c>
      <c r="C44" s="56" t="s">
        <v>70</v>
      </c>
      <c r="D44" s="53" t="s">
        <v>71</v>
      </c>
      <c r="E44" s="6" t="s">
        <v>72</v>
      </c>
      <c r="F44" s="19">
        <v>127411</v>
      </c>
      <c r="G44" s="24">
        <v>27184.35</v>
      </c>
      <c r="H44" s="24">
        <v>0.87</v>
      </c>
      <c r="I44" s="31"/>
      <c r="J44" s="35"/>
    </row>
    <row r="45" spans="2:10" x14ac:dyDescent="0.25">
      <c r="B45" s="8" t="s">
        <v>415</v>
      </c>
      <c r="C45" s="56" t="s">
        <v>416</v>
      </c>
      <c r="D45" s="53" t="s">
        <v>417</v>
      </c>
      <c r="E45" s="6" t="s">
        <v>90</v>
      </c>
      <c r="F45" s="19">
        <v>267036</v>
      </c>
      <c r="G45" s="24">
        <v>26561.27</v>
      </c>
      <c r="H45" s="24">
        <v>0.85</v>
      </c>
      <c r="I45" s="31"/>
      <c r="J45" s="35"/>
    </row>
    <row r="46" spans="2:10" x14ac:dyDescent="0.25">
      <c r="B46" s="8" t="s">
        <v>498</v>
      </c>
      <c r="C46" s="56" t="s">
        <v>499</v>
      </c>
      <c r="D46" s="53" t="s">
        <v>500</v>
      </c>
      <c r="E46" s="6" t="s">
        <v>254</v>
      </c>
      <c r="F46" s="19">
        <v>26034720</v>
      </c>
      <c r="G46" s="24">
        <v>24928.240000000002</v>
      </c>
      <c r="H46" s="24">
        <v>0.8</v>
      </c>
      <c r="I46" s="31"/>
      <c r="J46" s="35"/>
    </row>
    <row r="47" spans="2:10" x14ac:dyDescent="0.25">
      <c r="B47" s="8" t="s">
        <v>501</v>
      </c>
      <c r="C47" s="56" t="s">
        <v>502</v>
      </c>
      <c r="D47" s="53" t="s">
        <v>503</v>
      </c>
      <c r="E47" s="6" t="s">
        <v>504</v>
      </c>
      <c r="F47" s="19">
        <v>130000</v>
      </c>
      <c r="G47" s="24">
        <v>23799.3</v>
      </c>
      <c r="H47" s="24">
        <v>0.76</v>
      </c>
      <c r="I47" s="31"/>
      <c r="J47" s="35"/>
    </row>
    <row r="48" spans="2:10" x14ac:dyDescent="0.25">
      <c r="B48" s="8" t="s">
        <v>388</v>
      </c>
      <c r="C48" s="56" t="s">
        <v>389</v>
      </c>
      <c r="D48" s="53" t="s">
        <v>390</v>
      </c>
      <c r="E48" s="6" t="s">
        <v>254</v>
      </c>
      <c r="F48" s="19">
        <v>80666992</v>
      </c>
      <c r="G48" s="24">
        <v>23595.1</v>
      </c>
      <c r="H48" s="24">
        <v>0.76</v>
      </c>
      <c r="I48" s="31"/>
      <c r="J48" s="35"/>
    </row>
    <row r="49" spans="1:10" x14ac:dyDescent="0.25">
      <c r="B49" s="8" t="s">
        <v>291</v>
      </c>
      <c r="C49" s="56" t="s">
        <v>292</v>
      </c>
      <c r="D49" s="53" t="s">
        <v>293</v>
      </c>
      <c r="E49" s="6" t="s">
        <v>261</v>
      </c>
      <c r="F49" s="19">
        <v>73608315</v>
      </c>
      <c r="G49" s="24">
        <v>16157.03</v>
      </c>
      <c r="H49" s="24">
        <v>0.52</v>
      </c>
      <c r="I49" s="31"/>
      <c r="J49" s="35"/>
    </row>
    <row r="50" spans="1:10" x14ac:dyDescent="0.25">
      <c r="B50" s="8" t="s">
        <v>209</v>
      </c>
      <c r="C50" s="56" t="s">
        <v>210</v>
      </c>
      <c r="D50" s="53" t="s">
        <v>211</v>
      </c>
      <c r="E50" s="6" t="s">
        <v>83</v>
      </c>
      <c r="F50" s="19">
        <v>2386686</v>
      </c>
      <c r="G50" s="24">
        <v>15910.84</v>
      </c>
      <c r="H50" s="24">
        <v>0.51</v>
      </c>
      <c r="I50" s="31"/>
      <c r="J50" s="35"/>
    </row>
    <row r="51" spans="1:10" x14ac:dyDescent="0.25">
      <c r="B51" s="8" t="s">
        <v>505</v>
      </c>
      <c r="C51" s="56" t="s">
        <v>506</v>
      </c>
      <c r="D51" s="53" t="s">
        <v>507</v>
      </c>
      <c r="E51" s="6" t="s">
        <v>142</v>
      </c>
      <c r="F51" s="19">
        <v>8934360</v>
      </c>
      <c r="G51" s="24">
        <v>11109.88</v>
      </c>
      <c r="H51" s="24">
        <v>0.36</v>
      </c>
      <c r="I51" s="31"/>
      <c r="J51" s="35"/>
    </row>
    <row r="52" spans="1:10" x14ac:dyDescent="0.25">
      <c r="C52" s="57" t="s">
        <v>35</v>
      </c>
      <c r="D52" s="53"/>
      <c r="E52" s="6"/>
      <c r="F52" s="19"/>
      <c r="G52" s="25">
        <v>2235326.5099999998</v>
      </c>
      <c r="H52" s="25">
        <v>71.59</v>
      </c>
      <c r="I52" s="31"/>
      <c r="J52" s="35"/>
    </row>
    <row r="53" spans="1:10" x14ac:dyDescent="0.25">
      <c r="C53" s="56"/>
      <c r="D53" s="53"/>
      <c r="E53" s="6"/>
      <c r="F53" s="19"/>
      <c r="G53" s="24"/>
      <c r="H53" s="24"/>
      <c r="I53" s="31"/>
      <c r="J53" s="35"/>
    </row>
    <row r="54" spans="1:10" x14ac:dyDescent="0.25">
      <c r="C54" s="59" t="s">
        <v>3</v>
      </c>
      <c r="D54" s="53"/>
      <c r="E54" s="6"/>
      <c r="F54" s="19"/>
      <c r="G54" s="24"/>
      <c r="H54" s="24"/>
      <c r="I54" s="31"/>
      <c r="J54" s="35"/>
    </row>
    <row r="55" spans="1:10" x14ac:dyDescent="0.25">
      <c r="B55" s="8" t="s">
        <v>186</v>
      </c>
      <c r="C55" s="56" t="s">
        <v>187</v>
      </c>
      <c r="D55" s="53" t="s">
        <v>188</v>
      </c>
      <c r="E55" s="6" t="s">
        <v>47</v>
      </c>
      <c r="F55" s="19">
        <v>80000</v>
      </c>
      <c r="G55" s="62">
        <v>0</v>
      </c>
      <c r="H55" s="24" t="s">
        <v>3399</v>
      </c>
      <c r="I55" s="31"/>
      <c r="J55" s="35" t="s">
        <v>3419</v>
      </c>
    </row>
    <row r="56" spans="1:10" x14ac:dyDescent="0.25">
      <c r="B56" s="8" t="s">
        <v>508</v>
      </c>
      <c r="C56" s="56" t="s">
        <v>509</v>
      </c>
      <c r="D56" s="53" t="s">
        <v>510</v>
      </c>
      <c r="E56" s="6" t="s">
        <v>196</v>
      </c>
      <c r="F56" s="19">
        <v>4700</v>
      </c>
      <c r="G56" s="62">
        <v>0</v>
      </c>
      <c r="H56" s="24" t="s">
        <v>3399</v>
      </c>
      <c r="I56" s="31"/>
      <c r="J56" s="35" t="s">
        <v>3419</v>
      </c>
    </row>
    <row r="57" spans="1:10" x14ac:dyDescent="0.25">
      <c r="C57" s="57" t="s">
        <v>35</v>
      </c>
      <c r="D57" s="53"/>
      <c r="E57" s="6"/>
      <c r="F57" s="19"/>
      <c r="G57" s="63">
        <v>0</v>
      </c>
      <c r="H57" s="25" t="s">
        <v>3399</v>
      </c>
      <c r="I57" s="31"/>
      <c r="J57" s="35"/>
    </row>
    <row r="58" spans="1:10" x14ac:dyDescent="0.25">
      <c r="C58" s="56"/>
      <c r="D58" s="53"/>
      <c r="E58" s="6"/>
      <c r="F58" s="19"/>
      <c r="G58" s="24"/>
      <c r="H58" s="24"/>
      <c r="I58" s="31"/>
      <c r="J58" s="35"/>
    </row>
    <row r="59" spans="1:10" x14ac:dyDescent="0.25">
      <c r="C59" s="57" t="s">
        <v>4</v>
      </c>
      <c r="D59" s="53"/>
      <c r="E59" s="6"/>
      <c r="F59" s="19"/>
      <c r="G59" s="24" t="s">
        <v>2</v>
      </c>
      <c r="H59" s="24" t="s">
        <v>2</v>
      </c>
      <c r="I59" s="31"/>
      <c r="J59" s="35"/>
    </row>
    <row r="60" spans="1:10" x14ac:dyDescent="0.25">
      <c r="C60" s="56"/>
      <c r="D60" s="53"/>
      <c r="E60" s="6"/>
      <c r="F60" s="19"/>
      <c r="G60" s="24"/>
      <c r="H60" s="24"/>
      <c r="I60" s="31"/>
      <c r="J60" s="35"/>
    </row>
    <row r="61" spans="1:10" x14ac:dyDescent="0.25">
      <c r="A61" s="10"/>
      <c r="B61" s="28"/>
      <c r="C61" s="58" t="s">
        <v>5</v>
      </c>
      <c r="D61" s="53"/>
      <c r="E61" s="6"/>
      <c r="F61" s="19"/>
      <c r="G61" s="24"/>
      <c r="H61" s="24"/>
      <c r="I61" s="31"/>
      <c r="J61" s="35"/>
    </row>
    <row r="62" spans="1:10" x14ac:dyDescent="0.25">
      <c r="C62" s="59" t="s">
        <v>6</v>
      </c>
      <c r="D62" s="53"/>
      <c r="E62" s="6"/>
      <c r="F62" s="19"/>
      <c r="G62" s="24"/>
      <c r="H62" s="24"/>
      <c r="I62" s="31"/>
      <c r="J62" s="35"/>
    </row>
    <row r="63" spans="1:10" x14ac:dyDescent="0.25">
      <c r="B63" s="8" t="s">
        <v>511</v>
      </c>
      <c r="C63" s="56" t="s">
        <v>3428</v>
      </c>
      <c r="D63" s="53" t="s">
        <v>512</v>
      </c>
      <c r="E63" s="6" t="s">
        <v>513</v>
      </c>
      <c r="F63" s="19">
        <v>2905</v>
      </c>
      <c r="G63" s="24">
        <v>31721.87</v>
      </c>
      <c r="H63" s="24">
        <v>1.02</v>
      </c>
      <c r="I63" s="31">
        <v>6.9349999999999996</v>
      </c>
      <c r="J63" s="35" t="s">
        <v>514</v>
      </c>
    </row>
    <row r="64" spans="1:10" x14ac:dyDescent="0.25">
      <c r="B64" s="8" t="s">
        <v>515</v>
      </c>
      <c r="C64" s="56" t="s">
        <v>516</v>
      </c>
      <c r="D64" s="53" t="s">
        <v>517</v>
      </c>
      <c r="E64" s="6" t="s">
        <v>518</v>
      </c>
      <c r="F64" s="19">
        <v>2860</v>
      </c>
      <c r="G64" s="24">
        <v>28880.17</v>
      </c>
      <c r="H64" s="24">
        <v>0.92</v>
      </c>
      <c r="I64" s="31">
        <v>8.65</v>
      </c>
      <c r="J64" s="35" t="s">
        <v>514</v>
      </c>
    </row>
    <row r="65" spans="2:10" x14ac:dyDescent="0.25">
      <c r="B65" s="8" t="s">
        <v>519</v>
      </c>
      <c r="C65" s="56" t="s">
        <v>520</v>
      </c>
      <c r="D65" s="53" t="s">
        <v>521</v>
      </c>
      <c r="E65" s="6" t="s">
        <v>522</v>
      </c>
      <c r="F65" s="19">
        <v>2350</v>
      </c>
      <c r="G65" s="24">
        <v>23454.79</v>
      </c>
      <c r="H65" s="24">
        <v>0.75</v>
      </c>
      <c r="I65" s="31">
        <v>10.165900000000001</v>
      </c>
      <c r="J65" s="35" t="s">
        <v>514</v>
      </c>
    </row>
    <row r="66" spans="2:10" x14ac:dyDescent="0.25">
      <c r="B66" s="8" t="s">
        <v>523</v>
      </c>
      <c r="C66" s="56" t="s">
        <v>524</v>
      </c>
      <c r="D66" s="53" t="s">
        <v>525</v>
      </c>
      <c r="E66" s="6" t="s">
        <v>526</v>
      </c>
      <c r="F66" s="19">
        <v>2100</v>
      </c>
      <c r="G66" s="24">
        <v>21645.88</v>
      </c>
      <c r="H66" s="24">
        <v>0.69</v>
      </c>
      <c r="I66" s="31">
        <v>6.9996999999999998</v>
      </c>
      <c r="J66" s="35" t="s">
        <v>514</v>
      </c>
    </row>
    <row r="67" spans="2:10" x14ac:dyDescent="0.25">
      <c r="B67" s="8" t="s">
        <v>527</v>
      </c>
      <c r="C67" s="56" t="s">
        <v>528</v>
      </c>
      <c r="D67" s="53" t="s">
        <v>529</v>
      </c>
      <c r="E67" s="6" t="s">
        <v>530</v>
      </c>
      <c r="F67" s="19">
        <v>1750</v>
      </c>
      <c r="G67" s="24">
        <v>20179.2</v>
      </c>
      <c r="H67" s="24">
        <v>0.65</v>
      </c>
      <c r="I67" s="31">
        <v>8.3396000000000008</v>
      </c>
      <c r="J67" s="35" t="s">
        <v>514</v>
      </c>
    </row>
    <row r="68" spans="2:10" x14ac:dyDescent="0.25">
      <c r="B68" s="8" t="s">
        <v>531</v>
      </c>
      <c r="C68" s="56" t="s">
        <v>532</v>
      </c>
      <c r="D68" s="53" t="s">
        <v>533</v>
      </c>
      <c r="E68" s="6" t="s">
        <v>534</v>
      </c>
      <c r="F68" s="19">
        <v>1250</v>
      </c>
      <c r="G68" s="24">
        <v>14594.8</v>
      </c>
      <c r="H68" s="24">
        <v>0.47</v>
      </c>
      <c r="I68" s="31">
        <v>6.7321999999999997</v>
      </c>
      <c r="J68" s="35" t="s">
        <v>514</v>
      </c>
    </row>
    <row r="69" spans="2:10" x14ac:dyDescent="0.25">
      <c r="B69" s="8" t="s">
        <v>535</v>
      </c>
      <c r="C69" s="56" t="s">
        <v>536</v>
      </c>
      <c r="D69" s="53" t="s">
        <v>537</v>
      </c>
      <c r="E69" s="6" t="s">
        <v>534</v>
      </c>
      <c r="F69" s="19">
        <v>1250</v>
      </c>
      <c r="G69" s="24">
        <v>13074.23</v>
      </c>
      <c r="H69" s="24">
        <v>0.42</v>
      </c>
      <c r="I69" s="31">
        <v>6.2572999999999999</v>
      </c>
      <c r="J69" s="35" t="s">
        <v>514</v>
      </c>
    </row>
    <row r="70" spans="2:10" x14ac:dyDescent="0.25">
      <c r="B70" s="8" t="s">
        <v>538</v>
      </c>
      <c r="C70" s="56" t="s">
        <v>539</v>
      </c>
      <c r="D70" s="53" t="s">
        <v>540</v>
      </c>
      <c r="E70" s="6" t="s">
        <v>541</v>
      </c>
      <c r="F70" s="19">
        <v>1250</v>
      </c>
      <c r="G70" s="24">
        <v>13000.34</v>
      </c>
      <c r="H70" s="24">
        <v>0.42</v>
      </c>
      <c r="I70" s="31">
        <v>7.6</v>
      </c>
      <c r="J70" s="35" t="s">
        <v>514</v>
      </c>
    </row>
    <row r="71" spans="2:10" x14ac:dyDescent="0.25">
      <c r="B71" s="8" t="s">
        <v>542</v>
      </c>
      <c r="C71" s="56" t="s">
        <v>543</v>
      </c>
      <c r="D71" s="53" t="s">
        <v>544</v>
      </c>
      <c r="E71" s="6" t="s">
        <v>545</v>
      </c>
      <c r="F71" s="19">
        <v>1239</v>
      </c>
      <c r="G71" s="24">
        <v>12505.51</v>
      </c>
      <c r="H71" s="24">
        <v>0.4</v>
      </c>
      <c r="I71" s="31">
        <v>10.023199999999999</v>
      </c>
      <c r="J71" s="35" t="s">
        <v>514</v>
      </c>
    </row>
    <row r="72" spans="2:10" x14ac:dyDescent="0.25">
      <c r="B72" s="8" t="s">
        <v>546</v>
      </c>
      <c r="C72" s="56" t="s">
        <v>516</v>
      </c>
      <c r="D72" s="53" t="s">
        <v>547</v>
      </c>
      <c r="E72" s="6" t="s">
        <v>518</v>
      </c>
      <c r="F72" s="19">
        <v>1050</v>
      </c>
      <c r="G72" s="24">
        <v>10725.58</v>
      </c>
      <c r="H72" s="24">
        <v>0.34</v>
      </c>
      <c r="I72" s="31">
        <v>8.1297999999999995</v>
      </c>
      <c r="J72" s="35" t="s">
        <v>514</v>
      </c>
    </row>
    <row r="73" spans="2:10" x14ac:dyDescent="0.25">
      <c r="B73" s="8" t="s">
        <v>548</v>
      </c>
      <c r="C73" s="56" t="s">
        <v>549</v>
      </c>
      <c r="D73" s="53" t="s">
        <v>550</v>
      </c>
      <c r="E73" s="6" t="s">
        <v>551</v>
      </c>
      <c r="F73" s="19">
        <v>950</v>
      </c>
      <c r="G73" s="24">
        <v>10279.370000000001</v>
      </c>
      <c r="H73" s="24">
        <v>0.33</v>
      </c>
      <c r="I73" s="31">
        <v>7.8461999999999996</v>
      </c>
      <c r="J73" s="35" t="s">
        <v>514</v>
      </c>
    </row>
    <row r="74" spans="2:10" x14ac:dyDescent="0.25">
      <c r="B74" s="8" t="s">
        <v>552</v>
      </c>
      <c r="C74" s="56" t="s">
        <v>539</v>
      </c>
      <c r="D74" s="53" t="s">
        <v>553</v>
      </c>
      <c r="E74" s="6" t="s">
        <v>541</v>
      </c>
      <c r="F74" s="19">
        <v>1000</v>
      </c>
      <c r="G74" s="24">
        <v>10277.6</v>
      </c>
      <c r="H74" s="24">
        <v>0.33</v>
      </c>
      <c r="I74" s="31">
        <v>7.9349999999999996</v>
      </c>
      <c r="J74" s="35" t="s">
        <v>514</v>
      </c>
    </row>
    <row r="75" spans="2:10" x14ac:dyDescent="0.25">
      <c r="B75" s="8" t="s">
        <v>554</v>
      </c>
      <c r="C75" s="56" t="s">
        <v>555</v>
      </c>
      <c r="D75" s="53" t="s">
        <v>556</v>
      </c>
      <c r="E75" s="6" t="s">
        <v>557</v>
      </c>
      <c r="F75" s="19">
        <v>1000</v>
      </c>
      <c r="G75" s="24">
        <v>10212.06</v>
      </c>
      <c r="H75" s="24">
        <v>0.33</v>
      </c>
      <c r="I75" s="31">
        <v>8.2325999999999997</v>
      </c>
      <c r="J75" s="35" t="s">
        <v>514</v>
      </c>
    </row>
    <row r="76" spans="2:10" x14ac:dyDescent="0.25">
      <c r="B76" s="8" t="s">
        <v>558</v>
      </c>
      <c r="C76" s="56" t="s">
        <v>559</v>
      </c>
      <c r="D76" s="53" t="s">
        <v>560</v>
      </c>
      <c r="E76" s="6" t="s">
        <v>534</v>
      </c>
      <c r="F76" s="19">
        <v>1000</v>
      </c>
      <c r="G76" s="24">
        <v>10092.31</v>
      </c>
      <c r="H76" s="24">
        <v>0.32</v>
      </c>
      <c r="I76" s="31">
        <v>8.6449999999999996</v>
      </c>
      <c r="J76" s="35" t="s">
        <v>514</v>
      </c>
    </row>
    <row r="77" spans="2:10" x14ac:dyDescent="0.25">
      <c r="B77" s="8" t="s">
        <v>561</v>
      </c>
      <c r="C77" s="56" t="s">
        <v>562</v>
      </c>
      <c r="D77" s="53" t="s">
        <v>563</v>
      </c>
      <c r="E77" s="6" t="s">
        <v>564</v>
      </c>
      <c r="F77" s="19">
        <v>1000</v>
      </c>
      <c r="G77" s="24">
        <v>9955.32</v>
      </c>
      <c r="H77" s="24">
        <v>0.32</v>
      </c>
      <c r="I77" s="31">
        <v>8.9827999999999992</v>
      </c>
      <c r="J77" s="35" t="s">
        <v>514</v>
      </c>
    </row>
    <row r="78" spans="2:10" x14ac:dyDescent="0.25">
      <c r="B78" s="8" t="s">
        <v>565</v>
      </c>
      <c r="C78" s="56" t="s">
        <v>549</v>
      </c>
      <c r="D78" s="53" t="s">
        <v>566</v>
      </c>
      <c r="E78" s="6" t="s">
        <v>551</v>
      </c>
      <c r="F78" s="19">
        <v>820</v>
      </c>
      <c r="G78" s="24">
        <v>8917.6299999999992</v>
      </c>
      <c r="H78" s="24">
        <v>0.28999999999999998</v>
      </c>
      <c r="I78" s="31">
        <v>7.8384999999999998</v>
      </c>
      <c r="J78" s="35" t="s">
        <v>514</v>
      </c>
    </row>
    <row r="79" spans="2:10" x14ac:dyDescent="0.25">
      <c r="B79" s="8" t="s">
        <v>567</v>
      </c>
      <c r="C79" s="56" t="s">
        <v>568</v>
      </c>
      <c r="D79" s="53" t="s">
        <v>569</v>
      </c>
      <c r="E79" s="6" t="s">
        <v>545</v>
      </c>
      <c r="F79" s="19">
        <v>900</v>
      </c>
      <c r="G79" s="24">
        <v>8837.93</v>
      </c>
      <c r="H79" s="24">
        <v>0.28000000000000003</v>
      </c>
      <c r="I79" s="31">
        <v>10.0747</v>
      </c>
      <c r="J79" s="35" t="s">
        <v>514</v>
      </c>
    </row>
    <row r="80" spans="2:10" x14ac:dyDescent="0.25">
      <c r="B80" s="8" t="s">
        <v>570</v>
      </c>
      <c r="C80" s="56" t="s">
        <v>571</v>
      </c>
      <c r="D80" s="53" t="s">
        <v>572</v>
      </c>
      <c r="E80" s="6" t="s">
        <v>573</v>
      </c>
      <c r="F80" s="19">
        <v>800</v>
      </c>
      <c r="G80" s="24">
        <v>8082.62</v>
      </c>
      <c r="H80" s="24">
        <v>0.26</v>
      </c>
      <c r="I80" s="31">
        <v>7.9448999999999996</v>
      </c>
      <c r="J80" s="35" t="s">
        <v>514</v>
      </c>
    </row>
    <row r="81" spans="2:10" x14ac:dyDescent="0.25">
      <c r="B81" s="8" t="s">
        <v>574</v>
      </c>
      <c r="C81" s="56" t="s">
        <v>575</v>
      </c>
      <c r="D81" s="53" t="s">
        <v>576</v>
      </c>
      <c r="E81" s="6" t="s">
        <v>557</v>
      </c>
      <c r="F81" s="19">
        <v>820000</v>
      </c>
      <c r="G81" s="24">
        <v>7470.21</v>
      </c>
      <c r="H81" s="24">
        <v>0.24</v>
      </c>
      <c r="I81" s="31">
        <v>19.511900000000001</v>
      </c>
      <c r="J81" s="35" t="s">
        <v>514</v>
      </c>
    </row>
    <row r="82" spans="2:10" x14ac:dyDescent="0.25">
      <c r="B82" s="8" t="s">
        <v>577</v>
      </c>
      <c r="C82" s="56" t="s">
        <v>578</v>
      </c>
      <c r="D82" s="53" t="s">
        <v>579</v>
      </c>
      <c r="E82" s="6" t="s">
        <v>526</v>
      </c>
      <c r="F82" s="19">
        <v>591</v>
      </c>
      <c r="G82" s="24">
        <v>6039.58</v>
      </c>
      <c r="H82" s="24">
        <v>0.19</v>
      </c>
      <c r="I82" s="31">
        <v>8.0896000000000008</v>
      </c>
      <c r="J82" s="35" t="s">
        <v>514</v>
      </c>
    </row>
    <row r="83" spans="2:10" x14ac:dyDescent="0.25">
      <c r="B83" s="8" t="s">
        <v>581</v>
      </c>
      <c r="C83" s="56" t="s">
        <v>528</v>
      </c>
      <c r="D83" s="53" t="s">
        <v>582</v>
      </c>
      <c r="E83" s="6" t="s">
        <v>530</v>
      </c>
      <c r="F83" s="19">
        <v>520</v>
      </c>
      <c r="G83" s="24">
        <v>5988.4</v>
      </c>
      <c r="H83" s="24">
        <v>0.19</v>
      </c>
      <c r="I83" s="31">
        <v>8.4656000000000002</v>
      </c>
      <c r="J83" s="35" t="s">
        <v>514</v>
      </c>
    </row>
    <row r="84" spans="2:10" x14ac:dyDescent="0.25">
      <c r="B84" s="8" t="s">
        <v>583</v>
      </c>
      <c r="C84" s="56" t="s">
        <v>562</v>
      </c>
      <c r="D84" s="53" t="s">
        <v>584</v>
      </c>
      <c r="E84" s="6" t="s">
        <v>564</v>
      </c>
      <c r="F84" s="19">
        <v>500</v>
      </c>
      <c r="G84" s="24">
        <v>5707.66</v>
      </c>
      <c r="H84" s="24">
        <v>0.18</v>
      </c>
      <c r="I84" s="31">
        <v>7.4341999999999997</v>
      </c>
      <c r="J84" s="35" t="s">
        <v>514</v>
      </c>
    </row>
    <row r="85" spans="2:10" x14ac:dyDescent="0.25">
      <c r="B85" s="8" t="s">
        <v>585</v>
      </c>
      <c r="C85" s="56" t="s">
        <v>586</v>
      </c>
      <c r="D85" s="53" t="s">
        <v>587</v>
      </c>
      <c r="E85" s="6" t="s">
        <v>513</v>
      </c>
      <c r="F85" s="19">
        <v>500</v>
      </c>
      <c r="G85" s="24">
        <v>5049</v>
      </c>
      <c r="H85" s="24">
        <v>0.16</v>
      </c>
      <c r="I85" s="31">
        <v>8.9034999999999993</v>
      </c>
      <c r="J85" s="35" t="s">
        <v>514</v>
      </c>
    </row>
    <row r="86" spans="2:10" x14ac:dyDescent="0.25">
      <c r="B86" s="8" t="s">
        <v>588</v>
      </c>
      <c r="C86" s="56" t="s">
        <v>578</v>
      </c>
      <c r="D86" s="53" t="s">
        <v>589</v>
      </c>
      <c r="E86" s="6" t="s">
        <v>526</v>
      </c>
      <c r="F86" s="19">
        <v>460</v>
      </c>
      <c r="G86" s="24">
        <v>4659.7</v>
      </c>
      <c r="H86" s="24">
        <v>0.15</v>
      </c>
      <c r="I86" s="31">
        <v>8.0546000000000006</v>
      </c>
      <c r="J86" s="35" t="s">
        <v>514</v>
      </c>
    </row>
    <row r="87" spans="2:10" x14ac:dyDescent="0.25">
      <c r="B87" s="8" t="s">
        <v>590</v>
      </c>
      <c r="C87" s="56" t="s">
        <v>591</v>
      </c>
      <c r="D87" s="53" t="s">
        <v>592</v>
      </c>
      <c r="E87" s="6" t="s">
        <v>593</v>
      </c>
      <c r="F87" s="19">
        <v>400</v>
      </c>
      <c r="G87" s="24">
        <v>4174.4799999999996</v>
      </c>
      <c r="H87" s="24">
        <v>0.13</v>
      </c>
      <c r="I87" s="31">
        <v>6.7472000000000003</v>
      </c>
      <c r="J87" s="35" t="s">
        <v>514</v>
      </c>
    </row>
    <row r="88" spans="2:10" x14ac:dyDescent="0.25">
      <c r="B88" s="8" t="s">
        <v>594</v>
      </c>
      <c r="C88" s="56" t="s">
        <v>568</v>
      </c>
      <c r="D88" s="53" t="s">
        <v>595</v>
      </c>
      <c r="E88" s="6" t="s">
        <v>545</v>
      </c>
      <c r="F88" s="19">
        <v>400</v>
      </c>
      <c r="G88" s="24">
        <v>3957.18</v>
      </c>
      <c r="H88" s="24">
        <v>0.13</v>
      </c>
      <c r="I88" s="31">
        <v>10.005000000000001</v>
      </c>
      <c r="J88" s="35" t="s">
        <v>514</v>
      </c>
    </row>
    <row r="89" spans="2:10" x14ac:dyDescent="0.25">
      <c r="B89" s="8" t="s">
        <v>596</v>
      </c>
      <c r="C89" s="56" t="s">
        <v>230</v>
      </c>
      <c r="D89" s="53" t="s">
        <v>597</v>
      </c>
      <c r="E89" s="6" t="s">
        <v>541</v>
      </c>
      <c r="F89" s="19">
        <v>350</v>
      </c>
      <c r="G89" s="24">
        <v>3610.62</v>
      </c>
      <c r="H89" s="24">
        <v>0.12</v>
      </c>
      <c r="I89" s="31">
        <v>7.0650000000000004</v>
      </c>
      <c r="J89" s="35" t="s">
        <v>514</v>
      </c>
    </row>
    <row r="90" spans="2:10" x14ac:dyDescent="0.25">
      <c r="B90" s="8" t="s">
        <v>598</v>
      </c>
      <c r="C90" s="56" t="s">
        <v>1843</v>
      </c>
      <c r="D90" s="53" t="s">
        <v>599</v>
      </c>
      <c r="E90" s="6" t="s">
        <v>573</v>
      </c>
      <c r="F90" s="19">
        <v>353</v>
      </c>
      <c r="G90" s="24">
        <v>3530.84</v>
      </c>
      <c r="H90" s="24">
        <v>0.11</v>
      </c>
      <c r="I90" s="31">
        <v>7.73</v>
      </c>
      <c r="J90" s="35"/>
    </row>
    <row r="91" spans="2:10" x14ac:dyDescent="0.25">
      <c r="B91" s="8" t="s">
        <v>600</v>
      </c>
      <c r="C91" s="56" t="s">
        <v>601</v>
      </c>
      <c r="D91" s="53" t="s">
        <v>602</v>
      </c>
      <c r="E91" s="6" t="s">
        <v>534</v>
      </c>
      <c r="F91" s="19">
        <v>300</v>
      </c>
      <c r="G91" s="24">
        <v>3175.7</v>
      </c>
      <c r="H91" s="24">
        <v>0.1</v>
      </c>
      <c r="I91" s="31">
        <v>6.25</v>
      </c>
      <c r="J91" s="35" t="s">
        <v>514</v>
      </c>
    </row>
    <row r="92" spans="2:10" x14ac:dyDescent="0.25">
      <c r="B92" s="8" t="s">
        <v>603</v>
      </c>
      <c r="C92" s="56" t="s">
        <v>568</v>
      </c>
      <c r="D92" s="53" t="s">
        <v>604</v>
      </c>
      <c r="E92" s="6" t="s">
        <v>545</v>
      </c>
      <c r="F92" s="19">
        <v>280</v>
      </c>
      <c r="G92" s="24">
        <v>2767.51</v>
      </c>
      <c r="H92" s="24">
        <v>0.09</v>
      </c>
      <c r="I92" s="31">
        <v>10.003500000000001</v>
      </c>
      <c r="J92" s="35" t="s">
        <v>514</v>
      </c>
    </row>
    <row r="93" spans="2:10" x14ac:dyDescent="0.25">
      <c r="B93" s="8" t="s">
        <v>605</v>
      </c>
      <c r="C93" s="56" t="s">
        <v>571</v>
      </c>
      <c r="D93" s="53" t="s">
        <v>606</v>
      </c>
      <c r="E93" s="6" t="s">
        <v>557</v>
      </c>
      <c r="F93" s="19">
        <v>250</v>
      </c>
      <c r="G93" s="24">
        <v>2541.09</v>
      </c>
      <c r="H93" s="24">
        <v>0.08</v>
      </c>
      <c r="I93" s="31">
        <v>7.8497000000000003</v>
      </c>
      <c r="J93" s="35" t="s">
        <v>514</v>
      </c>
    </row>
    <row r="94" spans="2:10" x14ac:dyDescent="0.25">
      <c r="B94" s="8" t="s">
        <v>607</v>
      </c>
      <c r="C94" s="56" t="s">
        <v>568</v>
      </c>
      <c r="D94" s="53" t="s">
        <v>608</v>
      </c>
      <c r="E94" s="6" t="s">
        <v>545</v>
      </c>
      <c r="F94" s="19">
        <v>263</v>
      </c>
      <c r="G94" s="24">
        <v>2526.27</v>
      </c>
      <c r="H94" s="24">
        <v>0.08</v>
      </c>
      <c r="I94" s="31">
        <v>10.284800000000001</v>
      </c>
      <c r="J94" s="35"/>
    </row>
    <row r="95" spans="2:10" x14ac:dyDescent="0.25">
      <c r="B95" s="8" t="s">
        <v>609</v>
      </c>
      <c r="C95" s="56" t="s">
        <v>559</v>
      </c>
      <c r="D95" s="53" t="s">
        <v>610</v>
      </c>
      <c r="E95" s="6" t="s">
        <v>534</v>
      </c>
      <c r="F95" s="19">
        <v>250</v>
      </c>
      <c r="G95" s="24">
        <v>2523.0100000000002</v>
      </c>
      <c r="H95" s="24">
        <v>0.08</v>
      </c>
      <c r="I95" s="31">
        <v>8.6449999999999996</v>
      </c>
      <c r="J95" s="35" t="s">
        <v>514</v>
      </c>
    </row>
    <row r="96" spans="2:10" x14ac:dyDescent="0.25">
      <c r="B96" s="8" t="s">
        <v>611</v>
      </c>
      <c r="C96" s="56" t="s">
        <v>578</v>
      </c>
      <c r="D96" s="53" t="s">
        <v>612</v>
      </c>
      <c r="E96" s="6" t="s">
        <v>541</v>
      </c>
      <c r="F96" s="19">
        <v>50</v>
      </c>
      <c r="G96" s="24">
        <v>512.83000000000004</v>
      </c>
      <c r="H96" s="24">
        <v>0.02</v>
      </c>
      <c r="I96" s="31">
        <v>8.1847999999999992</v>
      </c>
      <c r="J96" s="35" t="s">
        <v>514</v>
      </c>
    </row>
    <row r="97" spans="2:10" x14ac:dyDescent="0.25">
      <c r="B97" s="8" t="s">
        <v>613</v>
      </c>
      <c r="C97" s="56" t="s">
        <v>614</v>
      </c>
      <c r="D97" s="53" t="s">
        <v>615</v>
      </c>
      <c r="E97" s="6" t="s">
        <v>616</v>
      </c>
      <c r="F97" s="19">
        <v>50</v>
      </c>
      <c r="G97" s="24">
        <v>495.22</v>
      </c>
      <c r="H97" s="24">
        <v>0.02</v>
      </c>
      <c r="I97" s="31">
        <v>11.324999999999999</v>
      </c>
      <c r="J97" s="35" t="s">
        <v>514</v>
      </c>
    </row>
    <row r="98" spans="2:10" x14ac:dyDescent="0.25">
      <c r="B98" s="8" t="s">
        <v>617</v>
      </c>
      <c r="C98" s="56" t="s">
        <v>524</v>
      </c>
      <c r="D98" s="53" t="s">
        <v>618</v>
      </c>
      <c r="E98" s="6" t="s">
        <v>526</v>
      </c>
      <c r="F98" s="19">
        <v>30</v>
      </c>
      <c r="G98" s="24">
        <v>312.08999999999997</v>
      </c>
      <c r="H98" s="24">
        <v>0.01</v>
      </c>
      <c r="I98" s="31">
        <v>6.9198000000000004</v>
      </c>
      <c r="J98" s="35" t="s">
        <v>514</v>
      </c>
    </row>
    <row r="99" spans="2:10" x14ac:dyDescent="0.25">
      <c r="B99" s="8" t="s">
        <v>619</v>
      </c>
      <c r="C99" s="56" t="s">
        <v>53</v>
      </c>
      <c r="D99" s="53" t="s">
        <v>620</v>
      </c>
      <c r="E99" s="6" t="s">
        <v>534</v>
      </c>
      <c r="F99" s="19">
        <v>26</v>
      </c>
      <c r="G99" s="24">
        <v>268.7</v>
      </c>
      <c r="H99" s="24">
        <v>0.01</v>
      </c>
      <c r="I99" s="31">
        <v>4.24</v>
      </c>
      <c r="J99" s="35" t="s">
        <v>514</v>
      </c>
    </row>
    <row r="100" spans="2:10" x14ac:dyDescent="0.25">
      <c r="C100" s="57" t="s">
        <v>35</v>
      </c>
      <c r="D100" s="53"/>
      <c r="E100" s="6"/>
      <c r="F100" s="19"/>
      <c r="G100" s="25">
        <v>331747.3</v>
      </c>
      <c r="H100" s="25">
        <v>10.63</v>
      </c>
      <c r="I100" s="31"/>
      <c r="J100" s="35"/>
    </row>
    <row r="101" spans="2:10" x14ac:dyDescent="0.25">
      <c r="C101" s="56"/>
      <c r="D101" s="53"/>
      <c r="E101" s="6"/>
      <c r="F101" s="19"/>
      <c r="G101" s="24"/>
      <c r="H101" s="24"/>
      <c r="I101" s="31"/>
      <c r="J101" s="35"/>
    </row>
    <row r="102" spans="2:10" x14ac:dyDescent="0.25">
      <c r="C102" s="59" t="s">
        <v>7</v>
      </c>
      <c r="D102" s="53"/>
      <c r="E102" s="6"/>
      <c r="F102" s="19"/>
      <c r="G102" s="24"/>
      <c r="H102" s="24"/>
      <c r="I102" s="31"/>
      <c r="J102" s="35"/>
    </row>
    <row r="103" spans="2:10" x14ac:dyDescent="0.25">
      <c r="B103" s="8" t="s">
        <v>621</v>
      </c>
      <c r="C103" s="56" t="s">
        <v>622</v>
      </c>
      <c r="D103" s="53" t="s">
        <v>623</v>
      </c>
      <c r="E103" s="6" t="s">
        <v>624</v>
      </c>
      <c r="F103" s="19">
        <v>2400</v>
      </c>
      <c r="G103" s="24">
        <v>1987.93</v>
      </c>
      <c r="H103" s="24">
        <v>0.06</v>
      </c>
      <c r="I103" s="31">
        <v>11.4246</v>
      </c>
      <c r="J103" s="35" t="s">
        <v>514</v>
      </c>
    </row>
    <row r="104" spans="2:10" x14ac:dyDescent="0.25">
      <c r="B104" s="8" t="s">
        <v>625</v>
      </c>
      <c r="C104" s="56" t="s">
        <v>626</v>
      </c>
      <c r="D104" s="53" t="s">
        <v>627</v>
      </c>
      <c r="E104" s="6" t="s">
        <v>624</v>
      </c>
      <c r="F104" s="19">
        <v>2400</v>
      </c>
      <c r="G104" s="24">
        <v>1987.93</v>
      </c>
      <c r="H104" s="24">
        <v>0.06</v>
      </c>
      <c r="I104" s="31">
        <v>11.4246</v>
      </c>
      <c r="J104" s="35" t="s">
        <v>514</v>
      </c>
    </row>
    <row r="105" spans="2:10" x14ac:dyDescent="0.25">
      <c r="B105" s="8" t="s">
        <v>628</v>
      </c>
      <c r="C105" s="56" t="s">
        <v>629</v>
      </c>
      <c r="D105" s="53" t="s">
        <v>630</v>
      </c>
      <c r="E105" s="6" t="s">
        <v>624</v>
      </c>
      <c r="F105" s="19">
        <v>2400</v>
      </c>
      <c r="G105" s="24">
        <v>1987.93</v>
      </c>
      <c r="H105" s="24">
        <v>0.06</v>
      </c>
      <c r="I105" s="31">
        <v>11.4246</v>
      </c>
      <c r="J105" s="35" t="s">
        <v>514</v>
      </c>
    </row>
    <row r="106" spans="2:10" x14ac:dyDescent="0.25">
      <c r="B106" s="8" t="s">
        <v>631</v>
      </c>
      <c r="C106" s="56" t="s">
        <v>632</v>
      </c>
      <c r="D106" s="53" t="s">
        <v>633</v>
      </c>
      <c r="E106" s="6" t="s">
        <v>624</v>
      </c>
      <c r="F106" s="19">
        <v>2400</v>
      </c>
      <c r="G106" s="24">
        <v>1987.93</v>
      </c>
      <c r="H106" s="24">
        <v>0.06</v>
      </c>
      <c r="I106" s="31">
        <v>11.4246</v>
      </c>
      <c r="J106" s="35" t="s">
        <v>514</v>
      </c>
    </row>
    <row r="107" spans="2:10" x14ac:dyDescent="0.25">
      <c r="B107" s="8" t="s">
        <v>634</v>
      </c>
      <c r="C107" s="56" t="s">
        <v>635</v>
      </c>
      <c r="D107" s="53" t="s">
        <v>636</v>
      </c>
      <c r="E107" s="6" t="s">
        <v>624</v>
      </c>
      <c r="F107" s="19">
        <v>2400</v>
      </c>
      <c r="G107" s="24">
        <v>1987.93</v>
      </c>
      <c r="H107" s="24">
        <v>0.06</v>
      </c>
      <c r="I107" s="31">
        <v>11.4246</v>
      </c>
      <c r="J107" s="35" t="s">
        <v>514</v>
      </c>
    </row>
    <row r="108" spans="2:10" x14ac:dyDescent="0.25">
      <c r="B108" s="8" t="s">
        <v>637</v>
      </c>
      <c r="C108" s="56" t="s">
        <v>638</v>
      </c>
      <c r="D108" s="53" t="s">
        <v>639</v>
      </c>
      <c r="E108" s="6" t="s">
        <v>624</v>
      </c>
      <c r="F108" s="19">
        <v>2400</v>
      </c>
      <c r="G108" s="24">
        <v>1987.93</v>
      </c>
      <c r="H108" s="24">
        <v>0.06</v>
      </c>
      <c r="I108" s="31">
        <v>11.4246</v>
      </c>
      <c r="J108" s="35" t="s">
        <v>514</v>
      </c>
    </row>
    <row r="109" spans="2:10" x14ac:dyDescent="0.25">
      <c r="B109" s="8" t="s">
        <v>640</v>
      </c>
      <c r="C109" s="56" t="s">
        <v>641</v>
      </c>
      <c r="D109" s="53" t="s">
        <v>642</v>
      </c>
      <c r="E109" s="6" t="s">
        <v>624</v>
      </c>
      <c r="F109" s="19">
        <v>2400</v>
      </c>
      <c r="G109" s="24">
        <v>1987.93</v>
      </c>
      <c r="H109" s="24">
        <v>0.06</v>
      </c>
      <c r="I109" s="31">
        <v>11.4246</v>
      </c>
      <c r="J109" s="35" t="s">
        <v>514</v>
      </c>
    </row>
    <row r="110" spans="2:10" x14ac:dyDescent="0.25">
      <c r="B110" s="8" t="s">
        <v>643</v>
      </c>
      <c r="C110" s="56" t="s">
        <v>644</v>
      </c>
      <c r="D110" s="53" t="s">
        <v>645</v>
      </c>
      <c r="E110" s="6" t="s">
        <v>624</v>
      </c>
      <c r="F110" s="19">
        <v>2400</v>
      </c>
      <c r="G110" s="24">
        <v>1987.93</v>
      </c>
      <c r="H110" s="24">
        <v>0.06</v>
      </c>
      <c r="I110" s="31">
        <v>11.4246</v>
      </c>
      <c r="J110" s="35" t="s">
        <v>514</v>
      </c>
    </row>
    <row r="111" spans="2:10" x14ac:dyDescent="0.25">
      <c r="B111" s="8" t="s">
        <v>646</v>
      </c>
      <c r="C111" s="56" t="s">
        <v>647</v>
      </c>
      <c r="D111" s="53" t="s">
        <v>648</v>
      </c>
      <c r="E111" s="6" t="s">
        <v>624</v>
      </c>
      <c r="F111" s="19">
        <v>2400</v>
      </c>
      <c r="G111" s="24">
        <v>1987.93</v>
      </c>
      <c r="H111" s="24">
        <v>0.06</v>
      </c>
      <c r="I111" s="31">
        <v>11.4246</v>
      </c>
      <c r="J111" s="35" t="s">
        <v>514</v>
      </c>
    </row>
    <row r="112" spans="2:10" x14ac:dyDescent="0.25">
      <c r="B112" s="8" t="s">
        <v>649</v>
      </c>
      <c r="C112" s="56" t="s">
        <v>650</v>
      </c>
      <c r="D112" s="53" t="s">
        <v>651</v>
      </c>
      <c r="E112" s="6" t="s">
        <v>624</v>
      </c>
      <c r="F112" s="19">
        <v>2400</v>
      </c>
      <c r="G112" s="24">
        <v>1987.93</v>
      </c>
      <c r="H112" s="24">
        <v>0.06</v>
      </c>
      <c r="I112" s="31">
        <v>11.4246</v>
      </c>
      <c r="J112" s="35" t="s">
        <v>514</v>
      </c>
    </row>
    <row r="113" spans="2:10" x14ac:dyDescent="0.25">
      <c r="C113" s="57" t="s">
        <v>35</v>
      </c>
      <c r="D113" s="53"/>
      <c r="E113" s="6"/>
      <c r="F113" s="19"/>
      <c r="G113" s="25">
        <v>19879.3</v>
      </c>
      <c r="H113" s="25">
        <v>0.6</v>
      </c>
      <c r="I113" s="31"/>
      <c r="J113" s="35"/>
    </row>
    <row r="114" spans="2:10" x14ac:dyDescent="0.25">
      <c r="C114" s="56"/>
      <c r="D114" s="53"/>
      <c r="E114" s="6"/>
      <c r="F114" s="19"/>
      <c r="G114" s="24"/>
      <c r="H114" s="24"/>
      <c r="I114" s="31"/>
      <c r="J114" s="35"/>
    </row>
    <row r="115" spans="2:10" x14ac:dyDescent="0.25">
      <c r="C115" s="57" t="s">
        <v>8</v>
      </c>
      <c r="D115" s="53"/>
      <c r="E115" s="6"/>
      <c r="F115" s="19"/>
      <c r="G115" s="24" t="s">
        <v>2</v>
      </c>
      <c r="H115" s="24" t="s">
        <v>2</v>
      </c>
      <c r="I115" s="31"/>
      <c r="J115" s="35"/>
    </row>
    <row r="116" spans="2:10" x14ac:dyDescent="0.25">
      <c r="C116" s="56"/>
      <c r="D116" s="53"/>
      <c r="E116" s="6"/>
      <c r="F116" s="19"/>
      <c r="G116" s="24"/>
      <c r="H116" s="24"/>
      <c r="I116" s="31"/>
      <c r="J116" s="35"/>
    </row>
    <row r="117" spans="2:10" x14ac:dyDescent="0.25">
      <c r="C117" s="59" t="s">
        <v>9</v>
      </c>
      <c r="D117" s="53"/>
      <c r="E117" s="6"/>
      <c r="F117" s="19"/>
      <c r="G117" s="24"/>
      <c r="H117" s="24"/>
      <c r="I117" s="31"/>
      <c r="J117" s="35"/>
    </row>
    <row r="118" spans="2:10" x14ac:dyDescent="0.25">
      <c r="B118" s="8" t="s">
        <v>652</v>
      </c>
      <c r="C118" s="56" t="s">
        <v>653</v>
      </c>
      <c r="D118" s="53" t="s">
        <v>654</v>
      </c>
      <c r="E118" s="6" t="s">
        <v>655</v>
      </c>
      <c r="F118" s="19">
        <v>115500000</v>
      </c>
      <c r="G118" s="24">
        <v>113393.51</v>
      </c>
      <c r="H118" s="24">
        <v>3.63</v>
      </c>
      <c r="I118" s="31">
        <v>6.3890000000000002</v>
      </c>
      <c r="J118" s="35"/>
    </row>
    <row r="119" spans="2:10" x14ac:dyDescent="0.25">
      <c r="B119" s="8" t="s">
        <v>656</v>
      </c>
      <c r="C119" s="56" t="s">
        <v>657</v>
      </c>
      <c r="D119" s="53" t="s">
        <v>658</v>
      </c>
      <c r="E119" s="6" t="s">
        <v>655</v>
      </c>
      <c r="F119" s="19">
        <v>70000000</v>
      </c>
      <c r="G119" s="24">
        <v>76610.59</v>
      </c>
      <c r="H119" s="24">
        <v>2.4500000000000002</v>
      </c>
      <c r="I119" s="31">
        <v>6.4672999999999998</v>
      </c>
      <c r="J119" s="35"/>
    </row>
    <row r="120" spans="2:10" x14ac:dyDescent="0.25">
      <c r="B120" s="8" t="s">
        <v>659</v>
      </c>
      <c r="C120" s="56" t="s">
        <v>660</v>
      </c>
      <c r="D120" s="53" t="s">
        <v>661</v>
      </c>
      <c r="E120" s="6" t="s">
        <v>655</v>
      </c>
      <c r="F120" s="19">
        <v>68000000</v>
      </c>
      <c r="G120" s="24">
        <v>72206.960000000006</v>
      </c>
      <c r="H120" s="24">
        <v>2.31</v>
      </c>
      <c r="I120" s="31">
        <v>6.1013000000000002</v>
      </c>
      <c r="J120" s="35"/>
    </row>
    <row r="121" spans="2:10" x14ac:dyDescent="0.25">
      <c r="B121" s="8" t="s">
        <v>662</v>
      </c>
      <c r="C121" s="56" t="s">
        <v>663</v>
      </c>
      <c r="D121" s="53" t="s">
        <v>664</v>
      </c>
      <c r="E121" s="6" t="s">
        <v>655</v>
      </c>
      <c r="F121" s="19">
        <v>70481500</v>
      </c>
      <c r="G121" s="24">
        <v>69375.289999999994</v>
      </c>
      <c r="H121" s="24">
        <v>2.2200000000000002</v>
      </c>
      <c r="I121" s="31">
        <v>6.0063000000000004</v>
      </c>
      <c r="J121" s="35"/>
    </row>
    <row r="122" spans="2:10" x14ac:dyDescent="0.25">
      <c r="B122" s="8" t="s">
        <v>665</v>
      </c>
      <c r="C122" s="56" t="s">
        <v>666</v>
      </c>
      <c r="D122" s="53" t="s">
        <v>667</v>
      </c>
      <c r="E122" s="6" t="s">
        <v>655</v>
      </c>
      <c r="F122" s="19">
        <v>22000000</v>
      </c>
      <c r="G122" s="24">
        <v>22480.39</v>
      </c>
      <c r="H122" s="24">
        <v>0.72</v>
      </c>
      <c r="I122" s="31">
        <v>6.1308999999999996</v>
      </c>
      <c r="J122" s="35"/>
    </row>
    <row r="123" spans="2:10" x14ac:dyDescent="0.25">
      <c r="B123" s="8" t="s">
        <v>668</v>
      </c>
      <c r="C123" s="56" t="s">
        <v>669</v>
      </c>
      <c r="D123" s="53" t="s">
        <v>670</v>
      </c>
      <c r="E123" s="6" t="s">
        <v>655</v>
      </c>
      <c r="F123" s="19">
        <v>20970000</v>
      </c>
      <c r="G123" s="24">
        <v>22403.7</v>
      </c>
      <c r="H123" s="24">
        <v>0.72</v>
      </c>
      <c r="I123" s="31">
        <v>6.1906999999999996</v>
      </c>
      <c r="J123" s="35"/>
    </row>
    <row r="124" spans="2:10" x14ac:dyDescent="0.25">
      <c r="B124" s="8" t="s">
        <v>671</v>
      </c>
      <c r="C124" s="56" t="s">
        <v>672</v>
      </c>
      <c r="D124" s="53" t="s">
        <v>673</v>
      </c>
      <c r="E124" s="6" t="s">
        <v>655</v>
      </c>
      <c r="F124" s="19">
        <v>15882570</v>
      </c>
      <c r="G124" s="24">
        <v>15597.08</v>
      </c>
      <c r="H124" s="24">
        <v>0.5</v>
      </c>
      <c r="I124" s="31">
        <v>6.0133999999999999</v>
      </c>
      <c r="J124" s="35"/>
    </row>
    <row r="125" spans="2:10" x14ac:dyDescent="0.25">
      <c r="B125" s="8" t="s">
        <v>674</v>
      </c>
      <c r="C125" s="56" t="s">
        <v>675</v>
      </c>
      <c r="D125" s="53" t="s">
        <v>676</v>
      </c>
      <c r="E125" s="6" t="s">
        <v>655</v>
      </c>
      <c r="F125" s="19">
        <v>8850000</v>
      </c>
      <c r="G125" s="24">
        <v>9184.4599999999991</v>
      </c>
      <c r="H125" s="24">
        <v>0.28999999999999998</v>
      </c>
      <c r="I125" s="31">
        <v>6.2435</v>
      </c>
      <c r="J125" s="35"/>
    </row>
    <row r="126" spans="2:10" x14ac:dyDescent="0.25">
      <c r="C126" s="57" t="s">
        <v>35</v>
      </c>
      <c r="D126" s="53"/>
      <c r="E126" s="6"/>
      <c r="F126" s="19"/>
      <c r="G126" s="25">
        <v>401251.98</v>
      </c>
      <c r="H126" s="25">
        <v>12.84</v>
      </c>
      <c r="I126" s="31"/>
      <c r="J126" s="35"/>
    </row>
    <row r="127" spans="2:10" x14ac:dyDescent="0.25">
      <c r="C127" s="56"/>
      <c r="D127" s="53"/>
      <c r="E127" s="6"/>
      <c r="F127" s="19"/>
      <c r="G127" s="24"/>
      <c r="H127" s="24"/>
      <c r="I127" s="31"/>
      <c r="J127" s="35"/>
    </row>
    <row r="128" spans="2:10" x14ac:dyDescent="0.25">
      <c r="C128" s="57" t="s">
        <v>10</v>
      </c>
      <c r="D128" s="53"/>
      <c r="E128" s="6"/>
      <c r="F128" s="19"/>
      <c r="G128" s="24" t="s">
        <v>2</v>
      </c>
      <c r="H128" s="24" t="s">
        <v>2</v>
      </c>
      <c r="I128" s="31"/>
      <c r="J128" s="35"/>
    </row>
    <row r="129" spans="1:10" x14ac:dyDescent="0.25">
      <c r="C129" s="56"/>
      <c r="D129" s="53"/>
      <c r="E129" s="6"/>
      <c r="F129" s="19"/>
      <c r="G129" s="24"/>
      <c r="H129" s="24"/>
      <c r="I129" s="31"/>
      <c r="J129" s="35"/>
    </row>
    <row r="130" spans="1:10" x14ac:dyDescent="0.25">
      <c r="C130" s="57" t="s">
        <v>11</v>
      </c>
      <c r="D130" s="53"/>
      <c r="E130" s="6"/>
      <c r="F130" s="19"/>
      <c r="G130" s="24"/>
      <c r="H130" s="24"/>
      <c r="I130" s="31"/>
      <c r="J130" s="35"/>
    </row>
    <row r="131" spans="1:10" x14ac:dyDescent="0.25">
      <c r="C131" s="56"/>
      <c r="D131" s="53"/>
      <c r="E131" s="6"/>
      <c r="F131" s="19"/>
      <c r="G131" s="24"/>
      <c r="H131" s="24"/>
      <c r="I131" s="31"/>
      <c r="J131" s="35"/>
    </row>
    <row r="132" spans="1:10" x14ac:dyDescent="0.25">
      <c r="C132" s="57" t="s">
        <v>13</v>
      </c>
      <c r="D132" s="53"/>
      <c r="E132" s="6"/>
      <c r="F132" s="19"/>
      <c r="G132" s="24" t="s">
        <v>2</v>
      </c>
      <c r="H132" s="24" t="s">
        <v>2</v>
      </c>
      <c r="I132" s="31"/>
      <c r="J132" s="35"/>
    </row>
    <row r="133" spans="1:10" x14ac:dyDescent="0.25">
      <c r="C133" s="56"/>
      <c r="D133" s="53"/>
      <c r="E133" s="6"/>
      <c r="F133" s="19"/>
      <c r="G133" s="24"/>
      <c r="H133" s="24"/>
      <c r="I133" s="31"/>
      <c r="J133" s="35"/>
    </row>
    <row r="134" spans="1:10" x14ac:dyDescent="0.25">
      <c r="C134" s="57" t="s">
        <v>14</v>
      </c>
      <c r="D134" s="53"/>
      <c r="E134" s="6"/>
      <c r="F134" s="19"/>
      <c r="G134" s="24" t="s">
        <v>2</v>
      </c>
      <c r="H134" s="24" t="s">
        <v>2</v>
      </c>
      <c r="I134" s="31"/>
      <c r="J134" s="35"/>
    </row>
    <row r="135" spans="1:10" x14ac:dyDescent="0.25">
      <c r="C135" s="56"/>
      <c r="D135" s="53"/>
      <c r="E135" s="6"/>
      <c r="F135" s="19"/>
      <c r="G135" s="24"/>
      <c r="H135" s="24"/>
      <c r="I135" s="31"/>
      <c r="J135" s="35"/>
    </row>
    <row r="136" spans="1:10" x14ac:dyDescent="0.25">
      <c r="C136" s="57" t="s">
        <v>15</v>
      </c>
      <c r="D136" s="53"/>
      <c r="E136" s="6"/>
      <c r="F136" s="19"/>
      <c r="G136" s="24" t="s">
        <v>2</v>
      </c>
      <c r="H136" s="24" t="s">
        <v>2</v>
      </c>
      <c r="I136" s="31"/>
      <c r="J136" s="35"/>
    </row>
    <row r="137" spans="1:10" x14ac:dyDescent="0.25">
      <c r="C137" s="56"/>
      <c r="D137" s="53"/>
      <c r="E137" s="6"/>
      <c r="F137" s="19"/>
      <c r="G137" s="24"/>
      <c r="H137" s="24"/>
      <c r="I137" s="31"/>
      <c r="J137" s="35"/>
    </row>
    <row r="138" spans="1:10" x14ac:dyDescent="0.25">
      <c r="C138" s="57" t="s">
        <v>16</v>
      </c>
      <c r="D138" s="53"/>
      <c r="E138" s="6"/>
      <c r="F138" s="19"/>
      <c r="G138" s="24" t="s">
        <v>2</v>
      </c>
      <c r="H138" s="24" t="s">
        <v>2</v>
      </c>
      <c r="I138" s="31"/>
      <c r="J138" s="35"/>
    </row>
    <row r="139" spans="1:10" x14ac:dyDescent="0.25">
      <c r="C139" s="56"/>
      <c r="D139" s="53"/>
      <c r="E139" s="6"/>
      <c r="F139" s="19"/>
      <c r="G139" s="24"/>
      <c r="H139" s="24"/>
      <c r="I139" s="31"/>
      <c r="J139" s="35"/>
    </row>
    <row r="140" spans="1:10" x14ac:dyDescent="0.25">
      <c r="A140" s="10"/>
      <c r="B140" s="28"/>
      <c r="C140" s="58" t="s">
        <v>17</v>
      </c>
      <c r="D140" s="53"/>
      <c r="E140" s="6"/>
      <c r="F140" s="19"/>
      <c r="G140" s="24"/>
      <c r="H140" s="24"/>
      <c r="I140" s="31"/>
      <c r="J140" s="35"/>
    </row>
    <row r="141" spans="1:10" x14ac:dyDescent="0.25">
      <c r="A141" s="28"/>
      <c r="B141" s="28"/>
      <c r="C141" s="58" t="s">
        <v>18</v>
      </c>
      <c r="D141" s="53"/>
      <c r="E141" s="6"/>
      <c r="F141" s="19"/>
      <c r="G141" s="24" t="s">
        <v>2</v>
      </c>
      <c r="H141" s="24" t="s">
        <v>2</v>
      </c>
      <c r="I141" s="31"/>
      <c r="J141" s="35"/>
    </row>
    <row r="142" spans="1:10" x14ac:dyDescent="0.25">
      <c r="A142" s="28"/>
      <c r="B142" s="28"/>
      <c r="C142" s="58"/>
      <c r="D142" s="53"/>
      <c r="E142" s="6"/>
      <c r="F142" s="19"/>
      <c r="G142" s="24"/>
      <c r="H142" s="24"/>
      <c r="I142" s="31"/>
      <c r="J142" s="35"/>
    </row>
    <row r="143" spans="1:10" x14ac:dyDescent="0.25">
      <c r="A143" s="28"/>
      <c r="B143" s="28"/>
      <c r="C143" s="58" t="s">
        <v>19</v>
      </c>
      <c r="D143" s="53"/>
      <c r="E143" s="6"/>
      <c r="F143" s="19"/>
      <c r="G143" s="24" t="s">
        <v>2</v>
      </c>
      <c r="H143" s="24" t="s">
        <v>2</v>
      </c>
      <c r="I143" s="31"/>
      <c r="J143" s="35"/>
    </row>
    <row r="144" spans="1:10" x14ac:dyDescent="0.25">
      <c r="A144" s="28"/>
      <c r="B144" s="28"/>
      <c r="C144" s="58"/>
      <c r="D144" s="53"/>
      <c r="E144" s="6"/>
      <c r="F144" s="19"/>
      <c r="G144" s="24"/>
      <c r="H144" s="24"/>
      <c r="I144" s="31"/>
      <c r="J144" s="35"/>
    </row>
    <row r="145" spans="1:10" x14ac:dyDescent="0.25">
      <c r="A145" s="28"/>
      <c r="B145" s="28"/>
      <c r="C145" s="58" t="s">
        <v>20</v>
      </c>
      <c r="D145" s="53"/>
      <c r="E145" s="6"/>
      <c r="F145" s="19"/>
      <c r="G145" s="24" t="s">
        <v>2</v>
      </c>
      <c r="H145" s="24" t="s">
        <v>2</v>
      </c>
      <c r="I145" s="31"/>
      <c r="J145" s="35"/>
    </row>
    <row r="146" spans="1:10" x14ac:dyDescent="0.25">
      <c r="A146" s="28"/>
      <c r="B146" s="28"/>
      <c r="C146" s="58"/>
      <c r="D146" s="53"/>
      <c r="E146" s="6"/>
      <c r="F146" s="19"/>
      <c r="G146" s="24"/>
      <c r="H146" s="24"/>
      <c r="I146" s="31"/>
      <c r="J146" s="35"/>
    </row>
    <row r="147" spans="1:10" x14ac:dyDescent="0.25">
      <c r="C147" s="59" t="s">
        <v>21</v>
      </c>
      <c r="D147" s="53"/>
      <c r="E147" s="6"/>
      <c r="F147" s="19"/>
      <c r="G147" s="24"/>
      <c r="H147" s="24"/>
      <c r="I147" s="31"/>
      <c r="J147" s="35"/>
    </row>
    <row r="148" spans="1:10" x14ac:dyDescent="0.25">
      <c r="B148" s="8" t="s">
        <v>677</v>
      </c>
      <c r="C148" s="56" t="s">
        <v>678</v>
      </c>
      <c r="D148" s="53"/>
      <c r="E148" s="6"/>
      <c r="F148" s="19"/>
      <c r="G148" s="24">
        <v>5000</v>
      </c>
      <c r="H148" s="24">
        <v>0.16</v>
      </c>
      <c r="I148" s="31"/>
      <c r="J148" s="35"/>
    </row>
    <row r="149" spans="1:10" x14ac:dyDescent="0.25">
      <c r="C149" s="57" t="s">
        <v>35</v>
      </c>
      <c r="D149" s="53"/>
      <c r="E149" s="6"/>
      <c r="F149" s="19"/>
      <c r="G149" s="25">
        <v>5000</v>
      </c>
      <c r="H149" s="25">
        <v>0.16</v>
      </c>
      <c r="I149" s="31"/>
      <c r="J149" s="35"/>
    </row>
    <row r="150" spans="1:10" x14ac:dyDescent="0.25">
      <c r="C150" s="56"/>
      <c r="D150" s="53"/>
      <c r="E150" s="6"/>
      <c r="F150" s="19"/>
      <c r="G150" s="24"/>
      <c r="H150" s="24"/>
      <c r="I150" s="31"/>
      <c r="J150" s="35"/>
    </row>
    <row r="151" spans="1:10" x14ac:dyDescent="0.25">
      <c r="C151" s="59" t="s">
        <v>22</v>
      </c>
      <c r="D151" s="53"/>
      <c r="E151" s="6"/>
      <c r="F151" s="19"/>
      <c r="G151" s="24"/>
      <c r="H151" s="24"/>
      <c r="I151" s="31"/>
      <c r="J151" s="35"/>
    </row>
    <row r="152" spans="1:10" x14ac:dyDescent="0.25">
      <c r="B152" s="8" t="s">
        <v>33</v>
      </c>
      <c r="C152" s="56" t="s">
        <v>34</v>
      </c>
      <c r="D152" s="53"/>
      <c r="E152" s="6"/>
      <c r="F152" s="19"/>
      <c r="G152" s="24">
        <v>83199.86</v>
      </c>
      <c r="H152" s="24">
        <v>2.66</v>
      </c>
      <c r="I152" s="31"/>
      <c r="J152" s="35"/>
    </row>
    <row r="153" spans="1:10" x14ac:dyDescent="0.25">
      <c r="C153" s="57" t="s">
        <v>35</v>
      </c>
      <c r="D153" s="53"/>
      <c r="E153" s="6"/>
      <c r="F153" s="19"/>
      <c r="G153" s="25">
        <v>83199.86</v>
      </c>
      <c r="H153" s="25">
        <v>2.66</v>
      </c>
      <c r="I153" s="31"/>
      <c r="J153" s="35"/>
    </row>
    <row r="154" spans="1:10" x14ac:dyDescent="0.25">
      <c r="C154" s="56"/>
      <c r="D154" s="53"/>
      <c r="E154" s="6"/>
      <c r="F154" s="19"/>
      <c r="G154" s="24"/>
      <c r="H154" s="24"/>
      <c r="I154" s="31"/>
      <c r="J154" s="35"/>
    </row>
    <row r="155" spans="1:10" x14ac:dyDescent="0.25">
      <c r="A155" s="10"/>
      <c r="B155" s="28"/>
      <c r="C155" s="58" t="s">
        <v>23</v>
      </c>
      <c r="D155" s="53"/>
      <c r="E155" s="6"/>
      <c r="F155" s="19"/>
      <c r="G155" s="24"/>
      <c r="H155" s="24"/>
      <c r="I155" s="31"/>
      <c r="J155" s="35"/>
    </row>
    <row r="156" spans="1:10" x14ac:dyDescent="0.25">
      <c r="A156" s="28"/>
      <c r="B156" s="28"/>
      <c r="C156" s="60" t="s">
        <v>3398</v>
      </c>
      <c r="D156" s="53"/>
      <c r="E156" s="6"/>
      <c r="F156" s="19"/>
      <c r="G156" s="24">
        <v>33350</v>
      </c>
      <c r="H156" s="24">
        <v>1.07</v>
      </c>
      <c r="I156" s="31"/>
      <c r="J156" s="35"/>
    </row>
    <row r="157" spans="1:10" x14ac:dyDescent="0.25">
      <c r="B157" s="8"/>
      <c r="C157" s="56" t="s">
        <v>36</v>
      </c>
      <c r="D157" s="53"/>
      <c r="E157" s="6"/>
      <c r="F157" s="19"/>
      <c r="G157" s="24">
        <v>12796.279999999999</v>
      </c>
      <c r="H157" s="24">
        <v>0.4499999999999999</v>
      </c>
      <c r="I157" s="31"/>
      <c r="J157" s="35"/>
    </row>
    <row r="158" spans="1:10" x14ac:dyDescent="0.25">
      <c r="C158" s="57" t="s">
        <v>35</v>
      </c>
      <c r="D158" s="53"/>
      <c r="E158" s="6"/>
      <c r="F158" s="19"/>
      <c r="G158" s="25">
        <v>46146.28</v>
      </c>
      <c r="H158" s="25">
        <v>1.52</v>
      </c>
      <c r="I158" s="31"/>
      <c r="J158" s="35"/>
    </row>
    <row r="159" spans="1:10" x14ac:dyDescent="0.25">
      <c r="C159" s="56"/>
      <c r="D159" s="53"/>
      <c r="E159" s="6"/>
      <c r="F159" s="19"/>
      <c r="G159" s="24"/>
      <c r="H159" s="24"/>
      <c r="I159" s="31"/>
      <c r="J159" s="35"/>
    </row>
    <row r="160" spans="1:10" x14ac:dyDescent="0.25">
      <c r="C160" s="61" t="s">
        <v>37</v>
      </c>
      <c r="D160" s="54"/>
      <c r="E160" s="5"/>
      <c r="F160" s="20"/>
      <c r="G160" s="26">
        <v>3122551.23</v>
      </c>
      <c r="H160" s="26">
        <f>SUMIFS(H:H,C:C,"Total")</f>
        <v>99.999999999999986</v>
      </c>
      <c r="I160" s="32"/>
      <c r="J160" s="36"/>
    </row>
    <row r="162" spans="2:10" s="49" customFormat="1" ht="15.75" x14ac:dyDescent="0.3">
      <c r="C162" s="49" t="s">
        <v>3323</v>
      </c>
      <c r="F162" s="50"/>
      <c r="G162" s="50"/>
      <c r="H162" s="50"/>
    </row>
    <row r="163" spans="2:10" s="41" customFormat="1" ht="27" x14ac:dyDescent="0.25">
      <c r="B163" s="42"/>
      <c r="C163" s="42" t="s">
        <v>3318</v>
      </c>
      <c r="D163" s="42" t="s">
        <v>3319</v>
      </c>
      <c r="E163" s="42" t="s">
        <v>3320</v>
      </c>
      <c r="F163" s="43" t="s">
        <v>28</v>
      </c>
      <c r="G163" s="44" t="s">
        <v>3321</v>
      </c>
      <c r="H163" s="43" t="s">
        <v>30</v>
      </c>
      <c r="I163" s="42" t="s">
        <v>32</v>
      </c>
    </row>
    <row r="164" spans="2:10" s="41" customFormat="1" x14ac:dyDescent="0.25">
      <c r="B164" s="42"/>
      <c r="C164" s="42" t="s">
        <v>3313</v>
      </c>
      <c r="D164" s="42"/>
      <c r="E164" s="42"/>
      <c r="F164" s="43"/>
      <c r="G164" s="44"/>
      <c r="H164" s="43"/>
      <c r="I164" s="42"/>
    </row>
    <row r="165" spans="2:10" x14ac:dyDescent="0.25">
      <c r="B165" s="45">
        <v>2209333</v>
      </c>
      <c r="C165" s="45" t="s">
        <v>3315</v>
      </c>
      <c r="D165" s="45" t="s">
        <v>3316</v>
      </c>
      <c r="E165" s="45" t="s">
        <v>47</v>
      </c>
      <c r="F165" s="46">
        <v>1050000</v>
      </c>
      <c r="G165" s="46">
        <v>26060.474999999999</v>
      </c>
      <c r="H165" s="46">
        <v>0.83</v>
      </c>
      <c r="I165" s="45"/>
      <c r="J165" s="2"/>
    </row>
    <row r="166" spans="2:10" x14ac:dyDescent="0.25">
      <c r="B166" s="45">
        <v>2209319</v>
      </c>
      <c r="C166" s="45" t="s">
        <v>3327</v>
      </c>
      <c r="D166" s="45" t="s">
        <v>3316</v>
      </c>
      <c r="E166" s="45" t="s">
        <v>55</v>
      </c>
      <c r="F166" s="46">
        <v>1124635</v>
      </c>
      <c r="G166" s="46">
        <v>25194.635587500001</v>
      </c>
      <c r="H166" s="46">
        <v>0.81</v>
      </c>
      <c r="I166" s="45"/>
      <c r="J166" s="2"/>
    </row>
    <row r="167" spans="2:10" x14ac:dyDescent="0.25">
      <c r="B167" s="45">
        <v>2209289</v>
      </c>
      <c r="C167" s="45" t="s">
        <v>3326</v>
      </c>
      <c r="D167" s="45" t="s">
        <v>3316</v>
      </c>
      <c r="E167" s="45" t="s">
        <v>111</v>
      </c>
      <c r="F167" s="46">
        <v>1773950</v>
      </c>
      <c r="G167" s="46">
        <v>17927.538700000001</v>
      </c>
      <c r="H167" s="46">
        <v>0.56999999999999995</v>
      </c>
      <c r="I167" s="45"/>
      <c r="J167" s="2"/>
    </row>
    <row r="168" spans="2:10" s="1" customFormat="1" x14ac:dyDescent="0.25">
      <c r="B168" s="47"/>
      <c r="C168" s="47" t="s">
        <v>3322</v>
      </c>
      <c r="D168" s="47"/>
      <c r="E168" s="47"/>
      <c r="F168" s="48"/>
      <c r="G168" s="48">
        <f>SUM(G164:G167)</f>
        <v>69182.649287499997</v>
      </c>
      <c r="H168" s="48">
        <f>SUM(H164:H167)</f>
        <v>2.21</v>
      </c>
      <c r="I168" s="47"/>
    </row>
    <row r="170" spans="2:10" x14ac:dyDescent="0.25">
      <c r="C170" s="1" t="s">
        <v>38</v>
      </c>
    </row>
    <row r="171" spans="2:10" x14ac:dyDescent="0.25">
      <c r="C171" s="2" t="s">
        <v>39</v>
      </c>
    </row>
    <row r="172" spans="2:10" x14ac:dyDescent="0.25">
      <c r="C172" s="2" t="s">
        <v>40</v>
      </c>
    </row>
    <row r="173" spans="2:10" x14ac:dyDescent="0.25">
      <c r="C173" s="2" t="s">
        <v>3430</v>
      </c>
    </row>
    <row r="174" spans="2:10" x14ac:dyDescent="0.25">
      <c r="C174" s="105" t="s">
        <v>3409</v>
      </c>
      <c r="D174" s="105"/>
      <c r="E174" s="105"/>
      <c r="F174" s="105"/>
      <c r="G174" s="106"/>
    </row>
    <row r="175" spans="2:10" ht="76.5" x14ac:dyDescent="0.25">
      <c r="C175" s="107" t="s">
        <v>3410</v>
      </c>
      <c r="D175" s="107" t="s">
        <v>27</v>
      </c>
      <c r="E175" s="107" t="s">
        <v>3411</v>
      </c>
      <c r="F175" s="107" t="s">
        <v>3412</v>
      </c>
      <c r="G175" s="108" t="s">
        <v>3413</v>
      </c>
    </row>
    <row r="176" spans="2:10" ht="15" x14ac:dyDescent="0.25">
      <c r="C176" s="109" t="s">
        <v>3414</v>
      </c>
      <c r="D176" s="109" t="s">
        <v>3415</v>
      </c>
      <c r="E176" s="110">
        <v>0</v>
      </c>
      <c r="F176" s="111">
        <v>0</v>
      </c>
      <c r="G176" s="110">
        <v>10870</v>
      </c>
    </row>
  </sheetData>
  <sortState ref="A165:J167">
    <sortCondition descending="1" ref="H165:H167"/>
  </sortState>
  <hyperlinks>
    <hyperlink ref="J2" location="'Index'!A1" display="'Index'!A1"/>
  </hyperlinks>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J81"/>
  <sheetViews>
    <sheetView showGridLines="0" zoomScale="90" zoomScaleNormal="90" workbookViewId="0">
      <pane ySplit="6" topLeftCell="A81" activePane="bottomLeft" state="frozen"/>
      <selection pane="bottomLeft" activeCell="A95" sqref="A95"/>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679</v>
      </c>
      <c r="J2" s="37" t="s">
        <v>3307</v>
      </c>
    </row>
    <row r="3" spans="1:10" ht="16.5" x14ac:dyDescent="0.3">
      <c r="C3" s="1" t="s">
        <v>24</v>
      </c>
      <c r="D3" s="21" t="s">
        <v>680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565</v>
      </c>
      <c r="C18" s="56" t="s">
        <v>549</v>
      </c>
      <c r="D18" s="53" t="s">
        <v>566</v>
      </c>
      <c r="E18" s="6" t="s">
        <v>551</v>
      </c>
      <c r="F18" s="19">
        <v>930</v>
      </c>
      <c r="G18" s="24">
        <v>10113.9</v>
      </c>
      <c r="H18" s="24">
        <v>6.66</v>
      </c>
      <c r="I18" s="31">
        <v>7.8384999999999998</v>
      </c>
      <c r="J18" s="35" t="s">
        <v>514</v>
      </c>
    </row>
    <row r="19" spans="2:10" x14ac:dyDescent="0.25">
      <c r="B19" s="8" t="s">
        <v>511</v>
      </c>
      <c r="C19" s="56" t="s">
        <v>3428</v>
      </c>
      <c r="D19" s="53" t="s">
        <v>512</v>
      </c>
      <c r="E19" s="6" t="s">
        <v>513</v>
      </c>
      <c r="F19" s="19">
        <v>650</v>
      </c>
      <c r="G19" s="24">
        <v>7097.84</v>
      </c>
      <c r="H19" s="24">
        <v>4.67</v>
      </c>
      <c r="I19" s="31">
        <v>6.9349999999999996</v>
      </c>
      <c r="J19" s="35" t="s">
        <v>514</v>
      </c>
    </row>
    <row r="20" spans="2:10" x14ac:dyDescent="0.25">
      <c r="B20" s="8" t="s">
        <v>531</v>
      </c>
      <c r="C20" s="56" t="s">
        <v>532</v>
      </c>
      <c r="D20" s="53" t="s">
        <v>533</v>
      </c>
      <c r="E20" s="6" t="s">
        <v>534</v>
      </c>
      <c r="F20" s="19">
        <v>600</v>
      </c>
      <c r="G20" s="24">
        <v>7005.5</v>
      </c>
      <c r="H20" s="24">
        <v>4.6100000000000003</v>
      </c>
      <c r="I20" s="31">
        <v>6.7321999999999997</v>
      </c>
      <c r="J20" s="35" t="s">
        <v>514</v>
      </c>
    </row>
    <row r="21" spans="2:10" x14ac:dyDescent="0.25">
      <c r="B21" s="8" t="s">
        <v>682</v>
      </c>
      <c r="C21" s="56" t="s">
        <v>683</v>
      </c>
      <c r="D21" s="53" t="s">
        <v>684</v>
      </c>
      <c r="E21" s="6" t="s">
        <v>685</v>
      </c>
      <c r="F21" s="19">
        <v>600</v>
      </c>
      <c r="G21" s="24">
        <v>6169.79</v>
      </c>
      <c r="H21" s="24">
        <v>4.0599999999999996</v>
      </c>
      <c r="I21" s="31">
        <v>7.375</v>
      </c>
      <c r="J21" s="35" t="s">
        <v>514</v>
      </c>
    </row>
    <row r="22" spans="2:10" x14ac:dyDescent="0.25">
      <c r="B22" s="8" t="s">
        <v>686</v>
      </c>
      <c r="C22" s="56" t="s">
        <v>687</v>
      </c>
      <c r="D22" s="53" t="s">
        <v>688</v>
      </c>
      <c r="E22" s="6" t="s">
        <v>689</v>
      </c>
      <c r="F22" s="19">
        <v>600</v>
      </c>
      <c r="G22" s="24">
        <v>5961.23</v>
      </c>
      <c r="H22" s="24">
        <v>3.92</v>
      </c>
      <c r="I22" s="31">
        <v>8.9672999999999998</v>
      </c>
      <c r="J22" s="35" t="s">
        <v>514</v>
      </c>
    </row>
    <row r="23" spans="2:10" x14ac:dyDescent="0.25">
      <c r="B23" s="8" t="s">
        <v>690</v>
      </c>
      <c r="C23" s="56" t="s">
        <v>691</v>
      </c>
      <c r="D23" s="53" t="s">
        <v>692</v>
      </c>
      <c r="E23" s="6" t="s">
        <v>693</v>
      </c>
      <c r="F23" s="19">
        <v>500</v>
      </c>
      <c r="G23" s="24">
        <v>5044.75</v>
      </c>
      <c r="H23" s="24">
        <v>3.32</v>
      </c>
      <c r="I23" s="31">
        <v>7.6753999999999998</v>
      </c>
      <c r="J23" s="35" t="s">
        <v>514</v>
      </c>
    </row>
    <row r="24" spans="2:10" x14ac:dyDescent="0.25">
      <c r="B24" s="8" t="s">
        <v>694</v>
      </c>
      <c r="C24" s="56" t="s">
        <v>555</v>
      </c>
      <c r="D24" s="53" t="s">
        <v>695</v>
      </c>
      <c r="E24" s="6" t="s">
        <v>557</v>
      </c>
      <c r="F24" s="19">
        <v>500</v>
      </c>
      <c r="G24" s="24">
        <v>4994.24</v>
      </c>
      <c r="H24" s="24">
        <v>3.29</v>
      </c>
      <c r="I24" s="31">
        <v>8.2325999999999997</v>
      </c>
      <c r="J24" s="35" t="s">
        <v>514</v>
      </c>
    </row>
    <row r="25" spans="2:10" x14ac:dyDescent="0.25">
      <c r="B25" s="8" t="s">
        <v>617</v>
      </c>
      <c r="C25" s="56" t="s">
        <v>524</v>
      </c>
      <c r="D25" s="53" t="s">
        <v>618</v>
      </c>
      <c r="E25" s="6" t="s">
        <v>526</v>
      </c>
      <c r="F25" s="19">
        <v>400</v>
      </c>
      <c r="G25" s="24">
        <v>4161.26</v>
      </c>
      <c r="H25" s="24">
        <v>2.74</v>
      </c>
      <c r="I25" s="31">
        <v>6.9198000000000004</v>
      </c>
      <c r="J25" s="35" t="s">
        <v>514</v>
      </c>
    </row>
    <row r="26" spans="2:10" x14ac:dyDescent="0.25">
      <c r="B26" s="8" t="s">
        <v>613</v>
      </c>
      <c r="C26" s="56" t="s">
        <v>614</v>
      </c>
      <c r="D26" s="53" t="s">
        <v>615</v>
      </c>
      <c r="E26" s="6" t="s">
        <v>616</v>
      </c>
      <c r="F26" s="19">
        <v>400</v>
      </c>
      <c r="G26" s="24">
        <v>3961.75</v>
      </c>
      <c r="H26" s="24">
        <v>2.61</v>
      </c>
      <c r="I26" s="31">
        <v>11.324999999999999</v>
      </c>
      <c r="J26" s="35" t="s">
        <v>514</v>
      </c>
    </row>
    <row r="27" spans="2:10" x14ac:dyDescent="0.25">
      <c r="B27" s="8" t="s">
        <v>581</v>
      </c>
      <c r="C27" s="56" t="s">
        <v>528</v>
      </c>
      <c r="D27" s="53" t="s">
        <v>582</v>
      </c>
      <c r="E27" s="6" t="s">
        <v>530</v>
      </c>
      <c r="F27" s="19">
        <v>340</v>
      </c>
      <c r="G27" s="24">
        <v>3915.49</v>
      </c>
      <c r="H27" s="24">
        <v>2.58</v>
      </c>
      <c r="I27" s="31">
        <v>8.4656000000000002</v>
      </c>
      <c r="J27" s="35" t="s">
        <v>514</v>
      </c>
    </row>
    <row r="28" spans="2:10" x14ac:dyDescent="0.25">
      <c r="B28" s="8" t="s">
        <v>538</v>
      </c>
      <c r="C28" s="56" t="s">
        <v>539</v>
      </c>
      <c r="D28" s="53" t="s">
        <v>540</v>
      </c>
      <c r="E28" s="6" t="s">
        <v>541</v>
      </c>
      <c r="F28" s="19">
        <v>350</v>
      </c>
      <c r="G28" s="24">
        <v>3640.09</v>
      </c>
      <c r="H28" s="24">
        <v>2.4</v>
      </c>
      <c r="I28" s="31">
        <v>7.6</v>
      </c>
      <c r="J28" s="35" t="s">
        <v>514</v>
      </c>
    </row>
    <row r="29" spans="2:10" x14ac:dyDescent="0.25">
      <c r="B29" s="8" t="s">
        <v>558</v>
      </c>
      <c r="C29" s="56" t="s">
        <v>559</v>
      </c>
      <c r="D29" s="53" t="s">
        <v>560</v>
      </c>
      <c r="E29" s="6" t="s">
        <v>534</v>
      </c>
      <c r="F29" s="19">
        <v>100</v>
      </c>
      <c r="G29" s="24">
        <v>1009.23</v>
      </c>
      <c r="H29" s="24">
        <v>0.66</v>
      </c>
      <c r="I29" s="31">
        <v>8.6449999999999996</v>
      </c>
      <c r="J29" s="35" t="s">
        <v>514</v>
      </c>
    </row>
    <row r="30" spans="2:10" x14ac:dyDescent="0.25">
      <c r="B30" s="8" t="s">
        <v>523</v>
      </c>
      <c r="C30" s="56" t="s">
        <v>524</v>
      </c>
      <c r="D30" s="53" t="s">
        <v>525</v>
      </c>
      <c r="E30" s="6" t="s">
        <v>526</v>
      </c>
      <c r="F30" s="19">
        <v>50</v>
      </c>
      <c r="G30" s="24">
        <v>515.38</v>
      </c>
      <c r="H30" s="24">
        <v>0.34</v>
      </c>
      <c r="I30" s="31">
        <v>6.9996999999999998</v>
      </c>
      <c r="J30" s="35" t="s">
        <v>514</v>
      </c>
    </row>
    <row r="31" spans="2:10" x14ac:dyDescent="0.25">
      <c r="C31" s="57" t="s">
        <v>35</v>
      </c>
      <c r="D31" s="53"/>
      <c r="E31" s="6"/>
      <c r="F31" s="19"/>
      <c r="G31" s="25">
        <v>63590.45</v>
      </c>
      <c r="H31" s="25">
        <v>41.86</v>
      </c>
      <c r="I31" s="31"/>
      <c r="J31" s="35"/>
    </row>
    <row r="32" spans="2:10" x14ac:dyDescent="0.25">
      <c r="C32" s="56"/>
      <c r="D32" s="53"/>
      <c r="E32" s="6"/>
      <c r="F32" s="19"/>
      <c r="G32" s="24"/>
      <c r="H32" s="24"/>
      <c r="I32" s="31"/>
      <c r="J32" s="35"/>
    </row>
    <row r="33" spans="2:10" x14ac:dyDescent="0.25">
      <c r="C33" s="57" t="s">
        <v>7</v>
      </c>
      <c r="D33" s="53"/>
      <c r="E33" s="6"/>
      <c r="F33" s="19"/>
      <c r="G33" s="24" t="s">
        <v>2</v>
      </c>
      <c r="H33" s="24" t="s">
        <v>2</v>
      </c>
      <c r="I33" s="31"/>
      <c r="J33" s="35"/>
    </row>
    <row r="34" spans="2:10" x14ac:dyDescent="0.25">
      <c r="C34" s="56"/>
      <c r="D34" s="53"/>
      <c r="E34" s="6"/>
      <c r="F34" s="19"/>
      <c r="G34" s="24"/>
      <c r="H34" s="24"/>
      <c r="I34" s="31"/>
      <c r="J34" s="35"/>
    </row>
    <row r="35" spans="2:10" x14ac:dyDescent="0.25">
      <c r="C35" s="57" t="s">
        <v>8</v>
      </c>
      <c r="D35" s="53"/>
      <c r="E35" s="6"/>
      <c r="F35" s="19"/>
      <c r="G35" s="24" t="s">
        <v>2</v>
      </c>
      <c r="H35" s="24" t="s">
        <v>2</v>
      </c>
      <c r="I35" s="31"/>
      <c r="J35" s="35"/>
    </row>
    <row r="36" spans="2:10" x14ac:dyDescent="0.25">
      <c r="C36" s="56"/>
      <c r="D36" s="53"/>
      <c r="E36" s="6"/>
      <c r="F36" s="19"/>
      <c r="G36" s="24"/>
      <c r="H36" s="24"/>
      <c r="I36" s="31"/>
      <c r="J36" s="35"/>
    </row>
    <row r="37" spans="2:10" x14ac:dyDescent="0.25">
      <c r="C37" s="59" t="s">
        <v>9</v>
      </c>
      <c r="D37" s="53"/>
      <c r="E37" s="6"/>
      <c r="F37" s="19"/>
      <c r="G37" s="24"/>
      <c r="H37" s="24"/>
      <c r="I37" s="31"/>
      <c r="J37" s="35"/>
    </row>
    <row r="38" spans="2:10" x14ac:dyDescent="0.25">
      <c r="B38" s="8" t="s">
        <v>652</v>
      </c>
      <c r="C38" s="56" t="s">
        <v>653</v>
      </c>
      <c r="D38" s="53" t="s">
        <v>654</v>
      </c>
      <c r="E38" s="6" t="s">
        <v>655</v>
      </c>
      <c r="F38" s="19">
        <v>46300000</v>
      </c>
      <c r="G38" s="24">
        <v>45455.58</v>
      </c>
      <c r="H38" s="24">
        <v>29.92</v>
      </c>
      <c r="I38" s="31">
        <v>6.3890000000000002</v>
      </c>
      <c r="J38" s="35"/>
    </row>
    <row r="39" spans="2:10" x14ac:dyDescent="0.25">
      <c r="B39" s="8" t="s">
        <v>656</v>
      </c>
      <c r="C39" s="56" t="s">
        <v>657</v>
      </c>
      <c r="D39" s="53" t="s">
        <v>658</v>
      </c>
      <c r="E39" s="6" t="s">
        <v>655</v>
      </c>
      <c r="F39" s="19">
        <v>14200000</v>
      </c>
      <c r="G39" s="24">
        <v>15541.01</v>
      </c>
      <c r="H39" s="24">
        <v>10.23</v>
      </c>
      <c r="I39" s="31">
        <v>6.4672999999999998</v>
      </c>
      <c r="J39" s="35"/>
    </row>
    <row r="40" spans="2:10" x14ac:dyDescent="0.25">
      <c r="B40" s="8" t="s">
        <v>671</v>
      </c>
      <c r="C40" s="56" t="s">
        <v>672</v>
      </c>
      <c r="D40" s="53" t="s">
        <v>673</v>
      </c>
      <c r="E40" s="6" t="s">
        <v>655</v>
      </c>
      <c r="F40" s="19">
        <v>13000000</v>
      </c>
      <c r="G40" s="24">
        <v>12766.33</v>
      </c>
      <c r="H40" s="24">
        <v>8.4</v>
      </c>
      <c r="I40" s="31">
        <v>6.0133999999999999</v>
      </c>
      <c r="J40" s="35"/>
    </row>
    <row r="41" spans="2:10" x14ac:dyDescent="0.25">
      <c r="B41" s="8" t="s">
        <v>668</v>
      </c>
      <c r="C41" s="56" t="s">
        <v>669</v>
      </c>
      <c r="D41" s="53" t="s">
        <v>670</v>
      </c>
      <c r="E41" s="6" t="s">
        <v>655</v>
      </c>
      <c r="F41" s="19">
        <v>8700000</v>
      </c>
      <c r="G41" s="24">
        <v>9294.81</v>
      </c>
      <c r="H41" s="24">
        <v>6.12</v>
      </c>
      <c r="I41" s="31">
        <v>6.1906999999999996</v>
      </c>
      <c r="J41" s="35"/>
    </row>
    <row r="42" spans="2:10" x14ac:dyDescent="0.25">
      <c r="B42" s="8" t="s">
        <v>665</v>
      </c>
      <c r="C42" s="56" t="s">
        <v>666</v>
      </c>
      <c r="D42" s="53" t="s">
        <v>667</v>
      </c>
      <c r="E42" s="6" t="s">
        <v>655</v>
      </c>
      <c r="F42" s="19">
        <v>1900000</v>
      </c>
      <c r="G42" s="24">
        <v>1941.49</v>
      </c>
      <c r="H42" s="24">
        <v>1.28</v>
      </c>
      <c r="I42" s="31">
        <v>6.1308999999999996</v>
      </c>
      <c r="J42" s="35"/>
    </row>
    <row r="43" spans="2:10" x14ac:dyDescent="0.25">
      <c r="C43" s="57" t="s">
        <v>35</v>
      </c>
      <c r="D43" s="53"/>
      <c r="E43" s="6"/>
      <c r="F43" s="19"/>
      <c r="G43" s="25">
        <v>84999.22</v>
      </c>
      <c r="H43" s="25">
        <v>55.95</v>
      </c>
      <c r="I43" s="31"/>
      <c r="J43" s="35"/>
    </row>
    <row r="44" spans="2:10" x14ac:dyDescent="0.25">
      <c r="C44" s="56"/>
      <c r="D44" s="53"/>
      <c r="E44" s="6"/>
      <c r="F44" s="19"/>
      <c r="G44" s="24"/>
      <c r="H44" s="24"/>
      <c r="I44" s="31"/>
      <c r="J44" s="35"/>
    </row>
    <row r="45" spans="2:10" x14ac:dyDescent="0.25">
      <c r="C45" s="57" t="s">
        <v>10</v>
      </c>
      <c r="D45" s="53"/>
      <c r="E45" s="6"/>
      <c r="F45" s="19"/>
      <c r="G45" s="24" t="s">
        <v>2</v>
      </c>
      <c r="H45" s="24" t="s">
        <v>2</v>
      </c>
      <c r="I45" s="31"/>
      <c r="J45" s="35"/>
    </row>
    <row r="46" spans="2:10" x14ac:dyDescent="0.25">
      <c r="C46" s="56"/>
      <c r="D46" s="53"/>
      <c r="E46" s="6"/>
      <c r="F46" s="19"/>
      <c r="G46" s="24"/>
      <c r="H46" s="24"/>
      <c r="I46" s="31"/>
      <c r="J46" s="35"/>
    </row>
    <row r="47" spans="2:10" x14ac:dyDescent="0.25">
      <c r="C47" s="57" t="s">
        <v>11</v>
      </c>
      <c r="D47" s="53"/>
      <c r="E47" s="6"/>
      <c r="F47" s="19"/>
      <c r="G47" s="24"/>
      <c r="H47" s="24"/>
      <c r="I47" s="31"/>
      <c r="J47" s="35"/>
    </row>
    <row r="48" spans="2:10" x14ac:dyDescent="0.25">
      <c r="C48" s="56"/>
      <c r="D48" s="53"/>
      <c r="E48" s="6"/>
      <c r="F48" s="19"/>
      <c r="G48" s="24"/>
      <c r="H48" s="24"/>
      <c r="I48" s="31"/>
      <c r="J48" s="35"/>
    </row>
    <row r="49" spans="1:10" x14ac:dyDescent="0.25">
      <c r="C49" s="57" t="s">
        <v>13</v>
      </c>
      <c r="D49" s="53"/>
      <c r="E49" s="6"/>
      <c r="F49" s="19"/>
      <c r="G49" s="24" t="s">
        <v>2</v>
      </c>
      <c r="H49" s="24" t="s">
        <v>2</v>
      </c>
      <c r="I49" s="31"/>
      <c r="J49" s="35"/>
    </row>
    <row r="50" spans="1:10" x14ac:dyDescent="0.25">
      <c r="C50" s="56"/>
      <c r="D50" s="53"/>
      <c r="E50" s="6"/>
      <c r="F50" s="19"/>
      <c r="G50" s="24"/>
      <c r="H50" s="24"/>
      <c r="I50" s="31"/>
      <c r="J50" s="35"/>
    </row>
    <row r="51" spans="1:10" x14ac:dyDescent="0.25">
      <c r="C51" s="57" t="s">
        <v>14</v>
      </c>
      <c r="D51" s="53"/>
      <c r="E51" s="6"/>
      <c r="F51" s="19"/>
      <c r="G51" s="24" t="s">
        <v>2</v>
      </c>
      <c r="H51" s="24" t="s">
        <v>2</v>
      </c>
      <c r="I51" s="31"/>
      <c r="J51" s="35"/>
    </row>
    <row r="52" spans="1:10" x14ac:dyDescent="0.25">
      <c r="C52" s="56"/>
      <c r="D52" s="53"/>
      <c r="E52" s="6"/>
      <c r="F52" s="19"/>
      <c r="G52" s="24"/>
      <c r="H52" s="24"/>
      <c r="I52" s="31"/>
      <c r="J52" s="35"/>
    </row>
    <row r="53" spans="1:10" x14ac:dyDescent="0.25">
      <c r="C53" s="57" t="s">
        <v>15</v>
      </c>
      <c r="D53" s="53"/>
      <c r="E53" s="6"/>
      <c r="F53" s="19"/>
      <c r="G53" s="24" t="s">
        <v>2</v>
      </c>
      <c r="H53" s="24" t="s">
        <v>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785.62</v>
      </c>
      <c r="H67" s="24">
        <v>0.52</v>
      </c>
      <c r="I67" s="31"/>
      <c r="J67" s="35"/>
    </row>
    <row r="68" spans="1:10" x14ac:dyDescent="0.25">
      <c r="C68" s="57" t="s">
        <v>35</v>
      </c>
      <c r="D68" s="53"/>
      <c r="E68" s="6"/>
      <c r="F68" s="19"/>
      <c r="G68" s="25">
        <v>785.62</v>
      </c>
      <c r="H68" s="25">
        <v>0.52</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2554.6</v>
      </c>
      <c r="H72" s="24">
        <v>1.67</v>
      </c>
      <c r="I72" s="31"/>
      <c r="J72" s="35"/>
    </row>
    <row r="73" spans="1:10" x14ac:dyDescent="0.25">
      <c r="C73" s="57" t="s">
        <v>35</v>
      </c>
      <c r="D73" s="53"/>
      <c r="E73" s="6"/>
      <c r="F73" s="19"/>
      <c r="G73" s="25">
        <v>2554.6</v>
      </c>
      <c r="H73" s="25">
        <v>1.67</v>
      </c>
      <c r="I73" s="31"/>
      <c r="J73" s="35"/>
    </row>
    <row r="74" spans="1:10" x14ac:dyDescent="0.25">
      <c r="C74" s="56"/>
      <c r="D74" s="53"/>
      <c r="E74" s="6"/>
      <c r="F74" s="19"/>
      <c r="G74" s="24"/>
      <c r="H74" s="24"/>
      <c r="I74" s="31"/>
      <c r="J74" s="35"/>
    </row>
    <row r="75" spans="1:10" x14ac:dyDescent="0.25">
      <c r="C75" s="61" t="s">
        <v>37</v>
      </c>
      <c r="D75" s="54"/>
      <c r="E75" s="5"/>
      <c r="F75" s="20"/>
      <c r="G75" s="26">
        <v>151929.89000000001</v>
      </c>
      <c r="H75" s="26">
        <f>SUMIFS(H:H,C:C,"Total")</f>
        <v>100</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J91"/>
  <sheetViews>
    <sheetView showGridLines="0" zoomScale="90" zoomScaleNormal="90" workbookViewId="0">
      <pane ySplit="6" topLeftCell="A92" activePane="bottomLeft" state="frozen"/>
      <selection pane="bottomLeft" activeCell="D106" sqref="D106"/>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696</v>
      </c>
      <c r="J2" s="37" t="s">
        <v>3307</v>
      </c>
    </row>
    <row r="3" spans="1:10" ht="16.5" x14ac:dyDescent="0.3">
      <c r="C3" s="1" t="s">
        <v>24</v>
      </c>
      <c r="D3" s="21" t="s">
        <v>697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354</v>
      </c>
      <c r="C10" s="56" t="s">
        <v>355</v>
      </c>
      <c r="D10" s="53" t="s">
        <v>356</v>
      </c>
      <c r="E10" s="6" t="s">
        <v>90</v>
      </c>
      <c r="F10" s="19">
        <v>2520000</v>
      </c>
      <c r="G10" s="24">
        <v>4326.84</v>
      </c>
      <c r="H10" s="24">
        <v>7.5</v>
      </c>
      <c r="I10" s="31"/>
      <c r="J10" s="35"/>
    </row>
    <row r="11" spans="1:10" x14ac:dyDescent="0.25">
      <c r="B11" s="8" t="s">
        <v>65</v>
      </c>
      <c r="C11" s="56" t="s">
        <v>66</v>
      </c>
      <c r="D11" s="53" t="s">
        <v>67</v>
      </c>
      <c r="E11" s="6" t="s">
        <v>68</v>
      </c>
      <c r="F11" s="19">
        <v>920000</v>
      </c>
      <c r="G11" s="24">
        <v>3872.74</v>
      </c>
      <c r="H11" s="24">
        <v>6.72</v>
      </c>
      <c r="I11" s="31"/>
      <c r="J11" s="35"/>
    </row>
    <row r="12" spans="1:10" x14ac:dyDescent="0.25">
      <c r="B12" s="8" t="s">
        <v>232</v>
      </c>
      <c r="C12" s="56" t="s">
        <v>233</v>
      </c>
      <c r="D12" s="53" t="s">
        <v>234</v>
      </c>
      <c r="E12" s="6" t="s">
        <v>90</v>
      </c>
      <c r="F12" s="19">
        <v>1053548</v>
      </c>
      <c r="G12" s="24">
        <v>3701.11</v>
      </c>
      <c r="H12" s="24">
        <v>6.42</v>
      </c>
      <c r="I12" s="31"/>
      <c r="J12" s="35"/>
    </row>
    <row r="13" spans="1:10" x14ac:dyDescent="0.25">
      <c r="B13" s="8" t="s">
        <v>222</v>
      </c>
      <c r="C13" s="56" t="s">
        <v>223</v>
      </c>
      <c r="D13" s="53" t="s">
        <v>224</v>
      </c>
      <c r="E13" s="6" t="s">
        <v>83</v>
      </c>
      <c r="F13" s="19">
        <v>272753</v>
      </c>
      <c r="G13" s="24">
        <v>3618.61</v>
      </c>
      <c r="H13" s="24">
        <v>6.28</v>
      </c>
      <c r="I13" s="31"/>
      <c r="J13" s="35"/>
    </row>
    <row r="14" spans="1:10" x14ac:dyDescent="0.25">
      <c r="B14" s="8" t="s">
        <v>698</v>
      </c>
      <c r="C14" s="56" t="s">
        <v>699</v>
      </c>
      <c r="D14" s="53" t="s">
        <v>700</v>
      </c>
      <c r="E14" s="6" t="s">
        <v>90</v>
      </c>
      <c r="F14" s="19">
        <v>65000</v>
      </c>
      <c r="G14" s="24">
        <v>3354.36</v>
      </c>
      <c r="H14" s="24">
        <v>5.82</v>
      </c>
      <c r="I14" s="31"/>
      <c r="J14" s="35"/>
    </row>
    <row r="15" spans="1:10" x14ac:dyDescent="0.25">
      <c r="B15" s="8" t="s">
        <v>69</v>
      </c>
      <c r="C15" s="56" t="s">
        <v>70</v>
      </c>
      <c r="D15" s="53" t="s">
        <v>71</v>
      </c>
      <c r="E15" s="6" t="s">
        <v>72</v>
      </c>
      <c r="F15" s="19">
        <v>15500</v>
      </c>
      <c r="G15" s="24">
        <v>3307.07</v>
      </c>
      <c r="H15" s="24">
        <v>5.74</v>
      </c>
      <c r="I15" s="31"/>
      <c r="J15" s="35"/>
    </row>
    <row r="16" spans="1:10" x14ac:dyDescent="0.25">
      <c r="B16" s="8" t="s">
        <v>303</v>
      </c>
      <c r="C16" s="56" t="s">
        <v>304</v>
      </c>
      <c r="D16" s="53" t="s">
        <v>305</v>
      </c>
      <c r="E16" s="6" t="s">
        <v>306</v>
      </c>
      <c r="F16" s="19">
        <v>1093062</v>
      </c>
      <c r="G16" s="24">
        <v>2813.54</v>
      </c>
      <c r="H16" s="24">
        <v>4.88</v>
      </c>
      <c r="I16" s="31"/>
      <c r="J16" s="35"/>
    </row>
    <row r="17" spans="2:10" x14ac:dyDescent="0.25">
      <c r="B17" s="8" t="s">
        <v>215</v>
      </c>
      <c r="C17" s="56" t="s">
        <v>216</v>
      </c>
      <c r="D17" s="53" t="s">
        <v>217</v>
      </c>
      <c r="E17" s="6" t="s">
        <v>218</v>
      </c>
      <c r="F17" s="19">
        <v>2900000</v>
      </c>
      <c r="G17" s="24">
        <v>2755</v>
      </c>
      <c r="H17" s="24">
        <v>4.78</v>
      </c>
      <c r="I17" s="31"/>
      <c r="J17" s="35"/>
    </row>
    <row r="18" spans="2:10" x14ac:dyDescent="0.25">
      <c r="B18" s="8" t="s">
        <v>701</v>
      </c>
      <c r="C18" s="56" t="s">
        <v>702</v>
      </c>
      <c r="D18" s="53" t="s">
        <v>703</v>
      </c>
      <c r="E18" s="6" t="s">
        <v>274</v>
      </c>
      <c r="F18" s="19">
        <v>470000</v>
      </c>
      <c r="G18" s="24">
        <v>2601.4499999999998</v>
      </c>
      <c r="H18" s="24">
        <v>4.51</v>
      </c>
      <c r="I18" s="31"/>
      <c r="J18" s="35"/>
    </row>
    <row r="19" spans="2:10" x14ac:dyDescent="0.25">
      <c r="B19" s="8" t="s">
        <v>409</v>
      </c>
      <c r="C19" s="56" t="s">
        <v>410</v>
      </c>
      <c r="D19" s="53" t="s">
        <v>411</v>
      </c>
      <c r="E19" s="6" t="s">
        <v>98</v>
      </c>
      <c r="F19" s="19">
        <v>38000</v>
      </c>
      <c r="G19" s="24">
        <v>2562.5100000000002</v>
      </c>
      <c r="H19" s="24">
        <v>4.4400000000000004</v>
      </c>
      <c r="I19" s="31"/>
      <c r="J19" s="35"/>
    </row>
    <row r="20" spans="2:10" x14ac:dyDescent="0.25">
      <c r="B20" s="8" t="s">
        <v>209</v>
      </c>
      <c r="C20" s="56" t="s">
        <v>210</v>
      </c>
      <c r="D20" s="53" t="s">
        <v>211</v>
      </c>
      <c r="E20" s="6" t="s">
        <v>83</v>
      </c>
      <c r="F20" s="19">
        <v>340000</v>
      </c>
      <c r="G20" s="24">
        <v>2266.61</v>
      </c>
      <c r="H20" s="24">
        <v>3.93</v>
      </c>
      <c r="I20" s="31"/>
      <c r="J20" s="35"/>
    </row>
    <row r="21" spans="2:10" x14ac:dyDescent="0.25">
      <c r="B21" s="8" t="s">
        <v>87</v>
      </c>
      <c r="C21" s="56" t="s">
        <v>88</v>
      </c>
      <c r="D21" s="53" t="s">
        <v>89</v>
      </c>
      <c r="E21" s="6" t="s">
        <v>90</v>
      </c>
      <c r="F21" s="19">
        <v>155000</v>
      </c>
      <c r="G21" s="24">
        <v>2221.9299999999998</v>
      </c>
      <c r="H21" s="24">
        <v>3.85</v>
      </c>
      <c r="I21" s="31"/>
      <c r="J21" s="35"/>
    </row>
    <row r="22" spans="2:10" x14ac:dyDescent="0.25">
      <c r="B22" s="8" t="s">
        <v>704</v>
      </c>
      <c r="C22" s="56" t="s">
        <v>705</v>
      </c>
      <c r="D22" s="53" t="s">
        <v>706</v>
      </c>
      <c r="E22" s="6" t="s">
        <v>90</v>
      </c>
      <c r="F22" s="19">
        <v>110000</v>
      </c>
      <c r="G22" s="24">
        <v>2185.04</v>
      </c>
      <c r="H22" s="24">
        <v>3.79</v>
      </c>
      <c r="I22" s="31"/>
      <c r="J22" s="35"/>
    </row>
    <row r="23" spans="2:10" x14ac:dyDescent="0.25">
      <c r="B23" s="8" t="s">
        <v>235</v>
      </c>
      <c r="C23" s="56" t="s">
        <v>236</v>
      </c>
      <c r="D23" s="53" t="s">
        <v>3424</v>
      </c>
      <c r="E23" s="6" t="s">
        <v>90</v>
      </c>
      <c r="F23" s="19">
        <v>100000</v>
      </c>
      <c r="G23" s="24">
        <v>1839.45</v>
      </c>
      <c r="H23" s="24">
        <v>3.19</v>
      </c>
      <c r="I23" s="31"/>
      <c r="J23" s="35"/>
    </row>
    <row r="24" spans="2:10" x14ac:dyDescent="0.25">
      <c r="B24" s="8" t="s">
        <v>707</v>
      </c>
      <c r="C24" s="56" t="s">
        <v>708</v>
      </c>
      <c r="D24" s="53" t="s">
        <v>709</v>
      </c>
      <c r="E24" s="6" t="s">
        <v>218</v>
      </c>
      <c r="F24" s="19">
        <v>1300000</v>
      </c>
      <c r="G24" s="24">
        <v>1798.55</v>
      </c>
      <c r="H24" s="24">
        <v>3.12</v>
      </c>
      <c r="I24" s="31"/>
      <c r="J24" s="35"/>
    </row>
    <row r="25" spans="2:10" x14ac:dyDescent="0.25">
      <c r="B25" s="8" t="s">
        <v>248</v>
      </c>
      <c r="C25" s="56" t="s">
        <v>249</v>
      </c>
      <c r="D25" s="53" t="s">
        <v>250</v>
      </c>
      <c r="E25" s="6" t="s">
        <v>90</v>
      </c>
      <c r="F25" s="19">
        <v>277174</v>
      </c>
      <c r="G25" s="24">
        <v>1671.64</v>
      </c>
      <c r="H25" s="24">
        <v>2.9</v>
      </c>
      <c r="I25" s="31"/>
      <c r="J25" s="35"/>
    </row>
    <row r="26" spans="2:10" x14ac:dyDescent="0.25">
      <c r="B26" s="8" t="s">
        <v>307</v>
      </c>
      <c r="C26" s="56" t="s">
        <v>308</v>
      </c>
      <c r="D26" s="53" t="s">
        <v>309</v>
      </c>
      <c r="E26" s="6" t="s">
        <v>90</v>
      </c>
      <c r="F26" s="19">
        <v>200000</v>
      </c>
      <c r="G26" s="24">
        <v>1559.9</v>
      </c>
      <c r="H26" s="24">
        <v>2.71</v>
      </c>
      <c r="I26" s="31"/>
      <c r="J26" s="35"/>
    </row>
    <row r="27" spans="2:10" x14ac:dyDescent="0.25">
      <c r="B27" s="8" t="s">
        <v>710</v>
      </c>
      <c r="C27" s="56" t="s">
        <v>711</v>
      </c>
      <c r="D27" s="53" t="s">
        <v>712</v>
      </c>
      <c r="E27" s="6" t="s">
        <v>83</v>
      </c>
      <c r="F27" s="19">
        <v>1750000</v>
      </c>
      <c r="G27" s="24">
        <v>1468.25</v>
      </c>
      <c r="H27" s="24">
        <v>2.5499999999999998</v>
      </c>
      <c r="I27" s="31"/>
      <c r="J27" s="35"/>
    </row>
    <row r="28" spans="2:10" x14ac:dyDescent="0.25">
      <c r="B28" s="8" t="s">
        <v>275</v>
      </c>
      <c r="C28" s="56" t="s">
        <v>276</v>
      </c>
      <c r="D28" s="53" t="s">
        <v>277</v>
      </c>
      <c r="E28" s="6" t="s">
        <v>218</v>
      </c>
      <c r="F28" s="19">
        <v>5000000</v>
      </c>
      <c r="G28" s="24">
        <v>1395</v>
      </c>
      <c r="H28" s="24">
        <v>2.42</v>
      </c>
      <c r="I28" s="31"/>
      <c r="J28" s="35"/>
    </row>
    <row r="29" spans="2:10" x14ac:dyDescent="0.25">
      <c r="B29" s="8" t="s">
        <v>713</v>
      </c>
      <c r="C29" s="56" t="s">
        <v>714</v>
      </c>
      <c r="D29" s="53" t="s">
        <v>715</v>
      </c>
      <c r="E29" s="6" t="s">
        <v>72</v>
      </c>
      <c r="F29" s="19">
        <v>160000</v>
      </c>
      <c r="G29" s="24">
        <v>1183.04</v>
      </c>
      <c r="H29" s="24">
        <v>2.0499999999999998</v>
      </c>
      <c r="I29" s="31"/>
      <c r="J29" s="35"/>
    </row>
    <row r="30" spans="2:10" x14ac:dyDescent="0.25">
      <c r="B30" s="8" t="s">
        <v>139</v>
      </c>
      <c r="C30" s="56" t="s">
        <v>140</v>
      </c>
      <c r="D30" s="53" t="s">
        <v>141</v>
      </c>
      <c r="E30" s="6" t="s">
        <v>142</v>
      </c>
      <c r="F30" s="19">
        <v>83000</v>
      </c>
      <c r="G30" s="24">
        <v>1036.75</v>
      </c>
      <c r="H30" s="24">
        <v>1.8</v>
      </c>
      <c r="I30" s="31"/>
      <c r="J30" s="35"/>
    </row>
    <row r="31" spans="2:10" x14ac:dyDescent="0.25">
      <c r="B31" s="8" t="s">
        <v>716</v>
      </c>
      <c r="C31" s="56" t="s">
        <v>717</v>
      </c>
      <c r="D31" s="53" t="s">
        <v>718</v>
      </c>
      <c r="E31" s="6" t="s">
        <v>83</v>
      </c>
      <c r="F31" s="19">
        <v>247000</v>
      </c>
      <c r="G31" s="24">
        <v>1008.38</v>
      </c>
      <c r="H31" s="24">
        <v>1.75</v>
      </c>
      <c r="I31" s="31"/>
      <c r="J31" s="35"/>
    </row>
    <row r="32" spans="2:10" x14ac:dyDescent="0.25">
      <c r="B32" s="8" t="s">
        <v>719</v>
      </c>
      <c r="C32" s="56" t="s">
        <v>720</v>
      </c>
      <c r="D32" s="53" t="s">
        <v>721</v>
      </c>
      <c r="E32" s="6" t="s">
        <v>722</v>
      </c>
      <c r="F32" s="19">
        <v>470000</v>
      </c>
      <c r="G32" s="24">
        <v>981.83</v>
      </c>
      <c r="H32" s="24">
        <v>1.7</v>
      </c>
      <c r="I32" s="31"/>
      <c r="J32" s="35"/>
    </row>
    <row r="33" spans="2:10" x14ac:dyDescent="0.25">
      <c r="B33" s="8" t="s">
        <v>723</v>
      </c>
      <c r="C33" s="56" t="s">
        <v>724</v>
      </c>
      <c r="D33" s="53" t="s">
        <v>725</v>
      </c>
      <c r="E33" s="6" t="s">
        <v>83</v>
      </c>
      <c r="F33" s="19">
        <v>2000000</v>
      </c>
      <c r="G33" s="24">
        <v>974</v>
      </c>
      <c r="H33" s="24">
        <v>1.69</v>
      </c>
      <c r="I33" s="31"/>
      <c r="J33" s="35"/>
    </row>
    <row r="34" spans="2:10" x14ac:dyDescent="0.25">
      <c r="B34" s="8" t="s">
        <v>726</v>
      </c>
      <c r="C34" s="56" t="s">
        <v>727</v>
      </c>
      <c r="D34" s="53" t="s">
        <v>728</v>
      </c>
      <c r="E34" s="6" t="s">
        <v>722</v>
      </c>
      <c r="F34" s="19">
        <v>74000</v>
      </c>
      <c r="G34" s="24">
        <v>897.77</v>
      </c>
      <c r="H34" s="24">
        <v>1.56</v>
      </c>
      <c r="I34" s="31"/>
      <c r="J34" s="35"/>
    </row>
    <row r="35" spans="2:10" x14ac:dyDescent="0.25">
      <c r="B35" s="8" t="s">
        <v>729</v>
      </c>
      <c r="C35" s="56" t="s">
        <v>730</v>
      </c>
      <c r="D35" s="53" t="s">
        <v>731</v>
      </c>
      <c r="E35" s="6" t="s">
        <v>72</v>
      </c>
      <c r="F35" s="19">
        <v>2727779</v>
      </c>
      <c r="G35" s="24">
        <v>857.89</v>
      </c>
      <c r="H35" s="24">
        <v>1.49</v>
      </c>
      <c r="I35" s="31"/>
      <c r="J35" s="35"/>
    </row>
    <row r="36" spans="2:10" x14ac:dyDescent="0.25">
      <c r="B36" s="8" t="s">
        <v>99</v>
      </c>
      <c r="C36" s="56" t="s">
        <v>100</v>
      </c>
      <c r="D36" s="53" t="s">
        <v>101</v>
      </c>
      <c r="E36" s="6" t="s">
        <v>90</v>
      </c>
      <c r="F36" s="19">
        <v>11000</v>
      </c>
      <c r="G36" s="24">
        <v>417.8</v>
      </c>
      <c r="H36" s="24">
        <v>0.72</v>
      </c>
      <c r="I36" s="31"/>
      <c r="J36" s="35"/>
    </row>
    <row r="37" spans="2:10" x14ac:dyDescent="0.25">
      <c r="B37" s="8" t="s">
        <v>732</v>
      </c>
      <c r="C37" s="56" t="s">
        <v>733</v>
      </c>
      <c r="D37" s="53" t="s">
        <v>734</v>
      </c>
      <c r="E37" s="6" t="s">
        <v>146</v>
      </c>
      <c r="F37" s="19">
        <v>520000</v>
      </c>
      <c r="G37" s="24">
        <v>262.33999999999997</v>
      </c>
      <c r="H37" s="24">
        <v>0.45</v>
      </c>
      <c r="I37" s="31"/>
      <c r="J37" s="35"/>
    </row>
    <row r="38" spans="2:10" x14ac:dyDescent="0.25">
      <c r="B38" s="8" t="s">
        <v>310</v>
      </c>
      <c r="C38" s="56" t="s">
        <v>311</v>
      </c>
      <c r="D38" s="53" t="s">
        <v>312</v>
      </c>
      <c r="E38" s="6" t="s">
        <v>90</v>
      </c>
      <c r="F38" s="19">
        <v>777068</v>
      </c>
      <c r="G38" s="24">
        <v>45.46</v>
      </c>
      <c r="H38" s="24">
        <v>0.08</v>
      </c>
      <c r="I38" s="31"/>
      <c r="J38" s="35" t="s">
        <v>3421</v>
      </c>
    </row>
    <row r="39" spans="2:10" x14ac:dyDescent="0.25">
      <c r="C39" s="57" t="s">
        <v>35</v>
      </c>
      <c r="D39" s="53"/>
      <c r="E39" s="6"/>
      <c r="F39" s="19"/>
      <c r="G39" s="25">
        <v>56984.86</v>
      </c>
      <c r="H39" s="25">
        <v>98.84</v>
      </c>
      <c r="I39" s="31"/>
      <c r="J39" s="35"/>
    </row>
    <row r="40" spans="2:10" x14ac:dyDescent="0.25">
      <c r="C40" s="56"/>
      <c r="D40" s="53"/>
      <c r="E40" s="6"/>
      <c r="F40" s="19"/>
      <c r="G40" s="24"/>
      <c r="H40" s="24"/>
      <c r="I40" s="31"/>
      <c r="J40" s="35"/>
    </row>
    <row r="41" spans="2:10" x14ac:dyDescent="0.25">
      <c r="C41" s="57" t="s">
        <v>3</v>
      </c>
      <c r="D41" s="53"/>
      <c r="E41" s="6"/>
      <c r="F41" s="19"/>
      <c r="G41" s="24" t="s">
        <v>2</v>
      </c>
      <c r="H41" s="24" t="s">
        <v>2</v>
      </c>
      <c r="I41" s="31"/>
      <c r="J41" s="35"/>
    </row>
    <row r="42" spans="2:10" x14ac:dyDescent="0.25">
      <c r="C42" s="56"/>
      <c r="D42" s="53"/>
      <c r="E42" s="6"/>
      <c r="F42" s="19"/>
      <c r="G42" s="24"/>
      <c r="H42" s="24"/>
      <c r="I42" s="31"/>
      <c r="J42" s="35"/>
    </row>
    <row r="43" spans="2:10" x14ac:dyDescent="0.25">
      <c r="C43" s="57" t="s">
        <v>4</v>
      </c>
      <c r="D43" s="53"/>
      <c r="E43" s="6"/>
      <c r="F43" s="19"/>
      <c r="G43" s="24" t="s">
        <v>2</v>
      </c>
      <c r="H43" s="24" t="s">
        <v>2</v>
      </c>
      <c r="I43" s="31"/>
      <c r="J43" s="35"/>
    </row>
    <row r="44" spans="2:10" x14ac:dyDescent="0.25">
      <c r="C44" s="56"/>
      <c r="D44" s="53"/>
      <c r="E44" s="6"/>
      <c r="F44" s="19"/>
      <c r="G44" s="24"/>
      <c r="H44" s="24"/>
      <c r="I44" s="31"/>
      <c r="J44" s="35"/>
    </row>
    <row r="45" spans="2:10" x14ac:dyDescent="0.25">
      <c r="C45" s="57" t="s">
        <v>5</v>
      </c>
      <c r="D45" s="53"/>
      <c r="E45" s="6"/>
      <c r="F45" s="19"/>
      <c r="G45" s="24"/>
      <c r="H45" s="24"/>
      <c r="I45" s="31"/>
      <c r="J45" s="35"/>
    </row>
    <row r="46" spans="2:10" x14ac:dyDescent="0.25">
      <c r="C46" s="56"/>
      <c r="D46" s="53"/>
      <c r="E46" s="6"/>
      <c r="F46" s="19"/>
      <c r="G46" s="24"/>
      <c r="H46" s="24"/>
      <c r="I46" s="31"/>
      <c r="J46" s="35"/>
    </row>
    <row r="47" spans="2:10" x14ac:dyDescent="0.25">
      <c r="C47" s="57" t="s">
        <v>6</v>
      </c>
      <c r="D47" s="53"/>
      <c r="E47" s="6"/>
      <c r="F47" s="19"/>
      <c r="G47" s="24" t="s">
        <v>2</v>
      </c>
      <c r="H47" s="24" t="s">
        <v>2</v>
      </c>
      <c r="I47" s="31"/>
      <c r="J47" s="35"/>
    </row>
    <row r="48" spans="2:10" x14ac:dyDescent="0.25">
      <c r="C48" s="56"/>
      <c r="D48" s="53"/>
      <c r="E48" s="6"/>
      <c r="F48" s="19"/>
      <c r="G48" s="24"/>
      <c r="H48" s="24"/>
      <c r="I48" s="31"/>
      <c r="J48" s="35"/>
    </row>
    <row r="49" spans="3:10" x14ac:dyDescent="0.25">
      <c r="C49" s="57" t="s">
        <v>7</v>
      </c>
      <c r="D49" s="53"/>
      <c r="E49" s="6"/>
      <c r="F49" s="19"/>
      <c r="G49" s="24" t="s">
        <v>2</v>
      </c>
      <c r="H49" s="24" t="s">
        <v>2</v>
      </c>
      <c r="I49" s="31"/>
      <c r="J49" s="35"/>
    </row>
    <row r="50" spans="3:10" x14ac:dyDescent="0.25">
      <c r="C50" s="56"/>
      <c r="D50" s="53"/>
      <c r="E50" s="6"/>
      <c r="F50" s="19"/>
      <c r="G50" s="24"/>
      <c r="H50" s="24"/>
      <c r="I50" s="31"/>
      <c r="J50" s="35"/>
    </row>
    <row r="51" spans="3:10" x14ac:dyDescent="0.25">
      <c r="C51" s="57" t="s">
        <v>8</v>
      </c>
      <c r="D51" s="53"/>
      <c r="E51" s="6"/>
      <c r="F51" s="19"/>
      <c r="G51" s="24" t="s">
        <v>2</v>
      </c>
      <c r="H51" s="24" t="s">
        <v>2</v>
      </c>
      <c r="I51" s="31"/>
      <c r="J51" s="35"/>
    </row>
    <row r="52" spans="3:10" x14ac:dyDescent="0.25">
      <c r="C52" s="56"/>
      <c r="D52" s="53"/>
      <c r="E52" s="6"/>
      <c r="F52" s="19"/>
      <c r="G52" s="24"/>
      <c r="H52" s="24"/>
      <c r="I52" s="31"/>
      <c r="J52" s="35"/>
    </row>
    <row r="53" spans="3:10" x14ac:dyDescent="0.25">
      <c r="C53" s="57" t="s">
        <v>9</v>
      </c>
      <c r="D53" s="53"/>
      <c r="E53" s="6"/>
      <c r="F53" s="19"/>
      <c r="G53" s="24" t="s">
        <v>2</v>
      </c>
      <c r="H53" s="24" t="s">
        <v>2</v>
      </c>
      <c r="I53" s="31"/>
      <c r="J53" s="35"/>
    </row>
    <row r="54" spans="3:10" x14ac:dyDescent="0.25">
      <c r="C54" s="56"/>
      <c r="D54" s="53"/>
      <c r="E54" s="6"/>
      <c r="F54" s="19"/>
      <c r="G54" s="24"/>
      <c r="H54" s="24"/>
      <c r="I54" s="31"/>
      <c r="J54" s="35"/>
    </row>
    <row r="55" spans="3:10" x14ac:dyDescent="0.25">
      <c r="C55" s="57" t="s">
        <v>10</v>
      </c>
      <c r="D55" s="53"/>
      <c r="E55" s="6"/>
      <c r="F55" s="19"/>
      <c r="G55" s="24" t="s">
        <v>2</v>
      </c>
      <c r="H55" s="24" t="s">
        <v>2</v>
      </c>
      <c r="I55" s="31"/>
      <c r="J55" s="35"/>
    </row>
    <row r="56" spans="3:10" x14ac:dyDescent="0.25">
      <c r="C56" s="56"/>
      <c r="D56" s="53"/>
      <c r="E56" s="6"/>
      <c r="F56" s="19"/>
      <c r="G56" s="24"/>
      <c r="H56" s="24"/>
      <c r="I56" s="31"/>
      <c r="J56" s="35"/>
    </row>
    <row r="57" spans="3:10" x14ac:dyDescent="0.25">
      <c r="C57" s="57" t="s">
        <v>11</v>
      </c>
      <c r="D57" s="53"/>
      <c r="E57" s="6"/>
      <c r="F57" s="19"/>
      <c r="G57" s="24"/>
      <c r="H57" s="24"/>
      <c r="I57" s="31"/>
      <c r="J57" s="35"/>
    </row>
    <row r="58" spans="3:10" x14ac:dyDescent="0.25">
      <c r="C58" s="56"/>
      <c r="D58" s="53"/>
      <c r="E58" s="6"/>
      <c r="F58" s="19"/>
      <c r="G58" s="24"/>
      <c r="H58" s="24"/>
      <c r="I58" s="31"/>
      <c r="J58" s="35"/>
    </row>
    <row r="59" spans="3:10" x14ac:dyDescent="0.25">
      <c r="C59" s="57" t="s">
        <v>13</v>
      </c>
      <c r="D59" s="53"/>
      <c r="E59" s="6"/>
      <c r="F59" s="19"/>
      <c r="G59" s="24" t="s">
        <v>2</v>
      </c>
      <c r="H59" s="24" t="s">
        <v>2</v>
      </c>
      <c r="I59" s="31"/>
      <c r="J59" s="35"/>
    </row>
    <row r="60" spans="3:10" x14ac:dyDescent="0.25">
      <c r="C60" s="56"/>
      <c r="D60" s="53"/>
      <c r="E60" s="6"/>
      <c r="F60" s="19"/>
      <c r="G60" s="24"/>
      <c r="H60" s="24"/>
      <c r="I60" s="31"/>
      <c r="J60" s="35"/>
    </row>
    <row r="61" spans="3:10" x14ac:dyDescent="0.25">
      <c r="C61" s="57" t="s">
        <v>14</v>
      </c>
      <c r="D61" s="53"/>
      <c r="E61" s="6"/>
      <c r="F61" s="19"/>
      <c r="G61" s="24" t="s">
        <v>2</v>
      </c>
      <c r="H61" s="24" t="s">
        <v>2</v>
      </c>
      <c r="I61" s="31"/>
      <c r="J61" s="35"/>
    </row>
    <row r="62" spans="3:10" x14ac:dyDescent="0.25">
      <c r="C62" s="56"/>
      <c r="D62" s="53"/>
      <c r="E62" s="6"/>
      <c r="F62" s="19"/>
      <c r="G62" s="24"/>
      <c r="H62" s="24"/>
      <c r="I62" s="31"/>
      <c r="J62" s="35"/>
    </row>
    <row r="63" spans="3:10" x14ac:dyDescent="0.25">
      <c r="C63" s="57" t="s">
        <v>15</v>
      </c>
      <c r="D63" s="53"/>
      <c r="E63" s="6"/>
      <c r="F63" s="19"/>
      <c r="G63" s="24" t="s">
        <v>2</v>
      </c>
      <c r="H63" s="24" t="s">
        <v>2</v>
      </c>
      <c r="I63" s="31"/>
      <c r="J63" s="35"/>
    </row>
    <row r="64" spans="3:10" x14ac:dyDescent="0.25">
      <c r="C64" s="56"/>
      <c r="D64" s="53"/>
      <c r="E64" s="6"/>
      <c r="F64" s="19"/>
      <c r="G64" s="24"/>
      <c r="H64" s="24"/>
      <c r="I64" s="31"/>
      <c r="J64" s="35"/>
    </row>
    <row r="65" spans="1:10" x14ac:dyDescent="0.25">
      <c r="C65" s="57" t="s">
        <v>16</v>
      </c>
      <c r="D65" s="53"/>
      <c r="E65" s="6"/>
      <c r="F65" s="19"/>
      <c r="G65" s="24" t="s">
        <v>2</v>
      </c>
      <c r="H65" s="24" t="s">
        <v>2</v>
      </c>
      <c r="I65" s="31"/>
      <c r="J65" s="35"/>
    </row>
    <row r="66" spans="1:10" x14ac:dyDescent="0.25">
      <c r="C66" s="56"/>
      <c r="D66" s="53"/>
      <c r="E66" s="6"/>
      <c r="F66" s="19"/>
      <c r="G66" s="24"/>
      <c r="H66" s="24"/>
      <c r="I66" s="31"/>
      <c r="J66" s="35"/>
    </row>
    <row r="67" spans="1:10" x14ac:dyDescent="0.25">
      <c r="A67" s="10"/>
      <c r="B67" s="28"/>
      <c r="C67" s="58" t="s">
        <v>17</v>
      </c>
      <c r="D67" s="53"/>
      <c r="E67" s="6"/>
      <c r="F67" s="19"/>
      <c r="G67" s="24"/>
      <c r="H67" s="24"/>
      <c r="I67" s="31"/>
      <c r="J67" s="35"/>
    </row>
    <row r="68" spans="1:10" x14ac:dyDescent="0.25">
      <c r="A68" s="28"/>
      <c r="B68" s="28"/>
      <c r="C68" s="58" t="s">
        <v>18</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A70" s="28"/>
      <c r="B70" s="28"/>
      <c r="C70" s="58" t="s">
        <v>19</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20</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A74" s="28"/>
      <c r="B74" s="28"/>
      <c r="C74" s="58" t="s">
        <v>21</v>
      </c>
      <c r="D74" s="53"/>
      <c r="E74" s="6"/>
      <c r="F74" s="19"/>
      <c r="G74" s="24" t="s">
        <v>2</v>
      </c>
      <c r="H74" s="24" t="s">
        <v>2</v>
      </c>
      <c r="I74" s="31"/>
      <c r="J74" s="35"/>
    </row>
    <row r="75" spans="1:10" x14ac:dyDescent="0.25">
      <c r="A75" s="28"/>
      <c r="B75" s="28"/>
      <c r="C75" s="58"/>
      <c r="D75" s="53"/>
      <c r="E75" s="6"/>
      <c r="F75" s="19"/>
      <c r="G75" s="24"/>
      <c r="H75" s="24"/>
      <c r="I75" s="31"/>
      <c r="J75" s="35"/>
    </row>
    <row r="76" spans="1:10" x14ac:dyDescent="0.25">
      <c r="C76" s="59" t="s">
        <v>22</v>
      </c>
      <c r="D76" s="53"/>
      <c r="E76" s="6"/>
      <c r="F76" s="19"/>
      <c r="G76" s="24"/>
      <c r="H76" s="24"/>
      <c r="I76" s="31"/>
      <c r="J76" s="35"/>
    </row>
    <row r="77" spans="1:10" x14ac:dyDescent="0.25">
      <c r="B77" s="8" t="s">
        <v>33</v>
      </c>
      <c r="C77" s="56" t="s">
        <v>34</v>
      </c>
      <c r="D77" s="53"/>
      <c r="E77" s="6"/>
      <c r="F77" s="19"/>
      <c r="G77" s="24">
        <v>326.99</v>
      </c>
      <c r="H77" s="24">
        <v>0.56999999999999995</v>
      </c>
      <c r="I77" s="31"/>
      <c r="J77" s="35"/>
    </row>
    <row r="78" spans="1:10" x14ac:dyDescent="0.25">
      <c r="C78" s="57" t="s">
        <v>35</v>
      </c>
      <c r="D78" s="53"/>
      <c r="E78" s="6"/>
      <c r="F78" s="19"/>
      <c r="G78" s="25">
        <v>326.99</v>
      </c>
      <c r="H78" s="25">
        <v>0.56999999999999995</v>
      </c>
      <c r="I78" s="31"/>
      <c r="J78" s="35"/>
    </row>
    <row r="79" spans="1:10" x14ac:dyDescent="0.25">
      <c r="C79" s="56"/>
      <c r="D79" s="53"/>
      <c r="E79" s="6"/>
      <c r="F79" s="19"/>
      <c r="G79" s="24"/>
      <c r="H79" s="24"/>
      <c r="I79" s="31"/>
      <c r="J79" s="35"/>
    </row>
    <row r="80" spans="1:10" x14ac:dyDescent="0.25">
      <c r="A80" s="10"/>
      <c r="B80" s="28"/>
      <c r="C80" s="58" t="s">
        <v>23</v>
      </c>
      <c r="D80" s="53"/>
      <c r="E80" s="6"/>
      <c r="F80" s="19"/>
      <c r="G80" s="24"/>
      <c r="H80" s="24"/>
      <c r="I80" s="31"/>
      <c r="J80" s="35"/>
    </row>
    <row r="81" spans="1:10" x14ac:dyDescent="0.25">
      <c r="A81" s="28"/>
      <c r="B81" s="28"/>
      <c r="C81" s="60" t="s">
        <v>3398</v>
      </c>
      <c r="D81" s="53"/>
      <c r="E81" s="6"/>
      <c r="F81" s="19"/>
      <c r="G81" s="24" t="s">
        <v>2</v>
      </c>
      <c r="H81" s="24" t="s">
        <v>2</v>
      </c>
      <c r="I81" s="31"/>
      <c r="J81" s="35"/>
    </row>
    <row r="82" spans="1:10" x14ac:dyDescent="0.25">
      <c r="B82" s="8"/>
      <c r="C82" s="56" t="s">
        <v>36</v>
      </c>
      <c r="D82" s="53"/>
      <c r="E82" s="6"/>
      <c r="F82" s="19"/>
      <c r="G82" s="24">
        <v>349.08</v>
      </c>
      <c r="H82" s="24">
        <v>0.59</v>
      </c>
      <c r="I82" s="31"/>
      <c r="J82" s="35"/>
    </row>
    <row r="83" spans="1:10" x14ac:dyDescent="0.25">
      <c r="C83" s="57" t="s">
        <v>35</v>
      </c>
      <c r="D83" s="53"/>
      <c r="E83" s="6"/>
      <c r="F83" s="19"/>
      <c r="G83" s="25">
        <v>349.08</v>
      </c>
      <c r="H83" s="25">
        <v>0.59</v>
      </c>
      <c r="I83" s="31"/>
      <c r="J83" s="35"/>
    </row>
    <row r="84" spans="1:10" x14ac:dyDescent="0.25">
      <c r="C84" s="56"/>
      <c r="D84" s="53"/>
      <c r="E84" s="6"/>
      <c r="F84" s="19"/>
      <c r="G84" s="24"/>
      <c r="H84" s="24"/>
      <c r="I84" s="31"/>
      <c r="J84" s="35"/>
    </row>
    <row r="85" spans="1:10" x14ac:dyDescent="0.25">
      <c r="C85" s="61" t="s">
        <v>37</v>
      </c>
      <c r="D85" s="54"/>
      <c r="E85" s="5"/>
      <c r="F85" s="20"/>
      <c r="G85" s="26">
        <v>57660.93</v>
      </c>
      <c r="H85" s="26">
        <f>SUMIFS(H:H,C:C,"Total")</f>
        <v>100</v>
      </c>
      <c r="I85" s="32"/>
      <c r="J85" s="36"/>
    </row>
    <row r="88" spans="1:10" x14ac:dyDescent="0.25">
      <c r="C88" s="1" t="s">
        <v>38</v>
      </c>
    </row>
    <row r="89" spans="1:10" x14ac:dyDescent="0.25">
      <c r="C89" s="2" t="s">
        <v>3422</v>
      </c>
    </row>
    <row r="90" spans="1:10" x14ac:dyDescent="0.25">
      <c r="C90" s="2" t="s">
        <v>40</v>
      </c>
    </row>
    <row r="91" spans="1:10" x14ac:dyDescent="0.25">
      <c r="C91" s="2" t="s">
        <v>3430</v>
      </c>
    </row>
  </sheetData>
  <hyperlinks>
    <hyperlink ref="J2" location="'Index'!A1" display="'Index'!A1"/>
  </hyperlinks>
  <pageMargins left="0.7" right="0.7" top="0.75" bottom="0.75" header="0.3" footer="0.3"/>
  <pageSetup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J8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735</v>
      </c>
      <c r="J2" s="37" t="s">
        <v>3307</v>
      </c>
    </row>
    <row r="3" spans="1:10" ht="16.5" x14ac:dyDescent="0.3">
      <c r="C3" s="1" t="s">
        <v>24</v>
      </c>
      <c r="D3" s="21" t="s">
        <v>736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581800</v>
      </c>
      <c r="G10" s="24">
        <v>5866</v>
      </c>
      <c r="H10" s="24">
        <v>21.46</v>
      </c>
      <c r="I10" s="31"/>
      <c r="J10" s="35"/>
    </row>
    <row r="11" spans="1:10" x14ac:dyDescent="0.25">
      <c r="B11" s="8" t="s">
        <v>56</v>
      </c>
      <c r="C11" s="56" t="s">
        <v>57</v>
      </c>
      <c r="D11" s="53" t="s">
        <v>58</v>
      </c>
      <c r="E11" s="6" t="s">
        <v>47</v>
      </c>
      <c r="F11" s="19">
        <v>193764</v>
      </c>
      <c r="G11" s="24">
        <v>4829.18</v>
      </c>
      <c r="H11" s="24">
        <v>17.670000000000002</v>
      </c>
      <c r="I11" s="31"/>
      <c r="J11" s="35"/>
    </row>
    <row r="12" spans="1:10" x14ac:dyDescent="0.25">
      <c r="B12" s="8" t="s">
        <v>327</v>
      </c>
      <c r="C12" s="56" t="s">
        <v>328</v>
      </c>
      <c r="D12" s="53" t="s">
        <v>329</v>
      </c>
      <c r="E12" s="6" t="s">
        <v>47</v>
      </c>
      <c r="F12" s="19">
        <v>336135</v>
      </c>
      <c r="G12" s="24">
        <v>2661.35</v>
      </c>
      <c r="H12" s="24">
        <v>9.74</v>
      </c>
      <c r="I12" s="31"/>
      <c r="J12" s="35"/>
    </row>
    <row r="13" spans="1:10" x14ac:dyDescent="0.25">
      <c r="B13" s="8" t="s">
        <v>133</v>
      </c>
      <c r="C13" s="56" t="s">
        <v>134</v>
      </c>
      <c r="D13" s="53" t="s">
        <v>135</v>
      </c>
      <c r="E13" s="6" t="s">
        <v>47</v>
      </c>
      <c r="F13" s="19">
        <v>318174</v>
      </c>
      <c r="G13" s="24">
        <v>2582.3000000000002</v>
      </c>
      <c r="H13" s="24">
        <v>9.4499999999999993</v>
      </c>
      <c r="I13" s="31"/>
      <c r="J13" s="35"/>
    </row>
    <row r="14" spans="1:10" x14ac:dyDescent="0.25">
      <c r="B14" s="8" t="s">
        <v>65</v>
      </c>
      <c r="C14" s="56" t="s">
        <v>66</v>
      </c>
      <c r="D14" s="53" t="s">
        <v>67</v>
      </c>
      <c r="E14" s="6" t="s">
        <v>68</v>
      </c>
      <c r="F14" s="19">
        <v>483630</v>
      </c>
      <c r="G14" s="24">
        <v>2035.84</v>
      </c>
      <c r="H14" s="24">
        <v>7.45</v>
      </c>
      <c r="I14" s="31"/>
      <c r="J14" s="35"/>
    </row>
    <row r="15" spans="1:10" x14ac:dyDescent="0.25">
      <c r="B15" s="8" t="s">
        <v>737</v>
      </c>
      <c r="C15" s="56" t="s">
        <v>738</v>
      </c>
      <c r="D15" s="53" t="s">
        <v>739</v>
      </c>
      <c r="E15" s="6" t="s">
        <v>47</v>
      </c>
      <c r="F15" s="19">
        <v>67500</v>
      </c>
      <c r="G15" s="24">
        <v>905.34</v>
      </c>
      <c r="H15" s="24">
        <v>3.31</v>
      </c>
      <c r="I15" s="31"/>
      <c r="J15" s="35"/>
    </row>
    <row r="16" spans="1:10" x14ac:dyDescent="0.25">
      <c r="B16" s="8" t="s">
        <v>740</v>
      </c>
      <c r="C16" s="56" t="s">
        <v>741</v>
      </c>
      <c r="D16" s="53" t="s">
        <v>742</v>
      </c>
      <c r="E16" s="6" t="s">
        <v>47</v>
      </c>
      <c r="F16" s="19">
        <v>61900</v>
      </c>
      <c r="G16" s="24">
        <v>828.53</v>
      </c>
      <c r="H16" s="24">
        <v>3.03</v>
      </c>
      <c r="I16" s="31"/>
      <c r="J16" s="35"/>
    </row>
    <row r="17" spans="2:10" x14ac:dyDescent="0.25">
      <c r="B17" s="8" t="s">
        <v>743</v>
      </c>
      <c r="C17" s="56" t="s">
        <v>744</v>
      </c>
      <c r="D17" s="53" t="s">
        <v>745</v>
      </c>
      <c r="E17" s="6" t="s">
        <v>47</v>
      </c>
      <c r="F17" s="19">
        <v>549946</v>
      </c>
      <c r="G17" s="24">
        <v>732.25</v>
      </c>
      <c r="H17" s="24">
        <v>2.68</v>
      </c>
      <c r="I17" s="31"/>
      <c r="J17" s="35"/>
    </row>
    <row r="18" spans="2:10" x14ac:dyDescent="0.25">
      <c r="B18" s="8" t="s">
        <v>463</v>
      </c>
      <c r="C18" s="56" t="s">
        <v>464</v>
      </c>
      <c r="D18" s="53" t="s">
        <v>465</v>
      </c>
      <c r="E18" s="6" t="s">
        <v>47</v>
      </c>
      <c r="F18" s="19">
        <v>23700</v>
      </c>
      <c r="G18" s="24">
        <v>728.19</v>
      </c>
      <c r="H18" s="24">
        <v>2.66</v>
      </c>
      <c r="I18" s="31"/>
      <c r="J18" s="35"/>
    </row>
    <row r="19" spans="2:10" x14ac:dyDescent="0.25">
      <c r="B19" s="8" t="s">
        <v>746</v>
      </c>
      <c r="C19" s="56" t="s">
        <v>747</v>
      </c>
      <c r="D19" s="53" t="s">
        <v>748</v>
      </c>
      <c r="E19" s="6" t="s">
        <v>47</v>
      </c>
      <c r="F19" s="19">
        <v>85720</v>
      </c>
      <c r="G19" s="24">
        <v>691.55</v>
      </c>
      <c r="H19" s="24">
        <v>2.5299999999999998</v>
      </c>
      <c r="I19" s="31"/>
      <c r="J19" s="35"/>
    </row>
    <row r="20" spans="2:10" x14ac:dyDescent="0.25">
      <c r="B20" s="8" t="s">
        <v>285</v>
      </c>
      <c r="C20" s="56" t="s">
        <v>286</v>
      </c>
      <c r="D20" s="53" t="s">
        <v>287</v>
      </c>
      <c r="E20" s="6" t="s">
        <v>47</v>
      </c>
      <c r="F20" s="19">
        <v>192780</v>
      </c>
      <c r="G20" s="24">
        <v>672.51</v>
      </c>
      <c r="H20" s="24">
        <v>2.46</v>
      </c>
      <c r="I20" s="31"/>
      <c r="J20" s="35"/>
    </row>
    <row r="21" spans="2:10" x14ac:dyDescent="0.25">
      <c r="B21" s="8" t="s">
        <v>749</v>
      </c>
      <c r="C21" s="56" t="s">
        <v>750</v>
      </c>
      <c r="D21" s="53" t="s">
        <v>751</v>
      </c>
      <c r="E21" s="6" t="s">
        <v>47</v>
      </c>
      <c r="F21" s="19">
        <v>18500</v>
      </c>
      <c r="G21" s="24">
        <v>470.56</v>
      </c>
      <c r="H21" s="24">
        <v>1.72</v>
      </c>
      <c r="I21" s="31"/>
      <c r="J21" s="35"/>
    </row>
    <row r="22" spans="2:10" x14ac:dyDescent="0.25">
      <c r="B22" s="8" t="s">
        <v>316</v>
      </c>
      <c r="C22" s="56" t="s">
        <v>317</v>
      </c>
      <c r="D22" s="53" t="s">
        <v>318</v>
      </c>
      <c r="E22" s="6" t="s">
        <v>94</v>
      </c>
      <c r="F22" s="19">
        <v>32520</v>
      </c>
      <c r="G22" s="24">
        <v>400</v>
      </c>
      <c r="H22" s="24">
        <v>1.46</v>
      </c>
      <c r="I22" s="31"/>
      <c r="J22" s="35" t="s">
        <v>3420</v>
      </c>
    </row>
    <row r="23" spans="2:10" x14ac:dyDescent="0.25">
      <c r="B23" s="8" t="s">
        <v>752</v>
      </c>
      <c r="C23" s="56" t="s">
        <v>753</v>
      </c>
      <c r="D23" s="53" t="s">
        <v>754</v>
      </c>
      <c r="E23" s="6" t="s">
        <v>47</v>
      </c>
      <c r="F23" s="19">
        <v>85550</v>
      </c>
      <c r="G23" s="24">
        <v>328.08</v>
      </c>
      <c r="H23" s="24">
        <v>1.2</v>
      </c>
      <c r="I23" s="31"/>
      <c r="J23" s="35"/>
    </row>
    <row r="24" spans="2:10" x14ac:dyDescent="0.25">
      <c r="B24" s="8" t="s">
        <v>755</v>
      </c>
      <c r="C24" s="56" t="s">
        <v>756</v>
      </c>
      <c r="D24" s="53" t="s">
        <v>757</v>
      </c>
      <c r="E24" s="6" t="s">
        <v>47</v>
      </c>
      <c r="F24" s="19">
        <v>133795</v>
      </c>
      <c r="G24" s="24">
        <v>290</v>
      </c>
      <c r="H24" s="24">
        <v>1.06</v>
      </c>
      <c r="I24" s="31"/>
      <c r="J24" s="35"/>
    </row>
    <row r="25" spans="2:10" x14ac:dyDescent="0.25">
      <c r="C25" s="57" t="s">
        <v>35</v>
      </c>
      <c r="D25" s="53"/>
      <c r="E25" s="6"/>
      <c r="F25" s="19"/>
      <c r="G25" s="25">
        <f>SUM(XDO_?FINAL_MV?89?)</f>
        <v>24021.68</v>
      </c>
      <c r="H25" s="25">
        <f>SUM(XDO_?FINAL_PER_NET?89?)</f>
        <v>87.88000000000001</v>
      </c>
      <c r="I25" s="31"/>
      <c r="J25" s="35"/>
    </row>
    <row r="26" spans="2:10" x14ac:dyDescent="0.25">
      <c r="C26" s="56"/>
      <c r="D26" s="53"/>
      <c r="E26" s="6"/>
      <c r="F26" s="19"/>
      <c r="G26" s="24"/>
      <c r="H26" s="24"/>
      <c r="I26" s="31"/>
      <c r="J26" s="35"/>
    </row>
    <row r="27" spans="2:10" x14ac:dyDescent="0.25">
      <c r="C27" s="59" t="s">
        <v>3</v>
      </c>
      <c r="D27" s="53"/>
      <c r="E27" s="6"/>
      <c r="F27" s="19"/>
      <c r="G27" s="24"/>
      <c r="H27" s="24"/>
      <c r="I27" s="31"/>
      <c r="J27" s="35"/>
    </row>
    <row r="28" spans="2:10" x14ac:dyDescent="0.25">
      <c r="B28" s="8" t="s">
        <v>758</v>
      </c>
      <c r="C28" s="56" t="s">
        <v>759</v>
      </c>
      <c r="D28" s="53" t="s">
        <v>760</v>
      </c>
      <c r="E28" s="6" t="s">
        <v>47</v>
      </c>
      <c r="F28" s="19">
        <v>100000</v>
      </c>
      <c r="G28" s="62">
        <v>0</v>
      </c>
      <c r="H28" s="24" t="s">
        <v>3399</v>
      </c>
      <c r="I28" s="31"/>
      <c r="J28" s="35" t="s">
        <v>3419</v>
      </c>
    </row>
    <row r="29" spans="2:10" x14ac:dyDescent="0.25">
      <c r="B29" s="8" t="s">
        <v>761</v>
      </c>
      <c r="C29" s="56" t="s">
        <v>762</v>
      </c>
      <c r="D29" s="53" t="s">
        <v>763</v>
      </c>
      <c r="E29" s="6" t="s">
        <v>47</v>
      </c>
      <c r="F29" s="19">
        <v>35014</v>
      </c>
      <c r="G29" s="62">
        <v>0</v>
      </c>
      <c r="H29" s="24" t="s">
        <v>3399</v>
      </c>
      <c r="I29" s="31"/>
      <c r="J29" s="35" t="s">
        <v>3419</v>
      </c>
    </row>
    <row r="30" spans="2:10" x14ac:dyDescent="0.25">
      <c r="C30" s="57" t="s">
        <v>35</v>
      </c>
      <c r="D30" s="53"/>
      <c r="E30" s="6"/>
      <c r="F30" s="19"/>
      <c r="G30" s="112">
        <f>SUM(G28:G29)</f>
        <v>0</v>
      </c>
      <c r="H30" s="112">
        <v>0</v>
      </c>
      <c r="I30" s="31"/>
      <c r="J30" s="35"/>
    </row>
    <row r="31" spans="2:10" x14ac:dyDescent="0.25">
      <c r="C31" s="56"/>
      <c r="D31" s="53"/>
      <c r="E31" s="6"/>
      <c r="F31" s="19"/>
      <c r="G31" s="24"/>
      <c r="H31" s="24"/>
      <c r="I31" s="31"/>
      <c r="J31" s="35"/>
    </row>
    <row r="32" spans="2:10" x14ac:dyDescent="0.25">
      <c r="C32" s="59" t="s">
        <v>4</v>
      </c>
      <c r="D32" s="53"/>
      <c r="E32" s="6"/>
      <c r="F32" s="19"/>
      <c r="G32" s="24"/>
      <c r="H32" s="24"/>
      <c r="I32" s="31"/>
      <c r="J32" s="35"/>
    </row>
    <row r="33" spans="2:10" x14ac:dyDescent="0.25">
      <c r="B33" s="8" t="s">
        <v>445</v>
      </c>
      <c r="C33" s="56" t="s">
        <v>446</v>
      </c>
      <c r="D33" s="53" t="s">
        <v>447</v>
      </c>
      <c r="E33" s="6" t="s">
        <v>47</v>
      </c>
      <c r="F33" s="19">
        <v>1255</v>
      </c>
      <c r="G33" s="24">
        <v>1357.77</v>
      </c>
      <c r="H33" s="24">
        <v>4.97</v>
      </c>
      <c r="I33" s="31"/>
      <c r="J33" s="35"/>
    </row>
    <row r="34" spans="2:10" x14ac:dyDescent="0.25">
      <c r="B34" s="8" t="s">
        <v>764</v>
      </c>
      <c r="C34" s="56" t="s">
        <v>765</v>
      </c>
      <c r="D34" s="53" t="s">
        <v>766</v>
      </c>
      <c r="E34" s="6" t="s">
        <v>47</v>
      </c>
      <c r="F34" s="19">
        <v>3540</v>
      </c>
      <c r="G34" s="24">
        <v>541.45000000000005</v>
      </c>
      <c r="H34" s="24">
        <v>1.98</v>
      </c>
      <c r="I34" s="31"/>
      <c r="J34" s="35"/>
    </row>
    <row r="35" spans="2:10" x14ac:dyDescent="0.25">
      <c r="C35" s="57" t="s">
        <v>35</v>
      </c>
      <c r="D35" s="53"/>
      <c r="E35" s="6"/>
      <c r="F35" s="19"/>
      <c r="G35" s="25">
        <f>SUM(G33:G34)</f>
        <v>1899.22</v>
      </c>
      <c r="H35" s="25">
        <f>SUM(H33:H34)</f>
        <v>6.9499999999999993</v>
      </c>
      <c r="I35" s="31"/>
      <c r="J35" s="35"/>
    </row>
    <row r="36" spans="2:10" x14ac:dyDescent="0.25">
      <c r="C36" s="56"/>
      <c r="D36" s="53"/>
      <c r="E36" s="6"/>
      <c r="F36" s="19"/>
      <c r="G36" s="24"/>
      <c r="H36" s="24"/>
      <c r="I36" s="31"/>
      <c r="J36" s="35"/>
    </row>
    <row r="37" spans="2:10" x14ac:dyDescent="0.25">
      <c r="C37" s="57" t="s">
        <v>5</v>
      </c>
      <c r="D37" s="53"/>
      <c r="E37" s="6"/>
      <c r="F37" s="19"/>
      <c r="G37" s="24"/>
      <c r="H37" s="24"/>
      <c r="I37" s="31"/>
      <c r="J37" s="35"/>
    </row>
    <row r="38" spans="2:10" x14ac:dyDescent="0.25">
      <c r="C38" s="56"/>
      <c r="D38" s="53"/>
      <c r="E38" s="6"/>
      <c r="F38" s="19"/>
      <c r="G38" s="24"/>
      <c r="H38" s="24"/>
      <c r="I38" s="31"/>
      <c r="J38" s="35"/>
    </row>
    <row r="39" spans="2:10" x14ac:dyDescent="0.25">
      <c r="C39" s="57" t="s">
        <v>6</v>
      </c>
      <c r="D39" s="53"/>
      <c r="E39" s="6"/>
      <c r="F39" s="19"/>
      <c r="G39" s="24" t="s">
        <v>2</v>
      </c>
      <c r="H39" s="24" t="s">
        <v>2</v>
      </c>
      <c r="I39" s="31"/>
      <c r="J39" s="35"/>
    </row>
    <row r="40" spans="2:10" x14ac:dyDescent="0.25">
      <c r="C40" s="56"/>
      <c r="D40" s="53"/>
      <c r="E40" s="6"/>
      <c r="F40" s="19"/>
      <c r="G40" s="24"/>
      <c r="H40" s="24"/>
      <c r="I40" s="31"/>
      <c r="J40" s="35"/>
    </row>
    <row r="41" spans="2:10" x14ac:dyDescent="0.25">
      <c r="C41" s="57" t="s">
        <v>7</v>
      </c>
      <c r="D41" s="53"/>
      <c r="E41" s="6"/>
      <c r="F41" s="19"/>
      <c r="G41" s="24" t="s">
        <v>2</v>
      </c>
      <c r="H41" s="24" t="s">
        <v>2</v>
      </c>
      <c r="I41" s="31"/>
      <c r="J41" s="35"/>
    </row>
    <row r="42" spans="2:10" x14ac:dyDescent="0.25">
      <c r="C42" s="56"/>
      <c r="D42" s="53"/>
      <c r="E42" s="6"/>
      <c r="F42" s="19"/>
      <c r="G42" s="24"/>
      <c r="H42" s="24"/>
      <c r="I42" s="31"/>
      <c r="J42" s="35"/>
    </row>
    <row r="43" spans="2:10" x14ac:dyDescent="0.25">
      <c r="C43" s="57" t="s">
        <v>8</v>
      </c>
      <c r="D43" s="53"/>
      <c r="E43" s="6"/>
      <c r="F43" s="19"/>
      <c r="G43" s="24" t="s">
        <v>2</v>
      </c>
      <c r="H43" s="24" t="s">
        <v>2</v>
      </c>
      <c r="I43" s="31"/>
      <c r="J43" s="35"/>
    </row>
    <row r="44" spans="2:10" x14ac:dyDescent="0.25">
      <c r="C44" s="56"/>
      <c r="D44" s="53"/>
      <c r="E44" s="6"/>
      <c r="F44" s="19"/>
      <c r="G44" s="24"/>
      <c r="H44" s="24"/>
      <c r="I44" s="31"/>
      <c r="J44" s="35"/>
    </row>
    <row r="45" spans="2:10" x14ac:dyDescent="0.25">
      <c r="C45" s="57" t="s">
        <v>9</v>
      </c>
      <c r="D45" s="53"/>
      <c r="E45" s="6"/>
      <c r="F45" s="19"/>
      <c r="G45" s="24" t="s">
        <v>2</v>
      </c>
      <c r="H45" s="24" t="s">
        <v>2</v>
      </c>
      <c r="I45" s="31"/>
      <c r="J45" s="35"/>
    </row>
    <row r="46" spans="2:10" x14ac:dyDescent="0.25">
      <c r="C46" s="56"/>
      <c r="D46" s="53"/>
      <c r="E46" s="6"/>
      <c r="F46" s="19"/>
      <c r="G46" s="24"/>
      <c r="H46" s="24"/>
      <c r="I46" s="31"/>
      <c r="J46" s="35"/>
    </row>
    <row r="47" spans="2:10" x14ac:dyDescent="0.25">
      <c r="C47" s="57" t="s">
        <v>10</v>
      </c>
      <c r="D47" s="53"/>
      <c r="E47" s="6"/>
      <c r="F47" s="19"/>
      <c r="G47" s="24" t="s">
        <v>2</v>
      </c>
      <c r="H47" s="24" t="s">
        <v>2</v>
      </c>
      <c r="I47" s="31"/>
      <c r="J47" s="35"/>
    </row>
    <row r="48" spans="2:10" x14ac:dyDescent="0.25">
      <c r="C48" s="56"/>
      <c r="D48" s="53"/>
      <c r="E48" s="6"/>
      <c r="F48" s="19"/>
      <c r="G48" s="24"/>
      <c r="H48" s="24"/>
      <c r="I48" s="31"/>
      <c r="J48" s="35"/>
    </row>
    <row r="49" spans="1:10" x14ac:dyDescent="0.25">
      <c r="C49" s="57" t="s">
        <v>11</v>
      </c>
      <c r="D49" s="53"/>
      <c r="E49" s="6"/>
      <c r="F49" s="19"/>
      <c r="G49" s="24"/>
      <c r="H49" s="24"/>
      <c r="I49" s="31"/>
      <c r="J49" s="35"/>
    </row>
    <row r="50" spans="1:10" x14ac:dyDescent="0.25">
      <c r="C50" s="56"/>
      <c r="D50" s="53"/>
      <c r="E50" s="6"/>
      <c r="F50" s="19"/>
      <c r="G50" s="24"/>
      <c r="H50" s="24"/>
      <c r="I50" s="31"/>
      <c r="J50" s="35"/>
    </row>
    <row r="51" spans="1:10" x14ac:dyDescent="0.25">
      <c r="C51" s="57" t="s">
        <v>13</v>
      </c>
      <c r="D51" s="53"/>
      <c r="E51" s="6"/>
      <c r="F51" s="19"/>
      <c r="G51" s="24" t="s">
        <v>2</v>
      </c>
      <c r="H51" s="24" t="s">
        <v>2</v>
      </c>
      <c r="I51" s="31"/>
      <c r="J51" s="35"/>
    </row>
    <row r="52" spans="1:10" x14ac:dyDescent="0.25">
      <c r="C52" s="56"/>
      <c r="D52" s="53"/>
      <c r="E52" s="6"/>
      <c r="F52" s="19"/>
      <c r="G52" s="24"/>
      <c r="H52" s="24"/>
      <c r="I52" s="31"/>
      <c r="J52" s="35"/>
    </row>
    <row r="53" spans="1:10" x14ac:dyDescent="0.25">
      <c r="C53" s="57" t="s">
        <v>14</v>
      </c>
      <c r="D53" s="53"/>
      <c r="E53" s="6"/>
      <c r="F53" s="19"/>
      <c r="G53" s="24" t="s">
        <v>2</v>
      </c>
      <c r="H53" s="24" t="s">
        <v>2</v>
      </c>
      <c r="I53" s="31"/>
      <c r="J53" s="35"/>
    </row>
    <row r="54" spans="1:10" x14ac:dyDescent="0.25">
      <c r="C54" s="56"/>
      <c r="D54" s="53"/>
      <c r="E54" s="6"/>
      <c r="F54" s="19"/>
      <c r="G54" s="24"/>
      <c r="H54" s="24"/>
      <c r="I54" s="31"/>
      <c r="J54" s="35"/>
    </row>
    <row r="55" spans="1:10" x14ac:dyDescent="0.25">
      <c r="C55" s="57" t="s">
        <v>15</v>
      </c>
      <c r="D55" s="53"/>
      <c r="E55" s="6"/>
      <c r="F55" s="19"/>
      <c r="G55" s="24" t="s">
        <v>2</v>
      </c>
      <c r="H55" s="24" t="s">
        <v>2</v>
      </c>
      <c r="I55" s="31"/>
      <c r="J55" s="35"/>
    </row>
    <row r="56" spans="1:10" x14ac:dyDescent="0.25">
      <c r="C56" s="56"/>
      <c r="D56" s="53"/>
      <c r="E56" s="6"/>
      <c r="F56" s="19"/>
      <c r="G56" s="24"/>
      <c r="H56" s="24"/>
      <c r="I56" s="31"/>
      <c r="J56" s="35"/>
    </row>
    <row r="57" spans="1:10" x14ac:dyDescent="0.25">
      <c r="C57" s="57" t="s">
        <v>16</v>
      </c>
      <c r="D57" s="53"/>
      <c r="E57" s="6"/>
      <c r="F57" s="19"/>
      <c r="G57" s="24" t="s">
        <v>2</v>
      </c>
      <c r="H57" s="24" t="s">
        <v>2</v>
      </c>
      <c r="I57" s="31"/>
      <c r="J57" s="35"/>
    </row>
    <row r="58" spans="1:10" x14ac:dyDescent="0.25">
      <c r="C58" s="56"/>
      <c r="D58" s="53"/>
      <c r="E58" s="6"/>
      <c r="F58" s="19"/>
      <c r="G58" s="24"/>
      <c r="H58" s="24"/>
      <c r="I58" s="31"/>
      <c r="J58" s="35"/>
    </row>
    <row r="59" spans="1:10" x14ac:dyDescent="0.25">
      <c r="A59" s="10"/>
      <c r="B59" s="28"/>
      <c r="C59" s="58" t="s">
        <v>17</v>
      </c>
      <c r="D59" s="53"/>
      <c r="E59" s="6"/>
      <c r="F59" s="19"/>
      <c r="G59" s="24"/>
      <c r="H59" s="24"/>
      <c r="I59" s="31"/>
      <c r="J59" s="35"/>
    </row>
    <row r="60" spans="1:10" x14ac:dyDescent="0.25">
      <c r="A60" s="28"/>
      <c r="B60" s="28"/>
      <c r="C60" s="58" t="s">
        <v>18</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19</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20</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21</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C68" s="59" t="s">
        <v>22</v>
      </c>
      <c r="D68" s="53"/>
      <c r="E68" s="6"/>
      <c r="F68" s="19"/>
      <c r="G68" s="24"/>
      <c r="H68" s="24"/>
      <c r="I68" s="31"/>
      <c r="J68" s="35"/>
    </row>
    <row r="69" spans="1:10" x14ac:dyDescent="0.25">
      <c r="B69" s="8" t="s">
        <v>33</v>
      </c>
      <c r="C69" s="56" t="s">
        <v>34</v>
      </c>
      <c r="D69" s="53"/>
      <c r="E69" s="6"/>
      <c r="F69" s="19"/>
      <c r="G69" s="24">
        <v>1956.25</v>
      </c>
      <c r="H69" s="24">
        <v>7.16</v>
      </c>
      <c r="I69" s="31"/>
      <c r="J69" s="35"/>
    </row>
    <row r="70" spans="1:10" x14ac:dyDescent="0.25">
      <c r="C70" s="57" t="s">
        <v>35</v>
      </c>
      <c r="D70" s="53"/>
      <c r="E70" s="6"/>
      <c r="F70" s="19"/>
      <c r="G70" s="25">
        <v>1956.25</v>
      </c>
      <c r="H70" s="25">
        <v>7.16</v>
      </c>
      <c r="I70" s="31"/>
      <c r="J70" s="35"/>
    </row>
    <row r="71" spans="1:10" x14ac:dyDescent="0.25">
      <c r="C71" s="56"/>
      <c r="D71" s="53"/>
      <c r="E71" s="6"/>
      <c r="F71" s="19"/>
      <c r="G71" s="24"/>
      <c r="H71" s="24"/>
      <c r="I71" s="31"/>
      <c r="J71" s="35"/>
    </row>
    <row r="72" spans="1:10" x14ac:dyDescent="0.25">
      <c r="A72" s="10"/>
      <c r="B72" s="28"/>
      <c r="C72" s="58" t="s">
        <v>23</v>
      </c>
      <c r="D72" s="53"/>
      <c r="E72" s="6"/>
      <c r="F72" s="19"/>
      <c r="G72" s="24"/>
      <c r="H72" s="24"/>
      <c r="I72" s="31"/>
      <c r="J72" s="35"/>
    </row>
    <row r="73" spans="1:10" x14ac:dyDescent="0.25">
      <c r="A73" s="28"/>
      <c r="B73" s="28"/>
      <c r="C73" s="60" t="s">
        <v>3398</v>
      </c>
      <c r="D73" s="53"/>
      <c r="E73" s="6"/>
      <c r="F73" s="19"/>
      <c r="G73" s="24" t="s">
        <v>2</v>
      </c>
      <c r="H73" s="24" t="s">
        <v>2</v>
      </c>
      <c r="I73" s="31"/>
      <c r="J73" s="35"/>
    </row>
    <row r="74" spans="1:10" x14ac:dyDescent="0.25">
      <c r="B74" s="8"/>
      <c r="C74" s="56" t="s">
        <v>36</v>
      </c>
      <c r="D74" s="53"/>
      <c r="E74" s="6"/>
      <c r="F74" s="19"/>
      <c r="G74" s="24">
        <v>-548.08000000000004</v>
      </c>
      <c r="H74" s="24">
        <v>-1.9899999999999998</v>
      </c>
      <c r="I74" s="31"/>
      <c r="J74" s="35"/>
    </row>
    <row r="75" spans="1:10" x14ac:dyDescent="0.25">
      <c r="C75" s="57" t="s">
        <v>35</v>
      </c>
      <c r="D75" s="53"/>
      <c r="E75" s="6"/>
      <c r="F75" s="19"/>
      <c r="G75" s="25">
        <v>-548.08000000000004</v>
      </c>
      <c r="H75" s="25">
        <v>-1.9899999999999998</v>
      </c>
      <c r="I75" s="31"/>
      <c r="J75" s="35"/>
    </row>
    <row r="76" spans="1:10" x14ac:dyDescent="0.25">
      <c r="C76" s="56"/>
      <c r="D76" s="53"/>
      <c r="E76" s="6"/>
      <c r="F76" s="19"/>
      <c r="G76" s="24"/>
      <c r="H76" s="24"/>
      <c r="I76" s="31"/>
      <c r="J76" s="35"/>
    </row>
    <row r="77" spans="1:10" x14ac:dyDescent="0.25">
      <c r="C77" s="61" t="s">
        <v>37</v>
      </c>
      <c r="D77" s="54"/>
      <c r="E77" s="5"/>
      <c r="F77" s="20"/>
      <c r="G77" s="26">
        <v>27329.07</v>
      </c>
      <c r="H77" s="26">
        <f>SUMIFS(H:H,C:C,"Total")</f>
        <v>100.00000000000001</v>
      </c>
      <c r="I77" s="32"/>
      <c r="J77" s="36"/>
    </row>
    <row r="80" spans="1:10" x14ac:dyDescent="0.25">
      <c r="C80" s="1" t="s">
        <v>38</v>
      </c>
    </row>
    <row r="81" spans="3:3" x14ac:dyDescent="0.25">
      <c r="C81" s="2" t="s">
        <v>39</v>
      </c>
    </row>
    <row r="82" spans="3:3" x14ac:dyDescent="0.25">
      <c r="C82" s="2" t="s">
        <v>40</v>
      </c>
    </row>
    <row r="83" spans="3:3" x14ac:dyDescent="0.25">
      <c r="C83" s="2" t="s">
        <v>3430</v>
      </c>
    </row>
  </sheetData>
  <hyperlinks>
    <hyperlink ref="J2" location="'Index'!A1" display="'Index'!A1"/>
  </hyperlinks>
  <pageMargins left="0.7" right="0.7" top="0.75" bottom="0.75" header="0.3" footer="0.3"/>
  <pageSetup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J8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767</v>
      </c>
      <c r="J2" s="37" t="s">
        <v>3307</v>
      </c>
    </row>
    <row r="3" spans="1:10" ht="16.5" x14ac:dyDescent="0.3">
      <c r="C3" s="1" t="s">
        <v>24</v>
      </c>
      <c r="D3" s="21" t="s">
        <v>768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412</v>
      </c>
      <c r="C10" s="56" t="s">
        <v>413</v>
      </c>
      <c r="D10" s="53" t="s">
        <v>414</v>
      </c>
      <c r="E10" s="6" t="s">
        <v>111</v>
      </c>
      <c r="F10" s="19">
        <v>300000</v>
      </c>
      <c r="G10" s="24">
        <v>15563.4</v>
      </c>
      <c r="H10" s="24">
        <v>10.86</v>
      </c>
      <c r="I10" s="31"/>
      <c r="J10" s="35"/>
    </row>
    <row r="11" spans="1:10" x14ac:dyDescent="0.25">
      <c r="B11" s="8" t="s">
        <v>158</v>
      </c>
      <c r="C11" s="56" t="s">
        <v>159</v>
      </c>
      <c r="D11" s="53" t="s">
        <v>160</v>
      </c>
      <c r="E11" s="6" t="s">
        <v>111</v>
      </c>
      <c r="F11" s="19">
        <v>1400000</v>
      </c>
      <c r="G11" s="24">
        <v>14103.6</v>
      </c>
      <c r="H11" s="24">
        <v>9.84</v>
      </c>
      <c r="I11" s="31"/>
      <c r="J11" s="35"/>
    </row>
    <row r="12" spans="1:10" x14ac:dyDescent="0.25">
      <c r="B12" s="8" t="s">
        <v>108</v>
      </c>
      <c r="C12" s="56" t="s">
        <v>109</v>
      </c>
      <c r="D12" s="53" t="s">
        <v>110</v>
      </c>
      <c r="E12" s="6" t="s">
        <v>111</v>
      </c>
      <c r="F12" s="19">
        <v>1800000</v>
      </c>
      <c r="G12" s="24">
        <v>13944.6</v>
      </c>
      <c r="H12" s="24">
        <v>9.73</v>
      </c>
      <c r="I12" s="31"/>
      <c r="J12" s="35"/>
    </row>
    <row r="13" spans="1:10" x14ac:dyDescent="0.25">
      <c r="B13" s="8" t="s">
        <v>769</v>
      </c>
      <c r="C13" s="56" t="s">
        <v>770</v>
      </c>
      <c r="D13" s="53" t="s">
        <v>771</v>
      </c>
      <c r="E13" s="6" t="s">
        <v>111</v>
      </c>
      <c r="F13" s="19">
        <v>1500000</v>
      </c>
      <c r="G13" s="24">
        <v>11947.5</v>
      </c>
      <c r="H13" s="24">
        <v>8.33</v>
      </c>
      <c r="I13" s="31"/>
      <c r="J13" s="35"/>
    </row>
    <row r="14" spans="1:10" x14ac:dyDescent="0.25">
      <c r="B14" s="8" t="s">
        <v>112</v>
      </c>
      <c r="C14" s="56" t="s">
        <v>113</v>
      </c>
      <c r="D14" s="53" t="s">
        <v>114</v>
      </c>
      <c r="E14" s="6" t="s">
        <v>111</v>
      </c>
      <c r="F14" s="19">
        <v>360000</v>
      </c>
      <c r="G14" s="24">
        <v>10972.62</v>
      </c>
      <c r="H14" s="24">
        <v>7.65</v>
      </c>
      <c r="I14" s="31"/>
      <c r="J14" s="35"/>
    </row>
    <row r="15" spans="1:10" x14ac:dyDescent="0.25">
      <c r="B15" s="8" t="s">
        <v>245</v>
      </c>
      <c r="C15" s="56" t="s">
        <v>246</v>
      </c>
      <c r="D15" s="53" t="s">
        <v>247</v>
      </c>
      <c r="E15" s="6" t="s">
        <v>111</v>
      </c>
      <c r="F15" s="19">
        <v>2000000</v>
      </c>
      <c r="G15" s="24">
        <v>10009</v>
      </c>
      <c r="H15" s="24">
        <v>6.98</v>
      </c>
      <c r="I15" s="31"/>
      <c r="J15" s="35"/>
    </row>
    <row r="16" spans="1:10" x14ac:dyDescent="0.25">
      <c r="B16" s="8" t="s">
        <v>345</v>
      </c>
      <c r="C16" s="56" t="s">
        <v>346</v>
      </c>
      <c r="D16" s="53" t="s">
        <v>347</v>
      </c>
      <c r="E16" s="6" t="s">
        <v>111</v>
      </c>
      <c r="F16" s="19">
        <v>900000</v>
      </c>
      <c r="G16" s="24">
        <v>6475.95</v>
      </c>
      <c r="H16" s="24">
        <v>4.5199999999999996</v>
      </c>
      <c r="I16" s="31"/>
      <c r="J16" s="35"/>
    </row>
    <row r="17" spans="2:10" x14ac:dyDescent="0.25">
      <c r="B17" s="8" t="s">
        <v>363</v>
      </c>
      <c r="C17" s="56" t="s">
        <v>364</v>
      </c>
      <c r="D17" s="53" t="s">
        <v>365</v>
      </c>
      <c r="E17" s="6" t="s">
        <v>366</v>
      </c>
      <c r="F17" s="19">
        <v>1600000</v>
      </c>
      <c r="G17" s="24">
        <v>5728</v>
      </c>
      <c r="H17" s="24">
        <v>4</v>
      </c>
      <c r="I17" s="31"/>
      <c r="J17" s="35"/>
    </row>
    <row r="18" spans="2:10" x14ac:dyDescent="0.25">
      <c r="B18" s="8" t="s">
        <v>772</v>
      </c>
      <c r="C18" s="56" t="s">
        <v>773</v>
      </c>
      <c r="D18" s="53" t="s">
        <v>774</v>
      </c>
      <c r="E18" s="6" t="s">
        <v>366</v>
      </c>
      <c r="F18" s="19">
        <v>220000</v>
      </c>
      <c r="G18" s="24">
        <v>4725.71</v>
      </c>
      <c r="H18" s="24">
        <v>3.3</v>
      </c>
      <c r="I18" s="31"/>
      <c r="J18" s="35"/>
    </row>
    <row r="19" spans="2:10" x14ac:dyDescent="0.25">
      <c r="B19" s="8" t="s">
        <v>775</v>
      </c>
      <c r="C19" s="56" t="s">
        <v>776</v>
      </c>
      <c r="D19" s="53" t="s">
        <v>777</v>
      </c>
      <c r="E19" s="6" t="s">
        <v>111</v>
      </c>
      <c r="F19" s="19">
        <v>3000000</v>
      </c>
      <c r="G19" s="24">
        <v>4611</v>
      </c>
      <c r="H19" s="24">
        <v>3.22</v>
      </c>
      <c r="I19" s="31"/>
      <c r="J19" s="35"/>
    </row>
    <row r="20" spans="2:10" x14ac:dyDescent="0.25">
      <c r="B20" s="8" t="s">
        <v>203</v>
      </c>
      <c r="C20" s="56" t="s">
        <v>204</v>
      </c>
      <c r="D20" s="53" t="s">
        <v>205</v>
      </c>
      <c r="E20" s="6" t="s">
        <v>111</v>
      </c>
      <c r="F20" s="19">
        <v>480000</v>
      </c>
      <c r="G20" s="24">
        <v>4559.5200000000004</v>
      </c>
      <c r="H20" s="24">
        <v>3.18</v>
      </c>
      <c r="I20" s="31"/>
      <c r="J20" s="35"/>
    </row>
    <row r="21" spans="2:10" x14ac:dyDescent="0.25">
      <c r="B21" s="8" t="s">
        <v>436</v>
      </c>
      <c r="C21" s="56" t="s">
        <v>437</v>
      </c>
      <c r="D21" s="53" t="s">
        <v>438</v>
      </c>
      <c r="E21" s="6" t="s">
        <v>111</v>
      </c>
      <c r="F21" s="19">
        <v>270000</v>
      </c>
      <c r="G21" s="24">
        <v>4356.72</v>
      </c>
      <c r="H21" s="24">
        <v>3.04</v>
      </c>
      <c r="I21" s="31"/>
      <c r="J21" s="35"/>
    </row>
    <row r="22" spans="2:10" x14ac:dyDescent="0.25">
      <c r="B22" s="8" t="s">
        <v>177</v>
      </c>
      <c r="C22" s="56" t="s">
        <v>178</v>
      </c>
      <c r="D22" s="53" t="s">
        <v>179</v>
      </c>
      <c r="E22" s="6" t="s">
        <v>111</v>
      </c>
      <c r="F22" s="19">
        <v>150000</v>
      </c>
      <c r="G22" s="24">
        <v>4199.93</v>
      </c>
      <c r="H22" s="24">
        <v>2.93</v>
      </c>
      <c r="I22" s="31"/>
      <c r="J22" s="35"/>
    </row>
    <row r="23" spans="2:10" x14ac:dyDescent="0.25">
      <c r="B23" s="8" t="s">
        <v>778</v>
      </c>
      <c r="C23" s="56" t="s">
        <v>779</v>
      </c>
      <c r="D23" s="53" t="s">
        <v>780</v>
      </c>
      <c r="E23" s="6" t="s">
        <v>366</v>
      </c>
      <c r="F23" s="19">
        <v>550000</v>
      </c>
      <c r="G23" s="24">
        <v>4170.38</v>
      </c>
      <c r="H23" s="24">
        <v>2.91</v>
      </c>
      <c r="I23" s="31"/>
      <c r="J23" s="35"/>
    </row>
    <row r="24" spans="2:10" x14ac:dyDescent="0.25">
      <c r="B24" s="8" t="s">
        <v>454</v>
      </c>
      <c r="C24" s="56" t="s">
        <v>455</v>
      </c>
      <c r="D24" s="53" t="s">
        <v>456</v>
      </c>
      <c r="E24" s="6" t="s">
        <v>111</v>
      </c>
      <c r="F24" s="19">
        <v>25000</v>
      </c>
      <c r="G24" s="24">
        <v>4121.74</v>
      </c>
      <c r="H24" s="24">
        <v>2.87</v>
      </c>
      <c r="I24" s="31"/>
      <c r="J24" s="35"/>
    </row>
    <row r="25" spans="2:10" x14ac:dyDescent="0.25">
      <c r="B25" s="8" t="s">
        <v>781</v>
      </c>
      <c r="C25" s="56" t="s">
        <v>782</v>
      </c>
      <c r="D25" s="53" t="s">
        <v>783</v>
      </c>
      <c r="E25" s="6" t="s">
        <v>111</v>
      </c>
      <c r="F25" s="19">
        <v>400000</v>
      </c>
      <c r="G25" s="24">
        <v>3752.2</v>
      </c>
      <c r="H25" s="24">
        <v>2.62</v>
      </c>
      <c r="I25" s="31"/>
      <c r="J25" s="35"/>
    </row>
    <row r="26" spans="2:10" x14ac:dyDescent="0.25">
      <c r="B26" s="8" t="s">
        <v>784</v>
      </c>
      <c r="C26" s="56" t="s">
        <v>785</v>
      </c>
      <c r="D26" s="53" t="s">
        <v>786</v>
      </c>
      <c r="E26" s="6" t="s">
        <v>111</v>
      </c>
      <c r="F26" s="19">
        <v>320570</v>
      </c>
      <c r="G26" s="24">
        <v>3449.65</v>
      </c>
      <c r="H26" s="24">
        <v>2.41</v>
      </c>
      <c r="I26" s="31"/>
      <c r="J26" s="35"/>
    </row>
    <row r="27" spans="2:10" x14ac:dyDescent="0.25">
      <c r="B27" s="8" t="s">
        <v>787</v>
      </c>
      <c r="C27" s="56" t="s">
        <v>788</v>
      </c>
      <c r="D27" s="53" t="s">
        <v>789</v>
      </c>
      <c r="E27" s="6" t="s">
        <v>111</v>
      </c>
      <c r="F27" s="19">
        <v>3750000</v>
      </c>
      <c r="G27" s="24">
        <v>3371.25</v>
      </c>
      <c r="H27" s="24">
        <v>2.35</v>
      </c>
      <c r="I27" s="31"/>
      <c r="J27" s="35"/>
    </row>
    <row r="28" spans="2:10" x14ac:dyDescent="0.25">
      <c r="B28" s="8" t="s">
        <v>342</v>
      </c>
      <c r="C28" s="56" t="s">
        <v>343</v>
      </c>
      <c r="D28" s="53" t="s">
        <v>344</v>
      </c>
      <c r="E28" s="6" t="s">
        <v>111</v>
      </c>
      <c r="F28" s="19">
        <v>120000</v>
      </c>
      <c r="G28" s="24">
        <v>3333.54</v>
      </c>
      <c r="H28" s="24">
        <v>2.33</v>
      </c>
      <c r="I28" s="31"/>
      <c r="J28" s="35"/>
    </row>
    <row r="29" spans="2:10" x14ac:dyDescent="0.25">
      <c r="B29" s="8" t="s">
        <v>427</v>
      </c>
      <c r="C29" s="56" t="s">
        <v>428</v>
      </c>
      <c r="D29" s="53" t="s">
        <v>429</v>
      </c>
      <c r="E29" s="6" t="s">
        <v>111</v>
      </c>
      <c r="F29" s="19">
        <v>60000</v>
      </c>
      <c r="G29" s="24">
        <v>2939.79</v>
      </c>
      <c r="H29" s="24">
        <v>2.0499999999999998</v>
      </c>
      <c r="I29" s="31"/>
      <c r="J29" s="35"/>
    </row>
    <row r="30" spans="2:10" x14ac:dyDescent="0.25">
      <c r="B30" s="8" t="s">
        <v>790</v>
      </c>
      <c r="C30" s="56" t="s">
        <v>791</v>
      </c>
      <c r="D30" s="53" t="s">
        <v>792</v>
      </c>
      <c r="E30" s="6" t="s">
        <v>366</v>
      </c>
      <c r="F30" s="19">
        <v>114706</v>
      </c>
      <c r="G30" s="24">
        <v>2057.88</v>
      </c>
      <c r="H30" s="24">
        <v>1.44</v>
      </c>
      <c r="I30" s="31"/>
      <c r="J30" s="35"/>
    </row>
    <row r="31" spans="2:10" x14ac:dyDescent="0.25">
      <c r="B31" s="8" t="s">
        <v>793</v>
      </c>
      <c r="C31" s="56" t="s">
        <v>794</v>
      </c>
      <c r="D31" s="53" t="s">
        <v>795</v>
      </c>
      <c r="E31" s="6" t="s">
        <v>111</v>
      </c>
      <c r="F31" s="19">
        <v>100000</v>
      </c>
      <c r="G31" s="24">
        <v>988.3</v>
      </c>
      <c r="H31" s="24">
        <v>0.69</v>
      </c>
      <c r="I31" s="31"/>
      <c r="J31" s="35"/>
    </row>
    <row r="32" spans="2:10" x14ac:dyDescent="0.25">
      <c r="C32" s="57" t="s">
        <v>35</v>
      </c>
      <c r="D32" s="53"/>
      <c r="E32" s="6"/>
      <c r="F32" s="19"/>
      <c r="G32" s="25">
        <v>139382.28</v>
      </c>
      <c r="H32" s="25">
        <v>97.25</v>
      </c>
      <c r="I32" s="31"/>
      <c r="J32" s="35"/>
    </row>
    <row r="33" spans="2:10" x14ac:dyDescent="0.25">
      <c r="C33" s="56"/>
      <c r="D33" s="53"/>
      <c r="E33" s="6"/>
      <c r="F33" s="19"/>
      <c r="G33" s="24"/>
      <c r="H33" s="24"/>
      <c r="I33" s="31"/>
      <c r="J33" s="35"/>
    </row>
    <row r="34" spans="2:10" x14ac:dyDescent="0.25">
      <c r="C34" s="59" t="s">
        <v>3</v>
      </c>
      <c r="D34" s="53"/>
      <c r="E34" s="6"/>
      <c r="F34" s="19"/>
      <c r="G34" s="24"/>
      <c r="H34" s="24"/>
      <c r="I34" s="31"/>
      <c r="J34" s="35"/>
    </row>
    <row r="35" spans="2:10" x14ac:dyDescent="0.25">
      <c r="B35" s="8" t="s">
        <v>796</v>
      </c>
      <c r="C35" s="56" t="s">
        <v>797</v>
      </c>
      <c r="D35" s="53" t="s">
        <v>798</v>
      </c>
      <c r="E35" s="6" t="s">
        <v>274</v>
      </c>
      <c r="F35" s="19">
        <v>4000000</v>
      </c>
      <c r="G35" s="24">
        <v>545.57000000000005</v>
      </c>
      <c r="H35" s="24">
        <v>0.38</v>
      </c>
      <c r="I35" s="31"/>
      <c r="J35" s="35" t="s">
        <v>799</v>
      </c>
    </row>
    <row r="36" spans="2:10" x14ac:dyDescent="0.25">
      <c r="C36" s="57" t="s">
        <v>35</v>
      </c>
      <c r="D36" s="53"/>
      <c r="E36" s="6"/>
      <c r="F36" s="19"/>
      <c r="G36" s="25">
        <v>545.57000000000005</v>
      </c>
      <c r="H36" s="25">
        <v>0.38</v>
      </c>
      <c r="I36" s="31"/>
      <c r="J36" s="35"/>
    </row>
    <row r="37" spans="2:10" x14ac:dyDescent="0.25">
      <c r="C37" s="56"/>
      <c r="D37" s="53"/>
      <c r="E37" s="6"/>
      <c r="F37" s="19"/>
      <c r="G37" s="24"/>
      <c r="H37" s="24"/>
      <c r="I37" s="31"/>
      <c r="J37" s="35"/>
    </row>
    <row r="38" spans="2:10" x14ac:dyDescent="0.25">
      <c r="C38" s="57" t="s">
        <v>4</v>
      </c>
      <c r="D38" s="53"/>
      <c r="E38" s="6"/>
      <c r="F38" s="19"/>
      <c r="G38" s="24" t="s">
        <v>2</v>
      </c>
      <c r="H38" s="24" t="s">
        <v>2</v>
      </c>
      <c r="I38" s="31"/>
      <c r="J38" s="35"/>
    </row>
    <row r="39" spans="2:10" x14ac:dyDescent="0.25">
      <c r="C39" s="56"/>
      <c r="D39" s="53"/>
      <c r="E39" s="6"/>
      <c r="F39" s="19"/>
      <c r="G39" s="24"/>
      <c r="H39" s="24"/>
      <c r="I39" s="31"/>
      <c r="J39" s="35"/>
    </row>
    <row r="40" spans="2:10" x14ac:dyDescent="0.25">
      <c r="C40" s="57" t="s">
        <v>5</v>
      </c>
      <c r="D40" s="53"/>
      <c r="E40" s="6"/>
      <c r="F40" s="19"/>
      <c r="G40" s="24"/>
      <c r="H40" s="24"/>
      <c r="I40" s="31"/>
      <c r="J40" s="35"/>
    </row>
    <row r="41" spans="2:10" x14ac:dyDescent="0.25">
      <c r="C41" s="56"/>
      <c r="D41" s="53"/>
      <c r="E41" s="6"/>
      <c r="F41" s="19"/>
      <c r="G41" s="24"/>
      <c r="H41" s="24"/>
      <c r="I41" s="31"/>
      <c r="J41" s="35"/>
    </row>
    <row r="42" spans="2:10" x14ac:dyDescent="0.25">
      <c r="C42" s="57" t="s">
        <v>6</v>
      </c>
      <c r="D42" s="53"/>
      <c r="E42" s="6"/>
      <c r="F42" s="19"/>
      <c r="G42" s="24" t="s">
        <v>2</v>
      </c>
      <c r="H42" s="24" t="s">
        <v>2</v>
      </c>
      <c r="I42" s="31"/>
      <c r="J42" s="35"/>
    </row>
    <row r="43" spans="2:10" x14ac:dyDescent="0.25">
      <c r="C43" s="56"/>
      <c r="D43" s="53"/>
      <c r="E43" s="6"/>
      <c r="F43" s="19"/>
      <c r="G43" s="24"/>
      <c r="H43" s="24"/>
      <c r="I43" s="31"/>
      <c r="J43" s="35"/>
    </row>
    <row r="44" spans="2:10" x14ac:dyDescent="0.25">
      <c r="C44" s="57" t="s">
        <v>7</v>
      </c>
      <c r="D44" s="53"/>
      <c r="E44" s="6"/>
      <c r="F44" s="19"/>
      <c r="G44" s="24" t="s">
        <v>2</v>
      </c>
      <c r="H44" s="24" t="s">
        <v>2</v>
      </c>
      <c r="I44" s="31"/>
      <c r="J44" s="35"/>
    </row>
    <row r="45" spans="2:10" x14ac:dyDescent="0.25">
      <c r="C45" s="56"/>
      <c r="D45" s="53"/>
      <c r="E45" s="6"/>
      <c r="F45" s="19"/>
      <c r="G45" s="24"/>
      <c r="H45" s="24"/>
      <c r="I45" s="31"/>
      <c r="J45" s="35"/>
    </row>
    <row r="46" spans="2:10" x14ac:dyDescent="0.25">
      <c r="C46" s="57" t="s">
        <v>8</v>
      </c>
      <c r="D46" s="53"/>
      <c r="E46" s="6"/>
      <c r="F46" s="19"/>
      <c r="G46" s="24" t="s">
        <v>2</v>
      </c>
      <c r="H46" s="24" t="s">
        <v>2</v>
      </c>
      <c r="I46" s="31"/>
      <c r="J46" s="35"/>
    </row>
    <row r="47" spans="2:10" x14ac:dyDescent="0.25">
      <c r="C47" s="56"/>
      <c r="D47" s="53"/>
      <c r="E47" s="6"/>
      <c r="F47" s="19"/>
      <c r="G47" s="24"/>
      <c r="H47" s="24"/>
      <c r="I47" s="31"/>
      <c r="J47" s="35"/>
    </row>
    <row r="48" spans="2:10" x14ac:dyDescent="0.25">
      <c r="C48" s="57" t="s">
        <v>9</v>
      </c>
      <c r="D48" s="53"/>
      <c r="E48" s="6"/>
      <c r="F48" s="19"/>
      <c r="G48" s="24" t="s">
        <v>2</v>
      </c>
      <c r="H48" s="24" t="s">
        <v>2</v>
      </c>
      <c r="I48" s="31"/>
      <c r="J48" s="35"/>
    </row>
    <row r="49" spans="1:10" x14ac:dyDescent="0.25">
      <c r="C49" s="56"/>
      <c r="D49" s="53"/>
      <c r="E49" s="6"/>
      <c r="F49" s="19"/>
      <c r="G49" s="24"/>
      <c r="H49" s="24"/>
      <c r="I49" s="31"/>
      <c r="J49" s="35"/>
    </row>
    <row r="50" spans="1:10" x14ac:dyDescent="0.25">
      <c r="C50" s="57" t="s">
        <v>10</v>
      </c>
      <c r="D50" s="53"/>
      <c r="E50" s="6"/>
      <c r="F50" s="19"/>
      <c r="G50" s="24" t="s">
        <v>2</v>
      </c>
      <c r="H50" s="24" t="s">
        <v>2</v>
      </c>
      <c r="I50" s="31"/>
      <c r="J50" s="35"/>
    </row>
    <row r="51" spans="1:10" x14ac:dyDescent="0.25">
      <c r="C51" s="56"/>
      <c r="D51" s="53"/>
      <c r="E51" s="6"/>
      <c r="F51" s="19"/>
      <c r="G51" s="24"/>
      <c r="H51" s="24"/>
      <c r="I51" s="31"/>
      <c r="J51" s="35"/>
    </row>
    <row r="52" spans="1:10" x14ac:dyDescent="0.25">
      <c r="C52" s="57" t="s">
        <v>11</v>
      </c>
      <c r="D52" s="53"/>
      <c r="E52" s="6"/>
      <c r="F52" s="19"/>
      <c r="G52" s="24"/>
      <c r="H52" s="24"/>
      <c r="I52" s="31"/>
      <c r="J52" s="35"/>
    </row>
    <row r="53" spans="1:10" x14ac:dyDescent="0.25">
      <c r="C53" s="56"/>
      <c r="D53" s="53"/>
      <c r="E53" s="6"/>
      <c r="F53" s="19"/>
      <c r="G53" s="24"/>
      <c r="H53" s="24"/>
      <c r="I53" s="31"/>
      <c r="J53" s="35"/>
    </row>
    <row r="54" spans="1:10" x14ac:dyDescent="0.25">
      <c r="C54" s="57" t="s">
        <v>13</v>
      </c>
      <c r="D54" s="53"/>
      <c r="E54" s="6"/>
      <c r="F54" s="19"/>
      <c r="G54" s="24" t="s">
        <v>2</v>
      </c>
      <c r="H54" s="24" t="s">
        <v>2</v>
      </c>
      <c r="I54" s="31"/>
      <c r="J54" s="35"/>
    </row>
    <row r="55" spans="1:10" x14ac:dyDescent="0.25">
      <c r="C55" s="56"/>
      <c r="D55" s="53"/>
      <c r="E55" s="6"/>
      <c r="F55" s="19"/>
      <c r="G55" s="24"/>
      <c r="H55" s="24"/>
      <c r="I55" s="31"/>
      <c r="J55" s="35"/>
    </row>
    <row r="56" spans="1:10" x14ac:dyDescent="0.25">
      <c r="C56" s="57" t="s">
        <v>14</v>
      </c>
      <c r="D56" s="53"/>
      <c r="E56" s="6"/>
      <c r="F56" s="19"/>
      <c r="G56" s="24" t="s">
        <v>2</v>
      </c>
      <c r="H56" s="24" t="s">
        <v>2</v>
      </c>
      <c r="I56" s="31"/>
      <c r="J56" s="35"/>
    </row>
    <row r="57" spans="1:10" x14ac:dyDescent="0.25">
      <c r="C57" s="56"/>
      <c r="D57" s="53"/>
      <c r="E57" s="6"/>
      <c r="F57" s="19"/>
      <c r="G57" s="24"/>
      <c r="H57" s="24"/>
      <c r="I57" s="31"/>
      <c r="J57" s="35"/>
    </row>
    <row r="58" spans="1:10" x14ac:dyDescent="0.25">
      <c r="C58" s="57" t="s">
        <v>15</v>
      </c>
      <c r="D58" s="53"/>
      <c r="E58" s="6"/>
      <c r="F58" s="19"/>
      <c r="G58" s="24" t="s">
        <v>2</v>
      </c>
      <c r="H58" s="24" t="s">
        <v>2</v>
      </c>
      <c r="I58" s="31"/>
      <c r="J58" s="35"/>
    </row>
    <row r="59" spans="1:10" x14ac:dyDescent="0.25">
      <c r="C59" s="56"/>
      <c r="D59" s="53"/>
      <c r="E59" s="6"/>
      <c r="F59" s="19"/>
      <c r="G59" s="24"/>
      <c r="H59" s="24"/>
      <c r="I59" s="31"/>
      <c r="J59" s="35"/>
    </row>
    <row r="60" spans="1:10" x14ac:dyDescent="0.25">
      <c r="C60" s="57" t="s">
        <v>16</v>
      </c>
      <c r="D60" s="53"/>
      <c r="E60" s="6"/>
      <c r="F60" s="19"/>
      <c r="G60" s="24" t="s">
        <v>2</v>
      </c>
      <c r="H60" s="24" t="s">
        <v>2</v>
      </c>
      <c r="I60" s="31"/>
      <c r="J60" s="35"/>
    </row>
    <row r="61" spans="1:10" x14ac:dyDescent="0.25">
      <c r="C61" s="56"/>
      <c r="D61" s="53"/>
      <c r="E61" s="6"/>
      <c r="F61" s="19"/>
      <c r="G61" s="24"/>
      <c r="H61" s="24"/>
      <c r="I61" s="31"/>
      <c r="J61" s="35"/>
    </row>
    <row r="62" spans="1:10" x14ac:dyDescent="0.25">
      <c r="A62" s="10"/>
      <c r="B62" s="28"/>
      <c r="C62" s="58" t="s">
        <v>17</v>
      </c>
      <c r="D62" s="53"/>
      <c r="E62" s="6"/>
      <c r="F62" s="19"/>
      <c r="G62" s="24"/>
      <c r="H62" s="24"/>
      <c r="I62" s="31"/>
      <c r="J62" s="35"/>
    </row>
    <row r="63" spans="1:10" x14ac:dyDescent="0.25">
      <c r="A63" s="28"/>
      <c r="B63" s="28"/>
      <c r="C63" s="58" t="s">
        <v>18</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A65" s="28"/>
      <c r="B65" s="28"/>
      <c r="C65" s="58" t="s">
        <v>19</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A67" s="28"/>
      <c r="B67" s="28"/>
      <c r="C67" s="58" t="s">
        <v>20</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21</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C71" s="59" t="s">
        <v>22</v>
      </c>
      <c r="D71" s="53"/>
      <c r="E71" s="6"/>
      <c r="F71" s="19"/>
      <c r="G71" s="24"/>
      <c r="H71" s="24"/>
      <c r="I71" s="31"/>
      <c r="J71" s="35"/>
    </row>
    <row r="72" spans="1:10" x14ac:dyDescent="0.25">
      <c r="B72" s="8" t="s">
        <v>33</v>
      </c>
      <c r="C72" s="56" t="s">
        <v>34</v>
      </c>
      <c r="D72" s="53"/>
      <c r="E72" s="6"/>
      <c r="F72" s="19"/>
      <c r="G72" s="24">
        <v>3324.75</v>
      </c>
      <c r="H72" s="24">
        <v>2.3199999999999998</v>
      </c>
      <c r="I72" s="31"/>
      <c r="J72" s="35"/>
    </row>
    <row r="73" spans="1:10" x14ac:dyDescent="0.25">
      <c r="C73" s="57" t="s">
        <v>35</v>
      </c>
      <c r="D73" s="53"/>
      <c r="E73" s="6"/>
      <c r="F73" s="19"/>
      <c r="G73" s="25">
        <v>3324.75</v>
      </c>
      <c r="H73" s="25">
        <v>2.3199999999999998</v>
      </c>
      <c r="I73" s="31"/>
      <c r="J73" s="35"/>
    </row>
    <row r="74" spans="1:10" x14ac:dyDescent="0.25">
      <c r="C74" s="56"/>
      <c r="D74" s="53"/>
      <c r="E74" s="6"/>
      <c r="F74" s="19"/>
      <c r="G74" s="24"/>
      <c r="H74" s="24"/>
      <c r="I74" s="31"/>
      <c r="J74" s="35"/>
    </row>
    <row r="75" spans="1:10" x14ac:dyDescent="0.25">
      <c r="A75" s="10"/>
      <c r="B75" s="28"/>
      <c r="C75" s="58" t="s">
        <v>23</v>
      </c>
      <c r="D75" s="53"/>
      <c r="E75" s="6"/>
      <c r="F75" s="19"/>
      <c r="G75" s="24"/>
      <c r="H75" s="24"/>
      <c r="I75" s="31"/>
      <c r="J75" s="35"/>
    </row>
    <row r="76" spans="1:10" x14ac:dyDescent="0.25">
      <c r="A76" s="28"/>
      <c r="B76" s="28"/>
      <c r="C76" s="60" t="s">
        <v>3398</v>
      </c>
      <c r="D76" s="53"/>
      <c r="E76" s="6"/>
      <c r="F76" s="19"/>
      <c r="G76" s="24">
        <v>500</v>
      </c>
      <c r="H76" s="24">
        <v>0.35</v>
      </c>
      <c r="I76" s="31"/>
      <c r="J76" s="35"/>
    </row>
    <row r="77" spans="1:10" x14ac:dyDescent="0.25">
      <c r="B77" s="8"/>
      <c r="C77" s="56" t="s">
        <v>36</v>
      </c>
      <c r="D77" s="53"/>
      <c r="E77" s="6"/>
      <c r="F77" s="19"/>
      <c r="G77" s="24">
        <v>-377.58</v>
      </c>
      <c r="H77" s="24">
        <v>-0.3</v>
      </c>
      <c r="I77" s="31"/>
      <c r="J77" s="35"/>
    </row>
    <row r="78" spans="1:10" x14ac:dyDescent="0.25">
      <c r="C78" s="57" t="s">
        <v>35</v>
      </c>
      <c r="D78" s="53"/>
      <c r="E78" s="6"/>
      <c r="F78" s="19"/>
      <c r="G78" s="25">
        <v>122.42</v>
      </c>
      <c r="H78" s="25">
        <v>4.9999999999999996E-2</v>
      </c>
      <c r="I78" s="31"/>
      <c r="J78" s="35"/>
    </row>
    <row r="79" spans="1:10" x14ac:dyDescent="0.25">
      <c r="C79" s="56"/>
      <c r="D79" s="53"/>
      <c r="E79" s="6"/>
      <c r="F79" s="19"/>
      <c r="G79" s="24"/>
      <c r="H79" s="24"/>
      <c r="I79" s="31"/>
      <c r="J79" s="35"/>
    </row>
    <row r="80" spans="1:10" x14ac:dyDescent="0.25">
      <c r="C80" s="61" t="s">
        <v>37</v>
      </c>
      <c r="D80" s="54"/>
      <c r="E80" s="5"/>
      <c r="F80" s="20"/>
      <c r="G80" s="26">
        <v>143375.01999999999</v>
      </c>
      <c r="H80" s="26">
        <f>SUMIFS(H:H,C:C,"Total")</f>
        <v>99.999999999999986</v>
      </c>
      <c r="I80" s="32"/>
      <c r="J80" s="36"/>
    </row>
    <row r="83" spans="3:3" x14ac:dyDescent="0.25">
      <c r="C83" s="1" t="s">
        <v>38</v>
      </c>
    </row>
    <row r="84" spans="3:3" x14ac:dyDescent="0.25">
      <c r="C84" s="2" t="s">
        <v>39</v>
      </c>
    </row>
    <row r="85" spans="3:3" x14ac:dyDescent="0.25">
      <c r="C85" s="2" t="s">
        <v>40</v>
      </c>
    </row>
    <row r="86" spans="3:3" x14ac:dyDescent="0.25">
      <c r="C86" s="2" t="s">
        <v>3430</v>
      </c>
    </row>
  </sheetData>
  <hyperlinks>
    <hyperlink ref="J2" location="'Index'!A1" display="'Index'!A1"/>
  </hyperlinks>
  <pageMargins left="0.7" right="0.7" top="0.75" bottom="0.75" header="0.3" footer="0.3"/>
  <pageSetup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J124"/>
  <sheetViews>
    <sheetView showGridLines="0" zoomScale="90" zoomScaleNormal="90" workbookViewId="0">
      <pane ySplit="6" topLeftCell="A109" activePane="bottomLeft" state="frozen"/>
      <selection pane="bottomLeft" activeCell="E122" sqref="E122"/>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800</v>
      </c>
      <c r="J2" s="37" t="s">
        <v>3307</v>
      </c>
    </row>
    <row r="3" spans="1:10" ht="16.5" x14ac:dyDescent="0.3">
      <c r="C3" s="1" t="s">
        <v>24</v>
      </c>
      <c r="D3" s="21" t="s">
        <v>801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775</v>
      </c>
      <c r="C10" s="56" t="s">
        <v>776</v>
      </c>
      <c r="D10" s="53" t="s">
        <v>777</v>
      </c>
      <c r="E10" s="6" t="s">
        <v>111</v>
      </c>
      <c r="F10" s="19">
        <v>3430029</v>
      </c>
      <c r="G10" s="24">
        <v>5271.95</v>
      </c>
      <c r="H10" s="24">
        <v>3.99</v>
      </c>
      <c r="I10" s="31"/>
      <c r="J10" s="35"/>
    </row>
    <row r="11" spans="1:10" x14ac:dyDescent="0.25">
      <c r="B11" s="8" t="s">
        <v>44</v>
      </c>
      <c r="C11" s="56" t="s">
        <v>45</v>
      </c>
      <c r="D11" s="53" t="s">
        <v>46</v>
      </c>
      <c r="E11" s="6" t="s">
        <v>47</v>
      </c>
      <c r="F11" s="19">
        <v>500000</v>
      </c>
      <c r="G11" s="24">
        <v>5041.25</v>
      </c>
      <c r="H11" s="24">
        <v>3.82</v>
      </c>
      <c r="I11" s="31"/>
      <c r="J11" s="35"/>
    </row>
    <row r="12" spans="1:10" x14ac:dyDescent="0.25">
      <c r="B12" s="8" t="s">
        <v>161</v>
      </c>
      <c r="C12" s="56" t="s">
        <v>162</v>
      </c>
      <c r="D12" s="53" t="s">
        <v>163</v>
      </c>
      <c r="E12" s="6" t="s">
        <v>94</v>
      </c>
      <c r="F12" s="19">
        <v>1158000</v>
      </c>
      <c r="G12" s="24">
        <v>4874.0200000000004</v>
      </c>
      <c r="H12" s="24">
        <v>3.69</v>
      </c>
      <c r="I12" s="31"/>
      <c r="J12" s="35"/>
    </row>
    <row r="13" spans="1:10" x14ac:dyDescent="0.25">
      <c r="B13" s="8" t="s">
        <v>62</v>
      </c>
      <c r="C13" s="56" t="s">
        <v>63</v>
      </c>
      <c r="D13" s="53" t="s">
        <v>64</v>
      </c>
      <c r="E13" s="6" t="s">
        <v>51</v>
      </c>
      <c r="F13" s="19">
        <v>1283921</v>
      </c>
      <c r="G13" s="24">
        <v>4554.71</v>
      </c>
      <c r="H13" s="24">
        <v>3.45</v>
      </c>
      <c r="I13" s="31"/>
      <c r="J13" s="35"/>
    </row>
    <row r="14" spans="1:10" x14ac:dyDescent="0.25">
      <c r="B14" s="8" t="s">
        <v>52</v>
      </c>
      <c r="C14" s="56" t="s">
        <v>53</v>
      </c>
      <c r="D14" s="53" t="s">
        <v>54</v>
      </c>
      <c r="E14" s="6" t="s">
        <v>55</v>
      </c>
      <c r="F14" s="19">
        <v>195945</v>
      </c>
      <c r="G14" s="24">
        <v>4378.1000000000004</v>
      </c>
      <c r="H14" s="24">
        <v>3.31</v>
      </c>
      <c r="I14" s="31"/>
      <c r="J14" s="35"/>
    </row>
    <row r="15" spans="1:10" x14ac:dyDescent="0.25">
      <c r="B15" s="8" t="s">
        <v>158</v>
      </c>
      <c r="C15" s="56" t="s">
        <v>159</v>
      </c>
      <c r="D15" s="53" t="s">
        <v>160</v>
      </c>
      <c r="E15" s="6" t="s">
        <v>111</v>
      </c>
      <c r="F15" s="19">
        <v>370000</v>
      </c>
      <c r="G15" s="24">
        <v>3727.38</v>
      </c>
      <c r="H15" s="24">
        <v>2.82</v>
      </c>
      <c r="I15" s="31"/>
      <c r="J15" s="35"/>
    </row>
    <row r="16" spans="1:10" x14ac:dyDescent="0.25">
      <c r="B16" s="8" t="s">
        <v>133</v>
      </c>
      <c r="C16" s="56" t="s">
        <v>134</v>
      </c>
      <c r="D16" s="53" t="s">
        <v>135</v>
      </c>
      <c r="E16" s="6" t="s">
        <v>47</v>
      </c>
      <c r="F16" s="19">
        <v>450000</v>
      </c>
      <c r="G16" s="24">
        <v>3652.2</v>
      </c>
      <c r="H16" s="24">
        <v>2.77</v>
      </c>
      <c r="I16" s="31"/>
      <c r="J16" s="35"/>
    </row>
    <row r="17" spans="2:10" x14ac:dyDescent="0.25">
      <c r="B17" s="8" t="s">
        <v>136</v>
      </c>
      <c r="C17" s="56" t="s">
        <v>137</v>
      </c>
      <c r="D17" s="53" t="s">
        <v>138</v>
      </c>
      <c r="E17" s="6" t="s">
        <v>41</v>
      </c>
      <c r="F17" s="19">
        <v>90000</v>
      </c>
      <c r="G17" s="24">
        <v>3644.6</v>
      </c>
      <c r="H17" s="24">
        <v>2.76</v>
      </c>
      <c r="I17" s="31"/>
      <c r="J17" s="35"/>
    </row>
    <row r="18" spans="2:10" x14ac:dyDescent="0.25">
      <c r="B18" s="8" t="s">
        <v>802</v>
      </c>
      <c r="C18" s="56" t="s">
        <v>803</v>
      </c>
      <c r="D18" s="53" t="s">
        <v>804</v>
      </c>
      <c r="E18" s="6" t="s">
        <v>195</v>
      </c>
      <c r="F18" s="19">
        <v>539894</v>
      </c>
      <c r="G18" s="24">
        <v>3622.42</v>
      </c>
      <c r="H18" s="24">
        <v>2.74</v>
      </c>
      <c r="I18" s="31"/>
      <c r="J18" s="35"/>
    </row>
    <row r="19" spans="2:10" x14ac:dyDescent="0.25">
      <c r="B19" s="8" t="s">
        <v>48</v>
      </c>
      <c r="C19" s="56" t="s">
        <v>49</v>
      </c>
      <c r="D19" s="53" t="s">
        <v>50</v>
      </c>
      <c r="E19" s="6" t="s">
        <v>51</v>
      </c>
      <c r="F19" s="19">
        <v>332642</v>
      </c>
      <c r="G19" s="24">
        <v>3587.88</v>
      </c>
      <c r="H19" s="24">
        <v>2.72</v>
      </c>
      <c r="I19" s="31"/>
      <c r="J19" s="35"/>
    </row>
    <row r="20" spans="2:10" x14ac:dyDescent="0.25">
      <c r="B20" s="8" t="s">
        <v>245</v>
      </c>
      <c r="C20" s="56" t="s">
        <v>246</v>
      </c>
      <c r="D20" s="53" t="s">
        <v>247</v>
      </c>
      <c r="E20" s="6" t="s">
        <v>111</v>
      </c>
      <c r="F20" s="19">
        <v>687500</v>
      </c>
      <c r="G20" s="24">
        <v>3440.59</v>
      </c>
      <c r="H20" s="24">
        <v>2.6</v>
      </c>
      <c r="I20" s="31"/>
      <c r="J20" s="35"/>
    </row>
    <row r="21" spans="2:10" x14ac:dyDescent="0.25">
      <c r="B21" s="8" t="s">
        <v>118</v>
      </c>
      <c r="C21" s="56" t="s">
        <v>119</v>
      </c>
      <c r="D21" s="53" t="s">
        <v>120</v>
      </c>
      <c r="E21" s="6" t="s">
        <v>98</v>
      </c>
      <c r="F21" s="19">
        <v>2500000</v>
      </c>
      <c r="G21" s="24">
        <v>3332.5</v>
      </c>
      <c r="H21" s="24">
        <v>2.52</v>
      </c>
      <c r="I21" s="31"/>
      <c r="J21" s="35"/>
    </row>
    <row r="22" spans="2:10" x14ac:dyDescent="0.25">
      <c r="B22" s="8" t="s">
        <v>421</v>
      </c>
      <c r="C22" s="56" t="s">
        <v>422</v>
      </c>
      <c r="D22" s="53" t="s">
        <v>423</v>
      </c>
      <c r="E22" s="6" t="s">
        <v>218</v>
      </c>
      <c r="F22" s="19">
        <v>765707</v>
      </c>
      <c r="G22" s="24">
        <v>3026.84</v>
      </c>
      <c r="H22" s="24">
        <v>2.29</v>
      </c>
      <c r="I22" s="31"/>
      <c r="J22" s="35"/>
    </row>
    <row r="23" spans="2:10" x14ac:dyDescent="0.25">
      <c r="B23" s="8" t="s">
        <v>237</v>
      </c>
      <c r="C23" s="56" t="s">
        <v>238</v>
      </c>
      <c r="D23" s="53" t="s">
        <v>239</v>
      </c>
      <c r="E23" s="6" t="s">
        <v>41</v>
      </c>
      <c r="F23" s="19">
        <v>5315374</v>
      </c>
      <c r="G23" s="24">
        <v>2960.66</v>
      </c>
      <c r="H23" s="24">
        <v>2.2400000000000002</v>
      </c>
      <c r="I23" s="31"/>
      <c r="J23" s="35"/>
    </row>
    <row r="24" spans="2:10" x14ac:dyDescent="0.25">
      <c r="B24" s="8" t="s">
        <v>784</v>
      </c>
      <c r="C24" s="56" t="s">
        <v>785</v>
      </c>
      <c r="D24" s="53" t="s">
        <v>786</v>
      </c>
      <c r="E24" s="6" t="s">
        <v>111</v>
      </c>
      <c r="F24" s="19">
        <v>239411</v>
      </c>
      <c r="G24" s="24">
        <v>2576.3000000000002</v>
      </c>
      <c r="H24" s="24">
        <v>1.95</v>
      </c>
      <c r="I24" s="31"/>
      <c r="J24" s="35"/>
    </row>
    <row r="25" spans="2:10" x14ac:dyDescent="0.25">
      <c r="B25" s="8" t="s">
        <v>59</v>
      </c>
      <c r="C25" s="56" t="s">
        <v>60</v>
      </c>
      <c r="D25" s="53" t="s">
        <v>61</v>
      </c>
      <c r="E25" s="6" t="s">
        <v>51</v>
      </c>
      <c r="F25" s="19">
        <v>200000</v>
      </c>
      <c r="G25" s="24">
        <v>2536.4</v>
      </c>
      <c r="H25" s="24">
        <v>1.92</v>
      </c>
      <c r="I25" s="31"/>
      <c r="J25" s="35"/>
    </row>
    <row r="26" spans="2:10" x14ac:dyDescent="0.25">
      <c r="B26" s="8" t="s">
        <v>427</v>
      </c>
      <c r="C26" s="56" t="s">
        <v>428</v>
      </c>
      <c r="D26" s="53" t="s">
        <v>429</v>
      </c>
      <c r="E26" s="6" t="s">
        <v>111</v>
      </c>
      <c r="F26" s="19">
        <v>50000</v>
      </c>
      <c r="G26" s="24">
        <v>2449.83</v>
      </c>
      <c r="H26" s="24">
        <v>1.85</v>
      </c>
      <c r="I26" s="31"/>
      <c r="J26" s="35"/>
    </row>
    <row r="27" spans="2:10" x14ac:dyDescent="0.25">
      <c r="B27" s="8" t="s">
        <v>752</v>
      </c>
      <c r="C27" s="56" t="s">
        <v>753</v>
      </c>
      <c r="D27" s="53" t="s">
        <v>754</v>
      </c>
      <c r="E27" s="6" t="s">
        <v>47</v>
      </c>
      <c r="F27" s="19">
        <v>615975</v>
      </c>
      <c r="G27" s="24">
        <v>2362.2600000000002</v>
      </c>
      <c r="H27" s="24">
        <v>1.79</v>
      </c>
      <c r="I27" s="31"/>
      <c r="J27" s="35"/>
    </row>
    <row r="28" spans="2:10" x14ac:dyDescent="0.25">
      <c r="B28" s="8" t="s">
        <v>746</v>
      </c>
      <c r="C28" s="56" t="s">
        <v>747</v>
      </c>
      <c r="D28" s="53" t="s">
        <v>748</v>
      </c>
      <c r="E28" s="6" t="s">
        <v>47</v>
      </c>
      <c r="F28" s="19">
        <v>285680</v>
      </c>
      <c r="G28" s="24">
        <v>2304.7199999999998</v>
      </c>
      <c r="H28" s="24">
        <v>1.74</v>
      </c>
      <c r="I28" s="31"/>
      <c r="J28" s="35"/>
    </row>
    <row r="29" spans="2:10" x14ac:dyDescent="0.25">
      <c r="B29" s="8" t="s">
        <v>65</v>
      </c>
      <c r="C29" s="56" t="s">
        <v>66</v>
      </c>
      <c r="D29" s="53" t="s">
        <v>67</v>
      </c>
      <c r="E29" s="6" t="s">
        <v>68</v>
      </c>
      <c r="F29" s="19">
        <v>543581</v>
      </c>
      <c r="G29" s="24">
        <v>2288.1999999999998</v>
      </c>
      <c r="H29" s="24">
        <v>1.73</v>
      </c>
      <c r="I29" s="31"/>
      <c r="J29" s="35"/>
    </row>
    <row r="30" spans="2:10" x14ac:dyDescent="0.25">
      <c r="B30" s="8" t="s">
        <v>805</v>
      </c>
      <c r="C30" s="56" t="s">
        <v>806</v>
      </c>
      <c r="D30" s="53" t="s">
        <v>807</v>
      </c>
      <c r="E30" s="6" t="s">
        <v>55</v>
      </c>
      <c r="F30" s="19">
        <v>1260000</v>
      </c>
      <c r="G30" s="24">
        <v>2276.19</v>
      </c>
      <c r="H30" s="24">
        <v>1.72</v>
      </c>
      <c r="I30" s="31"/>
      <c r="J30" s="35"/>
    </row>
    <row r="31" spans="2:10" x14ac:dyDescent="0.25">
      <c r="B31" s="8" t="s">
        <v>808</v>
      </c>
      <c r="C31" s="56" t="s">
        <v>809</v>
      </c>
      <c r="D31" s="53" t="s">
        <v>810</v>
      </c>
      <c r="E31" s="6" t="s">
        <v>274</v>
      </c>
      <c r="F31" s="19">
        <v>390000</v>
      </c>
      <c r="G31" s="24">
        <v>2272.5300000000002</v>
      </c>
      <c r="H31" s="24">
        <v>1.72</v>
      </c>
      <c r="I31" s="31"/>
      <c r="J31" s="35"/>
    </row>
    <row r="32" spans="2:10" x14ac:dyDescent="0.25">
      <c r="B32" s="8" t="s">
        <v>811</v>
      </c>
      <c r="C32" s="56" t="s">
        <v>812</v>
      </c>
      <c r="D32" s="53" t="s">
        <v>813</v>
      </c>
      <c r="E32" s="6" t="s">
        <v>157</v>
      </c>
      <c r="F32" s="19">
        <v>800000</v>
      </c>
      <c r="G32" s="24">
        <v>2154</v>
      </c>
      <c r="H32" s="24">
        <v>1.63</v>
      </c>
      <c r="I32" s="31"/>
      <c r="J32" s="35"/>
    </row>
    <row r="33" spans="2:10" x14ac:dyDescent="0.25">
      <c r="B33" s="8" t="s">
        <v>354</v>
      </c>
      <c r="C33" s="56" t="s">
        <v>355</v>
      </c>
      <c r="D33" s="53" t="s">
        <v>356</v>
      </c>
      <c r="E33" s="6" t="s">
        <v>90</v>
      </c>
      <c r="F33" s="19">
        <v>1250000</v>
      </c>
      <c r="G33" s="24">
        <v>2146.25</v>
      </c>
      <c r="H33" s="24">
        <v>1.62</v>
      </c>
      <c r="I33" s="31"/>
      <c r="J33" s="35"/>
    </row>
    <row r="34" spans="2:10" x14ac:dyDescent="0.25">
      <c r="B34" s="8" t="s">
        <v>108</v>
      </c>
      <c r="C34" s="56" t="s">
        <v>109</v>
      </c>
      <c r="D34" s="53" t="s">
        <v>110</v>
      </c>
      <c r="E34" s="6" t="s">
        <v>111</v>
      </c>
      <c r="F34" s="19">
        <v>250000</v>
      </c>
      <c r="G34" s="24">
        <v>1936.75</v>
      </c>
      <c r="H34" s="24">
        <v>1.47</v>
      </c>
      <c r="I34" s="31"/>
      <c r="J34" s="35"/>
    </row>
    <row r="35" spans="2:10" x14ac:dyDescent="0.25">
      <c r="B35" s="8" t="s">
        <v>282</v>
      </c>
      <c r="C35" s="56" t="s">
        <v>283</v>
      </c>
      <c r="D35" s="53" t="s">
        <v>284</v>
      </c>
      <c r="E35" s="6" t="s">
        <v>254</v>
      </c>
      <c r="F35" s="19">
        <v>225000</v>
      </c>
      <c r="G35" s="24">
        <v>1933.88</v>
      </c>
      <c r="H35" s="24">
        <v>1.46</v>
      </c>
      <c r="I35" s="31"/>
      <c r="J35" s="35"/>
    </row>
    <row r="36" spans="2:10" x14ac:dyDescent="0.25">
      <c r="B36" s="8" t="s">
        <v>262</v>
      </c>
      <c r="C36" s="56" t="s">
        <v>263</v>
      </c>
      <c r="D36" s="53" t="s">
        <v>264</v>
      </c>
      <c r="E36" s="6" t="s">
        <v>194</v>
      </c>
      <c r="F36" s="19">
        <v>1000000</v>
      </c>
      <c r="G36" s="24">
        <v>1929.5</v>
      </c>
      <c r="H36" s="24">
        <v>1.46</v>
      </c>
      <c r="I36" s="31"/>
      <c r="J36" s="35"/>
    </row>
    <row r="37" spans="2:10" x14ac:dyDescent="0.25">
      <c r="B37" s="8" t="s">
        <v>814</v>
      </c>
      <c r="C37" s="56" t="s">
        <v>815</v>
      </c>
      <c r="D37" s="53" t="s">
        <v>816</v>
      </c>
      <c r="E37" s="6" t="s">
        <v>83</v>
      </c>
      <c r="F37" s="19">
        <v>1105000</v>
      </c>
      <c r="G37" s="24">
        <v>1883.47</v>
      </c>
      <c r="H37" s="24">
        <v>1.43</v>
      </c>
      <c r="I37" s="31"/>
      <c r="J37" s="35"/>
    </row>
    <row r="38" spans="2:10" x14ac:dyDescent="0.25">
      <c r="B38" s="8" t="s">
        <v>817</v>
      </c>
      <c r="C38" s="56" t="s">
        <v>818</v>
      </c>
      <c r="D38" s="53" t="s">
        <v>819</v>
      </c>
      <c r="E38" s="6" t="s">
        <v>51</v>
      </c>
      <c r="F38" s="19">
        <v>4582824</v>
      </c>
      <c r="G38" s="24">
        <v>1881.25</v>
      </c>
      <c r="H38" s="24">
        <v>1.42</v>
      </c>
      <c r="I38" s="31"/>
      <c r="J38" s="35"/>
    </row>
    <row r="39" spans="2:10" x14ac:dyDescent="0.25">
      <c r="B39" s="8" t="s">
        <v>820</v>
      </c>
      <c r="C39" s="56" t="s">
        <v>821</v>
      </c>
      <c r="D39" s="53" t="s">
        <v>822</v>
      </c>
      <c r="E39" s="6" t="s">
        <v>196</v>
      </c>
      <c r="F39" s="19">
        <v>2552937</v>
      </c>
      <c r="G39" s="24">
        <v>1868.75</v>
      </c>
      <c r="H39" s="24">
        <v>1.41</v>
      </c>
      <c r="I39" s="31"/>
      <c r="J39" s="35"/>
    </row>
    <row r="40" spans="2:10" x14ac:dyDescent="0.25">
      <c r="B40" s="8" t="s">
        <v>710</v>
      </c>
      <c r="C40" s="56" t="s">
        <v>711</v>
      </c>
      <c r="D40" s="53" t="s">
        <v>712</v>
      </c>
      <c r="E40" s="6" t="s">
        <v>83</v>
      </c>
      <c r="F40" s="19">
        <v>2216280</v>
      </c>
      <c r="G40" s="24">
        <v>1859.46</v>
      </c>
      <c r="H40" s="24">
        <v>1.41</v>
      </c>
      <c r="I40" s="31"/>
      <c r="J40" s="35"/>
    </row>
    <row r="41" spans="2:10" x14ac:dyDescent="0.25">
      <c r="B41" s="8" t="s">
        <v>215</v>
      </c>
      <c r="C41" s="56" t="s">
        <v>216</v>
      </c>
      <c r="D41" s="53" t="s">
        <v>217</v>
      </c>
      <c r="E41" s="6" t="s">
        <v>218</v>
      </c>
      <c r="F41" s="19">
        <v>1911138</v>
      </c>
      <c r="G41" s="24">
        <v>1815.58</v>
      </c>
      <c r="H41" s="24">
        <v>1.37</v>
      </c>
      <c r="I41" s="31"/>
      <c r="J41" s="35"/>
    </row>
    <row r="42" spans="2:10" x14ac:dyDescent="0.25">
      <c r="B42" s="8" t="s">
        <v>76</v>
      </c>
      <c r="C42" s="56" t="s">
        <v>77</v>
      </c>
      <c r="D42" s="53" t="s">
        <v>78</v>
      </c>
      <c r="E42" s="6" t="s">
        <v>79</v>
      </c>
      <c r="F42" s="19">
        <v>200000</v>
      </c>
      <c r="G42" s="24">
        <v>1803.2</v>
      </c>
      <c r="H42" s="24">
        <v>1.37</v>
      </c>
      <c r="I42" s="31"/>
      <c r="J42" s="35"/>
    </row>
    <row r="43" spans="2:10" x14ac:dyDescent="0.25">
      <c r="B43" s="8" t="s">
        <v>248</v>
      </c>
      <c r="C43" s="56" t="s">
        <v>249</v>
      </c>
      <c r="D43" s="53" t="s">
        <v>250</v>
      </c>
      <c r="E43" s="6" t="s">
        <v>90</v>
      </c>
      <c r="F43" s="19">
        <v>290000</v>
      </c>
      <c r="G43" s="24">
        <v>1748.99</v>
      </c>
      <c r="H43" s="24">
        <v>1.32</v>
      </c>
      <c r="I43" s="31"/>
      <c r="J43" s="35"/>
    </row>
    <row r="44" spans="2:10" x14ac:dyDescent="0.25">
      <c r="B44" s="8" t="s">
        <v>379</v>
      </c>
      <c r="C44" s="56" t="s">
        <v>380</v>
      </c>
      <c r="D44" s="53" t="s">
        <v>381</v>
      </c>
      <c r="E44" s="6" t="s">
        <v>55</v>
      </c>
      <c r="F44" s="19">
        <v>2325866</v>
      </c>
      <c r="G44" s="24">
        <v>1718.81</v>
      </c>
      <c r="H44" s="24">
        <v>1.3</v>
      </c>
      <c r="I44" s="31"/>
      <c r="J44" s="35"/>
    </row>
    <row r="45" spans="2:10" x14ac:dyDescent="0.25">
      <c r="B45" s="8" t="s">
        <v>164</v>
      </c>
      <c r="C45" s="56" t="s">
        <v>165</v>
      </c>
      <c r="D45" s="53" t="s">
        <v>166</v>
      </c>
      <c r="E45" s="6" t="s">
        <v>51</v>
      </c>
      <c r="F45" s="19">
        <v>910000</v>
      </c>
      <c r="G45" s="24">
        <v>1687.14</v>
      </c>
      <c r="H45" s="24">
        <v>1.28</v>
      </c>
      <c r="I45" s="31"/>
      <c r="J45" s="35"/>
    </row>
    <row r="46" spans="2:10" x14ac:dyDescent="0.25">
      <c r="B46" s="8" t="s">
        <v>823</v>
      </c>
      <c r="C46" s="56" t="s">
        <v>824</v>
      </c>
      <c r="D46" s="53" t="s">
        <v>825</v>
      </c>
      <c r="E46" s="6" t="s">
        <v>826</v>
      </c>
      <c r="F46" s="19">
        <v>1600200</v>
      </c>
      <c r="G46" s="24">
        <v>1388.97</v>
      </c>
      <c r="H46" s="24">
        <v>1.05</v>
      </c>
      <c r="I46" s="31"/>
      <c r="J46" s="35"/>
    </row>
    <row r="47" spans="2:10" x14ac:dyDescent="0.25">
      <c r="B47" s="8" t="s">
        <v>827</v>
      </c>
      <c r="C47" s="56" t="s">
        <v>828</v>
      </c>
      <c r="D47" s="53" t="s">
        <v>829</v>
      </c>
      <c r="E47" s="6" t="s">
        <v>79</v>
      </c>
      <c r="F47" s="19">
        <v>3794653</v>
      </c>
      <c r="G47" s="24">
        <v>1350.9</v>
      </c>
      <c r="H47" s="24">
        <v>1.02</v>
      </c>
      <c r="I47" s="31"/>
      <c r="J47" s="35"/>
    </row>
    <row r="48" spans="2:10" x14ac:dyDescent="0.25">
      <c r="B48" s="8" t="s">
        <v>258</v>
      </c>
      <c r="C48" s="56" t="s">
        <v>259</v>
      </c>
      <c r="D48" s="53" t="s">
        <v>260</v>
      </c>
      <c r="E48" s="6" t="s">
        <v>261</v>
      </c>
      <c r="F48" s="19">
        <v>2322045</v>
      </c>
      <c r="G48" s="24">
        <v>1309.6300000000001</v>
      </c>
      <c r="H48" s="24">
        <v>0.99</v>
      </c>
      <c r="I48" s="31"/>
      <c r="J48" s="35"/>
    </row>
    <row r="49" spans="2:10" x14ac:dyDescent="0.25">
      <c r="B49" s="8" t="s">
        <v>723</v>
      </c>
      <c r="C49" s="56" t="s">
        <v>724</v>
      </c>
      <c r="D49" s="53" t="s">
        <v>725</v>
      </c>
      <c r="E49" s="6" t="s">
        <v>83</v>
      </c>
      <c r="F49" s="19">
        <v>2635273</v>
      </c>
      <c r="G49" s="24">
        <v>1283.3800000000001</v>
      </c>
      <c r="H49" s="24">
        <v>0.97</v>
      </c>
      <c r="I49" s="31"/>
      <c r="J49" s="35"/>
    </row>
    <row r="50" spans="2:10" x14ac:dyDescent="0.25">
      <c r="B50" s="8" t="s">
        <v>830</v>
      </c>
      <c r="C50" s="56" t="s">
        <v>831</v>
      </c>
      <c r="D50" s="53" t="s">
        <v>832</v>
      </c>
      <c r="E50" s="6" t="s">
        <v>142</v>
      </c>
      <c r="F50" s="19">
        <v>1375349</v>
      </c>
      <c r="G50" s="24">
        <v>1257.07</v>
      </c>
      <c r="H50" s="24">
        <v>0.95</v>
      </c>
      <c r="I50" s="31"/>
      <c r="J50" s="35"/>
    </row>
    <row r="51" spans="2:10" x14ac:dyDescent="0.25">
      <c r="B51" s="8" t="s">
        <v>833</v>
      </c>
      <c r="C51" s="56" t="s">
        <v>834</v>
      </c>
      <c r="D51" s="53" t="s">
        <v>835</v>
      </c>
      <c r="E51" s="6" t="s">
        <v>142</v>
      </c>
      <c r="F51" s="19">
        <v>38058</v>
      </c>
      <c r="G51" s="24">
        <v>1207.71</v>
      </c>
      <c r="H51" s="24">
        <v>0.91</v>
      </c>
      <c r="I51" s="31"/>
      <c r="J51" s="35"/>
    </row>
    <row r="52" spans="2:10" x14ac:dyDescent="0.25">
      <c r="B52" s="8" t="s">
        <v>73</v>
      </c>
      <c r="C52" s="56" t="s">
        <v>74</v>
      </c>
      <c r="D52" s="53" t="s">
        <v>75</v>
      </c>
      <c r="E52" s="6" t="s">
        <v>51</v>
      </c>
      <c r="F52" s="19">
        <v>260000</v>
      </c>
      <c r="G52" s="24">
        <v>1104.0899999999999</v>
      </c>
      <c r="H52" s="24">
        <v>0.84</v>
      </c>
      <c r="I52" s="31"/>
      <c r="J52" s="35"/>
    </row>
    <row r="53" spans="2:10" x14ac:dyDescent="0.25">
      <c r="B53" s="8" t="s">
        <v>836</v>
      </c>
      <c r="C53" s="56" t="s">
        <v>837</v>
      </c>
      <c r="D53" s="53" t="s">
        <v>838</v>
      </c>
      <c r="E53" s="6" t="s">
        <v>79</v>
      </c>
      <c r="F53" s="19">
        <v>1945000</v>
      </c>
      <c r="G53" s="24">
        <v>937.49</v>
      </c>
      <c r="H53" s="24">
        <v>0.71</v>
      </c>
      <c r="I53" s="31"/>
      <c r="J53" s="35"/>
    </row>
    <row r="54" spans="2:10" x14ac:dyDescent="0.25">
      <c r="B54" s="8" t="s">
        <v>839</v>
      </c>
      <c r="C54" s="56" t="s">
        <v>840</v>
      </c>
      <c r="D54" s="53" t="s">
        <v>841</v>
      </c>
      <c r="E54" s="6" t="s">
        <v>842</v>
      </c>
      <c r="F54" s="19">
        <v>1300000</v>
      </c>
      <c r="G54" s="24">
        <v>900.25</v>
      </c>
      <c r="H54" s="24">
        <v>0.68</v>
      </c>
      <c r="I54" s="31"/>
      <c r="J54" s="35"/>
    </row>
    <row r="55" spans="2:10" x14ac:dyDescent="0.25">
      <c r="B55" s="8" t="s">
        <v>843</v>
      </c>
      <c r="C55" s="56" t="s">
        <v>844</v>
      </c>
      <c r="D55" s="53" t="s">
        <v>845</v>
      </c>
      <c r="E55" s="6" t="s">
        <v>55</v>
      </c>
      <c r="F55" s="19">
        <v>1300000</v>
      </c>
      <c r="G55" s="24">
        <v>896.35</v>
      </c>
      <c r="H55" s="24">
        <v>0.68</v>
      </c>
      <c r="I55" s="31"/>
      <c r="J55" s="35"/>
    </row>
    <row r="56" spans="2:10" x14ac:dyDescent="0.25">
      <c r="B56" s="8" t="s">
        <v>203</v>
      </c>
      <c r="C56" s="56" t="s">
        <v>204</v>
      </c>
      <c r="D56" s="53" t="s">
        <v>205</v>
      </c>
      <c r="E56" s="6" t="s">
        <v>111</v>
      </c>
      <c r="F56" s="19">
        <v>14207</v>
      </c>
      <c r="G56" s="24">
        <v>134.94999999999999</v>
      </c>
      <c r="H56" s="24">
        <v>0.1</v>
      </c>
      <c r="I56" s="31"/>
      <c r="J56" s="35"/>
    </row>
    <row r="57" spans="2:10" x14ac:dyDescent="0.25">
      <c r="C57" s="57" t="s">
        <v>35</v>
      </c>
      <c r="D57" s="53"/>
      <c r="E57" s="6"/>
      <c r="F57" s="19"/>
      <c r="G57" s="25">
        <v>112319.35</v>
      </c>
      <c r="H57" s="25">
        <v>84.99</v>
      </c>
      <c r="I57" s="31"/>
      <c r="J57" s="35"/>
    </row>
    <row r="58" spans="2:10" x14ac:dyDescent="0.25">
      <c r="C58" s="56"/>
      <c r="D58" s="53"/>
      <c r="E58" s="6"/>
      <c r="F58" s="19"/>
      <c r="G58" s="24"/>
      <c r="H58" s="24"/>
      <c r="I58" s="31"/>
      <c r="J58" s="35"/>
    </row>
    <row r="59" spans="2:10" x14ac:dyDescent="0.25">
      <c r="C59" s="57" t="s">
        <v>3</v>
      </c>
      <c r="D59" s="53"/>
      <c r="E59" s="6"/>
      <c r="F59" s="19"/>
      <c r="G59" s="24" t="s">
        <v>2</v>
      </c>
      <c r="H59" s="24" t="s">
        <v>2</v>
      </c>
      <c r="I59" s="31"/>
      <c r="J59" s="35"/>
    </row>
    <row r="60" spans="2:10" x14ac:dyDescent="0.25">
      <c r="C60" s="56"/>
      <c r="D60" s="53"/>
      <c r="E60" s="6"/>
      <c r="F60" s="19"/>
      <c r="G60" s="24"/>
      <c r="H60" s="24"/>
      <c r="I60" s="31"/>
      <c r="J60" s="35"/>
    </row>
    <row r="61" spans="2:10" x14ac:dyDescent="0.25">
      <c r="C61" s="57" t="s">
        <v>4</v>
      </c>
      <c r="D61" s="53"/>
      <c r="E61" s="6"/>
      <c r="F61" s="19"/>
      <c r="G61" s="24" t="s">
        <v>2</v>
      </c>
      <c r="H61" s="24" t="s">
        <v>2</v>
      </c>
      <c r="I61" s="31"/>
      <c r="J61" s="35"/>
    </row>
    <row r="62" spans="2:10" x14ac:dyDescent="0.25">
      <c r="C62" s="56"/>
      <c r="D62" s="53"/>
      <c r="E62" s="6"/>
      <c r="F62" s="19"/>
      <c r="G62" s="24"/>
      <c r="H62" s="24"/>
      <c r="I62" s="31"/>
      <c r="J62" s="35"/>
    </row>
    <row r="63" spans="2:10" x14ac:dyDescent="0.25">
      <c r="C63" s="57" t="s">
        <v>5</v>
      </c>
      <c r="D63" s="53"/>
      <c r="E63" s="6"/>
      <c r="F63" s="19"/>
      <c r="G63" s="24"/>
      <c r="H63" s="24"/>
      <c r="I63" s="31"/>
      <c r="J63" s="35"/>
    </row>
    <row r="64" spans="2:10" x14ac:dyDescent="0.25">
      <c r="C64" s="56"/>
      <c r="D64" s="53"/>
      <c r="E64" s="6"/>
      <c r="F64" s="19"/>
      <c r="G64" s="24"/>
      <c r="H64" s="24"/>
      <c r="I64" s="31"/>
      <c r="J64" s="35"/>
    </row>
    <row r="65" spans="3:10" x14ac:dyDescent="0.25">
      <c r="C65" s="57" t="s">
        <v>6</v>
      </c>
      <c r="D65" s="53"/>
      <c r="E65" s="6"/>
      <c r="F65" s="19"/>
      <c r="G65" s="24" t="s">
        <v>2</v>
      </c>
      <c r="H65" s="24" t="s">
        <v>2</v>
      </c>
      <c r="I65" s="31"/>
      <c r="J65" s="35"/>
    </row>
    <row r="66" spans="3:10" x14ac:dyDescent="0.25">
      <c r="C66" s="56"/>
      <c r="D66" s="53"/>
      <c r="E66" s="6"/>
      <c r="F66" s="19"/>
      <c r="G66" s="24"/>
      <c r="H66" s="24"/>
      <c r="I66" s="31"/>
      <c r="J66" s="35"/>
    </row>
    <row r="67" spans="3:10" x14ac:dyDescent="0.25">
      <c r="C67" s="57" t="s">
        <v>7</v>
      </c>
      <c r="D67" s="53"/>
      <c r="E67" s="6"/>
      <c r="F67" s="19"/>
      <c r="G67" s="24" t="s">
        <v>2</v>
      </c>
      <c r="H67" s="24" t="s">
        <v>2</v>
      </c>
      <c r="I67" s="31"/>
      <c r="J67" s="35"/>
    </row>
    <row r="68" spans="3:10" x14ac:dyDescent="0.25">
      <c r="C68" s="56"/>
      <c r="D68" s="53"/>
      <c r="E68" s="6"/>
      <c r="F68" s="19"/>
      <c r="G68" s="24"/>
      <c r="H68" s="24"/>
      <c r="I68" s="31"/>
      <c r="J68" s="35"/>
    </row>
    <row r="69" spans="3:10" x14ac:dyDescent="0.25">
      <c r="C69" s="57" t="s">
        <v>8</v>
      </c>
      <c r="D69" s="53"/>
      <c r="E69" s="6"/>
      <c r="F69" s="19"/>
      <c r="G69" s="24" t="s">
        <v>2</v>
      </c>
      <c r="H69" s="24" t="s">
        <v>2</v>
      </c>
      <c r="I69" s="31"/>
      <c r="J69" s="35"/>
    </row>
    <row r="70" spans="3:10" x14ac:dyDescent="0.25">
      <c r="C70" s="56"/>
      <c r="D70" s="53"/>
      <c r="E70" s="6"/>
      <c r="F70" s="19"/>
      <c r="G70" s="24"/>
      <c r="H70" s="24"/>
      <c r="I70" s="31"/>
      <c r="J70" s="35"/>
    </row>
    <row r="71" spans="3:10" x14ac:dyDescent="0.25">
      <c r="C71" s="57" t="s">
        <v>9</v>
      </c>
      <c r="D71" s="53"/>
      <c r="E71" s="6"/>
      <c r="F71" s="19"/>
      <c r="G71" s="24" t="s">
        <v>2</v>
      </c>
      <c r="H71" s="24" t="s">
        <v>2</v>
      </c>
      <c r="I71" s="31"/>
      <c r="J71" s="35"/>
    </row>
    <row r="72" spans="3:10" x14ac:dyDescent="0.25">
      <c r="C72" s="56"/>
      <c r="D72" s="53"/>
      <c r="E72" s="6"/>
      <c r="F72" s="19"/>
      <c r="G72" s="24"/>
      <c r="H72" s="24"/>
      <c r="I72" s="31"/>
      <c r="J72" s="35"/>
    </row>
    <row r="73" spans="3:10" x14ac:dyDescent="0.25">
      <c r="C73" s="57" t="s">
        <v>10</v>
      </c>
      <c r="D73" s="53"/>
      <c r="E73" s="6"/>
      <c r="F73" s="19"/>
      <c r="G73" s="24" t="s">
        <v>2</v>
      </c>
      <c r="H73" s="24" t="s">
        <v>2</v>
      </c>
      <c r="I73" s="31"/>
      <c r="J73" s="35"/>
    </row>
    <row r="74" spans="3:10" x14ac:dyDescent="0.25">
      <c r="C74" s="56"/>
      <c r="D74" s="53"/>
      <c r="E74" s="6"/>
      <c r="F74" s="19"/>
      <c r="G74" s="24"/>
      <c r="H74" s="24"/>
      <c r="I74" s="31"/>
      <c r="J74" s="35"/>
    </row>
    <row r="75" spans="3:10" x14ac:dyDescent="0.25">
      <c r="C75" s="57" t="s">
        <v>11</v>
      </c>
      <c r="D75" s="53"/>
      <c r="E75" s="6"/>
      <c r="F75" s="19"/>
      <c r="G75" s="24"/>
      <c r="H75" s="24"/>
      <c r="I75" s="31"/>
      <c r="J75" s="35"/>
    </row>
    <row r="76" spans="3:10" x14ac:dyDescent="0.25">
      <c r="C76" s="56"/>
      <c r="D76" s="53"/>
      <c r="E76" s="6"/>
      <c r="F76" s="19"/>
      <c r="G76" s="24"/>
      <c r="H76" s="24"/>
      <c r="I76" s="31"/>
      <c r="J76" s="35"/>
    </row>
    <row r="77" spans="3:10" x14ac:dyDescent="0.25">
      <c r="C77" s="57" t="s">
        <v>13</v>
      </c>
      <c r="D77" s="53"/>
      <c r="E77" s="6"/>
      <c r="F77" s="19"/>
      <c r="G77" s="24" t="s">
        <v>2</v>
      </c>
      <c r="H77" s="24" t="s">
        <v>2</v>
      </c>
      <c r="I77" s="31"/>
      <c r="J77" s="35"/>
    </row>
    <row r="78" spans="3:10" x14ac:dyDescent="0.25">
      <c r="C78" s="56"/>
      <c r="D78" s="53"/>
      <c r="E78" s="6"/>
      <c r="F78" s="19"/>
      <c r="G78" s="24"/>
      <c r="H78" s="24"/>
      <c r="I78" s="31"/>
      <c r="J78" s="35"/>
    </row>
    <row r="79" spans="3:10" x14ac:dyDescent="0.25">
      <c r="C79" s="57" t="s">
        <v>14</v>
      </c>
      <c r="D79" s="53"/>
      <c r="E79" s="6"/>
      <c r="F79" s="19"/>
      <c r="G79" s="24" t="s">
        <v>2</v>
      </c>
      <c r="H79" s="24" t="s">
        <v>2</v>
      </c>
      <c r="I79" s="31"/>
      <c r="J79" s="35"/>
    </row>
    <row r="80" spans="3:10" x14ac:dyDescent="0.25">
      <c r="C80" s="56"/>
      <c r="D80" s="53"/>
      <c r="E80" s="6"/>
      <c r="F80" s="19"/>
      <c r="G80" s="24"/>
      <c r="H80" s="24"/>
      <c r="I80" s="31"/>
      <c r="J80" s="35"/>
    </row>
    <row r="81" spans="1:10" x14ac:dyDescent="0.25">
      <c r="C81" s="57" t="s">
        <v>15</v>
      </c>
      <c r="D81" s="53"/>
      <c r="E81" s="6"/>
      <c r="F81" s="19"/>
      <c r="G81" s="24" t="s">
        <v>2</v>
      </c>
      <c r="H81" s="24" t="s">
        <v>2</v>
      </c>
      <c r="I81" s="31"/>
      <c r="J81" s="35"/>
    </row>
    <row r="82" spans="1:10" x14ac:dyDescent="0.25">
      <c r="C82" s="56"/>
      <c r="D82" s="53"/>
      <c r="E82" s="6"/>
      <c r="F82" s="19"/>
      <c r="G82" s="24"/>
      <c r="H82" s="24"/>
      <c r="I82" s="31"/>
      <c r="J82" s="35"/>
    </row>
    <row r="83" spans="1:10" x14ac:dyDescent="0.25">
      <c r="C83" s="57" t="s">
        <v>16</v>
      </c>
      <c r="D83" s="53"/>
      <c r="E83" s="6"/>
      <c r="F83" s="19"/>
      <c r="G83" s="24" t="s">
        <v>2</v>
      </c>
      <c r="H83" s="24" t="s">
        <v>2</v>
      </c>
      <c r="I83" s="31"/>
      <c r="J83" s="35"/>
    </row>
    <row r="84" spans="1:10" x14ac:dyDescent="0.25">
      <c r="C84" s="56"/>
      <c r="D84" s="53"/>
      <c r="E84" s="6"/>
      <c r="F84" s="19"/>
      <c r="G84" s="24"/>
      <c r="H84" s="24"/>
      <c r="I84" s="31"/>
      <c r="J84" s="35"/>
    </row>
    <row r="85" spans="1:10" x14ac:dyDescent="0.25">
      <c r="A85" s="10"/>
      <c r="B85" s="28"/>
      <c r="C85" s="58" t="s">
        <v>17</v>
      </c>
      <c r="D85" s="53"/>
      <c r="E85" s="6"/>
      <c r="F85" s="19"/>
      <c r="G85" s="24"/>
      <c r="H85" s="24"/>
      <c r="I85" s="31"/>
      <c r="J85" s="35"/>
    </row>
    <row r="86" spans="1:10" x14ac:dyDescent="0.25">
      <c r="A86" s="28"/>
      <c r="B86" s="28"/>
      <c r="C86" s="58" t="s">
        <v>18</v>
      </c>
      <c r="D86" s="53"/>
      <c r="E86" s="6"/>
      <c r="F86" s="19"/>
      <c r="G86" s="24" t="s">
        <v>2</v>
      </c>
      <c r="H86" s="24" t="s">
        <v>2</v>
      </c>
      <c r="I86" s="31"/>
      <c r="J86" s="35"/>
    </row>
    <row r="87" spans="1:10" x14ac:dyDescent="0.25">
      <c r="A87" s="28"/>
      <c r="B87" s="28"/>
      <c r="C87" s="58"/>
      <c r="D87" s="53"/>
      <c r="E87" s="6"/>
      <c r="F87" s="19"/>
      <c r="G87" s="24"/>
      <c r="H87" s="24"/>
      <c r="I87" s="31"/>
      <c r="J87" s="35"/>
    </row>
    <row r="88" spans="1:10" x14ac:dyDescent="0.25">
      <c r="A88" s="28"/>
      <c r="B88" s="28"/>
      <c r="C88" s="58" t="s">
        <v>19</v>
      </c>
      <c r="D88" s="53"/>
      <c r="E88" s="6"/>
      <c r="F88" s="19"/>
      <c r="G88" s="24" t="s">
        <v>2</v>
      </c>
      <c r="H88" s="24" t="s">
        <v>2</v>
      </c>
      <c r="I88" s="31"/>
      <c r="J88" s="35"/>
    </row>
    <row r="89" spans="1:10" x14ac:dyDescent="0.25">
      <c r="A89" s="28"/>
      <c r="B89" s="28"/>
      <c r="C89" s="58"/>
      <c r="D89" s="53"/>
      <c r="E89" s="6"/>
      <c r="F89" s="19"/>
      <c r="G89" s="24"/>
      <c r="H89" s="24"/>
      <c r="I89" s="31"/>
      <c r="J89" s="35"/>
    </row>
    <row r="90" spans="1:10" x14ac:dyDescent="0.25">
      <c r="A90" s="28"/>
      <c r="B90" s="28"/>
      <c r="C90" s="58" t="s">
        <v>20</v>
      </c>
      <c r="D90" s="53"/>
      <c r="E90" s="6"/>
      <c r="F90" s="19"/>
      <c r="G90" s="24" t="s">
        <v>2</v>
      </c>
      <c r="H90" s="24" t="s">
        <v>2</v>
      </c>
      <c r="I90" s="31"/>
      <c r="J90" s="35"/>
    </row>
    <row r="91" spans="1:10" x14ac:dyDescent="0.25">
      <c r="A91" s="28"/>
      <c r="B91" s="28"/>
      <c r="C91" s="58"/>
      <c r="D91" s="53"/>
      <c r="E91" s="6"/>
      <c r="F91" s="19"/>
      <c r="G91" s="24"/>
      <c r="H91" s="24"/>
      <c r="I91" s="31"/>
      <c r="J91" s="35"/>
    </row>
    <row r="92" spans="1:10" x14ac:dyDescent="0.25">
      <c r="C92" s="59" t="s">
        <v>21</v>
      </c>
      <c r="D92" s="53"/>
      <c r="E92" s="6"/>
      <c r="F92" s="19"/>
      <c r="G92" s="24"/>
      <c r="H92" s="24"/>
      <c r="I92" s="31"/>
      <c r="J92" s="35"/>
    </row>
    <row r="93" spans="1:10" x14ac:dyDescent="0.25">
      <c r="B93" s="8" t="s">
        <v>846</v>
      </c>
      <c r="C93" s="56" t="s">
        <v>847</v>
      </c>
      <c r="D93" s="53"/>
      <c r="E93" s="6"/>
      <c r="F93" s="19"/>
      <c r="G93" s="24">
        <v>1500</v>
      </c>
      <c r="H93" s="24">
        <v>1.1399999999999999</v>
      </c>
      <c r="I93" s="31"/>
      <c r="J93" s="35"/>
    </row>
    <row r="94" spans="1:10" x14ac:dyDescent="0.25">
      <c r="B94" s="8" t="s">
        <v>848</v>
      </c>
      <c r="C94" s="56" t="s">
        <v>847</v>
      </c>
      <c r="D94" s="53"/>
      <c r="E94" s="6"/>
      <c r="F94" s="19"/>
      <c r="G94" s="24">
        <v>1500</v>
      </c>
      <c r="H94" s="24">
        <v>1.1399999999999999</v>
      </c>
      <c r="I94" s="31"/>
      <c r="J94" s="35"/>
    </row>
    <row r="95" spans="1:10" x14ac:dyDescent="0.25">
      <c r="B95" s="8" t="s">
        <v>849</v>
      </c>
      <c r="C95" s="56" t="s">
        <v>847</v>
      </c>
      <c r="D95" s="53"/>
      <c r="E95" s="6"/>
      <c r="F95" s="19"/>
      <c r="G95" s="24">
        <v>1000</v>
      </c>
      <c r="H95" s="24">
        <v>0.76</v>
      </c>
      <c r="I95" s="31"/>
      <c r="J95" s="35"/>
    </row>
    <row r="96" spans="1:10" x14ac:dyDescent="0.25">
      <c r="B96" s="8" t="s">
        <v>850</v>
      </c>
      <c r="C96" s="56" t="s">
        <v>847</v>
      </c>
      <c r="D96" s="53"/>
      <c r="E96" s="6"/>
      <c r="F96" s="19"/>
      <c r="G96" s="24">
        <v>1000</v>
      </c>
      <c r="H96" s="24">
        <v>0.76</v>
      </c>
      <c r="I96" s="31"/>
      <c r="J96" s="35"/>
    </row>
    <row r="97" spans="1:10" x14ac:dyDescent="0.25">
      <c r="C97" s="57" t="s">
        <v>35</v>
      </c>
      <c r="D97" s="53"/>
      <c r="E97" s="6"/>
      <c r="F97" s="19"/>
      <c r="G97" s="25">
        <v>5000</v>
      </c>
      <c r="H97" s="25">
        <v>3.8</v>
      </c>
      <c r="I97" s="31"/>
      <c r="J97" s="35"/>
    </row>
    <row r="98" spans="1:10" x14ac:dyDescent="0.25">
      <c r="C98" s="56"/>
      <c r="D98" s="53"/>
      <c r="E98" s="6"/>
      <c r="F98" s="19"/>
      <c r="G98" s="24"/>
      <c r="H98" s="24"/>
      <c r="I98" s="31"/>
      <c r="J98" s="35"/>
    </row>
    <row r="99" spans="1:10" x14ac:dyDescent="0.25">
      <c r="C99" s="59" t="s">
        <v>22</v>
      </c>
      <c r="D99" s="53"/>
      <c r="E99" s="6"/>
      <c r="F99" s="19"/>
      <c r="G99" s="24"/>
      <c r="H99" s="24"/>
      <c r="I99" s="31"/>
      <c r="J99" s="35"/>
    </row>
    <row r="100" spans="1:10" x14ac:dyDescent="0.25">
      <c r="B100" s="8" t="s">
        <v>33</v>
      </c>
      <c r="C100" s="56" t="s">
        <v>34</v>
      </c>
      <c r="D100" s="53"/>
      <c r="E100" s="6"/>
      <c r="F100" s="19"/>
      <c r="G100" s="24">
        <v>12605.08</v>
      </c>
      <c r="H100" s="24">
        <v>9.5399999999999991</v>
      </c>
      <c r="I100" s="31"/>
      <c r="J100" s="35"/>
    </row>
    <row r="101" spans="1:10" x14ac:dyDescent="0.25">
      <c r="C101" s="57" t="s">
        <v>35</v>
      </c>
      <c r="D101" s="53"/>
      <c r="E101" s="6"/>
      <c r="F101" s="19"/>
      <c r="G101" s="25">
        <v>12605.08</v>
      </c>
      <c r="H101" s="25">
        <v>9.5399999999999991</v>
      </c>
      <c r="I101" s="31"/>
      <c r="J101" s="35"/>
    </row>
    <row r="102" spans="1:10" x14ac:dyDescent="0.25">
      <c r="C102" s="56"/>
      <c r="D102" s="53"/>
      <c r="E102" s="6"/>
      <c r="F102" s="19"/>
      <c r="G102" s="24"/>
      <c r="H102" s="24"/>
      <c r="I102" s="31"/>
      <c r="J102" s="35"/>
    </row>
    <row r="103" spans="1:10" x14ac:dyDescent="0.25">
      <c r="A103" s="10"/>
      <c r="B103" s="28"/>
      <c r="C103" s="58" t="s">
        <v>23</v>
      </c>
      <c r="D103" s="53"/>
      <c r="E103" s="6"/>
      <c r="F103" s="19"/>
      <c r="G103" s="24"/>
      <c r="H103" s="24"/>
      <c r="I103" s="31"/>
      <c r="J103" s="35"/>
    </row>
    <row r="104" spans="1:10" x14ac:dyDescent="0.25">
      <c r="A104" s="28"/>
      <c r="B104" s="28"/>
      <c r="C104" s="60" t="s">
        <v>3398</v>
      </c>
      <c r="D104" s="53"/>
      <c r="E104" s="6"/>
      <c r="F104" s="19"/>
      <c r="G104" s="24">
        <v>492.5</v>
      </c>
      <c r="H104" s="24">
        <v>0.37</v>
      </c>
      <c r="I104" s="31"/>
      <c r="J104" s="35"/>
    </row>
    <row r="105" spans="1:10" x14ac:dyDescent="0.25">
      <c r="B105" s="8"/>
      <c r="C105" s="56" t="s">
        <v>36</v>
      </c>
      <c r="D105" s="53"/>
      <c r="E105" s="6"/>
      <c r="F105" s="19"/>
      <c r="G105" s="24">
        <v>1663.33</v>
      </c>
      <c r="H105" s="24">
        <v>1.2999999999999998</v>
      </c>
      <c r="I105" s="31"/>
      <c r="J105" s="35"/>
    </row>
    <row r="106" spans="1:10" x14ac:dyDescent="0.25">
      <c r="C106" s="57" t="s">
        <v>35</v>
      </c>
      <c r="D106" s="53"/>
      <c r="E106" s="6"/>
      <c r="F106" s="19"/>
      <c r="G106" s="25">
        <v>2155.83</v>
      </c>
      <c r="H106" s="25">
        <v>1.67</v>
      </c>
      <c r="I106" s="31"/>
      <c r="J106" s="35"/>
    </row>
    <row r="107" spans="1:10" x14ac:dyDescent="0.25">
      <c r="C107" s="56"/>
      <c r="D107" s="53"/>
      <c r="E107" s="6"/>
      <c r="F107" s="19"/>
      <c r="G107" s="24"/>
      <c r="H107" s="24"/>
      <c r="I107" s="31"/>
      <c r="J107" s="35"/>
    </row>
    <row r="108" spans="1:10" x14ac:dyDescent="0.25">
      <c r="C108" s="61" t="s">
        <v>37</v>
      </c>
      <c r="D108" s="54"/>
      <c r="E108" s="5"/>
      <c r="F108" s="20"/>
      <c r="G108" s="26">
        <v>132080.26</v>
      </c>
      <c r="H108" s="26">
        <f>SUMIFS(H:H,C:C,"Total")</f>
        <v>99.999999999999986</v>
      </c>
      <c r="I108" s="32"/>
      <c r="J108" s="36"/>
    </row>
    <row r="110" spans="1:10" s="49" customFormat="1" ht="15.75" x14ac:dyDescent="0.3">
      <c r="C110" s="49" t="s">
        <v>3323</v>
      </c>
      <c r="F110" s="50"/>
      <c r="G110" s="50"/>
      <c r="H110" s="50"/>
    </row>
    <row r="111" spans="1:10" s="41" customFormat="1" ht="27" x14ac:dyDescent="0.25">
      <c r="B111" s="42"/>
      <c r="C111" s="42" t="s">
        <v>3318</v>
      </c>
      <c r="D111" s="42" t="s">
        <v>3319</v>
      </c>
      <c r="E111" s="42" t="s">
        <v>3320</v>
      </c>
      <c r="F111" s="43" t="s">
        <v>28</v>
      </c>
      <c r="G111" s="44" t="s">
        <v>3321</v>
      </c>
      <c r="H111" s="43" t="s">
        <v>30</v>
      </c>
      <c r="I111" s="42" t="s">
        <v>32</v>
      </c>
    </row>
    <row r="112" spans="1:10" s="41" customFormat="1" x14ac:dyDescent="0.25">
      <c r="B112" s="42"/>
      <c r="C112" s="42" t="s">
        <v>3329</v>
      </c>
      <c r="D112" s="42"/>
      <c r="E112" s="42"/>
      <c r="F112" s="43"/>
      <c r="G112" s="44"/>
      <c r="H112" s="43"/>
      <c r="I112" s="42"/>
    </row>
    <row r="113" spans="2:10" x14ac:dyDescent="0.25">
      <c r="B113" s="45">
        <v>3700053</v>
      </c>
      <c r="C113" s="45" t="s">
        <v>3328</v>
      </c>
      <c r="D113" s="45" t="s">
        <v>3316</v>
      </c>
      <c r="E113" s="45" t="s">
        <v>12</v>
      </c>
      <c r="F113" s="46">
        <v>12800</v>
      </c>
      <c r="G113" s="46">
        <v>2747.424</v>
      </c>
      <c r="H113" s="46">
        <v>2.08</v>
      </c>
      <c r="I113" s="45"/>
      <c r="J113" s="2"/>
    </row>
    <row r="114" spans="2:10" s="1" customFormat="1" x14ac:dyDescent="0.25">
      <c r="B114" s="47"/>
      <c r="C114" s="47" t="s">
        <v>3313</v>
      </c>
      <c r="D114" s="47"/>
      <c r="E114" s="47"/>
      <c r="F114" s="48"/>
      <c r="G114" s="48"/>
      <c r="H114" s="48"/>
      <c r="I114" s="47"/>
    </row>
    <row r="115" spans="2:10" x14ac:dyDescent="0.25">
      <c r="B115" s="45">
        <v>2209300</v>
      </c>
      <c r="C115" s="45" t="s">
        <v>3333</v>
      </c>
      <c r="D115" s="45" t="s">
        <v>3316</v>
      </c>
      <c r="E115" s="45" t="s">
        <v>196</v>
      </c>
      <c r="F115" s="46">
        <v>4800</v>
      </c>
      <c r="G115" s="46">
        <v>2866.9007999999999</v>
      </c>
      <c r="H115" s="46">
        <v>2.17</v>
      </c>
      <c r="I115" s="45"/>
      <c r="J115" s="2"/>
    </row>
    <row r="116" spans="2:10" x14ac:dyDescent="0.25">
      <c r="B116" s="45">
        <v>2209314</v>
      </c>
      <c r="C116" s="45" t="s">
        <v>3332</v>
      </c>
      <c r="D116" s="45" t="s">
        <v>3316</v>
      </c>
      <c r="E116" s="45" t="s">
        <v>261</v>
      </c>
      <c r="F116" s="46">
        <v>1400000</v>
      </c>
      <c r="G116" s="46">
        <v>2287.6</v>
      </c>
      <c r="H116" s="46">
        <v>1.73</v>
      </c>
      <c r="I116" s="45"/>
      <c r="J116" s="2"/>
    </row>
    <row r="117" spans="2:10" x14ac:dyDescent="0.25">
      <c r="B117" s="45">
        <v>2209326</v>
      </c>
      <c r="C117" s="45" t="s">
        <v>3331</v>
      </c>
      <c r="D117" s="45" t="s">
        <v>3316</v>
      </c>
      <c r="E117" s="45" t="s">
        <v>111</v>
      </c>
      <c r="F117" s="46">
        <v>350000</v>
      </c>
      <c r="G117" s="46">
        <v>1761.7249999999999</v>
      </c>
      <c r="H117" s="46">
        <v>1.33</v>
      </c>
      <c r="I117" s="45"/>
      <c r="J117" s="2"/>
    </row>
    <row r="118" spans="2:10" x14ac:dyDescent="0.25">
      <c r="B118" s="45">
        <v>2209305</v>
      </c>
      <c r="C118" s="45" t="s">
        <v>3330</v>
      </c>
      <c r="D118" s="45" t="s">
        <v>3316</v>
      </c>
      <c r="E118" s="45" t="s">
        <v>886</v>
      </c>
      <c r="F118" s="46">
        <v>1815700</v>
      </c>
      <c r="G118" s="46">
        <v>1496.1368</v>
      </c>
      <c r="H118" s="46">
        <v>1.1299999999999999</v>
      </c>
      <c r="I118" s="45"/>
      <c r="J118" s="2"/>
    </row>
    <row r="119" spans="2:10" s="1" customFormat="1" x14ac:dyDescent="0.25">
      <c r="B119" s="47"/>
      <c r="C119" s="47" t="s">
        <v>3322</v>
      </c>
      <c r="D119" s="47"/>
      <c r="E119" s="47"/>
      <c r="F119" s="48"/>
      <c r="G119" s="48">
        <f>SUM(G112:G118)</f>
        <v>11159.786600000001</v>
      </c>
      <c r="H119" s="48">
        <f>SUM(H112:H118)</f>
        <v>8.4400000000000013</v>
      </c>
      <c r="I119" s="47"/>
    </row>
    <row r="121" spans="2:10" x14ac:dyDescent="0.25">
      <c r="C121" s="1" t="s">
        <v>38</v>
      </c>
    </row>
    <row r="122" spans="2:10" x14ac:dyDescent="0.25">
      <c r="C122" s="2" t="s">
        <v>39</v>
      </c>
    </row>
    <row r="123" spans="2:10" x14ac:dyDescent="0.25">
      <c r="C123" s="2" t="s">
        <v>40</v>
      </c>
    </row>
    <row r="124" spans="2:10" x14ac:dyDescent="0.25">
      <c r="C124" s="2" t="s">
        <v>3430</v>
      </c>
    </row>
  </sheetData>
  <sortState ref="A115:J118">
    <sortCondition descending="1" ref="H115:H118"/>
  </sortState>
  <hyperlinks>
    <hyperlink ref="J2" location="'Index'!A1" display="'Index'!A1"/>
  </hyperlinks>
  <pageMargins left="0.7" right="0.7" top="0.75" bottom="0.75" header="0.3" footer="0.3"/>
  <pageSetup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
  <dimension ref="A1:J130"/>
  <sheetViews>
    <sheetView showGridLines="0" zoomScale="90" zoomScaleNormal="90" workbookViewId="0">
      <pane ySplit="6" topLeftCell="A108" activePane="bottomLeft" state="frozen"/>
      <selection pane="bottomLeft" activeCell="C108" sqref="C108"/>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851</v>
      </c>
      <c r="J2" s="37" t="s">
        <v>3307</v>
      </c>
    </row>
    <row r="3" spans="1:10" ht="16.5" x14ac:dyDescent="0.3">
      <c r="C3" s="1" t="s">
        <v>24</v>
      </c>
      <c r="D3" s="21" t="s">
        <v>852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595232</v>
      </c>
      <c r="G10" s="24">
        <v>13299.57</v>
      </c>
      <c r="H10" s="24">
        <v>14.55</v>
      </c>
      <c r="I10" s="31"/>
      <c r="J10" s="35"/>
    </row>
    <row r="11" spans="1:10" x14ac:dyDescent="0.25">
      <c r="B11" s="8" t="s">
        <v>48</v>
      </c>
      <c r="C11" s="56" t="s">
        <v>49</v>
      </c>
      <c r="D11" s="53" t="s">
        <v>50</v>
      </c>
      <c r="E11" s="6" t="s">
        <v>51</v>
      </c>
      <c r="F11" s="19">
        <v>800394</v>
      </c>
      <c r="G11" s="24">
        <v>8633.0499999999993</v>
      </c>
      <c r="H11" s="24">
        <v>9.4499999999999993</v>
      </c>
      <c r="I11" s="31"/>
      <c r="J11" s="35"/>
    </row>
    <row r="12" spans="1:10" x14ac:dyDescent="0.25">
      <c r="B12" s="8" t="s">
        <v>44</v>
      </c>
      <c r="C12" s="56" t="s">
        <v>45</v>
      </c>
      <c r="D12" s="53" t="s">
        <v>46</v>
      </c>
      <c r="E12" s="6" t="s">
        <v>47</v>
      </c>
      <c r="F12" s="19">
        <v>674394</v>
      </c>
      <c r="G12" s="24">
        <v>6799.58</v>
      </c>
      <c r="H12" s="24">
        <v>7.44</v>
      </c>
      <c r="I12" s="31"/>
      <c r="J12" s="35"/>
    </row>
    <row r="13" spans="1:10" x14ac:dyDescent="0.25">
      <c r="B13" s="8" t="s">
        <v>124</v>
      </c>
      <c r="C13" s="56" t="s">
        <v>125</v>
      </c>
      <c r="D13" s="53" t="s">
        <v>126</v>
      </c>
      <c r="E13" s="6" t="s">
        <v>94</v>
      </c>
      <c r="F13" s="19">
        <v>329789</v>
      </c>
      <c r="G13" s="24">
        <v>5738.49</v>
      </c>
      <c r="H13" s="24">
        <v>6.28</v>
      </c>
      <c r="I13" s="31"/>
      <c r="J13" s="35"/>
    </row>
    <row r="14" spans="1:10" x14ac:dyDescent="0.25">
      <c r="B14" s="8" t="s">
        <v>56</v>
      </c>
      <c r="C14" s="56" t="s">
        <v>57</v>
      </c>
      <c r="D14" s="53" t="s">
        <v>58</v>
      </c>
      <c r="E14" s="6" t="s">
        <v>47</v>
      </c>
      <c r="F14" s="19">
        <v>193434</v>
      </c>
      <c r="G14" s="24">
        <v>4820.96</v>
      </c>
      <c r="H14" s="24">
        <v>5.27</v>
      </c>
      <c r="I14" s="31"/>
      <c r="J14" s="35"/>
    </row>
    <row r="15" spans="1:10" x14ac:dyDescent="0.25">
      <c r="B15" s="8" t="s">
        <v>62</v>
      </c>
      <c r="C15" s="56" t="s">
        <v>63</v>
      </c>
      <c r="D15" s="53" t="s">
        <v>64</v>
      </c>
      <c r="E15" s="6" t="s">
        <v>51</v>
      </c>
      <c r="F15" s="19">
        <v>1269592</v>
      </c>
      <c r="G15" s="24">
        <v>4503.88</v>
      </c>
      <c r="H15" s="24">
        <v>4.93</v>
      </c>
      <c r="I15" s="31"/>
      <c r="J15" s="35"/>
    </row>
    <row r="16" spans="1:10" x14ac:dyDescent="0.25">
      <c r="B16" s="8" t="s">
        <v>59</v>
      </c>
      <c r="C16" s="56" t="s">
        <v>60</v>
      </c>
      <c r="D16" s="53" t="s">
        <v>61</v>
      </c>
      <c r="E16" s="6" t="s">
        <v>51</v>
      </c>
      <c r="F16" s="19">
        <v>269644</v>
      </c>
      <c r="G16" s="24">
        <v>3419.63</v>
      </c>
      <c r="H16" s="24">
        <v>3.74</v>
      </c>
      <c r="I16" s="31"/>
      <c r="J16" s="35"/>
    </row>
    <row r="17" spans="2:10" x14ac:dyDescent="0.25">
      <c r="B17" s="8" t="s">
        <v>127</v>
      </c>
      <c r="C17" s="56" t="s">
        <v>128</v>
      </c>
      <c r="D17" s="53" t="s">
        <v>129</v>
      </c>
      <c r="E17" s="6" t="s">
        <v>90</v>
      </c>
      <c r="F17" s="19">
        <v>164375</v>
      </c>
      <c r="G17" s="24">
        <v>3399.69</v>
      </c>
      <c r="H17" s="24">
        <v>3.72</v>
      </c>
      <c r="I17" s="31"/>
      <c r="J17" s="35"/>
    </row>
    <row r="18" spans="2:10" x14ac:dyDescent="0.25">
      <c r="B18" s="8" t="s">
        <v>354</v>
      </c>
      <c r="C18" s="56" t="s">
        <v>355</v>
      </c>
      <c r="D18" s="53" t="s">
        <v>356</v>
      </c>
      <c r="E18" s="6" t="s">
        <v>90</v>
      </c>
      <c r="F18" s="19">
        <v>1608413</v>
      </c>
      <c r="G18" s="24">
        <v>2761.65</v>
      </c>
      <c r="H18" s="24">
        <v>3.02</v>
      </c>
      <c r="I18" s="31"/>
      <c r="J18" s="35"/>
    </row>
    <row r="19" spans="2:10" x14ac:dyDescent="0.25">
      <c r="B19" s="8" t="s">
        <v>76</v>
      </c>
      <c r="C19" s="56" t="s">
        <v>77</v>
      </c>
      <c r="D19" s="53" t="s">
        <v>78</v>
      </c>
      <c r="E19" s="6" t="s">
        <v>79</v>
      </c>
      <c r="F19" s="19">
        <v>224887</v>
      </c>
      <c r="G19" s="24">
        <v>2027.58</v>
      </c>
      <c r="H19" s="24">
        <v>2.2200000000000002</v>
      </c>
      <c r="I19" s="31"/>
      <c r="J19" s="35"/>
    </row>
    <row r="20" spans="2:10" x14ac:dyDescent="0.25">
      <c r="B20" s="8" t="s">
        <v>73</v>
      </c>
      <c r="C20" s="56" t="s">
        <v>74</v>
      </c>
      <c r="D20" s="53" t="s">
        <v>75</v>
      </c>
      <c r="E20" s="6" t="s">
        <v>51</v>
      </c>
      <c r="F20" s="19">
        <v>456337</v>
      </c>
      <c r="G20" s="24">
        <v>1937.84</v>
      </c>
      <c r="H20" s="24">
        <v>2.12</v>
      </c>
      <c r="I20" s="31"/>
      <c r="J20" s="35"/>
    </row>
    <row r="21" spans="2:10" x14ac:dyDescent="0.25">
      <c r="B21" s="8" t="s">
        <v>65</v>
      </c>
      <c r="C21" s="56" t="s">
        <v>66</v>
      </c>
      <c r="D21" s="53" t="s">
        <v>67</v>
      </c>
      <c r="E21" s="6" t="s">
        <v>68</v>
      </c>
      <c r="F21" s="19">
        <v>441936</v>
      </c>
      <c r="G21" s="24">
        <v>1860.33</v>
      </c>
      <c r="H21" s="24">
        <v>2.04</v>
      </c>
      <c r="I21" s="31"/>
      <c r="J21" s="35"/>
    </row>
    <row r="22" spans="2:10" x14ac:dyDescent="0.25">
      <c r="B22" s="8" t="s">
        <v>409</v>
      </c>
      <c r="C22" s="56" t="s">
        <v>410</v>
      </c>
      <c r="D22" s="53" t="s">
        <v>411</v>
      </c>
      <c r="E22" s="6" t="s">
        <v>98</v>
      </c>
      <c r="F22" s="19">
        <v>24470</v>
      </c>
      <c r="G22" s="24">
        <v>1650.12</v>
      </c>
      <c r="H22" s="24">
        <v>1.81</v>
      </c>
      <c r="I22" s="31"/>
      <c r="J22" s="35"/>
    </row>
    <row r="23" spans="2:10" x14ac:dyDescent="0.25">
      <c r="B23" s="8" t="s">
        <v>704</v>
      </c>
      <c r="C23" s="56" t="s">
        <v>705</v>
      </c>
      <c r="D23" s="53" t="s">
        <v>706</v>
      </c>
      <c r="E23" s="6" t="s">
        <v>90</v>
      </c>
      <c r="F23" s="19">
        <v>82999</v>
      </c>
      <c r="G23" s="24">
        <v>1648.69</v>
      </c>
      <c r="H23" s="24">
        <v>1.8</v>
      </c>
      <c r="I23" s="31"/>
      <c r="J23" s="35"/>
    </row>
    <row r="24" spans="2:10" x14ac:dyDescent="0.25">
      <c r="B24" s="8" t="s">
        <v>133</v>
      </c>
      <c r="C24" s="56" t="s">
        <v>134</v>
      </c>
      <c r="D24" s="53" t="s">
        <v>135</v>
      </c>
      <c r="E24" s="6" t="s">
        <v>47</v>
      </c>
      <c r="F24" s="19">
        <v>199841</v>
      </c>
      <c r="G24" s="24">
        <v>1621.91</v>
      </c>
      <c r="H24" s="24">
        <v>1.77</v>
      </c>
      <c r="I24" s="31"/>
      <c r="J24" s="35"/>
    </row>
    <row r="25" spans="2:10" x14ac:dyDescent="0.25">
      <c r="B25" s="8" t="s">
        <v>91</v>
      </c>
      <c r="C25" s="56" t="s">
        <v>92</v>
      </c>
      <c r="D25" s="53" t="s">
        <v>93</v>
      </c>
      <c r="E25" s="6" t="s">
        <v>94</v>
      </c>
      <c r="F25" s="19">
        <v>48813</v>
      </c>
      <c r="G25" s="24">
        <v>1600.38</v>
      </c>
      <c r="H25" s="24">
        <v>1.75</v>
      </c>
      <c r="I25" s="31"/>
      <c r="J25" s="35"/>
    </row>
    <row r="26" spans="2:10" x14ac:dyDescent="0.25">
      <c r="B26" s="8" t="s">
        <v>164</v>
      </c>
      <c r="C26" s="56" t="s">
        <v>165</v>
      </c>
      <c r="D26" s="53" t="s">
        <v>166</v>
      </c>
      <c r="E26" s="6" t="s">
        <v>51</v>
      </c>
      <c r="F26" s="19">
        <v>706520</v>
      </c>
      <c r="G26" s="24">
        <v>1309.8900000000001</v>
      </c>
      <c r="H26" s="24">
        <v>1.43</v>
      </c>
      <c r="I26" s="31"/>
      <c r="J26" s="35"/>
    </row>
    <row r="27" spans="2:10" x14ac:dyDescent="0.25">
      <c r="B27" s="8" t="s">
        <v>412</v>
      </c>
      <c r="C27" s="56" t="s">
        <v>413</v>
      </c>
      <c r="D27" s="53" t="s">
        <v>414</v>
      </c>
      <c r="E27" s="6" t="s">
        <v>111</v>
      </c>
      <c r="F27" s="19">
        <v>22344</v>
      </c>
      <c r="G27" s="24">
        <v>1159.1600000000001</v>
      </c>
      <c r="H27" s="24">
        <v>1.27</v>
      </c>
      <c r="I27" s="31"/>
      <c r="J27" s="35"/>
    </row>
    <row r="28" spans="2:10" x14ac:dyDescent="0.25">
      <c r="B28" s="8" t="s">
        <v>95</v>
      </c>
      <c r="C28" s="56" t="s">
        <v>96</v>
      </c>
      <c r="D28" s="53" t="s">
        <v>97</v>
      </c>
      <c r="E28" s="6" t="s">
        <v>98</v>
      </c>
      <c r="F28" s="19">
        <v>176237</v>
      </c>
      <c r="G28" s="24">
        <v>1071.3399999999999</v>
      </c>
      <c r="H28" s="24">
        <v>1.17</v>
      </c>
      <c r="I28" s="31"/>
      <c r="J28" s="35"/>
    </row>
    <row r="29" spans="2:10" x14ac:dyDescent="0.25">
      <c r="B29" s="8" t="s">
        <v>406</v>
      </c>
      <c r="C29" s="56" t="s">
        <v>407</v>
      </c>
      <c r="D29" s="53" t="s">
        <v>408</v>
      </c>
      <c r="E29" s="6" t="s">
        <v>90</v>
      </c>
      <c r="F29" s="19">
        <v>6568</v>
      </c>
      <c r="G29" s="24">
        <v>1045.54</v>
      </c>
      <c r="H29" s="24">
        <v>1.1399999999999999</v>
      </c>
      <c r="I29" s="31"/>
      <c r="J29" s="35"/>
    </row>
    <row r="30" spans="2:10" x14ac:dyDescent="0.25">
      <c r="B30" s="8" t="s">
        <v>245</v>
      </c>
      <c r="C30" s="56" t="s">
        <v>246</v>
      </c>
      <c r="D30" s="53" t="s">
        <v>247</v>
      </c>
      <c r="E30" s="6" t="s">
        <v>111</v>
      </c>
      <c r="F30" s="19">
        <v>198779</v>
      </c>
      <c r="G30" s="24">
        <v>994.79</v>
      </c>
      <c r="H30" s="24">
        <v>1.0900000000000001</v>
      </c>
      <c r="I30" s="31"/>
      <c r="J30" s="35"/>
    </row>
    <row r="31" spans="2:10" x14ac:dyDescent="0.25">
      <c r="B31" s="8" t="s">
        <v>80</v>
      </c>
      <c r="C31" s="56" t="s">
        <v>81</v>
      </c>
      <c r="D31" s="53" t="s">
        <v>82</v>
      </c>
      <c r="E31" s="6" t="s">
        <v>83</v>
      </c>
      <c r="F31" s="19">
        <v>76820</v>
      </c>
      <c r="G31" s="24">
        <v>922.88</v>
      </c>
      <c r="H31" s="24">
        <v>1.01</v>
      </c>
      <c r="I31" s="31"/>
      <c r="J31" s="35"/>
    </row>
    <row r="32" spans="2:10" x14ac:dyDescent="0.25">
      <c r="B32" s="8" t="s">
        <v>327</v>
      </c>
      <c r="C32" s="56" t="s">
        <v>328</v>
      </c>
      <c r="D32" s="53" t="s">
        <v>329</v>
      </c>
      <c r="E32" s="6" t="s">
        <v>47</v>
      </c>
      <c r="F32" s="19">
        <v>113870</v>
      </c>
      <c r="G32" s="24">
        <v>901.57</v>
      </c>
      <c r="H32" s="24">
        <v>0.99</v>
      </c>
      <c r="I32" s="31"/>
      <c r="J32" s="35"/>
    </row>
    <row r="33" spans="2:10" x14ac:dyDescent="0.25">
      <c r="B33" s="8" t="s">
        <v>136</v>
      </c>
      <c r="C33" s="56" t="s">
        <v>137</v>
      </c>
      <c r="D33" s="53" t="s">
        <v>138</v>
      </c>
      <c r="E33" s="6" t="s">
        <v>41</v>
      </c>
      <c r="F33" s="19">
        <v>21255</v>
      </c>
      <c r="G33" s="24">
        <v>860.73</v>
      </c>
      <c r="H33" s="24">
        <v>0.94</v>
      </c>
      <c r="I33" s="31"/>
      <c r="J33" s="35"/>
    </row>
    <row r="34" spans="2:10" x14ac:dyDescent="0.25">
      <c r="B34" s="8" t="s">
        <v>348</v>
      </c>
      <c r="C34" s="56" t="s">
        <v>349</v>
      </c>
      <c r="D34" s="53" t="s">
        <v>350</v>
      </c>
      <c r="E34" s="6" t="s">
        <v>47</v>
      </c>
      <c r="F34" s="19">
        <v>273538</v>
      </c>
      <c r="G34" s="24">
        <v>857.68</v>
      </c>
      <c r="H34" s="24">
        <v>0.94</v>
      </c>
      <c r="I34" s="31"/>
      <c r="J34" s="35"/>
    </row>
    <row r="35" spans="2:10" x14ac:dyDescent="0.25">
      <c r="B35" s="8" t="s">
        <v>99</v>
      </c>
      <c r="C35" s="56" t="s">
        <v>100</v>
      </c>
      <c r="D35" s="53" t="s">
        <v>101</v>
      </c>
      <c r="E35" s="6" t="s">
        <v>90</v>
      </c>
      <c r="F35" s="19">
        <v>21717</v>
      </c>
      <c r="G35" s="24">
        <v>824.84</v>
      </c>
      <c r="H35" s="24">
        <v>0.9</v>
      </c>
      <c r="I35" s="31"/>
      <c r="J35" s="35"/>
    </row>
    <row r="36" spans="2:10" x14ac:dyDescent="0.25">
      <c r="B36" s="8" t="s">
        <v>102</v>
      </c>
      <c r="C36" s="56" t="s">
        <v>103</v>
      </c>
      <c r="D36" s="53" t="s">
        <v>104</v>
      </c>
      <c r="E36" s="6" t="s">
        <v>94</v>
      </c>
      <c r="F36" s="19">
        <v>144991</v>
      </c>
      <c r="G36" s="24">
        <v>811.08</v>
      </c>
      <c r="H36" s="24">
        <v>0.89</v>
      </c>
      <c r="I36" s="31"/>
      <c r="J36" s="35"/>
    </row>
    <row r="37" spans="2:10" x14ac:dyDescent="0.25">
      <c r="B37" s="8" t="s">
        <v>853</v>
      </c>
      <c r="C37" s="56" t="s">
        <v>854</v>
      </c>
      <c r="D37" s="53" t="s">
        <v>855</v>
      </c>
      <c r="E37" s="6" t="s">
        <v>261</v>
      </c>
      <c r="F37" s="19">
        <v>471951</v>
      </c>
      <c r="G37" s="24">
        <v>766.68</v>
      </c>
      <c r="H37" s="24">
        <v>0.84</v>
      </c>
      <c r="I37" s="31"/>
      <c r="J37" s="35"/>
    </row>
    <row r="38" spans="2:10" x14ac:dyDescent="0.25">
      <c r="B38" s="8" t="s">
        <v>856</v>
      </c>
      <c r="C38" s="56" t="s">
        <v>857</v>
      </c>
      <c r="D38" s="53" t="s">
        <v>858</v>
      </c>
      <c r="E38" s="6" t="s">
        <v>261</v>
      </c>
      <c r="F38" s="19">
        <v>892605</v>
      </c>
      <c r="G38" s="24">
        <v>759.61</v>
      </c>
      <c r="H38" s="24">
        <v>0.83</v>
      </c>
      <c r="I38" s="31"/>
      <c r="J38" s="35"/>
    </row>
    <row r="39" spans="2:10" x14ac:dyDescent="0.25">
      <c r="B39" s="8" t="s">
        <v>859</v>
      </c>
      <c r="C39" s="56" t="s">
        <v>860</v>
      </c>
      <c r="D39" s="53" t="s">
        <v>861</v>
      </c>
      <c r="E39" s="6" t="s">
        <v>98</v>
      </c>
      <c r="F39" s="19">
        <v>23904</v>
      </c>
      <c r="G39" s="24">
        <v>752.33</v>
      </c>
      <c r="H39" s="24">
        <v>0.82</v>
      </c>
      <c r="I39" s="31"/>
      <c r="J39" s="35"/>
    </row>
    <row r="40" spans="2:10" x14ac:dyDescent="0.25">
      <c r="B40" s="8" t="s">
        <v>108</v>
      </c>
      <c r="C40" s="56" t="s">
        <v>109</v>
      </c>
      <c r="D40" s="53" t="s">
        <v>110</v>
      </c>
      <c r="E40" s="6" t="s">
        <v>111</v>
      </c>
      <c r="F40" s="19">
        <v>93524</v>
      </c>
      <c r="G40" s="24">
        <v>724.53</v>
      </c>
      <c r="H40" s="24">
        <v>0.79</v>
      </c>
      <c r="I40" s="31"/>
      <c r="J40" s="35"/>
    </row>
    <row r="41" spans="2:10" x14ac:dyDescent="0.25">
      <c r="B41" s="8" t="s">
        <v>112</v>
      </c>
      <c r="C41" s="56" t="s">
        <v>113</v>
      </c>
      <c r="D41" s="53" t="s">
        <v>114</v>
      </c>
      <c r="E41" s="6" t="s">
        <v>111</v>
      </c>
      <c r="F41" s="19">
        <v>23459</v>
      </c>
      <c r="G41" s="24">
        <v>715.02</v>
      </c>
      <c r="H41" s="24">
        <v>0.78</v>
      </c>
      <c r="I41" s="31"/>
      <c r="J41" s="35"/>
    </row>
    <row r="42" spans="2:10" x14ac:dyDescent="0.25">
      <c r="B42" s="8" t="s">
        <v>862</v>
      </c>
      <c r="C42" s="56" t="s">
        <v>863</v>
      </c>
      <c r="D42" s="53" t="s">
        <v>864</v>
      </c>
      <c r="E42" s="6" t="s">
        <v>98</v>
      </c>
      <c r="F42" s="19">
        <v>23973</v>
      </c>
      <c r="G42" s="24">
        <v>690.69</v>
      </c>
      <c r="H42" s="24">
        <v>0.76</v>
      </c>
      <c r="I42" s="31"/>
      <c r="J42" s="35"/>
    </row>
    <row r="43" spans="2:10" x14ac:dyDescent="0.25">
      <c r="B43" s="8" t="s">
        <v>865</v>
      </c>
      <c r="C43" s="56" t="s">
        <v>866</v>
      </c>
      <c r="D43" s="53" t="s">
        <v>867</v>
      </c>
      <c r="E43" s="6" t="s">
        <v>94</v>
      </c>
      <c r="F43" s="19">
        <v>11133</v>
      </c>
      <c r="G43" s="24">
        <v>651.54</v>
      </c>
      <c r="H43" s="24">
        <v>0.71</v>
      </c>
      <c r="I43" s="31"/>
      <c r="J43" s="35"/>
    </row>
    <row r="44" spans="2:10" x14ac:dyDescent="0.25">
      <c r="B44" s="8" t="s">
        <v>868</v>
      </c>
      <c r="C44" s="56" t="s">
        <v>869</v>
      </c>
      <c r="D44" s="53" t="s">
        <v>870</v>
      </c>
      <c r="E44" s="6" t="s">
        <v>94</v>
      </c>
      <c r="F44" s="19">
        <v>71805</v>
      </c>
      <c r="G44" s="24">
        <v>582.66</v>
      </c>
      <c r="H44" s="24">
        <v>0.64</v>
      </c>
      <c r="I44" s="31"/>
      <c r="J44" s="35"/>
    </row>
    <row r="45" spans="2:10" x14ac:dyDescent="0.25">
      <c r="B45" s="8" t="s">
        <v>147</v>
      </c>
      <c r="C45" s="56" t="s">
        <v>148</v>
      </c>
      <c r="D45" s="53" t="s">
        <v>149</v>
      </c>
      <c r="E45" s="6" t="s">
        <v>98</v>
      </c>
      <c r="F45" s="19">
        <v>25654</v>
      </c>
      <c r="G45" s="24">
        <v>565.11</v>
      </c>
      <c r="H45" s="24">
        <v>0.62</v>
      </c>
      <c r="I45" s="31"/>
      <c r="J45" s="35"/>
    </row>
    <row r="46" spans="2:10" x14ac:dyDescent="0.25">
      <c r="B46" s="8" t="s">
        <v>871</v>
      </c>
      <c r="C46" s="56" t="s">
        <v>872</v>
      </c>
      <c r="D46" s="53" t="s">
        <v>873</v>
      </c>
      <c r="E46" s="6" t="s">
        <v>51</v>
      </c>
      <c r="F46" s="19">
        <v>104432</v>
      </c>
      <c r="G46" s="24">
        <v>550.77</v>
      </c>
      <c r="H46" s="24">
        <v>0.6</v>
      </c>
      <c r="I46" s="31"/>
      <c r="J46" s="35"/>
    </row>
    <row r="47" spans="2:10" x14ac:dyDescent="0.25">
      <c r="B47" s="8" t="s">
        <v>874</v>
      </c>
      <c r="C47" s="56" t="s">
        <v>875</v>
      </c>
      <c r="D47" s="53" t="s">
        <v>876</v>
      </c>
      <c r="E47" s="6" t="s">
        <v>41</v>
      </c>
      <c r="F47" s="19">
        <v>72677</v>
      </c>
      <c r="G47" s="24">
        <v>540.86</v>
      </c>
      <c r="H47" s="24">
        <v>0.59</v>
      </c>
      <c r="I47" s="31"/>
      <c r="J47" s="35"/>
    </row>
    <row r="48" spans="2:10" x14ac:dyDescent="0.25">
      <c r="B48" s="8" t="s">
        <v>171</v>
      </c>
      <c r="C48" s="56" t="s">
        <v>172</v>
      </c>
      <c r="D48" s="53" t="s">
        <v>173</v>
      </c>
      <c r="E48" s="6" t="s">
        <v>55</v>
      </c>
      <c r="F48" s="19">
        <v>147767</v>
      </c>
      <c r="G48" s="24">
        <v>521.69000000000005</v>
      </c>
      <c r="H48" s="24">
        <v>0.56999999999999995</v>
      </c>
      <c r="I48" s="31"/>
      <c r="J48" s="35"/>
    </row>
    <row r="49" spans="2:10" x14ac:dyDescent="0.25">
      <c r="B49" s="8" t="s">
        <v>877</v>
      </c>
      <c r="C49" s="56" t="s">
        <v>878</v>
      </c>
      <c r="D49" s="53" t="s">
        <v>879</v>
      </c>
      <c r="E49" s="6" t="s">
        <v>228</v>
      </c>
      <c r="F49" s="19">
        <v>101279</v>
      </c>
      <c r="G49" s="24">
        <v>509.33</v>
      </c>
      <c r="H49" s="24">
        <v>0.56000000000000005</v>
      </c>
      <c r="I49" s="31"/>
      <c r="J49" s="35"/>
    </row>
    <row r="50" spans="2:10" x14ac:dyDescent="0.25">
      <c r="B50" s="8" t="s">
        <v>880</v>
      </c>
      <c r="C50" s="56" t="s">
        <v>881</v>
      </c>
      <c r="D50" s="53" t="s">
        <v>882</v>
      </c>
      <c r="E50" s="6" t="s">
        <v>153</v>
      </c>
      <c r="F50" s="19">
        <v>182460</v>
      </c>
      <c r="G50" s="24">
        <v>506.78</v>
      </c>
      <c r="H50" s="24">
        <v>0.55000000000000004</v>
      </c>
      <c r="I50" s="31"/>
      <c r="J50" s="35"/>
    </row>
    <row r="51" spans="2:10" x14ac:dyDescent="0.25">
      <c r="B51" s="8" t="s">
        <v>150</v>
      </c>
      <c r="C51" s="56" t="s">
        <v>151</v>
      </c>
      <c r="D51" s="53" t="s">
        <v>152</v>
      </c>
      <c r="E51" s="6" t="s">
        <v>153</v>
      </c>
      <c r="F51" s="19">
        <v>138953</v>
      </c>
      <c r="G51" s="24">
        <v>499.88</v>
      </c>
      <c r="H51" s="24">
        <v>0.55000000000000004</v>
      </c>
      <c r="I51" s="31"/>
      <c r="J51" s="35"/>
    </row>
    <row r="52" spans="2:10" x14ac:dyDescent="0.25">
      <c r="B52" s="8" t="s">
        <v>84</v>
      </c>
      <c r="C52" s="56" t="s">
        <v>85</v>
      </c>
      <c r="D52" s="53" t="s">
        <v>86</v>
      </c>
      <c r="E52" s="6" t="s">
        <v>41</v>
      </c>
      <c r="F52" s="19">
        <v>2458</v>
      </c>
      <c r="G52" s="24">
        <v>497.92</v>
      </c>
      <c r="H52" s="24">
        <v>0.54</v>
      </c>
      <c r="I52" s="31"/>
      <c r="J52" s="35"/>
    </row>
    <row r="53" spans="2:10" x14ac:dyDescent="0.25">
      <c r="B53" s="8" t="s">
        <v>167</v>
      </c>
      <c r="C53" s="56" t="s">
        <v>168</v>
      </c>
      <c r="D53" s="53" t="s">
        <v>169</v>
      </c>
      <c r="E53" s="6" t="s">
        <v>170</v>
      </c>
      <c r="F53" s="19">
        <v>268810</v>
      </c>
      <c r="G53" s="24">
        <v>471.09</v>
      </c>
      <c r="H53" s="24">
        <v>0.52</v>
      </c>
      <c r="I53" s="31"/>
      <c r="J53" s="35"/>
    </row>
    <row r="54" spans="2:10" x14ac:dyDescent="0.25">
      <c r="B54" s="8" t="s">
        <v>839</v>
      </c>
      <c r="C54" s="56" t="s">
        <v>840</v>
      </c>
      <c r="D54" s="53" t="s">
        <v>841</v>
      </c>
      <c r="E54" s="6" t="s">
        <v>842</v>
      </c>
      <c r="F54" s="19">
        <v>671669</v>
      </c>
      <c r="G54" s="24">
        <v>465.13</v>
      </c>
      <c r="H54" s="24">
        <v>0.51</v>
      </c>
      <c r="I54" s="31"/>
      <c r="J54" s="35"/>
    </row>
    <row r="55" spans="2:10" x14ac:dyDescent="0.25">
      <c r="B55" s="8" t="s">
        <v>480</v>
      </c>
      <c r="C55" s="56" t="s">
        <v>481</v>
      </c>
      <c r="D55" s="53" t="s">
        <v>482</v>
      </c>
      <c r="E55" s="6" t="s">
        <v>142</v>
      </c>
      <c r="F55" s="19">
        <v>134661</v>
      </c>
      <c r="G55" s="24">
        <v>460.2</v>
      </c>
      <c r="H55" s="24">
        <v>0.5</v>
      </c>
      <c r="I55" s="31"/>
      <c r="J55" s="35"/>
    </row>
    <row r="56" spans="2:10" x14ac:dyDescent="0.25">
      <c r="B56" s="8" t="s">
        <v>883</v>
      </c>
      <c r="C56" s="56" t="s">
        <v>884</v>
      </c>
      <c r="D56" s="53" t="s">
        <v>885</v>
      </c>
      <c r="E56" s="6" t="s">
        <v>886</v>
      </c>
      <c r="F56" s="19">
        <v>385762</v>
      </c>
      <c r="G56" s="24">
        <v>447.48</v>
      </c>
      <c r="H56" s="24">
        <v>0.49</v>
      </c>
      <c r="I56" s="31"/>
      <c r="J56" s="35"/>
    </row>
    <row r="57" spans="2:10" x14ac:dyDescent="0.25">
      <c r="B57" s="8" t="s">
        <v>118</v>
      </c>
      <c r="C57" s="56" t="s">
        <v>119</v>
      </c>
      <c r="D57" s="53" t="s">
        <v>120</v>
      </c>
      <c r="E57" s="6" t="s">
        <v>98</v>
      </c>
      <c r="F57" s="19">
        <v>329845</v>
      </c>
      <c r="G57" s="24">
        <v>439.68</v>
      </c>
      <c r="H57" s="24">
        <v>0.48</v>
      </c>
      <c r="I57" s="31"/>
      <c r="J57" s="35"/>
    </row>
    <row r="58" spans="2:10" x14ac:dyDescent="0.25">
      <c r="B58" s="8" t="s">
        <v>379</v>
      </c>
      <c r="C58" s="56" t="s">
        <v>380</v>
      </c>
      <c r="D58" s="53" t="s">
        <v>381</v>
      </c>
      <c r="E58" s="6" t="s">
        <v>55</v>
      </c>
      <c r="F58" s="19">
        <v>467965</v>
      </c>
      <c r="G58" s="24">
        <v>345.83</v>
      </c>
      <c r="H58" s="24">
        <v>0.38</v>
      </c>
      <c r="I58" s="31"/>
      <c r="J58" s="35"/>
    </row>
    <row r="59" spans="2:10" x14ac:dyDescent="0.25">
      <c r="B59" s="8" t="s">
        <v>823</v>
      </c>
      <c r="C59" s="56" t="s">
        <v>824</v>
      </c>
      <c r="D59" s="53" t="s">
        <v>825</v>
      </c>
      <c r="E59" s="6" t="s">
        <v>826</v>
      </c>
      <c r="F59" s="19">
        <v>340441</v>
      </c>
      <c r="G59" s="24">
        <v>295.5</v>
      </c>
      <c r="H59" s="24">
        <v>0.32</v>
      </c>
      <c r="I59" s="31"/>
      <c r="J59" s="35"/>
    </row>
    <row r="60" spans="2:10" x14ac:dyDescent="0.25">
      <c r="C60" s="57" t="s">
        <v>35</v>
      </c>
      <c r="D60" s="53"/>
      <c r="E60" s="6"/>
      <c r="F60" s="19"/>
      <c r="G60" s="25">
        <v>89243.16</v>
      </c>
      <c r="H60" s="25">
        <v>97.63</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3:10" x14ac:dyDescent="0.25">
      <c r="C65" s="56"/>
      <c r="D65" s="53"/>
      <c r="E65" s="6"/>
      <c r="F65" s="19"/>
      <c r="G65" s="24"/>
      <c r="H65" s="24"/>
      <c r="I65" s="31"/>
      <c r="J65" s="35"/>
    </row>
    <row r="66" spans="3:10" x14ac:dyDescent="0.25">
      <c r="C66" s="57" t="s">
        <v>5</v>
      </c>
      <c r="D66" s="53"/>
      <c r="E66" s="6"/>
      <c r="F66" s="19"/>
      <c r="G66" s="24"/>
      <c r="H66" s="24"/>
      <c r="I66" s="31"/>
      <c r="J66" s="35"/>
    </row>
    <row r="67" spans="3:10" x14ac:dyDescent="0.25">
      <c r="C67" s="56"/>
      <c r="D67" s="53"/>
      <c r="E67" s="6"/>
      <c r="F67" s="19"/>
      <c r="G67" s="24"/>
      <c r="H67" s="24"/>
      <c r="I67" s="31"/>
      <c r="J67" s="35"/>
    </row>
    <row r="68" spans="3:10" x14ac:dyDescent="0.25">
      <c r="C68" s="57" t="s">
        <v>6</v>
      </c>
      <c r="D68" s="53"/>
      <c r="E68" s="6"/>
      <c r="F68" s="19"/>
      <c r="G68" s="24" t="s">
        <v>2</v>
      </c>
      <c r="H68" s="24" t="s">
        <v>2</v>
      </c>
      <c r="I68" s="31"/>
      <c r="J68" s="35"/>
    </row>
    <row r="69" spans="3:10" x14ac:dyDescent="0.25">
      <c r="C69" s="56"/>
      <c r="D69" s="53"/>
      <c r="E69" s="6"/>
      <c r="F69" s="19"/>
      <c r="G69" s="24"/>
      <c r="H69" s="24"/>
      <c r="I69" s="31"/>
      <c r="J69" s="35"/>
    </row>
    <row r="70" spans="3:10" x14ac:dyDescent="0.25">
      <c r="C70" s="57" t="s">
        <v>7</v>
      </c>
      <c r="D70" s="53"/>
      <c r="E70" s="6"/>
      <c r="F70" s="19"/>
      <c r="G70" s="24" t="s">
        <v>2</v>
      </c>
      <c r="H70" s="24" t="s">
        <v>2</v>
      </c>
      <c r="I70" s="31"/>
      <c r="J70" s="35"/>
    </row>
    <row r="71" spans="3:10" x14ac:dyDescent="0.25">
      <c r="C71" s="56"/>
      <c r="D71" s="53"/>
      <c r="E71" s="6"/>
      <c r="F71" s="19"/>
      <c r="G71" s="24"/>
      <c r="H71" s="24"/>
      <c r="I71" s="31"/>
      <c r="J71" s="35"/>
    </row>
    <row r="72" spans="3:10" x14ac:dyDescent="0.25">
      <c r="C72" s="57" t="s">
        <v>8</v>
      </c>
      <c r="D72" s="53"/>
      <c r="E72" s="6"/>
      <c r="F72" s="19"/>
      <c r="G72" s="24" t="s">
        <v>2</v>
      </c>
      <c r="H72" s="24" t="s">
        <v>2</v>
      </c>
      <c r="I72" s="31"/>
      <c r="J72" s="35"/>
    </row>
    <row r="73" spans="3:10" x14ac:dyDescent="0.25">
      <c r="C73" s="56"/>
      <c r="D73" s="53"/>
      <c r="E73" s="6"/>
      <c r="F73" s="19"/>
      <c r="G73" s="24"/>
      <c r="H73" s="24"/>
      <c r="I73" s="31"/>
      <c r="J73" s="35"/>
    </row>
    <row r="74" spans="3:10" x14ac:dyDescent="0.25">
      <c r="C74" s="57" t="s">
        <v>9</v>
      </c>
      <c r="D74" s="53"/>
      <c r="E74" s="6"/>
      <c r="F74" s="19"/>
      <c r="G74" s="24" t="s">
        <v>2</v>
      </c>
      <c r="H74" s="24" t="s">
        <v>2</v>
      </c>
      <c r="I74" s="31"/>
      <c r="J74" s="35"/>
    </row>
    <row r="75" spans="3:10" x14ac:dyDescent="0.25">
      <c r="C75" s="56"/>
      <c r="D75" s="53"/>
      <c r="E75" s="6"/>
      <c r="F75" s="19"/>
      <c r="G75" s="24"/>
      <c r="H75" s="24"/>
      <c r="I75" s="31"/>
      <c r="J75" s="35"/>
    </row>
    <row r="76" spans="3:10" x14ac:dyDescent="0.25">
      <c r="C76" s="57" t="s">
        <v>10</v>
      </c>
      <c r="D76" s="53"/>
      <c r="E76" s="6"/>
      <c r="F76" s="19"/>
      <c r="G76" s="24" t="s">
        <v>2</v>
      </c>
      <c r="H76" s="24" t="s">
        <v>2</v>
      </c>
      <c r="I76" s="31"/>
      <c r="J76" s="35"/>
    </row>
    <row r="77" spans="3:10" x14ac:dyDescent="0.25">
      <c r="C77" s="56"/>
      <c r="D77" s="53"/>
      <c r="E77" s="6"/>
      <c r="F77" s="19"/>
      <c r="G77" s="24"/>
      <c r="H77" s="24"/>
      <c r="I77" s="31"/>
      <c r="J77" s="35"/>
    </row>
    <row r="78" spans="3:10" x14ac:dyDescent="0.25">
      <c r="C78" s="57" t="s">
        <v>11</v>
      </c>
      <c r="D78" s="53"/>
      <c r="E78" s="6"/>
      <c r="F78" s="19"/>
      <c r="G78" s="24"/>
      <c r="H78" s="24"/>
      <c r="I78" s="31"/>
      <c r="J78" s="35"/>
    </row>
    <row r="79" spans="3:10" x14ac:dyDescent="0.25">
      <c r="C79" s="56"/>
      <c r="D79" s="53"/>
      <c r="E79" s="6"/>
      <c r="F79" s="19"/>
      <c r="G79" s="24"/>
      <c r="H79" s="24"/>
      <c r="I79" s="31"/>
      <c r="J79" s="35"/>
    </row>
    <row r="80" spans="3:10" x14ac:dyDescent="0.25">
      <c r="C80" s="57" t="s">
        <v>13</v>
      </c>
      <c r="D80" s="53"/>
      <c r="E80" s="6"/>
      <c r="F80" s="19"/>
      <c r="G80" s="24" t="s">
        <v>2</v>
      </c>
      <c r="H80" s="24" t="s">
        <v>2</v>
      </c>
      <c r="I80" s="31"/>
      <c r="J80" s="35"/>
    </row>
    <row r="81" spans="1:10" x14ac:dyDescent="0.25">
      <c r="C81" s="56"/>
      <c r="D81" s="53"/>
      <c r="E81" s="6"/>
      <c r="F81" s="19"/>
      <c r="G81" s="24"/>
      <c r="H81" s="24"/>
      <c r="I81" s="31"/>
      <c r="J81" s="35"/>
    </row>
    <row r="82" spans="1:10" x14ac:dyDescent="0.25">
      <c r="C82" s="57" t="s">
        <v>14</v>
      </c>
      <c r="D82" s="53"/>
      <c r="E82" s="6"/>
      <c r="F82" s="19"/>
      <c r="G82" s="24" t="s">
        <v>2</v>
      </c>
      <c r="H82" s="24" t="s">
        <v>2</v>
      </c>
      <c r="I82" s="31"/>
      <c r="J82" s="35"/>
    </row>
    <row r="83" spans="1:10" x14ac:dyDescent="0.25">
      <c r="C83" s="56"/>
      <c r="D83" s="53"/>
      <c r="E83" s="6"/>
      <c r="F83" s="19"/>
      <c r="G83" s="24"/>
      <c r="H83" s="24"/>
      <c r="I83" s="31"/>
      <c r="J83" s="35"/>
    </row>
    <row r="84" spans="1:10" x14ac:dyDescent="0.25">
      <c r="C84" s="57" t="s">
        <v>15</v>
      </c>
      <c r="D84" s="53"/>
      <c r="E84" s="6"/>
      <c r="F84" s="19"/>
      <c r="G84" s="24" t="s">
        <v>2</v>
      </c>
      <c r="H84" s="24" t="s">
        <v>2</v>
      </c>
      <c r="I84" s="31"/>
      <c r="J84" s="35"/>
    </row>
    <row r="85" spans="1:10" x14ac:dyDescent="0.25">
      <c r="C85" s="56"/>
      <c r="D85" s="53"/>
      <c r="E85" s="6"/>
      <c r="F85" s="19"/>
      <c r="G85" s="24"/>
      <c r="H85" s="24"/>
      <c r="I85" s="31"/>
      <c r="J85" s="35"/>
    </row>
    <row r="86" spans="1:10" x14ac:dyDescent="0.25">
      <c r="C86" s="57" t="s">
        <v>16</v>
      </c>
      <c r="D86" s="53"/>
      <c r="E86" s="6"/>
      <c r="F86" s="19"/>
      <c r="G86" s="24" t="s">
        <v>2</v>
      </c>
      <c r="H86" s="24" t="s">
        <v>2</v>
      </c>
      <c r="I86" s="31"/>
      <c r="J86" s="35"/>
    </row>
    <row r="87" spans="1:10" x14ac:dyDescent="0.25">
      <c r="C87" s="56"/>
      <c r="D87" s="53"/>
      <c r="E87" s="6"/>
      <c r="F87" s="19"/>
      <c r="G87" s="24"/>
      <c r="H87" s="24"/>
      <c r="I87" s="31"/>
      <c r="J87" s="35"/>
    </row>
    <row r="88" spans="1:10" x14ac:dyDescent="0.25">
      <c r="A88" s="10"/>
      <c r="B88" s="28"/>
      <c r="C88" s="58" t="s">
        <v>17</v>
      </c>
      <c r="D88" s="53"/>
      <c r="E88" s="6"/>
      <c r="F88" s="19"/>
      <c r="G88" s="24"/>
      <c r="H88" s="24"/>
      <c r="I88" s="31"/>
      <c r="J88" s="35"/>
    </row>
    <row r="89" spans="1:10" x14ac:dyDescent="0.25">
      <c r="A89" s="28"/>
      <c r="B89" s="28"/>
      <c r="C89" s="58" t="s">
        <v>18</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19</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A93" s="28"/>
      <c r="B93" s="28"/>
      <c r="C93" s="58" t="s">
        <v>20</v>
      </c>
      <c r="D93" s="53"/>
      <c r="E93" s="6"/>
      <c r="F93" s="19"/>
      <c r="G93" s="24" t="s">
        <v>2</v>
      </c>
      <c r="H93" s="24" t="s">
        <v>2</v>
      </c>
      <c r="I93" s="31"/>
      <c r="J93" s="35"/>
    </row>
    <row r="94" spans="1:10" x14ac:dyDescent="0.25">
      <c r="A94" s="28"/>
      <c r="B94" s="28"/>
      <c r="C94" s="58"/>
      <c r="D94" s="53"/>
      <c r="E94" s="6"/>
      <c r="F94" s="19"/>
      <c r="G94" s="24"/>
      <c r="H94" s="24"/>
      <c r="I94" s="31"/>
      <c r="J94" s="35"/>
    </row>
    <row r="95" spans="1:10" x14ac:dyDescent="0.25">
      <c r="C95" s="59" t="s">
        <v>21</v>
      </c>
      <c r="D95" s="53"/>
      <c r="E95" s="6"/>
      <c r="F95" s="19"/>
      <c r="G95" s="24"/>
      <c r="H95" s="24"/>
      <c r="I95" s="31"/>
      <c r="J95" s="35"/>
    </row>
    <row r="96" spans="1:10" x14ac:dyDescent="0.25">
      <c r="B96" s="8" t="s">
        <v>888</v>
      </c>
      <c r="C96" s="56" t="s">
        <v>889</v>
      </c>
      <c r="D96" s="53"/>
      <c r="E96" s="6"/>
      <c r="F96" s="19"/>
      <c r="G96" s="24">
        <v>549</v>
      </c>
      <c r="H96" s="24">
        <v>0.6</v>
      </c>
      <c r="I96" s="31"/>
      <c r="J96" s="35"/>
    </row>
    <row r="97" spans="1:10" x14ac:dyDescent="0.25">
      <c r="C97" s="57" t="s">
        <v>35</v>
      </c>
      <c r="D97" s="53"/>
      <c r="E97" s="6"/>
      <c r="F97" s="19"/>
      <c r="G97" s="25">
        <v>549</v>
      </c>
      <c r="H97" s="25">
        <v>0.6</v>
      </c>
      <c r="I97" s="31"/>
      <c r="J97" s="35"/>
    </row>
    <row r="98" spans="1:10" x14ac:dyDescent="0.25">
      <c r="C98" s="56"/>
      <c r="D98" s="53"/>
      <c r="E98" s="6"/>
      <c r="F98" s="19"/>
      <c r="G98" s="24"/>
      <c r="H98" s="24"/>
      <c r="I98" s="31"/>
      <c r="J98" s="35"/>
    </row>
    <row r="99" spans="1:10" x14ac:dyDescent="0.25">
      <c r="C99" s="59" t="s">
        <v>22</v>
      </c>
      <c r="D99" s="53"/>
      <c r="E99" s="6"/>
      <c r="F99" s="19"/>
      <c r="G99" s="24"/>
      <c r="H99" s="24"/>
      <c r="I99" s="31"/>
      <c r="J99" s="35"/>
    </row>
    <row r="100" spans="1:10" x14ac:dyDescent="0.25">
      <c r="B100" s="8" t="s">
        <v>33</v>
      </c>
      <c r="C100" s="56" t="s">
        <v>34</v>
      </c>
      <c r="D100" s="53"/>
      <c r="E100" s="6"/>
      <c r="F100" s="19"/>
      <c r="G100" s="24">
        <v>2851.49</v>
      </c>
      <c r="H100" s="24">
        <v>3.12</v>
      </c>
      <c r="I100" s="31"/>
      <c r="J100" s="35"/>
    </row>
    <row r="101" spans="1:10" x14ac:dyDescent="0.25">
      <c r="C101" s="57" t="s">
        <v>35</v>
      </c>
      <c r="D101" s="53"/>
      <c r="E101" s="6"/>
      <c r="F101" s="19"/>
      <c r="G101" s="25">
        <v>2851.49</v>
      </c>
      <c r="H101" s="25">
        <v>3.12</v>
      </c>
      <c r="I101" s="31"/>
      <c r="J101" s="35"/>
    </row>
    <row r="102" spans="1:10" x14ac:dyDescent="0.25">
      <c r="C102" s="56"/>
      <c r="D102" s="53"/>
      <c r="E102" s="6"/>
      <c r="F102" s="19"/>
      <c r="G102" s="24"/>
      <c r="H102" s="24"/>
      <c r="I102" s="31"/>
      <c r="J102" s="35"/>
    </row>
    <row r="103" spans="1:10" x14ac:dyDescent="0.25">
      <c r="A103" s="10"/>
      <c r="B103" s="28"/>
      <c r="C103" s="58" t="s">
        <v>23</v>
      </c>
      <c r="D103" s="53"/>
      <c r="E103" s="6"/>
      <c r="F103" s="19"/>
      <c r="G103" s="24"/>
      <c r="H103" s="24"/>
      <c r="I103" s="31"/>
      <c r="J103" s="35"/>
    </row>
    <row r="104" spans="1:10" x14ac:dyDescent="0.25">
      <c r="A104" s="28"/>
      <c r="B104" s="28"/>
      <c r="C104" s="60" t="s">
        <v>3398</v>
      </c>
      <c r="D104" s="53"/>
      <c r="E104" s="6"/>
      <c r="F104" s="19"/>
      <c r="G104" s="24">
        <v>39</v>
      </c>
      <c r="H104" s="24">
        <v>0.04</v>
      </c>
      <c r="I104" s="31"/>
      <c r="J104" s="35"/>
    </row>
    <row r="105" spans="1:10" x14ac:dyDescent="0.25">
      <c r="B105" s="8"/>
      <c r="C105" s="56" t="s">
        <v>36</v>
      </c>
      <c r="D105" s="53"/>
      <c r="E105" s="6"/>
      <c r="F105" s="19"/>
      <c r="G105" s="24">
        <v>-1283.02</v>
      </c>
      <c r="H105" s="24">
        <v>-1.3900000000000001</v>
      </c>
      <c r="I105" s="31"/>
      <c r="J105" s="35"/>
    </row>
    <row r="106" spans="1:10" x14ac:dyDescent="0.25">
      <c r="C106" s="57" t="s">
        <v>35</v>
      </c>
      <c r="D106" s="53"/>
      <c r="E106" s="6"/>
      <c r="F106" s="19"/>
      <c r="G106" s="25">
        <v>-1244.02</v>
      </c>
      <c r="H106" s="25">
        <v>-1.35</v>
      </c>
      <c r="I106" s="31"/>
      <c r="J106" s="35"/>
    </row>
    <row r="107" spans="1:10" x14ac:dyDescent="0.25">
      <c r="C107" s="56"/>
      <c r="D107" s="53"/>
      <c r="E107" s="6"/>
      <c r="F107" s="19"/>
      <c r="G107" s="24"/>
      <c r="H107" s="24"/>
      <c r="I107" s="31"/>
      <c r="J107" s="35"/>
    </row>
    <row r="108" spans="1:10" x14ac:dyDescent="0.25">
      <c r="C108" s="61" t="s">
        <v>37</v>
      </c>
      <c r="D108" s="54"/>
      <c r="E108" s="5"/>
      <c r="F108" s="20"/>
      <c r="G108" s="26">
        <v>91399.63</v>
      </c>
      <c r="H108" s="26">
        <f>SUMIFS(H:H,C:C,"Total")</f>
        <v>100</v>
      </c>
      <c r="I108" s="32"/>
      <c r="J108" s="36"/>
    </row>
    <row r="110" spans="1:10" s="49" customFormat="1" ht="15.75" x14ac:dyDescent="0.3">
      <c r="C110" s="49" t="s">
        <v>3323</v>
      </c>
      <c r="F110" s="50"/>
      <c r="G110" s="50"/>
      <c r="H110" s="50"/>
    </row>
    <row r="111" spans="1:10" s="41" customFormat="1" ht="27" x14ac:dyDescent="0.25">
      <c r="B111" s="42"/>
      <c r="C111" s="42" t="s">
        <v>3318</v>
      </c>
      <c r="D111" s="42" t="s">
        <v>3319</v>
      </c>
      <c r="E111" s="42" t="s">
        <v>3320</v>
      </c>
      <c r="F111" s="43" t="s">
        <v>28</v>
      </c>
      <c r="G111" s="44" t="s">
        <v>3321</v>
      </c>
      <c r="H111" s="43" t="s">
        <v>30</v>
      </c>
      <c r="I111" s="42" t="s">
        <v>32</v>
      </c>
    </row>
    <row r="112" spans="1:10" s="41" customFormat="1" x14ac:dyDescent="0.25">
      <c r="B112" s="42"/>
      <c r="C112" s="42" t="s">
        <v>3329</v>
      </c>
      <c r="D112" s="42"/>
      <c r="E112" s="42"/>
      <c r="F112" s="43"/>
      <c r="G112" s="44"/>
      <c r="H112" s="43"/>
      <c r="I112" s="42"/>
    </row>
    <row r="113" spans="2:10" x14ac:dyDescent="0.25">
      <c r="B113" s="45">
        <v>3700052</v>
      </c>
      <c r="C113" s="45" t="s">
        <v>3328</v>
      </c>
      <c r="D113" s="45" t="s">
        <v>3316</v>
      </c>
      <c r="E113" s="45" t="s">
        <v>12</v>
      </c>
      <c r="F113" s="46">
        <v>22725</v>
      </c>
      <c r="G113" s="46">
        <v>2558.1191625000001</v>
      </c>
      <c r="H113" s="46">
        <v>2.8</v>
      </c>
      <c r="I113" s="45"/>
      <c r="J113" s="2"/>
    </row>
    <row r="114" spans="2:10" s="1" customFormat="1" x14ac:dyDescent="0.25">
      <c r="B114" s="47"/>
      <c r="C114" s="47" t="s">
        <v>3322</v>
      </c>
      <c r="D114" s="47"/>
      <c r="E114" s="47"/>
      <c r="F114" s="48"/>
      <c r="G114" s="48">
        <f>SUM(G112:G113)</f>
        <v>2558.1191625000001</v>
      </c>
      <c r="H114" s="48">
        <f>SUM(H112:H113)</f>
        <v>2.8</v>
      </c>
      <c r="I114" s="47"/>
    </row>
    <row r="116" spans="2:10" x14ac:dyDescent="0.25">
      <c r="C116" s="65" t="s">
        <v>3404</v>
      </c>
      <c r="D116" s="66"/>
      <c r="E116" s="67"/>
      <c r="F116" s="68"/>
      <c r="G116" s="69"/>
      <c r="H116" s="69"/>
      <c r="I116" s="3"/>
    </row>
    <row r="117" spans="2:10" ht="14.25" thickBot="1" x14ac:dyDescent="0.3">
      <c r="C117" s="66"/>
      <c r="D117" s="66"/>
      <c r="E117" s="67"/>
      <c r="F117" s="68"/>
      <c r="G117" s="69"/>
      <c r="H117" s="69"/>
      <c r="I117" s="3"/>
    </row>
    <row r="118" spans="2:10" ht="27" x14ac:dyDescent="0.25">
      <c r="C118" s="70" t="s">
        <v>26</v>
      </c>
      <c r="D118" s="71" t="s">
        <v>27</v>
      </c>
      <c r="E118" s="72" t="s">
        <v>3320</v>
      </c>
      <c r="F118" s="17" t="s">
        <v>28</v>
      </c>
      <c r="G118" s="14" t="s">
        <v>29</v>
      </c>
      <c r="H118" s="14" t="s">
        <v>30</v>
      </c>
      <c r="I118" s="100" t="s">
        <v>32</v>
      </c>
    </row>
    <row r="119" spans="2:10" x14ac:dyDescent="0.25">
      <c r="C119" s="73" t="s">
        <v>0</v>
      </c>
      <c r="D119" s="74"/>
      <c r="E119" s="75"/>
      <c r="F119" s="76"/>
      <c r="G119" s="77"/>
      <c r="H119" s="77"/>
      <c r="I119" s="101"/>
    </row>
    <row r="120" spans="2:10" x14ac:dyDescent="0.25">
      <c r="C120" s="78" t="s">
        <v>3405</v>
      </c>
      <c r="D120" s="79"/>
      <c r="E120" s="80"/>
      <c r="F120" s="81"/>
      <c r="G120" s="82"/>
      <c r="H120" s="82"/>
      <c r="I120" s="102"/>
    </row>
    <row r="121" spans="2:10" x14ac:dyDescent="0.25">
      <c r="C121" s="83"/>
      <c r="D121" s="79"/>
      <c r="E121" s="80"/>
      <c r="F121" s="81"/>
      <c r="G121" s="82"/>
      <c r="H121" s="82"/>
      <c r="I121" s="102"/>
    </row>
    <row r="122" spans="2:10" x14ac:dyDescent="0.25">
      <c r="C122" s="84" t="s">
        <v>887</v>
      </c>
      <c r="D122" s="85" t="s">
        <v>3401</v>
      </c>
      <c r="E122" s="86" t="s">
        <v>51</v>
      </c>
      <c r="F122" s="87">
        <v>223711</v>
      </c>
      <c r="G122" s="88">
        <v>0</v>
      </c>
      <c r="H122" s="89" t="s">
        <v>3399</v>
      </c>
      <c r="I122" s="103" t="s">
        <v>3408</v>
      </c>
    </row>
    <row r="123" spans="2:10" ht="14.25" thickBot="1" x14ac:dyDescent="0.3">
      <c r="C123" s="90"/>
      <c r="D123" s="91"/>
      <c r="E123" s="92"/>
      <c r="F123" s="20"/>
      <c r="G123" s="93"/>
      <c r="H123" s="94"/>
      <c r="I123" s="36"/>
    </row>
    <row r="124" spans="2:10" x14ac:dyDescent="0.25">
      <c r="C124" s="95"/>
      <c r="D124" s="95"/>
      <c r="E124" s="96"/>
      <c r="F124" s="97"/>
      <c r="G124" s="98"/>
      <c r="H124" s="99"/>
      <c r="I124" s="99"/>
    </row>
    <row r="125" spans="2:10" x14ac:dyDescent="0.25">
      <c r="C125" s="1" t="s">
        <v>38</v>
      </c>
      <c r="I125" s="3"/>
    </row>
    <row r="126" spans="2:10" x14ac:dyDescent="0.25">
      <c r="C126" s="2" t="s">
        <v>3406</v>
      </c>
      <c r="I126" s="3"/>
    </row>
    <row r="127" spans="2:10" x14ac:dyDescent="0.25">
      <c r="C127" s="2" t="s">
        <v>40</v>
      </c>
      <c r="I127" s="3"/>
    </row>
    <row r="128" spans="2:10" x14ac:dyDescent="0.25">
      <c r="C128" s="2" t="s">
        <v>3430</v>
      </c>
      <c r="I128" s="3"/>
    </row>
    <row r="129" spans="3:9" ht="132" customHeight="1" x14ac:dyDescent="0.25">
      <c r="C129" s="116" t="s">
        <v>3407</v>
      </c>
      <c r="D129" s="116"/>
      <c r="E129" s="116"/>
      <c r="F129" s="116"/>
      <c r="G129" s="116"/>
      <c r="H129" s="116"/>
      <c r="I129" s="3"/>
    </row>
    <row r="130" spans="3:9" x14ac:dyDescent="0.25">
      <c r="I130" s="3"/>
    </row>
  </sheetData>
  <mergeCells count="1">
    <mergeCell ref="C129:H129"/>
  </mergeCells>
  <hyperlinks>
    <hyperlink ref="J2" location="'Index'!A1" display="'Index'!A1"/>
  </hyperlinks>
  <pageMargins left="0.7" right="0.7" top="0.75" bottom="0.75" header="0.3" footer="0.3"/>
  <pageSetup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dimension ref="A1:J10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891</v>
      </c>
      <c r="J2" s="37" t="s">
        <v>3307</v>
      </c>
    </row>
    <row r="3" spans="1:10" ht="16.5" x14ac:dyDescent="0.3">
      <c r="C3" s="1" t="s">
        <v>24</v>
      </c>
      <c r="D3" s="21" t="s">
        <v>892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108</v>
      </c>
      <c r="C10" s="56" t="s">
        <v>109</v>
      </c>
      <c r="D10" s="53" t="s">
        <v>110</v>
      </c>
      <c r="E10" s="6" t="s">
        <v>111</v>
      </c>
      <c r="F10" s="19">
        <v>15500</v>
      </c>
      <c r="G10" s="24">
        <v>120.08</v>
      </c>
      <c r="H10" s="24">
        <v>1.82</v>
      </c>
      <c r="I10" s="31"/>
      <c r="J10" s="35"/>
    </row>
    <row r="11" spans="1:10" x14ac:dyDescent="0.25">
      <c r="B11" s="8" t="s">
        <v>316</v>
      </c>
      <c r="C11" s="56" t="s">
        <v>317</v>
      </c>
      <c r="D11" s="53" t="s">
        <v>318</v>
      </c>
      <c r="E11" s="6" t="s">
        <v>94</v>
      </c>
      <c r="F11" s="19">
        <v>8136</v>
      </c>
      <c r="G11" s="24">
        <v>100.07</v>
      </c>
      <c r="H11" s="24">
        <v>1.51</v>
      </c>
      <c r="I11" s="31"/>
      <c r="J11" s="35" t="s">
        <v>3420</v>
      </c>
    </row>
    <row r="12" spans="1:10" x14ac:dyDescent="0.25">
      <c r="B12" s="8" t="s">
        <v>808</v>
      </c>
      <c r="C12" s="56" t="s">
        <v>809</v>
      </c>
      <c r="D12" s="53" t="s">
        <v>810</v>
      </c>
      <c r="E12" s="6" t="s">
        <v>274</v>
      </c>
      <c r="F12" s="19">
        <v>17000</v>
      </c>
      <c r="G12" s="24">
        <v>99.06</v>
      </c>
      <c r="H12" s="24">
        <v>1.5</v>
      </c>
      <c r="I12" s="31"/>
      <c r="J12" s="35"/>
    </row>
    <row r="13" spans="1:10" x14ac:dyDescent="0.25">
      <c r="B13" s="8" t="s">
        <v>133</v>
      </c>
      <c r="C13" s="56" t="s">
        <v>134</v>
      </c>
      <c r="D13" s="53" t="s">
        <v>135</v>
      </c>
      <c r="E13" s="6" t="s">
        <v>47</v>
      </c>
      <c r="F13" s="19">
        <v>11300</v>
      </c>
      <c r="G13" s="24">
        <v>91.71</v>
      </c>
      <c r="H13" s="24">
        <v>1.39</v>
      </c>
      <c r="I13" s="31"/>
      <c r="J13" s="35"/>
    </row>
    <row r="14" spans="1:10" x14ac:dyDescent="0.25">
      <c r="B14" s="8" t="s">
        <v>363</v>
      </c>
      <c r="C14" s="56" t="s">
        <v>364</v>
      </c>
      <c r="D14" s="53" t="s">
        <v>365</v>
      </c>
      <c r="E14" s="6" t="s">
        <v>366</v>
      </c>
      <c r="F14" s="19">
        <v>24500</v>
      </c>
      <c r="G14" s="24">
        <v>87.71</v>
      </c>
      <c r="H14" s="24">
        <v>1.33</v>
      </c>
      <c r="I14" s="31"/>
      <c r="J14" s="35"/>
    </row>
    <row r="15" spans="1:10" x14ac:dyDescent="0.25">
      <c r="B15" s="8" t="s">
        <v>327</v>
      </c>
      <c r="C15" s="56" t="s">
        <v>328</v>
      </c>
      <c r="D15" s="53" t="s">
        <v>329</v>
      </c>
      <c r="E15" s="6" t="s">
        <v>47</v>
      </c>
      <c r="F15" s="19">
        <v>10700</v>
      </c>
      <c r="G15" s="24">
        <v>84.72</v>
      </c>
      <c r="H15" s="24">
        <v>1.28</v>
      </c>
      <c r="I15" s="31"/>
      <c r="J15" s="35"/>
    </row>
    <row r="16" spans="1:10" x14ac:dyDescent="0.25">
      <c r="B16" s="8" t="s">
        <v>235</v>
      </c>
      <c r="C16" s="56" t="s">
        <v>236</v>
      </c>
      <c r="D16" s="53" t="s">
        <v>3424</v>
      </c>
      <c r="E16" s="6" t="s">
        <v>90</v>
      </c>
      <c r="F16" s="19">
        <v>3900</v>
      </c>
      <c r="G16" s="24">
        <v>71.739999999999995</v>
      </c>
      <c r="H16" s="24">
        <v>1.08</v>
      </c>
      <c r="I16" s="31"/>
      <c r="J16" s="35"/>
    </row>
    <row r="17" spans="2:10" x14ac:dyDescent="0.25">
      <c r="B17" s="8" t="s">
        <v>698</v>
      </c>
      <c r="C17" s="56" t="s">
        <v>699</v>
      </c>
      <c r="D17" s="53" t="s">
        <v>700</v>
      </c>
      <c r="E17" s="6" t="s">
        <v>90</v>
      </c>
      <c r="F17" s="19">
        <v>1375</v>
      </c>
      <c r="G17" s="24">
        <v>70.959999999999994</v>
      </c>
      <c r="H17" s="24">
        <v>1.07</v>
      </c>
      <c r="I17" s="31"/>
      <c r="J17" s="35"/>
    </row>
    <row r="18" spans="2:10" x14ac:dyDescent="0.25">
      <c r="B18" s="8" t="s">
        <v>164</v>
      </c>
      <c r="C18" s="56" t="s">
        <v>165</v>
      </c>
      <c r="D18" s="53" t="s">
        <v>166</v>
      </c>
      <c r="E18" s="6" t="s">
        <v>51</v>
      </c>
      <c r="F18" s="19">
        <v>36100</v>
      </c>
      <c r="G18" s="24">
        <v>66.930000000000007</v>
      </c>
      <c r="H18" s="24">
        <v>1.01</v>
      </c>
      <c r="I18" s="31"/>
      <c r="J18" s="35"/>
    </row>
    <row r="19" spans="2:10" x14ac:dyDescent="0.25">
      <c r="B19" s="8" t="s">
        <v>893</v>
      </c>
      <c r="C19" s="56" t="s">
        <v>894</v>
      </c>
      <c r="D19" s="53" t="s">
        <v>895</v>
      </c>
      <c r="E19" s="6" t="s">
        <v>261</v>
      </c>
      <c r="F19" s="19">
        <v>315000</v>
      </c>
      <c r="G19" s="24">
        <v>63.63</v>
      </c>
      <c r="H19" s="24">
        <v>0.96</v>
      </c>
      <c r="I19" s="31"/>
      <c r="J19" s="35"/>
    </row>
    <row r="20" spans="2:10" x14ac:dyDescent="0.25">
      <c r="B20" s="8" t="s">
        <v>282</v>
      </c>
      <c r="C20" s="56" t="s">
        <v>283</v>
      </c>
      <c r="D20" s="53" t="s">
        <v>284</v>
      </c>
      <c r="E20" s="6" t="s">
        <v>254</v>
      </c>
      <c r="F20" s="19">
        <v>7200</v>
      </c>
      <c r="G20" s="24">
        <v>61.88</v>
      </c>
      <c r="H20" s="24">
        <v>0.94</v>
      </c>
      <c r="I20" s="31"/>
      <c r="J20" s="35"/>
    </row>
    <row r="21" spans="2:10" x14ac:dyDescent="0.25">
      <c r="B21" s="8" t="s">
        <v>154</v>
      </c>
      <c r="C21" s="56" t="s">
        <v>155</v>
      </c>
      <c r="D21" s="53" t="s">
        <v>156</v>
      </c>
      <c r="E21" s="6" t="s">
        <v>157</v>
      </c>
      <c r="F21" s="19">
        <v>13800</v>
      </c>
      <c r="G21" s="24">
        <v>61.44</v>
      </c>
      <c r="H21" s="24">
        <v>0.93</v>
      </c>
      <c r="I21" s="31"/>
      <c r="J21" s="35"/>
    </row>
    <row r="22" spans="2:10" x14ac:dyDescent="0.25">
      <c r="B22" s="8" t="s">
        <v>65</v>
      </c>
      <c r="C22" s="56" t="s">
        <v>66</v>
      </c>
      <c r="D22" s="53" t="s">
        <v>67</v>
      </c>
      <c r="E22" s="6" t="s">
        <v>68</v>
      </c>
      <c r="F22" s="19">
        <v>14500</v>
      </c>
      <c r="G22" s="24">
        <v>61.04</v>
      </c>
      <c r="H22" s="24">
        <v>0.92</v>
      </c>
      <c r="I22" s="31"/>
      <c r="J22" s="35"/>
    </row>
    <row r="23" spans="2:10" x14ac:dyDescent="0.25">
      <c r="B23" s="8" t="s">
        <v>367</v>
      </c>
      <c r="C23" s="56" t="s">
        <v>368</v>
      </c>
      <c r="D23" s="53" t="s">
        <v>369</v>
      </c>
      <c r="E23" s="6" t="s">
        <v>254</v>
      </c>
      <c r="F23" s="19">
        <v>64371</v>
      </c>
      <c r="G23" s="24">
        <v>58</v>
      </c>
      <c r="H23" s="24">
        <v>0.88</v>
      </c>
      <c r="I23" s="31"/>
      <c r="J23" s="35"/>
    </row>
    <row r="24" spans="2:10" x14ac:dyDescent="0.25">
      <c r="B24" s="8" t="s">
        <v>271</v>
      </c>
      <c r="C24" s="56" t="s">
        <v>272</v>
      </c>
      <c r="D24" s="53" t="s">
        <v>273</v>
      </c>
      <c r="E24" s="6" t="s">
        <v>274</v>
      </c>
      <c r="F24" s="19">
        <v>24000</v>
      </c>
      <c r="G24" s="24">
        <v>56.24</v>
      </c>
      <c r="H24" s="24">
        <v>0.85</v>
      </c>
      <c r="I24" s="31"/>
      <c r="J24" s="35"/>
    </row>
    <row r="25" spans="2:10" x14ac:dyDescent="0.25">
      <c r="B25" s="8" t="s">
        <v>262</v>
      </c>
      <c r="C25" s="56" t="s">
        <v>263</v>
      </c>
      <c r="D25" s="53" t="s">
        <v>264</v>
      </c>
      <c r="E25" s="6" t="s">
        <v>194</v>
      </c>
      <c r="F25" s="19">
        <v>27000</v>
      </c>
      <c r="G25" s="24">
        <v>52.1</v>
      </c>
      <c r="H25" s="24">
        <v>0.79</v>
      </c>
      <c r="I25" s="31"/>
      <c r="J25" s="35"/>
    </row>
    <row r="26" spans="2:10" x14ac:dyDescent="0.25">
      <c r="B26" s="8" t="s">
        <v>896</v>
      </c>
      <c r="C26" s="56" t="s">
        <v>897</v>
      </c>
      <c r="D26" s="53" t="s">
        <v>898</v>
      </c>
      <c r="E26" s="6" t="s">
        <v>274</v>
      </c>
      <c r="F26" s="19">
        <v>32500</v>
      </c>
      <c r="G26" s="24">
        <v>50.77</v>
      </c>
      <c r="H26" s="24">
        <v>0.77</v>
      </c>
      <c r="I26" s="31"/>
      <c r="J26" s="35"/>
    </row>
    <row r="27" spans="2:10" x14ac:dyDescent="0.25">
      <c r="B27" s="8" t="s">
        <v>899</v>
      </c>
      <c r="C27" s="56" t="s">
        <v>900</v>
      </c>
      <c r="D27" s="53" t="s">
        <v>901</v>
      </c>
      <c r="E27" s="6" t="s">
        <v>196</v>
      </c>
      <c r="F27" s="19">
        <v>360</v>
      </c>
      <c r="G27" s="24">
        <v>49.43</v>
      </c>
      <c r="H27" s="24">
        <v>0.75</v>
      </c>
      <c r="I27" s="31"/>
      <c r="J27" s="35"/>
    </row>
    <row r="28" spans="2:10" x14ac:dyDescent="0.25">
      <c r="B28" s="8" t="s">
        <v>376</v>
      </c>
      <c r="C28" s="56" t="s">
        <v>377</v>
      </c>
      <c r="D28" s="53" t="s">
        <v>378</v>
      </c>
      <c r="E28" s="6" t="s">
        <v>94</v>
      </c>
      <c r="F28" s="19">
        <v>47000</v>
      </c>
      <c r="G28" s="24">
        <v>49.16</v>
      </c>
      <c r="H28" s="24">
        <v>0.74</v>
      </c>
      <c r="I28" s="31"/>
      <c r="J28" s="35"/>
    </row>
    <row r="29" spans="2:10" x14ac:dyDescent="0.25">
      <c r="B29" s="8" t="s">
        <v>433</v>
      </c>
      <c r="C29" s="56" t="s">
        <v>434</v>
      </c>
      <c r="D29" s="53" t="s">
        <v>435</v>
      </c>
      <c r="E29" s="6" t="s">
        <v>157</v>
      </c>
      <c r="F29" s="19">
        <v>1150</v>
      </c>
      <c r="G29" s="24">
        <v>40.72</v>
      </c>
      <c r="H29" s="24">
        <v>0.62</v>
      </c>
      <c r="I29" s="31"/>
      <c r="J29" s="35"/>
    </row>
    <row r="30" spans="2:10" x14ac:dyDescent="0.25">
      <c r="B30" s="8" t="s">
        <v>710</v>
      </c>
      <c r="C30" s="56" t="s">
        <v>711</v>
      </c>
      <c r="D30" s="53" t="s">
        <v>712</v>
      </c>
      <c r="E30" s="6" t="s">
        <v>83</v>
      </c>
      <c r="F30" s="19">
        <v>41000</v>
      </c>
      <c r="G30" s="24">
        <v>34.4</v>
      </c>
      <c r="H30" s="24">
        <v>0.52</v>
      </c>
      <c r="I30" s="31"/>
      <c r="J30" s="35"/>
    </row>
    <row r="31" spans="2:10" x14ac:dyDescent="0.25">
      <c r="B31" s="8" t="s">
        <v>902</v>
      </c>
      <c r="C31" s="56" t="s">
        <v>903</v>
      </c>
      <c r="D31" s="53" t="s">
        <v>904</v>
      </c>
      <c r="E31" s="6" t="s">
        <v>79</v>
      </c>
      <c r="F31" s="19">
        <v>50000</v>
      </c>
      <c r="G31" s="24">
        <v>32.18</v>
      </c>
      <c r="H31" s="24">
        <v>0.49</v>
      </c>
      <c r="I31" s="31"/>
      <c r="J31" s="35"/>
    </row>
    <row r="32" spans="2:10" x14ac:dyDescent="0.25">
      <c r="B32" s="8" t="s">
        <v>245</v>
      </c>
      <c r="C32" s="56" t="s">
        <v>246</v>
      </c>
      <c r="D32" s="53" t="s">
        <v>247</v>
      </c>
      <c r="E32" s="6" t="s">
        <v>111</v>
      </c>
      <c r="F32" s="19">
        <v>6300</v>
      </c>
      <c r="G32" s="24">
        <v>31.53</v>
      </c>
      <c r="H32" s="24">
        <v>0.48</v>
      </c>
      <c r="I32" s="31"/>
      <c r="J32" s="35"/>
    </row>
    <row r="33" spans="1:10" x14ac:dyDescent="0.25">
      <c r="B33" s="8" t="s">
        <v>300</v>
      </c>
      <c r="C33" s="56" t="s">
        <v>301</v>
      </c>
      <c r="D33" s="53" t="s">
        <v>302</v>
      </c>
      <c r="E33" s="6" t="s">
        <v>153</v>
      </c>
      <c r="F33" s="19">
        <v>3561</v>
      </c>
      <c r="G33" s="24">
        <v>18.54</v>
      </c>
      <c r="H33" s="24">
        <v>0.28000000000000003</v>
      </c>
      <c r="I33" s="31"/>
      <c r="J33" s="35"/>
    </row>
    <row r="34" spans="1:10" x14ac:dyDescent="0.25">
      <c r="B34" s="8" t="s">
        <v>729</v>
      </c>
      <c r="C34" s="56" t="s">
        <v>730</v>
      </c>
      <c r="D34" s="53" t="s">
        <v>731</v>
      </c>
      <c r="E34" s="6" t="s">
        <v>72</v>
      </c>
      <c r="F34" s="19">
        <v>56998</v>
      </c>
      <c r="G34" s="24">
        <v>17.93</v>
      </c>
      <c r="H34" s="24">
        <v>0.27</v>
      </c>
      <c r="I34" s="31"/>
      <c r="J34" s="35"/>
    </row>
    <row r="35" spans="1:10" x14ac:dyDescent="0.25">
      <c r="B35" s="8" t="s">
        <v>69</v>
      </c>
      <c r="C35" s="56" t="s">
        <v>70</v>
      </c>
      <c r="D35" s="53" t="s">
        <v>71</v>
      </c>
      <c r="E35" s="6" t="s">
        <v>72</v>
      </c>
      <c r="F35" s="19">
        <v>40</v>
      </c>
      <c r="G35" s="24">
        <v>8.5299999999999994</v>
      </c>
      <c r="H35" s="24">
        <v>0.13</v>
      </c>
      <c r="I35" s="31"/>
      <c r="J35" s="35"/>
    </row>
    <row r="36" spans="1:10" x14ac:dyDescent="0.25">
      <c r="B36" s="8" t="s">
        <v>310</v>
      </c>
      <c r="C36" s="56" t="s">
        <v>311</v>
      </c>
      <c r="D36" s="53" t="s">
        <v>312</v>
      </c>
      <c r="E36" s="6" t="s">
        <v>90</v>
      </c>
      <c r="F36" s="19">
        <v>103000</v>
      </c>
      <c r="G36" s="24">
        <v>6.03</v>
      </c>
      <c r="H36" s="24">
        <v>0.09</v>
      </c>
      <c r="I36" s="31"/>
      <c r="J36" s="35" t="s">
        <v>3421</v>
      </c>
    </row>
    <row r="37" spans="1:10" x14ac:dyDescent="0.25">
      <c r="C37" s="57" t="s">
        <v>35</v>
      </c>
      <c r="D37" s="53"/>
      <c r="E37" s="6"/>
      <c r="F37" s="19"/>
      <c r="G37" s="25">
        <f>SUM(XDO_?FINAL_MV?106?)</f>
        <v>1546.5300000000002</v>
      </c>
      <c r="H37" s="25">
        <f>SUM(XDO_?FINAL_PER_NET?106?)</f>
        <v>23.399999999999995</v>
      </c>
      <c r="I37" s="31"/>
      <c r="J37" s="35"/>
    </row>
    <row r="38" spans="1:10" x14ac:dyDescent="0.25">
      <c r="C38" s="56"/>
      <c r="D38" s="53"/>
      <c r="E38" s="6"/>
      <c r="F38" s="19"/>
      <c r="G38" s="24"/>
      <c r="H38" s="24"/>
      <c r="I38" s="31"/>
      <c r="J38" s="35"/>
    </row>
    <row r="39" spans="1:10" x14ac:dyDescent="0.25">
      <c r="C39" s="59" t="s">
        <v>3</v>
      </c>
      <c r="D39" s="53"/>
      <c r="E39" s="6"/>
      <c r="F39" s="19"/>
      <c r="G39" s="24" t="s">
        <v>2</v>
      </c>
      <c r="H39" s="24" t="s">
        <v>2</v>
      </c>
      <c r="I39" s="31"/>
      <c r="J39" s="35"/>
    </row>
    <row r="40" spans="1:10" x14ac:dyDescent="0.25">
      <c r="C40" s="56"/>
      <c r="D40" s="53"/>
      <c r="E40" s="6"/>
      <c r="F40" s="19"/>
      <c r="G40" s="24"/>
      <c r="H40" s="24"/>
      <c r="I40" s="31"/>
      <c r="J40" s="35"/>
    </row>
    <row r="41" spans="1:10" x14ac:dyDescent="0.25">
      <c r="C41" s="57" t="s">
        <v>4</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5</v>
      </c>
      <c r="D43" s="53"/>
      <c r="E43" s="6"/>
      <c r="F43" s="19"/>
      <c r="G43" s="24"/>
      <c r="H43" s="24"/>
      <c r="I43" s="31"/>
      <c r="J43" s="35"/>
    </row>
    <row r="44" spans="1:10" x14ac:dyDescent="0.25">
      <c r="C44" s="59" t="s">
        <v>6</v>
      </c>
      <c r="D44" s="53"/>
      <c r="E44" s="6"/>
      <c r="F44" s="19"/>
      <c r="G44" s="24"/>
      <c r="H44" s="24"/>
      <c r="I44" s="31"/>
      <c r="J44" s="35"/>
    </row>
    <row r="45" spans="1:10" x14ac:dyDescent="0.25">
      <c r="B45" s="8" t="s">
        <v>905</v>
      </c>
      <c r="C45" s="56" t="s">
        <v>906</v>
      </c>
      <c r="D45" s="53" t="s">
        <v>907</v>
      </c>
      <c r="E45" s="6" t="s">
        <v>534</v>
      </c>
      <c r="F45" s="19">
        <v>50</v>
      </c>
      <c r="G45" s="24">
        <v>537.15</v>
      </c>
      <c r="H45" s="24">
        <v>8.1199999999999992</v>
      </c>
      <c r="I45" s="31">
        <v>5.7142999999999997</v>
      </c>
      <c r="J45" s="35" t="s">
        <v>514</v>
      </c>
    </row>
    <row r="46" spans="1:10" x14ac:dyDescent="0.25">
      <c r="B46" s="8" t="s">
        <v>908</v>
      </c>
      <c r="C46" s="56" t="s">
        <v>909</v>
      </c>
      <c r="D46" s="53" t="s">
        <v>910</v>
      </c>
      <c r="E46" s="6" t="s">
        <v>911</v>
      </c>
      <c r="F46" s="19">
        <v>50</v>
      </c>
      <c r="G46" s="24">
        <v>526.23</v>
      </c>
      <c r="H46" s="24">
        <v>7.96</v>
      </c>
      <c r="I46" s="31">
        <v>6.7750000000000004</v>
      </c>
      <c r="J46" s="35" t="s">
        <v>514</v>
      </c>
    </row>
    <row r="47" spans="1:10" x14ac:dyDescent="0.25">
      <c r="B47" s="8" t="s">
        <v>912</v>
      </c>
      <c r="C47" s="56" t="s">
        <v>601</v>
      </c>
      <c r="D47" s="53" t="s">
        <v>913</v>
      </c>
      <c r="E47" s="6" t="s">
        <v>534</v>
      </c>
      <c r="F47" s="19">
        <v>50</v>
      </c>
      <c r="G47" s="24">
        <v>516.70000000000005</v>
      </c>
      <c r="H47" s="24">
        <v>7.81</v>
      </c>
      <c r="I47" s="31">
        <v>7.25</v>
      </c>
      <c r="J47" s="35" t="s">
        <v>514</v>
      </c>
    </row>
    <row r="48" spans="1:10" x14ac:dyDescent="0.25">
      <c r="B48" s="8" t="s">
        <v>588</v>
      </c>
      <c r="C48" s="56" t="s">
        <v>578</v>
      </c>
      <c r="D48" s="53" t="s">
        <v>589</v>
      </c>
      <c r="E48" s="6" t="s">
        <v>526</v>
      </c>
      <c r="F48" s="19">
        <v>40</v>
      </c>
      <c r="G48" s="24">
        <v>405.19</v>
      </c>
      <c r="H48" s="24">
        <v>6.13</v>
      </c>
      <c r="I48" s="31">
        <v>8.0546000000000006</v>
      </c>
      <c r="J48" s="35" t="s">
        <v>514</v>
      </c>
    </row>
    <row r="49" spans="2:10" x14ac:dyDescent="0.25">
      <c r="B49" s="8" t="s">
        <v>511</v>
      </c>
      <c r="C49" s="56" t="s">
        <v>3428</v>
      </c>
      <c r="D49" s="53" t="s">
        <v>512</v>
      </c>
      <c r="E49" s="6" t="s">
        <v>513</v>
      </c>
      <c r="F49" s="19">
        <v>20</v>
      </c>
      <c r="G49" s="24">
        <v>218.4</v>
      </c>
      <c r="H49" s="24">
        <v>3.3</v>
      </c>
      <c r="I49" s="31">
        <v>6.9349999999999996</v>
      </c>
      <c r="J49" s="35" t="s">
        <v>514</v>
      </c>
    </row>
    <row r="50" spans="2:10" x14ac:dyDescent="0.25">
      <c r="B50" s="8" t="s">
        <v>617</v>
      </c>
      <c r="C50" s="56" t="s">
        <v>524</v>
      </c>
      <c r="D50" s="53" t="s">
        <v>618</v>
      </c>
      <c r="E50" s="6" t="s">
        <v>526</v>
      </c>
      <c r="F50" s="19">
        <v>20</v>
      </c>
      <c r="G50" s="24">
        <v>208.06</v>
      </c>
      <c r="H50" s="24">
        <v>3.15</v>
      </c>
      <c r="I50" s="31">
        <v>6.9198000000000004</v>
      </c>
      <c r="J50" s="35" t="s">
        <v>514</v>
      </c>
    </row>
    <row r="51" spans="2:10" x14ac:dyDescent="0.25">
      <c r="B51" s="8" t="s">
        <v>914</v>
      </c>
      <c r="C51" s="56" t="s">
        <v>230</v>
      </c>
      <c r="D51" s="53" t="s">
        <v>915</v>
      </c>
      <c r="E51" s="6" t="s">
        <v>541</v>
      </c>
      <c r="F51" s="19">
        <v>20</v>
      </c>
      <c r="G51" s="24">
        <v>203.92</v>
      </c>
      <c r="H51" s="24">
        <v>3.08</v>
      </c>
      <c r="I51" s="31">
        <v>7.1150000000000002</v>
      </c>
      <c r="J51" s="35" t="s">
        <v>514</v>
      </c>
    </row>
    <row r="52" spans="2:10" x14ac:dyDescent="0.25">
      <c r="B52" s="8" t="s">
        <v>603</v>
      </c>
      <c r="C52" s="56" t="s">
        <v>568</v>
      </c>
      <c r="D52" s="53" t="s">
        <v>604</v>
      </c>
      <c r="E52" s="6" t="s">
        <v>545</v>
      </c>
      <c r="F52" s="19">
        <v>20</v>
      </c>
      <c r="G52" s="24">
        <v>197.68</v>
      </c>
      <c r="H52" s="24">
        <v>2.99</v>
      </c>
      <c r="I52" s="31">
        <v>10.003500000000001</v>
      </c>
      <c r="J52" s="35" t="s">
        <v>514</v>
      </c>
    </row>
    <row r="53" spans="2:10" x14ac:dyDescent="0.25">
      <c r="C53" s="57" t="s">
        <v>35</v>
      </c>
      <c r="D53" s="53"/>
      <c r="E53" s="6"/>
      <c r="F53" s="19"/>
      <c r="G53" s="25">
        <v>2813.33</v>
      </c>
      <c r="H53" s="25">
        <v>42.54</v>
      </c>
      <c r="I53" s="31"/>
      <c r="J53" s="35"/>
    </row>
    <row r="54" spans="2:10" x14ac:dyDescent="0.25">
      <c r="C54" s="56"/>
      <c r="D54" s="53"/>
      <c r="E54" s="6"/>
      <c r="F54" s="19"/>
      <c r="G54" s="24"/>
      <c r="H54" s="24"/>
      <c r="I54" s="31"/>
      <c r="J54" s="35"/>
    </row>
    <row r="55" spans="2:10" x14ac:dyDescent="0.25">
      <c r="C55" s="57" t="s">
        <v>7</v>
      </c>
      <c r="D55" s="53"/>
      <c r="E55" s="6"/>
      <c r="F55" s="19"/>
      <c r="G55" s="24" t="s">
        <v>2</v>
      </c>
      <c r="H55" s="24" t="s">
        <v>2</v>
      </c>
      <c r="I55" s="31"/>
      <c r="J55" s="35"/>
    </row>
    <row r="56" spans="2:10" x14ac:dyDescent="0.25">
      <c r="C56" s="56"/>
      <c r="D56" s="53"/>
      <c r="E56" s="6"/>
      <c r="F56" s="19"/>
      <c r="G56" s="24"/>
      <c r="H56" s="24"/>
      <c r="I56" s="31"/>
      <c r="J56" s="35"/>
    </row>
    <row r="57" spans="2:10" x14ac:dyDescent="0.25">
      <c r="C57" s="57" t="s">
        <v>8</v>
      </c>
      <c r="D57" s="53"/>
      <c r="E57" s="6"/>
      <c r="F57" s="19"/>
      <c r="G57" s="24" t="s">
        <v>2</v>
      </c>
      <c r="H57" s="24" t="s">
        <v>2</v>
      </c>
      <c r="I57" s="31"/>
      <c r="J57" s="35"/>
    </row>
    <row r="58" spans="2:10" x14ac:dyDescent="0.25">
      <c r="C58" s="56"/>
      <c r="D58" s="53"/>
      <c r="E58" s="6"/>
      <c r="F58" s="19"/>
      <c r="G58" s="24"/>
      <c r="H58" s="24"/>
      <c r="I58" s="31"/>
      <c r="J58" s="35"/>
    </row>
    <row r="59" spans="2:10" x14ac:dyDescent="0.25">
      <c r="C59" s="59" t="s">
        <v>9</v>
      </c>
      <c r="D59" s="53"/>
      <c r="E59" s="6"/>
      <c r="F59" s="19"/>
      <c r="G59" s="24"/>
      <c r="H59" s="24"/>
      <c r="I59" s="31"/>
      <c r="J59" s="35"/>
    </row>
    <row r="60" spans="2:10" x14ac:dyDescent="0.25">
      <c r="B60" s="8" t="s">
        <v>656</v>
      </c>
      <c r="C60" s="56" t="s">
        <v>657</v>
      </c>
      <c r="D60" s="53" t="s">
        <v>658</v>
      </c>
      <c r="E60" s="6" t="s">
        <v>655</v>
      </c>
      <c r="F60" s="19">
        <v>1000000</v>
      </c>
      <c r="G60" s="24">
        <v>1094.44</v>
      </c>
      <c r="H60" s="24">
        <v>16.55</v>
      </c>
      <c r="I60" s="31">
        <v>6.4672999999999998</v>
      </c>
      <c r="J60" s="35"/>
    </row>
    <row r="61" spans="2:10" x14ac:dyDescent="0.25">
      <c r="C61" s="57" t="s">
        <v>35</v>
      </c>
      <c r="D61" s="53"/>
      <c r="E61" s="6"/>
      <c r="F61" s="19"/>
      <c r="G61" s="25">
        <v>1094.44</v>
      </c>
      <c r="H61" s="25">
        <v>16.55</v>
      </c>
      <c r="I61" s="31"/>
      <c r="J61" s="35"/>
    </row>
    <row r="62" spans="2:10" x14ac:dyDescent="0.25">
      <c r="C62" s="56"/>
      <c r="D62" s="53"/>
      <c r="E62" s="6"/>
      <c r="F62" s="19"/>
      <c r="G62" s="24"/>
      <c r="H62" s="24"/>
      <c r="I62" s="31"/>
      <c r="J62" s="35"/>
    </row>
    <row r="63" spans="2:10" x14ac:dyDescent="0.25">
      <c r="C63" s="59" t="s">
        <v>10</v>
      </c>
      <c r="D63" s="53"/>
      <c r="E63" s="6"/>
      <c r="F63" s="19"/>
      <c r="G63" s="24"/>
      <c r="H63" s="24"/>
      <c r="I63" s="31"/>
      <c r="J63" s="35"/>
    </row>
    <row r="64" spans="2:10" x14ac:dyDescent="0.25">
      <c r="B64" s="8" t="s">
        <v>916</v>
      </c>
      <c r="C64" s="56" t="s">
        <v>917</v>
      </c>
      <c r="D64" s="53" t="s">
        <v>918</v>
      </c>
      <c r="E64" s="6" t="s">
        <v>655</v>
      </c>
      <c r="F64" s="19">
        <v>300000</v>
      </c>
      <c r="G64" s="24">
        <v>307.13</v>
      </c>
      <c r="H64" s="24">
        <v>4.6399999999999997</v>
      </c>
      <c r="I64" s="31">
        <v>6.8150000000000004</v>
      </c>
      <c r="J64" s="35"/>
    </row>
    <row r="65" spans="1:10" x14ac:dyDescent="0.25">
      <c r="C65" s="57" t="s">
        <v>35</v>
      </c>
      <c r="D65" s="53"/>
      <c r="E65" s="6"/>
      <c r="F65" s="19"/>
      <c r="G65" s="25">
        <v>307.13</v>
      </c>
      <c r="H65" s="25">
        <v>4.6399999999999997</v>
      </c>
      <c r="I65" s="31"/>
      <c r="J65" s="35"/>
    </row>
    <row r="66" spans="1:10" x14ac:dyDescent="0.25">
      <c r="C66" s="56"/>
      <c r="D66" s="53"/>
      <c r="E66" s="6"/>
      <c r="F66" s="19"/>
      <c r="G66" s="24"/>
      <c r="H66" s="24"/>
      <c r="I66" s="31"/>
      <c r="J66" s="35"/>
    </row>
    <row r="67" spans="1:10" x14ac:dyDescent="0.25">
      <c r="C67" s="57" t="s">
        <v>11</v>
      </c>
      <c r="D67" s="53"/>
      <c r="E67" s="6"/>
      <c r="F67" s="19"/>
      <c r="G67" s="24"/>
      <c r="H67" s="24"/>
      <c r="I67" s="31"/>
      <c r="J67" s="35"/>
    </row>
    <row r="68" spans="1:10" x14ac:dyDescent="0.25">
      <c r="C68" s="56"/>
      <c r="D68" s="53"/>
      <c r="E68" s="6"/>
      <c r="F68" s="19"/>
      <c r="G68" s="24"/>
      <c r="H68" s="24"/>
      <c r="I68" s="31"/>
      <c r="J68" s="35"/>
    </row>
    <row r="69" spans="1:10" x14ac:dyDescent="0.25">
      <c r="C69" s="57" t="s">
        <v>13</v>
      </c>
      <c r="D69" s="53"/>
      <c r="E69" s="6"/>
      <c r="F69" s="19"/>
      <c r="G69" s="24" t="s">
        <v>2</v>
      </c>
      <c r="H69" s="24" t="s">
        <v>2</v>
      </c>
      <c r="I69" s="31"/>
      <c r="J69" s="35"/>
    </row>
    <row r="70" spans="1:10" x14ac:dyDescent="0.25">
      <c r="C70" s="56"/>
      <c r="D70" s="53"/>
      <c r="E70" s="6"/>
      <c r="F70" s="19"/>
      <c r="G70" s="24"/>
      <c r="H70" s="24"/>
      <c r="I70" s="31"/>
      <c r="J70" s="35"/>
    </row>
    <row r="71" spans="1:10" x14ac:dyDescent="0.25">
      <c r="C71" s="57" t="s">
        <v>14</v>
      </c>
      <c r="D71" s="53"/>
      <c r="E71" s="6"/>
      <c r="F71" s="19"/>
      <c r="G71" s="24" t="s">
        <v>2</v>
      </c>
      <c r="H71" s="24" t="s">
        <v>2</v>
      </c>
      <c r="I71" s="31"/>
      <c r="J71" s="35"/>
    </row>
    <row r="72" spans="1:10" x14ac:dyDescent="0.25">
      <c r="C72" s="56"/>
      <c r="D72" s="53"/>
      <c r="E72" s="6"/>
      <c r="F72" s="19"/>
      <c r="G72" s="24"/>
      <c r="H72" s="24"/>
      <c r="I72" s="31"/>
      <c r="J72" s="35"/>
    </row>
    <row r="73" spans="1:10" x14ac:dyDescent="0.25">
      <c r="C73" s="57" t="s">
        <v>15</v>
      </c>
      <c r="D73" s="53"/>
      <c r="E73" s="6"/>
      <c r="F73" s="19"/>
      <c r="G73" s="24" t="s">
        <v>2</v>
      </c>
      <c r="H73" s="24" t="s">
        <v>2</v>
      </c>
      <c r="I73" s="31"/>
      <c r="J73" s="35"/>
    </row>
    <row r="74" spans="1:10" x14ac:dyDescent="0.25">
      <c r="C74" s="56"/>
      <c r="D74" s="53"/>
      <c r="E74" s="6"/>
      <c r="F74" s="19"/>
      <c r="G74" s="24"/>
      <c r="H74" s="24"/>
      <c r="I74" s="31"/>
      <c r="J74" s="35"/>
    </row>
    <row r="75" spans="1:10" x14ac:dyDescent="0.25">
      <c r="C75" s="57" t="s">
        <v>16</v>
      </c>
      <c r="D75" s="53"/>
      <c r="E75" s="6"/>
      <c r="F75" s="19"/>
      <c r="G75" s="24" t="s">
        <v>2</v>
      </c>
      <c r="H75" s="24" t="s">
        <v>2</v>
      </c>
      <c r="I75" s="31"/>
      <c r="J75" s="35"/>
    </row>
    <row r="76" spans="1:10" x14ac:dyDescent="0.25">
      <c r="C76" s="56"/>
      <c r="D76" s="53"/>
      <c r="E76" s="6"/>
      <c r="F76" s="19"/>
      <c r="G76" s="24"/>
      <c r="H76" s="24"/>
      <c r="I76" s="31"/>
      <c r="J76" s="35"/>
    </row>
    <row r="77" spans="1:10" x14ac:dyDescent="0.25">
      <c r="A77" s="10"/>
      <c r="B77" s="28"/>
      <c r="C77" s="58" t="s">
        <v>17</v>
      </c>
      <c r="D77" s="53"/>
      <c r="E77" s="6"/>
      <c r="F77" s="19"/>
      <c r="G77" s="24"/>
      <c r="H77" s="24"/>
      <c r="I77" s="31"/>
      <c r="J77" s="35"/>
    </row>
    <row r="78" spans="1:10" x14ac:dyDescent="0.25">
      <c r="A78" s="28"/>
      <c r="B78" s="28"/>
      <c r="C78" s="58" t="s">
        <v>18</v>
      </c>
      <c r="D78" s="53"/>
      <c r="E78" s="6"/>
      <c r="F78" s="19"/>
      <c r="G78" s="24" t="s">
        <v>2</v>
      </c>
      <c r="H78" s="24" t="s">
        <v>2</v>
      </c>
      <c r="I78" s="31"/>
      <c r="J78" s="35"/>
    </row>
    <row r="79" spans="1:10" x14ac:dyDescent="0.25">
      <c r="A79" s="28"/>
      <c r="B79" s="28"/>
      <c r="C79" s="58"/>
      <c r="D79" s="53"/>
      <c r="E79" s="6"/>
      <c r="F79" s="19"/>
      <c r="G79" s="24"/>
      <c r="H79" s="24"/>
      <c r="I79" s="31"/>
      <c r="J79" s="35"/>
    </row>
    <row r="80" spans="1:10" x14ac:dyDescent="0.25">
      <c r="A80" s="28"/>
      <c r="B80" s="28"/>
      <c r="C80" s="58" t="s">
        <v>19</v>
      </c>
      <c r="D80" s="53"/>
      <c r="E80" s="6"/>
      <c r="F80" s="19"/>
      <c r="G80" s="24" t="s">
        <v>2</v>
      </c>
      <c r="H80" s="24" t="s">
        <v>2</v>
      </c>
      <c r="I80" s="31"/>
      <c r="J80" s="35"/>
    </row>
    <row r="81" spans="1:10" x14ac:dyDescent="0.25">
      <c r="A81" s="28"/>
      <c r="B81" s="28"/>
      <c r="C81" s="58"/>
      <c r="D81" s="53"/>
      <c r="E81" s="6"/>
      <c r="F81" s="19"/>
      <c r="G81" s="24"/>
      <c r="H81" s="24"/>
      <c r="I81" s="31"/>
      <c r="J81" s="35"/>
    </row>
    <row r="82" spans="1:10" x14ac:dyDescent="0.25">
      <c r="A82" s="28"/>
      <c r="B82" s="28"/>
      <c r="C82" s="58" t="s">
        <v>20</v>
      </c>
      <c r="D82" s="53"/>
      <c r="E82" s="6"/>
      <c r="F82" s="19"/>
      <c r="G82" s="24" t="s">
        <v>2</v>
      </c>
      <c r="H82" s="24" t="s">
        <v>2</v>
      </c>
      <c r="I82" s="31"/>
      <c r="J82" s="35"/>
    </row>
    <row r="83" spans="1:10" x14ac:dyDescent="0.25">
      <c r="A83" s="28"/>
      <c r="B83" s="28"/>
      <c r="C83" s="58"/>
      <c r="D83" s="53"/>
      <c r="E83" s="6"/>
      <c r="F83" s="19"/>
      <c r="G83" s="24"/>
      <c r="H83" s="24"/>
      <c r="I83" s="31"/>
      <c r="J83" s="35"/>
    </row>
    <row r="84" spans="1:10" x14ac:dyDescent="0.25">
      <c r="A84" s="28"/>
      <c r="B84" s="28"/>
      <c r="C84" s="58" t="s">
        <v>21</v>
      </c>
      <c r="D84" s="53"/>
      <c r="E84" s="6"/>
      <c r="F84" s="19"/>
      <c r="G84" s="24" t="s">
        <v>2</v>
      </c>
      <c r="H84" s="24" t="s">
        <v>2</v>
      </c>
      <c r="I84" s="31"/>
      <c r="J84" s="35"/>
    </row>
    <row r="85" spans="1:10" x14ac:dyDescent="0.25">
      <c r="A85" s="28"/>
      <c r="B85" s="28"/>
      <c r="C85" s="58"/>
      <c r="D85" s="53"/>
      <c r="E85" s="6"/>
      <c r="F85" s="19"/>
      <c r="G85" s="24"/>
      <c r="H85" s="24"/>
      <c r="I85" s="31"/>
      <c r="J85" s="35"/>
    </row>
    <row r="86" spans="1:10" x14ac:dyDescent="0.25">
      <c r="C86" s="59" t="s">
        <v>22</v>
      </c>
      <c r="D86" s="53"/>
      <c r="E86" s="6"/>
      <c r="F86" s="19"/>
      <c r="G86" s="24"/>
      <c r="H86" s="24"/>
      <c r="I86" s="31"/>
      <c r="J86" s="35"/>
    </row>
    <row r="87" spans="1:10" x14ac:dyDescent="0.25">
      <c r="B87" s="8" t="s">
        <v>33</v>
      </c>
      <c r="C87" s="56" t="s">
        <v>34</v>
      </c>
      <c r="D87" s="53"/>
      <c r="E87" s="6"/>
      <c r="F87" s="19"/>
      <c r="G87" s="24">
        <v>764.52</v>
      </c>
      <c r="H87" s="24">
        <v>11.56</v>
      </c>
      <c r="I87" s="31"/>
      <c r="J87" s="35"/>
    </row>
    <row r="88" spans="1:10" x14ac:dyDescent="0.25">
      <c r="C88" s="57" t="s">
        <v>35</v>
      </c>
      <c r="D88" s="53"/>
      <c r="E88" s="6"/>
      <c r="F88" s="19"/>
      <c r="G88" s="25">
        <v>764.52</v>
      </c>
      <c r="H88" s="25">
        <v>11.56</v>
      </c>
      <c r="I88" s="31"/>
      <c r="J88" s="35"/>
    </row>
    <row r="89" spans="1:10" x14ac:dyDescent="0.25">
      <c r="C89" s="56"/>
      <c r="D89" s="53"/>
      <c r="E89" s="6"/>
      <c r="F89" s="19"/>
      <c r="G89" s="24"/>
      <c r="H89" s="24"/>
      <c r="I89" s="31"/>
      <c r="J89" s="35"/>
    </row>
    <row r="90" spans="1:10" x14ac:dyDescent="0.25">
      <c r="A90" s="10"/>
      <c r="B90" s="28"/>
      <c r="C90" s="58" t="s">
        <v>23</v>
      </c>
      <c r="D90" s="53"/>
      <c r="E90" s="6"/>
      <c r="F90" s="19"/>
      <c r="G90" s="24"/>
      <c r="H90" s="24"/>
      <c r="I90" s="31"/>
      <c r="J90" s="35"/>
    </row>
    <row r="91" spans="1:10" x14ac:dyDescent="0.25">
      <c r="A91" s="28"/>
      <c r="B91" s="28"/>
      <c r="C91" s="60" t="s">
        <v>3398</v>
      </c>
      <c r="D91" s="53"/>
      <c r="E91" s="6"/>
      <c r="F91" s="19"/>
      <c r="G91" s="24" t="s">
        <v>2</v>
      </c>
      <c r="H91" s="24" t="s">
        <v>2</v>
      </c>
      <c r="I91" s="31"/>
      <c r="J91" s="35"/>
    </row>
    <row r="92" spans="1:10" x14ac:dyDescent="0.25">
      <c r="B92" s="8"/>
      <c r="C92" s="56" t="s">
        <v>36</v>
      </c>
      <c r="D92" s="53"/>
      <c r="E92" s="6"/>
      <c r="F92" s="19"/>
      <c r="G92" s="24">
        <v>88.49</v>
      </c>
      <c r="H92" s="24">
        <v>1.31</v>
      </c>
      <c r="I92" s="31"/>
      <c r="J92" s="35"/>
    </row>
    <row r="93" spans="1:10" x14ac:dyDescent="0.25">
      <c r="C93" s="57" t="s">
        <v>35</v>
      </c>
      <c r="D93" s="53"/>
      <c r="E93" s="6"/>
      <c r="F93" s="19"/>
      <c r="G93" s="25">
        <v>88.49</v>
      </c>
      <c r="H93" s="25">
        <v>1.31</v>
      </c>
      <c r="I93" s="31"/>
      <c r="J93" s="35"/>
    </row>
    <row r="94" spans="1:10" x14ac:dyDescent="0.25">
      <c r="C94" s="56"/>
      <c r="D94" s="53"/>
      <c r="E94" s="6"/>
      <c r="F94" s="19"/>
      <c r="G94" s="24"/>
      <c r="H94" s="24"/>
      <c r="I94" s="31"/>
      <c r="J94" s="35"/>
    </row>
    <row r="95" spans="1:10" x14ac:dyDescent="0.25">
      <c r="C95" s="61" t="s">
        <v>37</v>
      </c>
      <c r="D95" s="54"/>
      <c r="E95" s="5"/>
      <c r="F95" s="20"/>
      <c r="G95" s="26">
        <v>6614.44</v>
      </c>
      <c r="H95" s="26">
        <f>SUMIFS(H:H,C:C,"Total")</f>
        <v>100</v>
      </c>
      <c r="I95" s="32"/>
      <c r="J95" s="36"/>
    </row>
    <row r="98" spans="3:7" x14ac:dyDescent="0.25">
      <c r="C98" s="1" t="s">
        <v>38</v>
      </c>
    </row>
    <row r="99" spans="3:7" x14ac:dyDescent="0.25">
      <c r="C99" s="2" t="s">
        <v>3422</v>
      </c>
    </row>
    <row r="100" spans="3:7" x14ac:dyDescent="0.25">
      <c r="C100" s="2" t="s">
        <v>40</v>
      </c>
    </row>
    <row r="101" spans="3:7" x14ac:dyDescent="0.25">
      <c r="C101" s="2" t="s">
        <v>3430</v>
      </c>
    </row>
    <row r="102" spans="3:7" x14ac:dyDescent="0.25">
      <c r="C102" s="105" t="s">
        <v>3409</v>
      </c>
      <c r="D102" s="105"/>
      <c r="E102" s="105"/>
      <c r="F102" s="105"/>
      <c r="G102" s="106"/>
    </row>
    <row r="103" spans="3:7" ht="76.5" x14ac:dyDescent="0.25">
      <c r="C103" s="107" t="s">
        <v>3410</v>
      </c>
      <c r="D103" s="107" t="s">
        <v>27</v>
      </c>
      <c r="E103" s="107" t="s">
        <v>3411</v>
      </c>
      <c r="F103" s="107" t="s">
        <v>3412</v>
      </c>
      <c r="G103" s="108" t="s">
        <v>3413</v>
      </c>
    </row>
    <row r="104" spans="3:7" ht="15" x14ac:dyDescent="0.25">
      <c r="C104" s="109" t="s">
        <v>3414</v>
      </c>
      <c r="D104" s="109" t="s">
        <v>3415</v>
      </c>
      <c r="E104" s="110">
        <v>0</v>
      </c>
      <c r="F104" s="111">
        <v>0</v>
      </c>
      <c r="G104" s="110">
        <v>326.10000000000002</v>
      </c>
    </row>
  </sheetData>
  <hyperlinks>
    <hyperlink ref="J2" location="'Index'!A1" display="'Index'!A1"/>
  </hyperlinks>
  <pageMargins left="0.7" right="0.7" top="0.75" bottom="0.75" header="0.3" footer="0.3"/>
  <pageSetup orientation="portrait" horizont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
  <dimension ref="A1:J6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919</v>
      </c>
      <c r="J2" s="37" t="s">
        <v>3307</v>
      </c>
    </row>
    <row r="3" spans="1:10" ht="16.5" x14ac:dyDescent="0.3">
      <c r="C3" s="1" t="s">
        <v>24</v>
      </c>
      <c r="D3" s="21" t="s">
        <v>920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C16" s="57" t="s">
        <v>5</v>
      </c>
      <c r="D16" s="53"/>
      <c r="E16" s="6"/>
      <c r="F16" s="19"/>
      <c r="G16" s="24"/>
      <c r="H16" s="24"/>
      <c r="I16" s="31"/>
      <c r="J16" s="35"/>
    </row>
    <row r="17" spans="3:10" x14ac:dyDescent="0.25">
      <c r="C17" s="56"/>
      <c r="D17" s="53"/>
      <c r="E17" s="6"/>
      <c r="F17" s="19"/>
      <c r="G17" s="24"/>
      <c r="H17" s="24"/>
      <c r="I17" s="31"/>
      <c r="J17" s="35"/>
    </row>
    <row r="18" spans="3:10" x14ac:dyDescent="0.25">
      <c r="C18" s="57" t="s">
        <v>6</v>
      </c>
      <c r="D18" s="53"/>
      <c r="E18" s="6"/>
      <c r="F18" s="19"/>
      <c r="G18" s="24" t="s">
        <v>2</v>
      </c>
      <c r="H18" s="24" t="s">
        <v>2</v>
      </c>
      <c r="I18" s="31"/>
      <c r="J18" s="35"/>
    </row>
    <row r="19" spans="3:10" x14ac:dyDescent="0.25">
      <c r="C19" s="56"/>
      <c r="D19" s="53"/>
      <c r="E19" s="6"/>
      <c r="F19" s="19"/>
      <c r="G19" s="24"/>
      <c r="H19" s="24"/>
      <c r="I19" s="31"/>
      <c r="J19" s="35"/>
    </row>
    <row r="20" spans="3:10" x14ac:dyDescent="0.25">
      <c r="C20" s="57" t="s">
        <v>7</v>
      </c>
      <c r="D20" s="53"/>
      <c r="E20" s="6"/>
      <c r="F20" s="19"/>
      <c r="G20" s="24" t="s">
        <v>2</v>
      </c>
      <c r="H20" s="24" t="s">
        <v>2</v>
      </c>
      <c r="I20" s="31"/>
      <c r="J20" s="35"/>
    </row>
    <row r="21" spans="3:10" x14ac:dyDescent="0.25">
      <c r="C21" s="56"/>
      <c r="D21" s="53"/>
      <c r="E21" s="6"/>
      <c r="F21" s="19"/>
      <c r="G21" s="24"/>
      <c r="H21" s="24"/>
      <c r="I21" s="31"/>
      <c r="J21" s="35"/>
    </row>
    <row r="22" spans="3:10" x14ac:dyDescent="0.25">
      <c r="C22" s="57" t="s">
        <v>8</v>
      </c>
      <c r="D22" s="53"/>
      <c r="E22" s="6"/>
      <c r="F22" s="19"/>
      <c r="G22" s="24" t="s">
        <v>2</v>
      </c>
      <c r="H22" s="24" t="s">
        <v>2</v>
      </c>
      <c r="I22" s="31"/>
      <c r="J22" s="35"/>
    </row>
    <row r="23" spans="3:10" x14ac:dyDescent="0.25">
      <c r="C23" s="56"/>
      <c r="D23" s="53"/>
      <c r="E23" s="6"/>
      <c r="F23" s="19"/>
      <c r="G23" s="24"/>
      <c r="H23" s="24"/>
      <c r="I23" s="31"/>
      <c r="J23" s="35"/>
    </row>
    <row r="24" spans="3:10" x14ac:dyDescent="0.25">
      <c r="C24" s="57" t="s">
        <v>9</v>
      </c>
      <c r="D24" s="53"/>
      <c r="E24" s="6"/>
      <c r="F24" s="19"/>
      <c r="G24" s="24" t="s">
        <v>2</v>
      </c>
      <c r="H24" s="24" t="s">
        <v>2</v>
      </c>
      <c r="I24" s="31"/>
      <c r="J24" s="35"/>
    </row>
    <row r="25" spans="3:10" x14ac:dyDescent="0.25">
      <c r="C25" s="56"/>
      <c r="D25" s="53"/>
      <c r="E25" s="6"/>
      <c r="F25" s="19"/>
      <c r="G25" s="24"/>
      <c r="H25" s="24"/>
      <c r="I25" s="31"/>
      <c r="J25" s="35"/>
    </row>
    <row r="26" spans="3:10" x14ac:dyDescent="0.25">
      <c r="C26" s="57" t="s">
        <v>10</v>
      </c>
      <c r="D26" s="53"/>
      <c r="E26" s="6"/>
      <c r="F26" s="19"/>
      <c r="G26" s="24" t="s">
        <v>2</v>
      </c>
      <c r="H26" s="24" t="s">
        <v>2</v>
      </c>
      <c r="I26" s="31"/>
      <c r="J26" s="35"/>
    </row>
    <row r="27" spans="3:10" x14ac:dyDescent="0.25">
      <c r="C27" s="56"/>
      <c r="D27" s="53"/>
      <c r="E27" s="6"/>
      <c r="F27" s="19"/>
      <c r="G27" s="24"/>
      <c r="H27" s="24"/>
      <c r="I27" s="31"/>
      <c r="J27" s="35"/>
    </row>
    <row r="28" spans="3:10" x14ac:dyDescent="0.25">
      <c r="C28" s="57" t="s">
        <v>11</v>
      </c>
      <c r="D28" s="53"/>
      <c r="E28" s="6"/>
      <c r="F28" s="19"/>
      <c r="G28" s="24"/>
      <c r="H28" s="24"/>
      <c r="I28" s="31"/>
      <c r="J28" s="35"/>
    </row>
    <row r="29" spans="3:10" x14ac:dyDescent="0.25">
      <c r="C29" s="56"/>
      <c r="D29" s="53"/>
      <c r="E29" s="6"/>
      <c r="F29" s="19"/>
      <c r="G29" s="24"/>
      <c r="H29" s="24"/>
      <c r="I29" s="31"/>
      <c r="J29" s="35"/>
    </row>
    <row r="30" spans="3:10" x14ac:dyDescent="0.25">
      <c r="C30" s="57" t="s">
        <v>13</v>
      </c>
      <c r="D30" s="53"/>
      <c r="E30" s="6"/>
      <c r="F30" s="19"/>
      <c r="G30" s="24" t="s">
        <v>2</v>
      </c>
      <c r="H30" s="24" t="s">
        <v>2</v>
      </c>
      <c r="I30" s="31"/>
      <c r="J30" s="35"/>
    </row>
    <row r="31" spans="3:10" x14ac:dyDescent="0.25">
      <c r="C31" s="56"/>
      <c r="D31" s="53"/>
      <c r="E31" s="6"/>
      <c r="F31" s="19"/>
      <c r="G31" s="24"/>
      <c r="H31" s="24"/>
      <c r="I31" s="31"/>
      <c r="J31" s="35"/>
    </row>
    <row r="32" spans="3:10" x14ac:dyDescent="0.25">
      <c r="C32" s="57" t="s">
        <v>14</v>
      </c>
      <c r="D32" s="53"/>
      <c r="E32" s="6"/>
      <c r="F32" s="19"/>
      <c r="G32" s="24" t="s">
        <v>2</v>
      </c>
      <c r="H32" s="24" t="s">
        <v>2</v>
      </c>
      <c r="I32" s="31"/>
      <c r="J32" s="35"/>
    </row>
    <row r="33" spans="1:10" x14ac:dyDescent="0.25">
      <c r="C33" s="56"/>
      <c r="D33" s="53"/>
      <c r="E33" s="6"/>
      <c r="F33" s="19"/>
      <c r="G33" s="24"/>
      <c r="H33" s="24"/>
      <c r="I33" s="31"/>
      <c r="J33" s="35"/>
    </row>
    <row r="34" spans="1:10" x14ac:dyDescent="0.25">
      <c r="C34" s="57" t="s">
        <v>15</v>
      </c>
      <c r="D34" s="53"/>
      <c r="E34" s="6"/>
      <c r="F34" s="19"/>
      <c r="G34" s="24" t="s">
        <v>2</v>
      </c>
      <c r="H34" s="24" t="s">
        <v>2</v>
      </c>
      <c r="I34" s="31"/>
      <c r="J34" s="35"/>
    </row>
    <row r="35" spans="1:10" x14ac:dyDescent="0.25">
      <c r="C35" s="56"/>
      <c r="D35" s="53"/>
      <c r="E35" s="6"/>
      <c r="F35" s="19"/>
      <c r="G35" s="24"/>
      <c r="H35" s="24"/>
      <c r="I35" s="31"/>
      <c r="J35" s="35"/>
    </row>
    <row r="36" spans="1:10" x14ac:dyDescent="0.25">
      <c r="C36" s="57" t="s">
        <v>16</v>
      </c>
      <c r="D36" s="53"/>
      <c r="E36" s="6"/>
      <c r="F36" s="19"/>
      <c r="G36" s="24" t="s">
        <v>2</v>
      </c>
      <c r="H36" s="24" t="s">
        <v>2</v>
      </c>
      <c r="I36" s="31"/>
      <c r="J36" s="35"/>
    </row>
    <row r="37" spans="1:10" x14ac:dyDescent="0.25">
      <c r="C37" s="56"/>
      <c r="D37" s="53"/>
      <c r="E37" s="6"/>
      <c r="F37" s="19"/>
      <c r="G37" s="24"/>
      <c r="H37" s="24"/>
      <c r="I37" s="31"/>
      <c r="J37" s="35"/>
    </row>
    <row r="38" spans="1:10" x14ac:dyDescent="0.25">
      <c r="A38" s="10"/>
      <c r="B38" s="28"/>
      <c r="C38" s="58" t="s">
        <v>17</v>
      </c>
      <c r="D38" s="53"/>
      <c r="E38" s="6"/>
      <c r="F38" s="19"/>
      <c r="G38" s="24"/>
      <c r="H38" s="24"/>
      <c r="I38" s="31"/>
      <c r="J38" s="35"/>
    </row>
    <row r="39" spans="1:10" x14ac:dyDescent="0.25">
      <c r="A39" s="28"/>
      <c r="B39" s="28"/>
      <c r="C39" s="58" t="s">
        <v>18</v>
      </c>
      <c r="D39" s="53"/>
      <c r="E39" s="6"/>
      <c r="F39" s="19"/>
      <c r="G39" s="24" t="s">
        <v>2</v>
      </c>
      <c r="H39" s="24" t="s">
        <v>2</v>
      </c>
      <c r="I39" s="31"/>
      <c r="J39" s="35"/>
    </row>
    <row r="40" spans="1:10" x14ac:dyDescent="0.25">
      <c r="A40" s="28"/>
      <c r="B40" s="28"/>
      <c r="C40" s="58"/>
      <c r="D40" s="53"/>
      <c r="E40" s="6"/>
      <c r="F40" s="19"/>
      <c r="G40" s="24"/>
      <c r="H40" s="24"/>
      <c r="I40" s="31"/>
      <c r="J40" s="35"/>
    </row>
    <row r="41" spans="1:10" x14ac:dyDescent="0.25">
      <c r="A41" s="28"/>
      <c r="B41" s="28"/>
      <c r="C41" s="58" t="s">
        <v>19</v>
      </c>
      <c r="D41" s="53"/>
      <c r="E41" s="6"/>
      <c r="F41" s="19"/>
      <c r="G41" s="24" t="s">
        <v>2</v>
      </c>
      <c r="H41" s="24" t="s">
        <v>2</v>
      </c>
      <c r="I41" s="31"/>
      <c r="J41" s="35"/>
    </row>
    <row r="42" spans="1:10" x14ac:dyDescent="0.25">
      <c r="A42" s="28"/>
      <c r="B42" s="28"/>
      <c r="C42" s="58"/>
      <c r="D42" s="53"/>
      <c r="E42" s="6"/>
      <c r="F42" s="19"/>
      <c r="G42" s="24"/>
      <c r="H42" s="24"/>
      <c r="I42" s="31"/>
      <c r="J42" s="35"/>
    </row>
    <row r="43" spans="1:10" x14ac:dyDescent="0.25">
      <c r="A43" s="28"/>
      <c r="B43" s="28"/>
      <c r="C43" s="58" t="s">
        <v>20</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A45" s="28"/>
      <c r="B45" s="28"/>
      <c r="C45" s="58" t="s">
        <v>21</v>
      </c>
      <c r="D45" s="53"/>
      <c r="E45" s="6"/>
      <c r="F45" s="19"/>
      <c r="G45" s="24" t="s">
        <v>2</v>
      </c>
      <c r="H45" s="24" t="s">
        <v>2</v>
      </c>
      <c r="I45" s="31"/>
      <c r="J45" s="35"/>
    </row>
    <row r="46" spans="1:10" x14ac:dyDescent="0.25">
      <c r="A46" s="28"/>
      <c r="B46" s="28"/>
      <c r="C46" s="58"/>
      <c r="D46" s="53"/>
      <c r="E46" s="6"/>
      <c r="F46" s="19"/>
      <c r="G46" s="24"/>
      <c r="H46" s="24"/>
      <c r="I46" s="31"/>
      <c r="J46" s="35"/>
    </row>
    <row r="47" spans="1:10" x14ac:dyDescent="0.25">
      <c r="C47" s="59" t="s">
        <v>22</v>
      </c>
      <c r="D47" s="53"/>
      <c r="E47" s="6"/>
      <c r="F47" s="19"/>
      <c r="G47" s="24"/>
      <c r="H47" s="24"/>
      <c r="I47" s="31"/>
      <c r="J47" s="35"/>
    </row>
    <row r="48" spans="1:10" x14ac:dyDescent="0.25">
      <c r="B48" s="8" t="s">
        <v>33</v>
      </c>
      <c r="C48" s="56" t="s">
        <v>34</v>
      </c>
      <c r="D48" s="53"/>
      <c r="E48" s="6"/>
      <c r="F48" s="19"/>
      <c r="G48" s="24">
        <v>909326.7</v>
      </c>
      <c r="H48" s="24">
        <v>70.319999999999993</v>
      </c>
      <c r="I48" s="31"/>
      <c r="J48" s="35"/>
    </row>
    <row r="49" spans="1:10" x14ac:dyDescent="0.25">
      <c r="B49" s="8" t="s">
        <v>921</v>
      </c>
      <c r="C49" s="56" t="s">
        <v>922</v>
      </c>
      <c r="D49" s="53"/>
      <c r="E49" s="6"/>
      <c r="F49" s="19"/>
      <c r="G49" s="24">
        <v>385431.54</v>
      </c>
      <c r="H49" s="24">
        <v>29.81</v>
      </c>
      <c r="I49" s="31"/>
      <c r="J49" s="35"/>
    </row>
    <row r="50" spans="1:10" x14ac:dyDescent="0.25">
      <c r="C50" s="57" t="s">
        <v>35</v>
      </c>
      <c r="D50" s="53"/>
      <c r="E50" s="6"/>
      <c r="F50" s="19"/>
      <c r="G50" s="25">
        <v>1294758.24</v>
      </c>
      <c r="H50" s="25">
        <v>100.13</v>
      </c>
      <c r="I50" s="31"/>
      <c r="J50" s="35"/>
    </row>
    <row r="51" spans="1:10" x14ac:dyDescent="0.25">
      <c r="C51" s="56"/>
      <c r="D51" s="53"/>
      <c r="E51" s="6"/>
      <c r="F51" s="19"/>
      <c r="G51" s="24"/>
      <c r="H51" s="24"/>
      <c r="I51" s="31"/>
      <c r="J51" s="35"/>
    </row>
    <row r="52" spans="1:10" x14ac:dyDescent="0.25">
      <c r="A52" s="10"/>
      <c r="B52" s="28"/>
      <c r="C52" s="58" t="s">
        <v>23</v>
      </c>
      <c r="D52" s="53"/>
      <c r="E52" s="6"/>
      <c r="F52" s="19"/>
      <c r="G52" s="24"/>
      <c r="H52" s="24"/>
      <c r="I52" s="31"/>
      <c r="J52" s="35"/>
    </row>
    <row r="53" spans="1:10" x14ac:dyDescent="0.25">
      <c r="A53" s="28"/>
      <c r="B53" s="28"/>
      <c r="C53" s="60" t="s">
        <v>3398</v>
      </c>
      <c r="D53" s="53"/>
      <c r="E53" s="6"/>
      <c r="F53" s="19"/>
      <c r="G53" s="24" t="s">
        <v>2</v>
      </c>
      <c r="H53" s="24" t="s">
        <v>2</v>
      </c>
      <c r="I53" s="31"/>
      <c r="J53" s="35"/>
    </row>
    <row r="54" spans="1:10" x14ac:dyDescent="0.25">
      <c r="B54" s="8"/>
      <c r="C54" s="56" t="s">
        <v>36</v>
      </c>
      <c r="D54" s="53"/>
      <c r="E54" s="6"/>
      <c r="F54" s="19"/>
      <c r="G54" s="24">
        <v>-1552.12</v>
      </c>
      <c r="H54" s="24">
        <v>-0.13</v>
      </c>
      <c r="I54" s="31"/>
      <c r="J54" s="35"/>
    </row>
    <row r="55" spans="1:10" x14ac:dyDescent="0.25">
      <c r="C55" s="57" t="s">
        <v>35</v>
      </c>
      <c r="D55" s="53"/>
      <c r="E55" s="6"/>
      <c r="F55" s="19"/>
      <c r="G55" s="25">
        <v>-1552.12</v>
      </c>
      <c r="H55" s="25">
        <v>-0.13</v>
      </c>
      <c r="I55" s="31"/>
      <c r="J55" s="35"/>
    </row>
    <row r="56" spans="1:10" x14ac:dyDescent="0.25">
      <c r="C56" s="56"/>
      <c r="D56" s="53"/>
      <c r="E56" s="6"/>
      <c r="F56" s="19"/>
      <c r="G56" s="24"/>
      <c r="H56" s="24"/>
      <c r="I56" s="31"/>
      <c r="J56" s="35"/>
    </row>
    <row r="57" spans="1:10" x14ac:dyDescent="0.25">
      <c r="C57" s="61" t="s">
        <v>37</v>
      </c>
      <c r="D57" s="54"/>
      <c r="E57" s="5"/>
      <c r="F57" s="20"/>
      <c r="G57" s="26">
        <v>1293206.1200000001</v>
      </c>
      <c r="H57" s="26">
        <f>SUMIFS(H:H,C:C,"Total")</f>
        <v>100</v>
      </c>
      <c r="I57" s="32"/>
      <c r="J57" s="36"/>
    </row>
    <row r="60" spans="1:10" x14ac:dyDescent="0.25">
      <c r="C60" s="1" t="s">
        <v>38</v>
      </c>
    </row>
    <row r="61" spans="1:10" x14ac:dyDescent="0.25">
      <c r="C61" s="2" t="s">
        <v>39</v>
      </c>
    </row>
    <row r="62" spans="1:10" x14ac:dyDescent="0.25">
      <c r="C62" s="2" t="s">
        <v>40</v>
      </c>
    </row>
    <row r="63" spans="1:10" x14ac:dyDescent="0.25">
      <c r="C63" s="2" t="s">
        <v>3430</v>
      </c>
    </row>
  </sheetData>
  <hyperlinks>
    <hyperlink ref="J2" location="'Index'!A1" display="'Index'!A1"/>
  </hyperlinks>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
  <dimension ref="A1:J121"/>
  <sheetViews>
    <sheetView showGridLines="0" zoomScale="90" zoomScaleNormal="90" workbookViewId="0">
      <pane ySplit="6" topLeftCell="A7" activePane="bottomLeft" state="frozen"/>
      <selection pane="bottomLeft" activeCell="C26" sqref="C26"/>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923</v>
      </c>
      <c r="J2" s="37" t="s">
        <v>3307</v>
      </c>
    </row>
    <row r="3" spans="1:10" ht="16.5" x14ac:dyDescent="0.3">
      <c r="C3" s="1" t="s">
        <v>24</v>
      </c>
      <c r="D3" s="21" t="s">
        <v>924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925</v>
      </c>
      <c r="C18" s="56" t="s">
        <v>926</v>
      </c>
      <c r="D18" s="53" t="s">
        <v>927</v>
      </c>
      <c r="E18" s="6" t="s">
        <v>928</v>
      </c>
      <c r="F18" s="19">
        <v>2000</v>
      </c>
      <c r="G18" s="24">
        <v>20026.259999999998</v>
      </c>
      <c r="H18" s="24">
        <v>4.51</v>
      </c>
      <c r="I18" s="31">
        <v>7.4943999999999997</v>
      </c>
      <c r="J18" s="35" t="s">
        <v>514</v>
      </c>
    </row>
    <row r="19" spans="2:10" x14ac:dyDescent="0.25">
      <c r="B19" s="8" t="s">
        <v>929</v>
      </c>
      <c r="C19" s="56" t="s">
        <v>930</v>
      </c>
      <c r="D19" s="53" t="s">
        <v>931</v>
      </c>
      <c r="E19" s="6" t="s">
        <v>534</v>
      </c>
      <c r="F19" s="19">
        <v>1750</v>
      </c>
      <c r="G19" s="24">
        <v>17490.57</v>
      </c>
      <c r="H19" s="24">
        <v>3.94</v>
      </c>
      <c r="I19" s="31">
        <v>8.7925000000000004</v>
      </c>
      <c r="J19" s="35" t="s">
        <v>514</v>
      </c>
    </row>
    <row r="20" spans="2:10" x14ac:dyDescent="0.25">
      <c r="B20" s="8" t="s">
        <v>694</v>
      </c>
      <c r="C20" s="56" t="s">
        <v>555</v>
      </c>
      <c r="D20" s="53" t="s">
        <v>695</v>
      </c>
      <c r="E20" s="6" t="s">
        <v>557</v>
      </c>
      <c r="F20" s="19">
        <v>1750</v>
      </c>
      <c r="G20" s="24">
        <v>17479.84</v>
      </c>
      <c r="H20" s="24">
        <v>3.94</v>
      </c>
      <c r="I20" s="31">
        <v>8.2325999999999997</v>
      </c>
      <c r="J20" s="35" t="s">
        <v>514</v>
      </c>
    </row>
    <row r="21" spans="2:10" x14ac:dyDescent="0.25">
      <c r="B21" s="8" t="s">
        <v>682</v>
      </c>
      <c r="C21" s="56" t="s">
        <v>683</v>
      </c>
      <c r="D21" s="53" t="s">
        <v>684</v>
      </c>
      <c r="E21" s="6" t="s">
        <v>685</v>
      </c>
      <c r="F21" s="19">
        <v>1500</v>
      </c>
      <c r="G21" s="24">
        <v>15424.47</v>
      </c>
      <c r="H21" s="24">
        <v>3.48</v>
      </c>
      <c r="I21" s="31">
        <v>7.375</v>
      </c>
      <c r="J21" s="35" t="s">
        <v>514</v>
      </c>
    </row>
    <row r="22" spans="2:10" x14ac:dyDescent="0.25">
      <c r="B22" s="8" t="s">
        <v>531</v>
      </c>
      <c r="C22" s="56" t="s">
        <v>532</v>
      </c>
      <c r="D22" s="53" t="s">
        <v>533</v>
      </c>
      <c r="E22" s="6" t="s">
        <v>534</v>
      </c>
      <c r="F22" s="19">
        <v>1000</v>
      </c>
      <c r="G22" s="24">
        <v>11675.84</v>
      </c>
      <c r="H22" s="24">
        <v>2.63</v>
      </c>
      <c r="I22" s="31">
        <v>6.7321999999999997</v>
      </c>
      <c r="J22" s="35" t="s">
        <v>514</v>
      </c>
    </row>
    <row r="23" spans="2:10" x14ac:dyDescent="0.25">
      <c r="B23" s="8" t="s">
        <v>561</v>
      </c>
      <c r="C23" s="56" t="s">
        <v>562</v>
      </c>
      <c r="D23" s="53" t="s">
        <v>563</v>
      </c>
      <c r="E23" s="6" t="s">
        <v>564</v>
      </c>
      <c r="F23" s="19">
        <v>1000</v>
      </c>
      <c r="G23" s="24">
        <v>9955.32</v>
      </c>
      <c r="H23" s="24">
        <v>2.2400000000000002</v>
      </c>
      <c r="I23" s="31">
        <v>8.9827999999999992</v>
      </c>
      <c r="J23" s="35" t="s">
        <v>514</v>
      </c>
    </row>
    <row r="24" spans="2:10" x14ac:dyDescent="0.25">
      <c r="B24" s="8" t="s">
        <v>932</v>
      </c>
      <c r="C24" s="56" t="s">
        <v>614</v>
      </c>
      <c r="D24" s="53" t="s">
        <v>933</v>
      </c>
      <c r="E24" s="6" t="s">
        <v>934</v>
      </c>
      <c r="F24" s="19">
        <v>750</v>
      </c>
      <c r="G24" s="24">
        <v>8905.07</v>
      </c>
      <c r="H24" s="24">
        <v>2.0099999999999998</v>
      </c>
      <c r="I24" s="31">
        <v>10.601100000000001</v>
      </c>
      <c r="J24" s="35" t="s">
        <v>514</v>
      </c>
    </row>
    <row r="25" spans="2:10" x14ac:dyDescent="0.25">
      <c r="B25" s="8" t="s">
        <v>523</v>
      </c>
      <c r="C25" s="56" t="s">
        <v>524</v>
      </c>
      <c r="D25" s="53" t="s">
        <v>525</v>
      </c>
      <c r="E25" s="6" t="s">
        <v>526</v>
      </c>
      <c r="F25" s="19">
        <v>850</v>
      </c>
      <c r="G25" s="24">
        <v>8761.43</v>
      </c>
      <c r="H25" s="24">
        <v>1.97</v>
      </c>
      <c r="I25" s="31">
        <v>6.9996999999999998</v>
      </c>
      <c r="J25" s="35" t="s">
        <v>514</v>
      </c>
    </row>
    <row r="26" spans="2:10" x14ac:dyDescent="0.25">
      <c r="B26" s="8" t="s">
        <v>935</v>
      </c>
      <c r="C26" s="56" t="s">
        <v>3425</v>
      </c>
      <c r="D26" s="53" t="s">
        <v>936</v>
      </c>
      <c r="E26" s="6" t="s">
        <v>534</v>
      </c>
      <c r="F26" s="19">
        <v>850</v>
      </c>
      <c r="G26" s="24">
        <v>8496.35</v>
      </c>
      <c r="H26" s="24">
        <v>1.91</v>
      </c>
      <c r="I26" s="31">
        <v>6.2492999999999999</v>
      </c>
      <c r="J26" s="35"/>
    </row>
    <row r="27" spans="2:10" x14ac:dyDescent="0.25">
      <c r="B27" s="8" t="s">
        <v>511</v>
      </c>
      <c r="C27" s="56" t="s">
        <v>3428</v>
      </c>
      <c r="D27" s="53" t="s">
        <v>512</v>
      </c>
      <c r="E27" s="6" t="s">
        <v>513</v>
      </c>
      <c r="F27" s="19">
        <v>700</v>
      </c>
      <c r="G27" s="24">
        <v>7643.83</v>
      </c>
      <c r="H27" s="24">
        <v>1.72</v>
      </c>
      <c r="I27" s="31">
        <v>6.9349999999999996</v>
      </c>
      <c r="J27" s="35" t="s">
        <v>514</v>
      </c>
    </row>
    <row r="28" spans="2:10" x14ac:dyDescent="0.25">
      <c r="B28" s="8" t="s">
        <v>609</v>
      </c>
      <c r="C28" s="56" t="s">
        <v>559</v>
      </c>
      <c r="D28" s="53" t="s">
        <v>610</v>
      </c>
      <c r="E28" s="6" t="s">
        <v>534</v>
      </c>
      <c r="F28" s="19">
        <v>750</v>
      </c>
      <c r="G28" s="24">
        <v>7569.02</v>
      </c>
      <c r="H28" s="24">
        <v>1.71</v>
      </c>
      <c r="I28" s="31">
        <v>8.6449999999999996</v>
      </c>
      <c r="J28" s="35" t="s">
        <v>514</v>
      </c>
    </row>
    <row r="29" spans="2:10" x14ac:dyDescent="0.25">
      <c r="B29" s="8" t="s">
        <v>937</v>
      </c>
      <c r="C29" s="56" t="s">
        <v>938</v>
      </c>
      <c r="D29" s="53" t="s">
        <v>939</v>
      </c>
      <c r="E29" s="6" t="s">
        <v>573</v>
      </c>
      <c r="F29" s="19">
        <v>650</v>
      </c>
      <c r="G29" s="24">
        <v>6447.67</v>
      </c>
      <c r="H29" s="24">
        <v>1.45</v>
      </c>
      <c r="I29" s="31">
        <v>10.818300000000001</v>
      </c>
      <c r="J29" s="35" t="s">
        <v>514</v>
      </c>
    </row>
    <row r="30" spans="2:10" x14ac:dyDescent="0.25">
      <c r="B30" s="8" t="s">
        <v>538</v>
      </c>
      <c r="C30" s="56" t="s">
        <v>539</v>
      </c>
      <c r="D30" s="53" t="s">
        <v>540</v>
      </c>
      <c r="E30" s="6" t="s">
        <v>541</v>
      </c>
      <c r="F30" s="19">
        <v>600</v>
      </c>
      <c r="G30" s="24">
        <v>6240.16</v>
      </c>
      <c r="H30" s="24">
        <v>1.41</v>
      </c>
      <c r="I30" s="31">
        <v>7.6</v>
      </c>
      <c r="J30" s="35" t="s">
        <v>514</v>
      </c>
    </row>
    <row r="31" spans="2:10" x14ac:dyDescent="0.25">
      <c r="B31" s="8" t="s">
        <v>527</v>
      </c>
      <c r="C31" s="56" t="s">
        <v>528</v>
      </c>
      <c r="D31" s="53" t="s">
        <v>529</v>
      </c>
      <c r="E31" s="6" t="s">
        <v>530</v>
      </c>
      <c r="F31" s="19">
        <v>500</v>
      </c>
      <c r="G31" s="24">
        <v>5765.49</v>
      </c>
      <c r="H31" s="24">
        <v>1.3</v>
      </c>
      <c r="I31" s="31">
        <v>8.3396000000000008</v>
      </c>
      <c r="J31" s="35" t="s">
        <v>514</v>
      </c>
    </row>
    <row r="32" spans="2:10" x14ac:dyDescent="0.25">
      <c r="B32" s="8" t="s">
        <v>940</v>
      </c>
      <c r="C32" s="56" t="s">
        <v>532</v>
      </c>
      <c r="D32" s="53" t="s">
        <v>941</v>
      </c>
      <c r="E32" s="6" t="s">
        <v>534</v>
      </c>
      <c r="F32" s="19">
        <v>500</v>
      </c>
      <c r="G32" s="24">
        <v>5514.27</v>
      </c>
      <c r="H32" s="24">
        <v>1.24</v>
      </c>
      <c r="I32" s="31">
        <v>6.7321999999999997</v>
      </c>
      <c r="J32" s="35" t="s">
        <v>514</v>
      </c>
    </row>
    <row r="33" spans="2:10" x14ac:dyDescent="0.25">
      <c r="B33" s="8" t="s">
        <v>942</v>
      </c>
      <c r="C33" s="56" t="s">
        <v>125</v>
      </c>
      <c r="D33" s="53" t="s">
        <v>943</v>
      </c>
      <c r="E33" s="6" t="s">
        <v>534</v>
      </c>
      <c r="F33" s="19">
        <v>550</v>
      </c>
      <c r="G33" s="24">
        <v>5504.29</v>
      </c>
      <c r="H33" s="24">
        <v>1.24</v>
      </c>
      <c r="I33" s="31">
        <v>6.4109999999999996</v>
      </c>
      <c r="J33" s="35"/>
    </row>
    <row r="34" spans="2:10" x14ac:dyDescent="0.25">
      <c r="B34" s="8" t="s">
        <v>590</v>
      </c>
      <c r="C34" s="56" t="s">
        <v>591</v>
      </c>
      <c r="D34" s="53" t="s">
        <v>592</v>
      </c>
      <c r="E34" s="6" t="s">
        <v>593</v>
      </c>
      <c r="F34" s="19">
        <v>500</v>
      </c>
      <c r="G34" s="24">
        <v>5218.1099999999997</v>
      </c>
      <c r="H34" s="24">
        <v>1.18</v>
      </c>
      <c r="I34" s="31">
        <v>6.7472000000000003</v>
      </c>
      <c r="J34" s="35" t="s">
        <v>514</v>
      </c>
    </row>
    <row r="35" spans="2:10" x14ac:dyDescent="0.25">
      <c r="B35" s="8" t="s">
        <v>546</v>
      </c>
      <c r="C35" s="56" t="s">
        <v>516</v>
      </c>
      <c r="D35" s="53" t="s">
        <v>547</v>
      </c>
      <c r="E35" s="6" t="s">
        <v>518</v>
      </c>
      <c r="F35" s="19">
        <v>500</v>
      </c>
      <c r="G35" s="24">
        <v>5107.42</v>
      </c>
      <c r="H35" s="24">
        <v>1.1499999999999999</v>
      </c>
      <c r="I35" s="31">
        <v>8.1297999999999995</v>
      </c>
      <c r="J35" s="35" t="s">
        <v>514</v>
      </c>
    </row>
    <row r="36" spans="2:10" x14ac:dyDescent="0.25">
      <c r="B36" s="8" t="s">
        <v>945</v>
      </c>
      <c r="C36" s="56" t="s">
        <v>930</v>
      </c>
      <c r="D36" s="53" t="s">
        <v>946</v>
      </c>
      <c r="E36" s="6" t="s">
        <v>534</v>
      </c>
      <c r="F36" s="19">
        <v>500</v>
      </c>
      <c r="G36" s="24">
        <v>5101</v>
      </c>
      <c r="H36" s="24">
        <v>1.1499999999999999</v>
      </c>
      <c r="I36" s="31">
        <v>8.0324000000000009</v>
      </c>
      <c r="J36" s="35" t="s">
        <v>514</v>
      </c>
    </row>
    <row r="37" spans="2:10" x14ac:dyDescent="0.25">
      <c r="B37" s="8" t="s">
        <v>585</v>
      </c>
      <c r="C37" s="56" t="s">
        <v>586</v>
      </c>
      <c r="D37" s="53" t="s">
        <v>587</v>
      </c>
      <c r="E37" s="6" t="s">
        <v>513</v>
      </c>
      <c r="F37" s="19">
        <v>500</v>
      </c>
      <c r="G37" s="24">
        <v>5049</v>
      </c>
      <c r="H37" s="24">
        <v>1.1399999999999999</v>
      </c>
      <c r="I37" s="31">
        <v>8.9034999999999993</v>
      </c>
      <c r="J37" s="35" t="s">
        <v>514</v>
      </c>
    </row>
    <row r="38" spans="2:10" x14ac:dyDescent="0.25">
      <c r="B38" s="8" t="s">
        <v>519</v>
      </c>
      <c r="C38" s="56" t="s">
        <v>520</v>
      </c>
      <c r="D38" s="53" t="s">
        <v>521</v>
      </c>
      <c r="E38" s="6" t="s">
        <v>522</v>
      </c>
      <c r="F38" s="19">
        <v>500</v>
      </c>
      <c r="G38" s="24">
        <v>4990.38</v>
      </c>
      <c r="H38" s="24">
        <v>1.1200000000000001</v>
      </c>
      <c r="I38" s="31">
        <v>10.165900000000001</v>
      </c>
      <c r="J38" s="35" t="s">
        <v>514</v>
      </c>
    </row>
    <row r="39" spans="2:10" x14ac:dyDescent="0.25">
      <c r="B39" s="8" t="s">
        <v>947</v>
      </c>
      <c r="C39" s="56" t="s">
        <v>948</v>
      </c>
      <c r="D39" s="53" t="s">
        <v>949</v>
      </c>
      <c r="E39" s="6" t="s">
        <v>518</v>
      </c>
      <c r="F39" s="19">
        <v>500</v>
      </c>
      <c r="G39" s="24">
        <v>4978.8100000000004</v>
      </c>
      <c r="H39" s="24">
        <v>1.1200000000000001</v>
      </c>
      <c r="I39" s="31">
        <v>9.1074000000000002</v>
      </c>
      <c r="J39" s="35" t="s">
        <v>514</v>
      </c>
    </row>
    <row r="40" spans="2:10" x14ac:dyDescent="0.25">
      <c r="B40" s="8" t="s">
        <v>950</v>
      </c>
      <c r="C40" s="56" t="s">
        <v>562</v>
      </c>
      <c r="D40" s="53" t="s">
        <v>951</v>
      </c>
      <c r="E40" s="6" t="s">
        <v>564</v>
      </c>
      <c r="F40" s="19">
        <v>500</v>
      </c>
      <c r="G40" s="24">
        <v>4955.83</v>
      </c>
      <c r="H40" s="24">
        <v>1.1200000000000001</v>
      </c>
      <c r="I40" s="31">
        <v>8.9826999999999995</v>
      </c>
      <c r="J40" s="35" t="s">
        <v>514</v>
      </c>
    </row>
    <row r="41" spans="2:10" x14ac:dyDescent="0.25">
      <c r="B41" s="8" t="s">
        <v>588</v>
      </c>
      <c r="C41" s="56" t="s">
        <v>578</v>
      </c>
      <c r="D41" s="53" t="s">
        <v>589</v>
      </c>
      <c r="E41" s="6" t="s">
        <v>526</v>
      </c>
      <c r="F41" s="19">
        <v>450</v>
      </c>
      <c r="G41" s="24">
        <v>4558.3999999999996</v>
      </c>
      <c r="H41" s="24">
        <v>1.03</v>
      </c>
      <c r="I41" s="31">
        <v>8.0546000000000006</v>
      </c>
      <c r="J41" s="35" t="s">
        <v>514</v>
      </c>
    </row>
    <row r="42" spans="2:10" x14ac:dyDescent="0.25">
      <c r="B42" s="8" t="s">
        <v>952</v>
      </c>
      <c r="C42" s="56" t="s">
        <v>953</v>
      </c>
      <c r="D42" s="53" t="s">
        <v>954</v>
      </c>
      <c r="E42" s="6" t="s">
        <v>534</v>
      </c>
      <c r="F42" s="19">
        <v>400000</v>
      </c>
      <c r="G42" s="24">
        <v>4167.99</v>
      </c>
      <c r="H42" s="24">
        <v>0.94</v>
      </c>
      <c r="I42" s="31">
        <v>6.0549999999999997</v>
      </c>
      <c r="J42" s="35" t="s">
        <v>514</v>
      </c>
    </row>
    <row r="43" spans="2:10" x14ac:dyDescent="0.25">
      <c r="B43" s="8" t="s">
        <v>570</v>
      </c>
      <c r="C43" s="56" t="s">
        <v>571</v>
      </c>
      <c r="D43" s="53" t="s">
        <v>572</v>
      </c>
      <c r="E43" s="6" t="s">
        <v>573</v>
      </c>
      <c r="F43" s="19">
        <v>400</v>
      </c>
      <c r="G43" s="24">
        <v>4041.31</v>
      </c>
      <c r="H43" s="24">
        <v>0.91</v>
      </c>
      <c r="I43" s="31">
        <v>7.9448999999999996</v>
      </c>
      <c r="J43" s="35" t="s">
        <v>514</v>
      </c>
    </row>
    <row r="44" spans="2:10" x14ac:dyDescent="0.25">
      <c r="B44" s="8" t="s">
        <v>955</v>
      </c>
      <c r="C44" s="56" t="s">
        <v>683</v>
      </c>
      <c r="D44" s="53" t="s">
        <v>956</v>
      </c>
      <c r="E44" s="6" t="s">
        <v>957</v>
      </c>
      <c r="F44" s="19">
        <v>350</v>
      </c>
      <c r="G44" s="24">
        <v>3704.67</v>
      </c>
      <c r="H44" s="24">
        <v>0.83</v>
      </c>
      <c r="I44" s="31">
        <v>7.375</v>
      </c>
      <c r="J44" s="35" t="s">
        <v>514</v>
      </c>
    </row>
    <row r="45" spans="2:10" x14ac:dyDescent="0.25">
      <c r="B45" s="8" t="s">
        <v>617</v>
      </c>
      <c r="C45" s="56" t="s">
        <v>524</v>
      </c>
      <c r="D45" s="53" t="s">
        <v>618</v>
      </c>
      <c r="E45" s="6" t="s">
        <v>526</v>
      </c>
      <c r="F45" s="19">
        <v>350</v>
      </c>
      <c r="G45" s="24">
        <v>3641.1</v>
      </c>
      <c r="H45" s="24">
        <v>0.82</v>
      </c>
      <c r="I45" s="31">
        <v>6.9198000000000004</v>
      </c>
      <c r="J45" s="35" t="s">
        <v>514</v>
      </c>
    </row>
    <row r="46" spans="2:10" x14ac:dyDescent="0.25">
      <c r="B46" s="8" t="s">
        <v>611</v>
      </c>
      <c r="C46" s="56" t="s">
        <v>578</v>
      </c>
      <c r="D46" s="53" t="s">
        <v>612</v>
      </c>
      <c r="E46" s="6" t="s">
        <v>541</v>
      </c>
      <c r="F46" s="19">
        <v>350</v>
      </c>
      <c r="G46" s="24">
        <v>3589.81</v>
      </c>
      <c r="H46" s="24">
        <v>0.81</v>
      </c>
      <c r="I46" s="31">
        <v>8.1847999999999992</v>
      </c>
      <c r="J46" s="35" t="s">
        <v>514</v>
      </c>
    </row>
    <row r="47" spans="2:10" x14ac:dyDescent="0.25">
      <c r="B47" s="8" t="s">
        <v>613</v>
      </c>
      <c r="C47" s="56" t="s">
        <v>614</v>
      </c>
      <c r="D47" s="53" t="s">
        <v>615</v>
      </c>
      <c r="E47" s="6" t="s">
        <v>616</v>
      </c>
      <c r="F47" s="19">
        <v>300</v>
      </c>
      <c r="G47" s="24">
        <v>2971.31</v>
      </c>
      <c r="H47" s="24">
        <v>0.67</v>
      </c>
      <c r="I47" s="31">
        <v>11.324999999999999</v>
      </c>
      <c r="J47" s="35" t="s">
        <v>514</v>
      </c>
    </row>
    <row r="48" spans="2:10" x14ac:dyDescent="0.25">
      <c r="B48" s="8" t="s">
        <v>583</v>
      </c>
      <c r="C48" s="56" t="s">
        <v>562</v>
      </c>
      <c r="D48" s="53" t="s">
        <v>584</v>
      </c>
      <c r="E48" s="6" t="s">
        <v>564</v>
      </c>
      <c r="F48" s="19">
        <v>250</v>
      </c>
      <c r="G48" s="24">
        <v>2853.83</v>
      </c>
      <c r="H48" s="24">
        <v>0.64</v>
      </c>
      <c r="I48" s="31">
        <v>7.4341999999999997</v>
      </c>
      <c r="J48" s="35" t="s">
        <v>514</v>
      </c>
    </row>
    <row r="49" spans="2:10" x14ac:dyDescent="0.25">
      <c r="B49" s="8" t="s">
        <v>552</v>
      </c>
      <c r="C49" s="56" t="s">
        <v>539</v>
      </c>
      <c r="D49" s="53" t="s">
        <v>553</v>
      </c>
      <c r="E49" s="6" t="s">
        <v>541</v>
      </c>
      <c r="F49" s="19">
        <v>250</v>
      </c>
      <c r="G49" s="24">
        <v>2569.4</v>
      </c>
      <c r="H49" s="24">
        <v>0.57999999999999996</v>
      </c>
      <c r="I49" s="31">
        <v>7.9349999999999996</v>
      </c>
      <c r="J49" s="35" t="s">
        <v>514</v>
      </c>
    </row>
    <row r="50" spans="2:10" x14ac:dyDescent="0.25">
      <c r="B50" s="8" t="s">
        <v>690</v>
      </c>
      <c r="C50" s="56" t="s">
        <v>691</v>
      </c>
      <c r="D50" s="53" t="s">
        <v>692</v>
      </c>
      <c r="E50" s="6" t="s">
        <v>693</v>
      </c>
      <c r="F50" s="19">
        <v>250</v>
      </c>
      <c r="G50" s="24">
        <v>2522.37</v>
      </c>
      <c r="H50" s="24">
        <v>0.56999999999999995</v>
      </c>
      <c r="I50" s="31">
        <v>7.6753999999999998</v>
      </c>
      <c r="J50" s="35" t="s">
        <v>514</v>
      </c>
    </row>
    <row r="51" spans="2:10" x14ac:dyDescent="0.25">
      <c r="B51" s="8" t="s">
        <v>558</v>
      </c>
      <c r="C51" s="56" t="s">
        <v>559</v>
      </c>
      <c r="D51" s="53" t="s">
        <v>560</v>
      </c>
      <c r="E51" s="6" t="s">
        <v>534</v>
      </c>
      <c r="F51" s="19">
        <v>200</v>
      </c>
      <c r="G51" s="24">
        <v>2018.46</v>
      </c>
      <c r="H51" s="24">
        <v>0.45</v>
      </c>
      <c r="I51" s="31">
        <v>8.6449999999999996</v>
      </c>
      <c r="J51" s="35" t="s">
        <v>514</v>
      </c>
    </row>
    <row r="52" spans="2:10" x14ac:dyDescent="0.25">
      <c r="B52" s="8" t="s">
        <v>581</v>
      </c>
      <c r="C52" s="56" t="s">
        <v>528</v>
      </c>
      <c r="D52" s="53" t="s">
        <v>582</v>
      </c>
      <c r="E52" s="6" t="s">
        <v>530</v>
      </c>
      <c r="F52" s="19">
        <v>120</v>
      </c>
      <c r="G52" s="24">
        <v>1381.94</v>
      </c>
      <c r="H52" s="24">
        <v>0.31</v>
      </c>
      <c r="I52" s="31">
        <v>8.4656000000000002</v>
      </c>
      <c r="J52" s="35" t="s">
        <v>514</v>
      </c>
    </row>
    <row r="53" spans="2:10" x14ac:dyDescent="0.25">
      <c r="B53" s="8" t="s">
        <v>548</v>
      </c>
      <c r="C53" s="56" t="s">
        <v>549</v>
      </c>
      <c r="D53" s="53" t="s">
        <v>550</v>
      </c>
      <c r="E53" s="6" t="s">
        <v>551</v>
      </c>
      <c r="F53" s="19">
        <v>50</v>
      </c>
      <c r="G53" s="24">
        <v>541.02</v>
      </c>
      <c r="H53" s="24">
        <v>0.12</v>
      </c>
      <c r="I53" s="31">
        <v>7.8461999999999996</v>
      </c>
      <c r="J53" s="35" t="s">
        <v>514</v>
      </c>
    </row>
    <row r="54" spans="2:10" x14ac:dyDescent="0.25">
      <c r="C54" s="57" t="s">
        <v>35</v>
      </c>
      <c r="D54" s="53"/>
      <c r="E54" s="6"/>
      <c r="F54" s="19"/>
      <c r="G54" s="25">
        <v>236862.04</v>
      </c>
      <c r="H54" s="25">
        <v>53.36</v>
      </c>
      <c r="I54" s="31"/>
      <c r="J54" s="35"/>
    </row>
    <row r="55" spans="2:10" x14ac:dyDescent="0.25">
      <c r="C55" s="56"/>
      <c r="D55" s="53"/>
      <c r="E55" s="6"/>
      <c r="F55" s="19"/>
      <c r="G55" s="24"/>
      <c r="H55" s="24"/>
      <c r="I55" s="31"/>
      <c r="J55" s="35"/>
    </row>
    <row r="56" spans="2:10" x14ac:dyDescent="0.25">
      <c r="C56" s="59" t="s">
        <v>7</v>
      </c>
      <c r="D56" s="53"/>
      <c r="E56" s="6"/>
      <c r="F56" s="19"/>
      <c r="G56" s="24"/>
      <c r="H56" s="24"/>
      <c r="I56" s="31"/>
      <c r="J56" s="35"/>
    </row>
    <row r="57" spans="2:10" x14ac:dyDescent="0.25">
      <c r="B57" s="8" t="s">
        <v>958</v>
      </c>
      <c r="C57" s="56" t="s">
        <v>959</v>
      </c>
      <c r="D57" s="53" t="s">
        <v>960</v>
      </c>
      <c r="E57" s="6" t="s">
        <v>545</v>
      </c>
      <c r="F57" s="19">
        <v>53750</v>
      </c>
      <c r="G57" s="24">
        <v>5363.62</v>
      </c>
      <c r="H57" s="24">
        <v>1.21</v>
      </c>
      <c r="I57" s="31">
        <v>10.4034</v>
      </c>
      <c r="J57" s="35" t="s">
        <v>514</v>
      </c>
    </row>
    <row r="58" spans="2:10" x14ac:dyDescent="0.25">
      <c r="B58" s="8" t="s">
        <v>621</v>
      </c>
      <c r="C58" s="56" t="s">
        <v>622</v>
      </c>
      <c r="D58" s="53" t="s">
        <v>623</v>
      </c>
      <c r="E58" s="6" t="s">
        <v>624</v>
      </c>
      <c r="F58" s="19">
        <v>620</v>
      </c>
      <c r="G58" s="24">
        <v>513.54999999999995</v>
      </c>
      <c r="H58" s="24">
        <v>0.12</v>
      </c>
      <c r="I58" s="31">
        <v>11.4246</v>
      </c>
      <c r="J58" s="35" t="s">
        <v>514</v>
      </c>
    </row>
    <row r="59" spans="2:10" x14ac:dyDescent="0.25">
      <c r="B59" s="8" t="s">
        <v>625</v>
      </c>
      <c r="C59" s="56" t="s">
        <v>626</v>
      </c>
      <c r="D59" s="53" t="s">
        <v>627</v>
      </c>
      <c r="E59" s="6" t="s">
        <v>624</v>
      </c>
      <c r="F59" s="19">
        <v>620</v>
      </c>
      <c r="G59" s="24">
        <v>513.54999999999995</v>
      </c>
      <c r="H59" s="24">
        <v>0.12</v>
      </c>
      <c r="I59" s="31">
        <v>11.4246</v>
      </c>
      <c r="J59" s="35" t="s">
        <v>514</v>
      </c>
    </row>
    <row r="60" spans="2:10" x14ac:dyDescent="0.25">
      <c r="B60" s="8" t="s">
        <v>628</v>
      </c>
      <c r="C60" s="56" t="s">
        <v>629</v>
      </c>
      <c r="D60" s="53" t="s">
        <v>630</v>
      </c>
      <c r="E60" s="6" t="s">
        <v>624</v>
      </c>
      <c r="F60" s="19">
        <v>620</v>
      </c>
      <c r="G60" s="24">
        <v>513.54999999999995</v>
      </c>
      <c r="H60" s="24">
        <v>0.12</v>
      </c>
      <c r="I60" s="31">
        <v>11.4246</v>
      </c>
      <c r="J60" s="35" t="s">
        <v>514</v>
      </c>
    </row>
    <row r="61" spans="2:10" x14ac:dyDescent="0.25">
      <c r="B61" s="8" t="s">
        <v>631</v>
      </c>
      <c r="C61" s="56" t="s">
        <v>632</v>
      </c>
      <c r="D61" s="53" t="s">
        <v>633</v>
      </c>
      <c r="E61" s="6" t="s">
        <v>624</v>
      </c>
      <c r="F61" s="19">
        <v>620</v>
      </c>
      <c r="G61" s="24">
        <v>513.54999999999995</v>
      </c>
      <c r="H61" s="24">
        <v>0.12</v>
      </c>
      <c r="I61" s="31">
        <v>11.4246</v>
      </c>
      <c r="J61" s="35" t="s">
        <v>514</v>
      </c>
    </row>
    <row r="62" spans="2:10" x14ac:dyDescent="0.25">
      <c r="B62" s="8" t="s">
        <v>634</v>
      </c>
      <c r="C62" s="56" t="s">
        <v>635</v>
      </c>
      <c r="D62" s="53" t="s">
        <v>636</v>
      </c>
      <c r="E62" s="6" t="s">
        <v>624</v>
      </c>
      <c r="F62" s="19">
        <v>620</v>
      </c>
      <c r="G62" s="24">
        <v>513.54999999999995</v>
      </c>
      <c r="H62" s="24">
        <v>0.12</v>
      </c>
      <c r="I62" s="31">
        <v>11.4246</v>
      </c>
      <c r="J62" s="35" t="s">
        <v>514</v>
      </c>
    </row>
    <row r="63" spans="2:10" x14ac:dyDescent="0.25">
      <c r="B63" s="8" t="s">
        <v>637</v>
      </c>
      <c r="C63" s="56" t="s">
        <v>638</v>
      </c>
      <c r="D63" s="53" t="s">
        <v>639</v>
      </c>
      <c r="E63" s="6" t="s">
        <v>624</v>
      </c>
      <c r="F63" s="19">
        <v>620</v>
      </c>
      <c r="G63" s="24">
        <v>513.54999999999995</v>
      </c>
      <c r="H63" s="24">
        <v>0.12</v>
      </c>
      <c r="I63" s="31">
        <v>11.4246</v>
      </c>
      <c r="J63" s="35" t="s">
        <v>514</v>
      </c>
    </row>
    <row r="64" spans="2:10" x14ac:dyDescent="0.25">
      <c r="B64" s="8" t="s">
        <v>640</v>
      </c>
      <c r="C64" s="56" t="s">
        <v>641</v>
      </c>
      <c r="D64" s="53" t="s">
        <v>642</v>
      </c>
      <c r="E64" s="6" t="s">
        <v>624</v>
      </c>
      <c r="F64" s="19">
        <v>620</v>
      </c>
      <c r="G64" s="24">
        <v>513.54999999999995</v>
      </c>
      <c r="H64" s="24">
        <v>0.12</v>
      </c>
      <c r="I64" s="31">
        <v>11.4246</v>
      </c>
      <c r="J64" s="35" t="s">
        <v>514</v>
      </c>
    </row>
    <row r="65" spans="2:10" x14ac:dyDescent="0.25">
      <c r="B65" s="8" t="s">
        <v>643</v>
      </c>
      <c r="C65" s="56" t="s">
        <v>644</v>
      </c>
      <c r="D65" s="53" t="s">
        <v>645</v>
      </c>
      <c r="E65" s="6" t="s">
        <v>624</v>
      </c>
      <c r="F65" s="19">
        <v>620</v>
      </c>
      <c r="G65" s="24">
        <v>513.54999999999995</v>
      </c>
      <c r="H65" s="24">
        <v>0.12</v>
      </c>
      <c r="I65" s="31">
        <v>11.4246</v>
      </c>
      <c r="J65" s="35" t="s">
        <v>514</v>
      </c>
    </row>
    <row r="66" spans="2:10" x14ac:dyDescent="0.25">
      <c r="B66" s="8" t="s">
        <v>646</v>
      </c>
      <c r="C66" s="56" t="s">
        <v>647</v>
      </c>
      <c r="D66" s="53" t="s">
        <v>648</v>
      </c>
      <c r="E66" s="6" t="s">
        <v>624</v>
      </c>
      <c r="F66" s="19">
        <v>620</v>
      </c>
      <c r="G66" s="24">
        <v>513.54999999999995</v>
      </c>
      <c r="H66" s="24">
        <v>0.12</v>
      </c>
      <c r="I66" s="31">
        <v>11.4246</v>
      </c>
      <c r="J66" s="35" t="s">
        <v>514</v>
      </c>
    </row>
    <row r="67" spans="2:10" x14ac:dyDescent="0.25">
      <c r="B67" s="8" t="s">
        <v>649</v>
      </c>
      <c r="C67" s="56" t="s">
        <v>650</v>
      </c>
      <c r="D67" s="53" t="s">
        <v>651</v>
      </c>
      <c r="E67" s="6" t="s">
        <v>624</v>
      </c>
      <c r="F67" s="19">
        <v>620</v>
      </c>
      <c r="G67" s="24">
        <v>513.54999999999995</v>
      </c>
      <c r="H67" s="24">
        <v>0.12</v>
      </c>
      <c r="I67" s="31">
        <v>11.4246</v>
      </c>
      <c r="J67" s="35" t="s">
        <v>514</v>
      </c>
    </row>
    <row r="68" spans="2:10" x14ac:dyDescent="0.25">
      <c r="C68" s="57" t="s">
        <v>35</v>
      </c>
      <c r="D68" s="53"/>
      <c r="E68" s="6"/>
      <c r="F68" s="19"/>
      <c r="G68" s="25">
        <v>10499.12</v>
      </c>
      <c r="H68" s="25">
        <v>2.41</v>
      </c>
      <c r="I68" s="31"/>
      <c r="J68" s="35"/>
    </row>
    <row r="69" spans="2:10" x14ac:dyDescent="0.25">
      <c r="C69" s="56"/>
      <c r="D69" s="53"/>
      <c r="E69" s="6"/>
      <c r="F69" s="19"/>
      <c r="G69" s="24"/>
      <c r="H69" s="24"/>
      <c r="I69" s="31"/>
      <c r="J69" s="35"/>
    </row>
    <row r="70" spans="2:10" x14ac:dyDescent="0.25">
      <c r="C70" s="57" t="s">
        <v>8</v>
      </c>
      <c r="D70" s="53"/>
      <c r="E70" s="6"/>
      <c r="F70" s="19"/>
      <c r="G70" s="24" t="s">
        <v>2</v>
      </c>
      <c r="H70" s="24" t="s">
        <v>2</v>
      </c>
      <c r="I70" s="31"/>
      <c r="J70" s="35"/>
    </row>
    <row r="71" spans="2:10" x14ac:dyDescent="0.25">
      <c r="C71" s="56"/>
      <c r="D71" s="53"/>
      <c r="E71" s="6"/>
      <c r="F71" s="19"/>
      <c r="G71" s="24"/>
      <c r="H71" s="24"/>
      <c r="I71" s="31"/>
      <c r="J71" s="35"/>
    </row>
    <row r="72" spans="2:10" x14ac:dyDescent="0.25">
      <c r="C72" s="59" t="s">
        <v>9</v>
      </c>
      <c r="D72" s="53"/>
      <c r="E72" s="6"/>
      <c r="F72" s="19"/>
      <c r="G72" s="24"/>
      <c r="H72" s="24"/>
      <c r="I72" s="31"/>
      <c r="J72" s="35"/>
    </row>
    <row r="73" spans="2:10" x14ac:dyDescent="0.25">
      <c r="B73" s="8" t="s">
        <v>659</v>
      </c>
      <c r="C73" s="56" t="s">
        <v>660</v>
      </c>
      <c r="D73" s="53" t="s">
        <v>661</v>
      </c>
      <c r="E73" s="6" t="s">
        <v>655</v>
      </c>
      <c r="F73" s="19">
        <v>65500000</v>
      </c>
      <c r="G73" s="24">
        <v>69552.289999999994</v>
      </c>
      <c r="H73" s="24">
        <v>15.67</v>
      </c>
      <c r="I73" s="31">
        <v>6.1013000000000002</v>
      </c>
      <c r="J73" s="35"/>
    </row>
    <row r="74" spans="2:10" x14ac:dyDescent="0.25">
      <c r="B74" s="8" t="s">
        <v>671</v>
      </c>
      <c r="C74" s="56" t="s">
        <v>672</v>
      </c>
      <c r="D74" s="53" t="s">
        <v>673</v>
      </c>
      <c r="E74" s="6" t="s">
        <v>655</v>
      </c>
      <c r="F74" s="19">
        <v>38500000</v>
      </c>
      <c r="G74" s="24">
        <v>37807.96</v>
      </c>
      <c r="H74" s="24">
        <v>8.52</v>
      </c>
      <c r="I74" s="31">
        <v>6.0133999999999999</v>
      </c>
      <c r="J74" s="35"/>
    </row>
    <row r="75" spans="2:10" x14ac:dyDescent="0.25">
      <c r="B75" s="8" t="s">
        <v>961</v>
      </c>
      <c r="C75" s="56" t="s">
        <v>962</v>
      </c>
      <c r="D75" s="53" t="s">
        <v>963</v>
      </c>
      <c r="E75" s="6" t="s">
        <v>655</v>
      </c>
      <c r="F75" s="19">
        <v>23500000</v>
      </c>
      <c r="G75" s="24">
        <v>26113.18</v>
      </c>
      <c r="H75" s="24">
        <v>5.89</v>
      </c>
      <c r="I75" s="31">
        <v>5.9604999999999997</v>
      </c>
      <c r="J75" s="35"/>
    </row>
    <row r="76" spans="2:10" x14ac:dyDescent="0.25">
      <c r="B76" s="8" t="s">
        <v>964</v>
      </c>
      <c r="C76" s="56" t="s">
        <v>965</v>
      </c>
      <c r="D76" s="53" t="s">
        <v>966</v>
      </c>
      <c r="E76" s="6" t="s">
        <v>655</v>
      </c>
      <c r="F76" s="19">
        <v>22500000</v>
      </c>
      <c r="G76" s="24">
        <v>24153.23</v>
      </c>
      <c r="H76" s="24">
        <v>5.44</v>
      </c>
      <c r="I76" s="31">
        <v>5.6993</v>
      </c>
      <c r="J76" s="35"/>
    </row>
    <row r="77" spans="2:10" x14ac:dyDescent="0.25">
      <c r="B77" s="8" t="s">
        <v>967</v>
      </c>
      <c r="C77" s="56" t="s">
        <v>968</v>
      </c>
      <c r="D77" s="53" t="s">
        <v>969</v>
      </c>
      <c r="E77" s="6" t="s">
        <v>655</v>
      </c>
      <c r="F77" s="19">
        <v>8500000</v>
      </c>
      <c r="G77" s="24">
        <v>8439.34</v>
      </c>
      <c r="H77" s="24">
        <v>1.9</v>
      </c>
      <c r="I77" s="31">
        <v>5.3917000000000002</v>
      </c>
      <c r="J77" s="35"/>
    </row>
    <row r="78" spans="2:10" x14ac:dyDescent="0.25">
      <c r="B78" s="8" t="s">
        <v>668</v>
      </c>
      <c r="C78" s="56" t="s">
        <v>669</v>
      </c>
      <c r="D78" s="53" t="s">
        <v>670</v>
      </c>
      <c r="E78" s="6" t="s">
        <v>655</v>
      </c>
      <c r="F78" s="19">
        <v>6000000</v>
      </c>
      <c r="G78" s="24">
        <v>6410.21</v>
      </c>
      <c r="H78" s="24">
        <v>1.44</v>
      </c>
      <c r="I78" s="31">
        <v>6.1906999999999996</v>
      </c>
      <c r="J78" s="35"/>
    </row>
    <row r="79" spans="2:10" x14ac:dyDescent="0.25">
      <c r="B79" s="8" t="s">
        <v>970</v>
      </c>
      <c r="C79" s="56" t="s">
        <v>971</v>
      </c>
      <c r="D79" s="53" t="s">
        <v>972</v>
      </c>
      <c r="E79" s="6" t="s">
        <v>655</v>
      </c>
      <c r="F79" s="19">
        <v>4000000</v>
      </c>
      <c r="G79" s="24">
        <v>4131.8999999999996</v>
      </c>
      <c r="H79" s="24">
        <v>0.93</v>
      </c>
      <c r="I79" s="31">
        <v>5.2718999999999996</v>
      </c>
      <c r="J79" s="35"/>
    </row>
    <row r="80" spans="2:10" x14ac:dyDescent="0.25">
      <c r="B80" s="8" t="s">
        <v>662</v>
      </c>
      <c r="C80" s="56" t="s">
        <v>663</v>
      </c>
      <c r="D80" s="53" t="s">
        <v>664</v>
      </c>
      <c r="E80" s="6" t="s">
        <v>655</v>
      </c>
      <c r="F80" s="19">
        <v>3500000</v>
      </c>
      <c r="G80" s="24">
        <v>3445.07</v>
      </c>
      <c r="H80" s="24">
        <v>0.78</v>
      </c>
      <c r="I80" s="31">
        <v>6.0063000000000004</v>
      </c>
      <c r="J80" s="35"/>
    </row>
    <row r="81" spans="2:10" x14ac:dyDescent="0.25">
      <c r="C81" s="57" t="s">
        <v>35</v>
      </c>
      <c r="D81" s="53"/>
      <c r="E81" s="6"/>
      <c r="F81" s="19"/>
      <c r="G81" s="25">
        <v>180053.18</v>
      </c>
      <c r="H81" s="25">
        <v>40.57</v>
      </c>
      <c r="I81" s="31"/>
      <c r="J81" s="35"/>
    </row>
    <row r="82" spans="2:10" x14ac:dyDescent="0.25">
      <c r="C82" s="56"/>
      <c r="D82" s="53"/>
      <c r="E82" s="6"/>
      <c r="F82" s="19"/>
      <c r="G82" s="24"/>
      <c r="H82" s="24"/>
      <c r="I82" s="31"/>
      <c r="J82" s="35"/>
    </row>
    <row r="83" spans="2:10" x14ac:dyDescent="0.25">
      <c r="C83" s="59" t="s">
        <v>10</v>
      </c>
      <c r="D83" s="53"/>
      <c r="E83" s="6"/>
      <c r="F83" s="19"/>
      <c r="G83" s="24"/>
      <c r="H83" s="24"/>
      <c r="I83" s="31"/>
      <c r="J83" s="35"/>
    </row>
    <row r="84" spans="2:10" x14ac:dyDescent="0.25">
      <c r="B84" s="8" t="s">
        <v>973</v>
      </c>
      <c r="C84" s="56" t="s">
        <v>974</v>
      </c>
      <c r="D84" s="53" t="s">
        <v>975</v>
      </c>
      <c r="E84" s="6" t="s">
        <v>655</v>
      </c>
      <c r="F84" s="19">
        <v>7500000</v>
      </c>
      <c r="G84" s="24">
        <v>7767.93</v>
      </c>
      <c r="H84" s="24">
        <v>1.75</v>
      </c>
      <c r="I84" s="31">
        <v>6.4969999999999999</v>
      </c>
      <c r="J84" s="35"/>
    </row>
    <row r="85" spans="2:10" x14ac:dyDescent="0.25">
      <c r="C85" s="57" t="s">
        <v>35</v>
      </c>
      <c r="D85" s="53"/>
      <c r="E85" s="6"/>
      <c r="F85" s="19"/>
      <c r="G85" s="25">
        <v>7767.93</v>
      </c>
      <c r="H85" s="25">
        <v>1.75</v>
      </c>
      <c r="I85" s="31"/>
      <c r="J85" s="35"/>
    </row>
    <row r="86" spans="2:10" x14ac:dyDescent="0.25">
      <c r="C86" s="56"/>
      <c r="D86" s="53"/>
      <c r="E86" s="6"/>
      <c r="F86" s="19"/>
      <c r="G86" s="24"/>
      <c r="H86" s="24"/>
      <c r="I86" s="31"/>
      <c r="J86" s="35"/>
    </row>
    <row r="87" spans="2:10" x14ac:dyDescent="0.25">
      <c r="C87" s="57" t="s">
        <v>11</v>
      </c>
      <c r="D87" s="53"/>
      <c r="E87" s="6"/>
      <c r="F87" s="19"/>
      <c r="G87" s="24"/>
      <c r="H87" s="24"/>
      <c r="I87" s="31"/>
      <c r="J87" s="35"/>
    </row>
    <row r="88" spans="2:10" x14ac:dyDescent="0.25">
      <c r="C88" s="56"/>
      <c r="D88" s="53"/>
      <c r="E88" s="6"/>
      <c r="F88" s="19"/>
      <c r="G88" s="24"/>
      <c r="H88" s="24"/>
      <c r="I88" s="31"/>
      <c r="J88" s="35"/>
    </row>
    <row r="89" spans="2:10" x14ac:dyDescent="0.25">
      <c r="C89" s="57" t="s">
        <v>13</v>
      </c>
      <c r="D89" s="53"/>
      <c r="E89" s="6"/>
      <c r="F89" s="19"/>
      <c r="G89" s="24" t="s">
        <v>2</v>
      </c>
      <c r="H89" s="24" t="s">
        <v>2</v>
      </c>
      <c r="I89" s="31"/>
      <c r="J89" s="35"/>
    </row>
    <row r="90" spans="2:10" x14ac:dyDescent="0.25">
      <c r="C90" s="56"/>
      <c r="D90" s="53"/>
      <c r="E90" s="6"/>
      <c r="F90" s="19"/>
      <c r="G90" s="24"/>
      <c r="H90" s="24"/>
      <c r="I90" s="31"/>
      <c r="J90" s="35"/>
    </row>
    <row r="91" spans="2:10" x14ac:dyDescent="0.25">
      <c r="C91" s="57" t="s">
        <v>14</v>
      </c>
      <c r="D91" s="53"/>
      <c r="E91" s="6"/>
      <c r="F91" s="19"/>
      <c r="G91" s="24" t="s">
        <v>2</v>
      </c>
      <c r="H91" s="24" t="s">
        <v>2</v>
      </c>
      <c r="I91" s="31"/>
      <c r="J91" s="35"/>
    </row>
    <row r="92" spans="2:10" x14ac:dyDescent="0.25">
      <c r="C92" s="56"/>
      <c r="D92" s="53"/>
      <c r="E92" s="6"/>
      <c r="F92" s="19"/>
      <c r="G92" s="24"/>
      <c r="H92" s="24"/>
      <c r="I92" s="31"/>
      <c r="J92" s="35"/>
    </row>
    <row r="93" spans="2:10" x14ac:dyDescent="0.25">
      <c r="C93" s="57" t="s">
        <v>15</v>
      </c>
      <c r="D93" s="53"/>
      <c r="E93" s="6"/>
      <c r="F93" s="19"/>
      <c r="G93" s="24" t="s">
        <v>2</v>
      </c>
      <c r="H93" s="24" t="s">
        <v>2</v>
      </c>
      <c r="I93" s="31"/>
      <c r="J93" s="35"/>
    </row>
    <row r="94" spans="2:10" x14ac:dyDescent="0.25">
      <c r="C94" s="56"/>
      <c r="D94" s="53"/>
      <c r="E94" s="6"/>
      <c r="F94" s="19"/>
      <c r="G94" s="24"/>
      <c r="H94" s="24"/>
      <c r="I94" s="31"/>
      <c r="J94" s="35"/>
    </row>
    <row r="95" spans="2:10" x14ac:dyDescent="0.25">
      <c r="C95" s="57" t="s">
        <v>16</v>
      </c>
      <c r="D95" s="53"/>
      <c r="E95" s="6"/>
      <c r="F95" s="19"/>
      <c r="G95" s="24" t="s">
        <v>2</v>
      </c>
      <c r="H95" s="24" t="s">
        <v>2</v>
      </c>
      <c r="I95" s="31"/>
      <c r="J95" s="35"/>
    </row>
    <row r="96" spans="2:10" x14ac:dyDescent="0.25">
      <c r="C96" s="56"/>
      <c r="D96" s="53"/>
      <c r="E96" s="6"/>
      <c r="F96" s="19"/>
      <c r="G96" s="24"/>
      <c r="H96" s="24"/>
      <c r="I96" s="31"/>
      <c r="J96" s="35"/>
    </row>
    <row r="97" spans="1:10" x14ac:dyDescent="0.25">
      <c r="A97" s="10"/>
      <c r="B97" s="28"/>
      <c r="C97" s="58" t="s">
        <v>17</v>
      </c>
      <c r="D97" s="53"/>
      <c r="E97" s="6"/>
      <c r="F97" s="19"/>
      <c r="G97" s="24"/>
      <c r="H97" s="24"/>
      <c r="I97" s="31"/>
      <c r="J97" s="35"/>
    </row>
    <row r="98" spans="1:10" x14ac:dyDescent="0.25">
      <c r="A98" s="28"/>
      <c r="B98" s="28"/>
      <c r="C98" s="58" t="s">
        <v>18</v>
      </c>
      <c r="D98" s="53"/>
      <c r="E98" s="6"/>
      <c r="F98" s="19"/>
      <c r="G98" s="24" t="s">
        <v>2</v>
      </c>
      <c r="H98" s="24" t="s">
        <v>2</v>
      </c>
      <c r="I98" s="31"/>
      <c r="J98" s="35"/>
    </row>
    <row r="99" spans="1:10" x14ac:dyDescent="0.25">
      <c r="A99" s="28"/>
      <c r="B99" s="28"/>
      <c r="C99" s="58"/>
      <c r="D99" s="53"/>
      <c r="E99" s="6"/>
      <c r="F99" s="19"/>
      <c r="G99" s="24"/>
      <c r="H99" s="24"/>
      <c r="I99" s="31"/>
      <c r="J99" s="35"/>
    </row>
    <row r="100" spans="1:10" x14ac:dyDescent="0.25">
      <c r="A100" s="28"/>
      <c r="B100" s="28"/>
      <c r="C100" s="58" t="s">
        <v>19</v>
      </c>
      <c r="D100" s="53"/>
      <c r="E100" s="6"/>
      <c r="F100" s="19"/>
      <c r="G100" s="24" t="s">
        <v>2</v>
      </c>
      <c r="H100" s="24" t="s">
        <v>2</v>
      </c>
      <c r="I100" s="31"/>
      <c r="J100" s="35"/>
    </row>
    <row r="101" spans="1:10" x14ac:dyDescent="0.25">
      <c r="A101" s="28"/>
      <c r="B101" s="28"/>
      <c r="C101" s="58"/>
      <c r="D101" s="53"/>
      <c r="E101" s="6"/>
      <c r="F101" s="19"/>
      <c r="G101" s="24"/>
      <c r="H101" s="24"/>
      <c r="I101" s="31"/>
      <c r="J101" s="35"/>
    </row>
    <row r="102" spans="1:10" x14ac:dyDescent="0.25">
      <c r="A102" s="28"/>
      <c r="B102" s="28"/>
      <c r="C102" s="58" t="s">
        <v>20</v>
      </c>
      <c r="D102" s="53"/>
      <c r="E102" s="6"/>
      <c r="F102" s="19"/>
      <c r="G102" s="24" t="s">
        <v>2</v>
      </c>
      <c r="H102" s="24" t="s">
        <v>2</v>
      </c>
      <c r="I102" s="31"/>
      <c r="J102" s="35"/>
    </row>
    <row r="103" spans="1:10" x14ac:dyDescent="0.25">
      <c r="A103" s="28"/>
      <c r="B103" s="28"/>
      <c r="C103" s="58"/>
      <c r="D103" s="53"/>
      <c r="E103" s="6"/>
      <c r="F103" s="19"/>
      <c r="G103" s="24"/>
      <c r="H103" s="24"/>
      <c r="I103" s="31"/>
      <c r="J103" s="35"/>
    </row>
    <row r="104" spans="1:10" x14ac:dyDescent="0.25">
      <c r="A104" s="28"/>
      <c r="B104" s="28"/>
      <c r="C104" s="58" t="s">
        <v>21</v>
      </c>
      <c r="D104" s="53"/>
      <c r="E104" s="6"/>
      <c r="F104" s="19"/>
      <c r="G104" s="24" t="s">
        <v>2</v>
      </c>
      <c r="H104" s="24" t="s">
        <v>2</v>
      </c>
      <c r="I104" s="31"/>
      <c r="J104" s="35"/>
    </row>
    <row r="105" spans="1:10" x14ac:dyDescent="0.25">
      <c r="A105" s="28"/>
      <c r="B105" s="28"/>
      <c r="C105" s="58"/>
      <c r="D105" s="53"/>
      <c r="E105" s="6"/>
      <c r="F105" s="19"/>
      <c r="G105" s="24"/>
      <c r="H105" s="24"/>
      <c r="I105" s="31"/>
      <c r="J105" s="35"/>
    </row>
    <row r="106" spans="1:10" x14ac:dyDescent="0.25">
      <c r="C106" s="59" t="s">
        <v>22</v>
      </c>
      <c r="D106" s="53"/>
      <c r="E106" s="6"/>
      <c r="F106" s="19"/>
      <c r="G106" s="24"/>
      <c r="H106" s="24"/>
      <c r="I106" s="31"/>
      <c r="J106" s="35"/>
    </row>
    <row r="107" spans="1:10" x14ac:dyDescent="0.25">
      <c r="B107" s="8" t="s">
        <v>33</v>
      </c>
      <c r="C107" s="56" t="s">
        <v>34</v>
      </c>
      <c r="D107" s="53"/>
      <c r="E107" s="6"/>
      <c r="F107" s="19"/>
      <c r="G107" s="24">
        <v>2378.12</v>
      </c>
      <c r="H107" s="24">
        <v>0.54</v>
      </c>
      <c r="I107" s="31"/>
      <c r="J107" s="35"/>
    </row>
    <row r="108" spans="1:10" x14ac:dyDescent="0.25">
      <c r="C108" s="57" t="s">
        <v>35</v>
      </c>
      <c r="D108" s="53"/>
      <c r="E108" s="6"/>
      <c r="F108" s="19"/>
      <c r="G108" s="25">
        <v>2378.12</v>
      </c>
      <c r="H108" s="25">
        <v>0.54</v>
      </c>
      <c r="I108" s="31"/>
      <c r="J108" s="35"/>
    </row>
    <row r="109" spans="1:10" x14ac:dyDescent="0.25">
      <c r="C109" s="56"/>
      <c r="D109" s="53"/>
      <c r="E109" s="6"/>
      <c r="F109" s="19"/>
      <c r="G109" s="24"/>
      <c r="H109" s="24"/>
      <c r="I109" s="31"/>
      <c r="J109" s="35"/>
    </row>
    <row r="110" spans="1:10" x14ac:dyDescent="0.25">
      <c r="A110" s="10"/>
      <c r="B110" s="28"/>
      <c r="C110" s="58" t="s">
        <v>23</v>
      </c>
      <c r="D110" s="53"/>
      <c r="E110" s="6"/>
      <c r="F110" s="19"/>
      <c r="G110" s="24"/>
      <c r="H110" s="24"/>
      <c r="I110" s="31"/>
      <c r="J110" s="35"/>
    </row>
    <row r="111" spans="1:10" x14ac:dyDescent="0.25">
      <c r="A111" s="28"/>
      <c r="B111" s="28"/>
      <c r="C111" s="60" t="s">
        <v>3398</v>
      </c>
      <c r="D111" s="53"/>
      <c r="E111" s="6"/>
      <c r="F111" s="19"/>
      <c r="G111" s="24" t="s">
        <v>2</v>
      </c>
      <c r="H111" s="24" t="s">
        <v>2</v>
      </c>
      <c r="I111" s="31"/>
      <c r="J111" s="35"/>
    </row>
    <row r="112" spans="1:10" x14ac:dyDescent="0.25">
      <c r="B112" s="8"/>
      <c r="C112" s="56" t="s">
        <v>36</v>
      </c>
      <c r="D112" s="53"/>
      <c r="E112" s="6"/>
      <c r="F112" s="19"/>
      <c r="G112" s="24">
        <v>6156.6</v>
      </c>
      <c r="H112" s="24">
        <v>1.3699999999999999</v>
      </c>
      <c r="I112" s="31"/>
      <c r="J112" s="35"/>
    </row>
    <row r="113" spans="3:10" x14ac:dyDescent="0.25">
      <c r="C113" s="57" t="s">
        <v>35</v>
      </c>
      <c r="D113" s="53"/>
      <c r="E113" s="6"/>
      <c r="F113" s="19"/>
      <c r="G113" s="25">
        <v>6156.6</v>
      </c>
      <c r="H113" s="25">
        <v>1.3699999999999999</v>
      </c>
      <c r="I113" s="31"/>
      <c r="J113" s="35"/>
    </row>
    <row r="114" spans="3:10" x14ac:dyDescent="0.25">
      <c r="C114" s="56"/>
      <c r="D114" s="53"/>
      <c r="E114" s="6"/>
      <c r="F114" s="19"/>
      <c r="G114" s="24"/>
      <c r="H114" s="24"/>
      <c r="I114" s="31"/>
      <c r="J114" s="35"/>
    </row>
    <row r="115" spans="3:10" x14ac:dyDescent="0.25">
      <c r="C115" s="61" t="s">
        <v>37</v>
      </c>
      <c r="D115" s="54"/>
      <c r="E115" s="5"/>
      <c r="F115" s="20"/>
      <c r="G115" s="26">
        <v>443716.99</v>
      </c>
      <c r="H115" s="26">
        <f>SUMIFS(H:H,C:C,"Total")</f>
        <v>100.00000000000001</v>
      </c>
      <c r="I115" s="32"/>
      <c r="J115" s="36"/>
    </row>
    <row r="118" spans="3:10" x14ac:dyDescent="0.25">
      <c r="C118" s="1" t="s">
        <v>38</v>
      </c>
    </row>
    <row r="119" spans="3:10" x14ac:dyDescent="0.25">
      <c r="C119" s="2" t="s">
        <v>39</v>
      </c>
    </row>
    <row r="120" spans="3:10" x14ac:dyDescent="0.25">
      <c r="C120" s="2" t="s">
        <v>40</v>
      </c>
    </row>
    <row r="121" spans="3:10" x14ac:dyDescent="0.25">
      <c r="C121" s="2" t="s">
        <v>3430</v>
      </c>
    </row>
  </sheetData>
  <hyperlinks>
    <hyperlink ref="J2" location="'Index'!A1" display="'Index'!A1"/>
  </hyperlinks>
  <pageMargins left="0.7" right="0.7" top="0.75" bottom="0.75" header="0.3" footer="0.3"/>
  <pageSetup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4"/>
  <dimension ref="A1:J10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976</v>
      </c>
      <c r="J2" s="37" t="s">
        <v>3307</v>
      </c>
    </row>
    <row r="3" spans="1:10" ht="16.5" x14ac:dyDescent="0.3">
      <c r="C3" s="1" t="s">
        <v>24</v>
      </c>
      <c r="D3" s="21" t="s">
        <v>977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A23" s="28"/>
      <c r="B23" s="28"/>
      <c r="C23" s="58" t="s">
        <v>9</v>
      </c>
      <c r="D23" s="53"/>
      <c r="E23" s="6"/>
      <c r="F23" s="19"/>
      <c r="G23" s="24" t="s">
        <v>2</v>
      </c>
      <c r="H23" s="24" t="s">
        <v>2</v>
      </c>
      <c r="I23" s="31"/>
      <c r="J23" s="35"/>
    </row>
    <row r="24" spans="1:10" x14ac:dyDescent="0.25">
      <c r="A24" s="28"/>
      <c r="B24" s="28"/>
      <c r="C24" s="58"/>
      <c r="D24" s="53"/>
      <c r="E24" s="6"/>
      <c r="F24" s="19"/>
      <c r="G24" s="24"/>
      <c r="H24" s="24"/>
      <c r="I24" s="31"/>
      <c r="J24" s="35"/>
    </row>
    <row r="25" spans="1:10" x14ac:dyDescent="0.25">
      <c r="C25" s="59" t="s">
        <v>10</v>
      </c>
      <c r="D25" s="53"/>
      <c r="E25" s="6"/>
      <c r="F25" s="19"/>
      <c r="G25" s="24"/>
      <c r="H25" s="24"/>
      <c r="I25" s="31"/>
      <c r="J25" s="35"/>
    </row>
    <row r="26" spans="1:10" x14ac:dyDescent="0.25">
      <c r="B26" s="8" t="s">
        <v>978</v>
      </c>
      <c r="C26" s="56" t="s">
        <v>979</v>
      </c>
      <c r="D26" s="53" t="s">
        <v>980</v>
      </c>
      <c r="E26" s="6" t="s">
        <v>655</v>
      </c>
      <c r="F26" s="19">
        <v>40000000</v>
      </c>
      <c r="G26" s="24">
        <v>40140.720000000001</v>
      </c>
      <c r="H26" s="24">
        <v>1.01</v>
      </c>
      <c r="I26" s="31">
        <v>3.5705</v>
      </c>
      <c r="J26" s="35"/>
    </row>
    <row r="27" spans="1:10" x14ac:dyDescent="0.25">
      <c r="B27" s="8" t="s">
        <v>981</v>
      </c>
      <c r="C27" s="56" t="s">
        <v>982</v>
      </c>
      <c r="D27" s="53" t="s">
        <v>983</v>
      </c>
      <c r="E27" s="6" t="s">
        <v>655</v>
      </c>
      <c r="F27" s="19">
        <v>25000000</v>
      </c>
      <c r="G27" s="24">
        <v>25058.43</v>
      </c>
      <c r="H27" s="24">
        <v>0.63</v>
      </c>
      <c r="I27" s="31">
        <v>3.5602999999999998</v>
      </c>
      <c r="J27" s="35"/>
    </row>
    <row r="28" spans="1:10" x14ac:dyDescent="0.25">
      <c r="B28" s="8" t="s">
        <v>984</v>
      </c>
      <c r="C28" s="56" t="s">
        <v>985</v>
      </c>
      <c r="D28" s="53" t="s">
        <v>986</v>
      </c>
      <c r="E28" s="6" t="s">
        <v>655</v>
      </c>
      <c r="F28" s="19">
        <v>10000000</v>
      </c>
      <c r="G28" s="24">
        <v>10066.209999999999</v>
      </c>
      <c r="H28" s="24">
        <v>0.25</v>
      </c>
      <c r="I28" s="31">
        <v>3.5579000000000001</v>
      </c>
      <c r="J28" s="35"/>
    </row>
    <row r="29" spans="1:10" x14ac:dyDescent="0.25">
      <c r="B29" s="8" t="s">
        <v>987</v>
      </c>
      <c r="C29" s="56" t="s">
        <v>988</v>
      </c>
      <c r="D29" s="53" t="s">
        <v>989</v>
      </c>
      <c r="E29" s="6" t="s">
        <v>655</v>
      </c>
      <c r="F29" s="19">
        <v>10000000</v>
      </c>
      <c r="G29" s="24">
        <v>10011.280000000001</v>
      </c>
      <c r="H29" s="24">
        <v>0.25</v>
      </c>
      <c r="I29" s="31">
        <v>3.528</v>
      </c>
      <c r="J29" s="35"/>
    </row>
    <row r="30" spans="1:10" x14ac:dyDescent="0.25">
      <c r="C30" s="57" t="s">
        <v>35</v>
      </c>
      <c r="D30" s="53"/>
      <c r="E30" s="6"/>
      <c r="F30" s="19"/>
      <c r="G30" s="25">
        <v>85276.64</v>
      </c>
      <c r="H30" s="25">
        <v>2.14</v>
      </c>
      <c r="I30" s="31"/>
      <c r="J30" s="35"/>
    </row>
    <row r="31" spans="1:10" x14ac:dyDescent="0.25">
      <c r="C31" s="56"/>
      <c r="D31" s="53"/>
      <c r="E31" s="6"/>
      <c r="F31" s="19"/>
      <c r="G31" s="24"/>
      <c r="H31" s="24"/>
      <c r="I31" s="31"/>
      <c r="J31" s="35"/>
    </row>
    <row r="32" spans="1:10" x14ac:dyDescent="0.25">
      <c r="A32" s="10"/>
      <c r="B32" s="28"/>
      <c r="C32" s="58" t="s">
        <v>11</v>
      </c>
      <c r="D32" s="53"/>
      <c r="E32" s="6"/>
      <c r="F32" s="19"/>
      <c r="G32" s="24"/>
      <c r="H32" s="24"/>
      <c r="I32" s="31"/>
      <c r="J32" s="35"/>
    </row>
    <row r="33" spans="2:10" x14ac:dyDescent="0.25">
      <c r="C33" s="59" t="s">
        <v>13</v>
      </c>
      <c r="D33" s="53"/>
      <c r="E33" s="6"/>
      <c r="F33" s="19"/>
      <c r="G33" s="24"/>
      <c r="H33" s="24"/>
      <c r="I33" s="31"/>
      <c r="J33" s="35"/>
    </row>
    <row r="34" spans="2:10" x14ac:dyDescent="0.25">
      <c r="B34" s="8" t="s">
        <v>990</v>
      </c>
      <c r="C34" s="56" t="s">
        <v>125</v>
      </c>
      <c r="D34" s="53" t="s">
        <v>991</v>
      </c>
      <c r="E34" s="6" t="s">
        <v>992</v>
      </c>
      <c r="F34" s="19">
        <v>60000</v>
      </c>
      <c r="G34" s="24">
        <v>297816.90000000002</v>
      </c>
      <c r="H34" s="24">
        <v>7.49</v>
      </c>
      <c r="I34" s="31">
        <v>3.4302000000000001</v>
      </c>
      <c r="J34" s="35" t="s">
        <v>514</v>
      </c>
    </row>
    <row r="35" spans="2:10" x14ac:dyDescent="0.25">
      <c r="B35" s="8" t="s">
        <v>993</v>
      </c>
      <c r="C35" s="56" t="s">
        <v>53</v>
      </c>
      <c r="D35" s="53" t="s">
        <v>994</v>
      </c>
      <c r="E35" s="6" t="s">
        <v>992</v>
      </c>
      <c r="F35" s="19">
        <v>30000</v>
      </c>
      <c r="G35" s="24">
        <v>149617.35</v>
      </c>
      <c r="H35" s="24">
        <v>3.76</v>
      </c>
      <c r="I35" s="31">
        <v>3.3346</v>
      </c>
      <c r="J35" s="35" t="s">
        <v>514</v>
      </c>
    </row>
    <row r="36" spans="2:10" x14ac:dyDescent="0.25">
      <c r="B36" s="8" t="s">
        <v>995</v>
      </c>
      <c r="C36" s="56" t="s">
        <v>77</v>
      </c>
      <c r="D36" s="53" t="s">
        <v>996</v>
      </c>
      <c r="E36" s="6" t="s">
        <v>992</v>
      </c>
      <c r="F36" s="19">
        <v>24000</v>
      </c>
      <c r="G36" s="24">
        <v>119387.76</v>
      </c>
      <c r="H36" s="24">
        <v>3</v>
      </c>
      <c r="I36" s="31">
        <v>3.3424999999999998</v>
      </c>
      <c r="J36" s="35" t="s">
        <v>514</v>
      </c>
    </row>
    <row r="37" spans="2:10" x14ac:dyDescent="0.25">
      <c r="B37" s="8" t="s">
        <v>997</v>
      </c>
      <c r="C37" s="56" t="s">
        <v>998</v>
      </c>
      <c r="D37" s="53" t="s">
        <v>999</v>
      </c>
      <c r="E37" s="6" t="s">
        <v>1000</v>
      </c>
      <c r="F37" s="19">
        <v>12500</v>
      </c>
      <c r="G37" s="24">
        <v>62343.5</v>
      </c>
      <c r="H37" s="24">
        <v>1.57</v>
      </c>
      <c r="I37" s="31">
        <v>3.2723</v>
      </c>
      <c r="J37" s="35"/>
    </row>
    <row r="38" spans="2:10" x14ac:dyDescent="0.25">
      <c r="B38" s="8" t="s">
        <v>1001</v>
      </c>
      <c r="C38" s="56" t="s">
        <v>1002</v>
      </c>
      <c r="D38" s="53" t="s">
        <v>1003</v>
      </c>
      <c r="E38" s="6" t="s">
        <v>992</v>
      </c>
      <c r="F38" s="19">
        <v>11000</v>
      </c>
      <c r="G38" s="24">
        <v>54715.65</v>
      </c>
      <c r="H38" s="24">
        <v>1.38</v>
      </c>
      <c r="I38" s="31">
        <v>3.5127000000000002</v>
      </c>
      <c r="J38" s="35" t="s">
        <v>514</v>
      </c>
    </row>
    <row r="39" spans="2:10" x14ac:dyDescent="0.25">
      <c r="B39" s="8" t="s">
        <v>1004</v>
      </c>
      <c r="C39" s="56" t="s">
        <v>1002</v>
      </c>
      <c r="D39" s="53" t="s">
        <v>1005</v>
      </c>
      <c r="E39" s="6" t="s">
        <v>992</v>
      </c>
      <c r="F39" s="19">
        <v>11000</v>
      </c>
      <c r="G39" s="24">
        <v>54710.43</v>
      </c>
      <c r="H39" s="24">
        <v>1.38</v>
      </c>
      <c r="I39" s="31">
        <v>3.5125000000000002</v>
      </c>
      <c r="J39" s="35" t="s">
        <v>514</v>
      </c>
    </row>
    <row r="40" spans="2:10" x14ac:dyDescent="0.25">
      <c r="B40" s="8" t="s">
        <v>1006</v>
      </c>
      <c r="C40" s="56" t="s">
        <v>1007</v>
      </c>
      <c r="D40" s="53" t="s">
        <v>1008</v>
      </c>
      <c r="E40" s="6" t="s">
        <v>992</v>
      </c>
      <c r="F40" s="19">
        <v>10000</v>
      </c>
      <c r="G40" s="24">
        <v>49916.05</v>
      </c>
      <c r="H40" s="24">
        <v>1.26</v>
      </c>
      <c r="I40" s="31">
        <v>3.4104000000000001</v>
      </c>
      <c r="J40" s="35" t="s">
        <v>514</v>
      </c>
    </row>
    <row r="41" spans="2:10" x14ac:dyDescent="0.25">
      <c r="B41" s="8" t="s">
        <v>1009</v>
      </c>
      <c r="C41" s="56" t="s">
        <v>691</v>
      </c>
      <c r="D41" s="53" t="s">
        <v>1010</v>
      </c>
      <c r="E41" s="6" t="s">
        <v>992</v>
      </c>
      <c r="F41" s="19">
        <v>10000</v>
      </c>
      <c r="G41" s="24">
        <v>49760.85</v>
      </c>
      <c r="H41" s="24">
        <v>1.25</v>
      </c>
      <c r="I41" s="31">
        <v>3.58</v>
      </c>
      <c r="J41" s="35" t="s">
        <v>514</v>
      </c>
    </row>
    <row r="42" spans="2:10" x14ac:dyDescent="0.25">
      <c r="B42" s="8" t="s">
        <v>1011</v>
      </c>
      <c r="C42" s="56" t="s">
        <v>524</v>
      </c>
      <c r="D42" s="53" t="s">
        <v>1012</v>
      </c>
      <c r="E42" s="6" t="s">
        <v>992</v>
      </c>
      <c r="F42" s="19">
        <v>10000</v>
      </c>
      <c r="G42" s="24">
        <v>49749.9</v>
      </c>
      <c r="H42" s="24">
        <v>1.25</v>
      </c>
      <c r="I42" s="31">
        <v>3.4624000000000001</v>
      </c>
      <c r="J42" s="35" t="s">
        <v>514</v>
      </c>
    </row>
    <row r="43" spans="2:10" x14ac:dyDescent="0.25">
      <c r="B43" s="8" t="s">
        <v>1013</v>
      </c>
      <c r="C43" s="56" t="s">
        <v>909</v>
      </c>
      <c r="D43" s="53" t="s">
        <v>1014</v>
      </c>
      <c r="E43" s="6" t="s">
        <v>992</v>
      </c>
      <c r="F43" s="19">
        <v>10000</v>
      </c>
      <c r="G43" s="24">
        <v>49605.35</v>
      </c>
      <c r="H43" s="24">
        <v>1.25</v>
      </c>
      <c r="I43" s="31">
        <v>3.2997999999999998</v>
      </c>
      <c r="J43" s="35"/>
    </row>
    <row r="44" spans="2:10" x14ac:dyDescent="0.25">
      <c r="B44" s="8" t="s">
        <v>1015</v>
      </c>
      <c r="C44" s="56" t="s">
        <v>1016</v>
      </c>
      <c r="D44" s="53" t="s">
        <v>1017</v>
      </c>
      <c r="E44" s="6" t="s">
        <v>992</v>
      </c>
      <c r="F44" s="19">
        <v>10000</v>
      </c>
      <c r="G44" s="24">
        <v>49598.85</v>
      </c>
      <c r="H44" s="24">
        <v>1.25</v>
      </c>
      <c r="I44" s="31">
        <v>3.6000999999999999</v>
      </c>
      <c r="J44" s="35" t="s">
        <v>514</v>
      </c>
    </row>
    <row r="45" spans="2:10" x14ac:dyDescent="0.25">
      <c r="B45" s="8" t="s">
        <v>1018</v>
      </c>
      <c r="C45" s="56" t="s">
        <v>1019</v>
      </c>
      <c r="D45" s="53" t="s">
        <v>1020</v>
      </c>
      <c r="E45" s="6" t="s">
        <v>992</v>
      </c>
      <c r="F45" s="19">
        <v>10000</v>
      </c>
      <c r="G45" s="24">
        <v>49587.8</v>
      </c>
      <c r="H45" s="24">
        <v>1.25</v>
      </c>
      <c r="I45" s="31">
        <v>3.7000999999999999</v>
      </c>
      <c r="J45" s="35" t="s">
        <v>514</v>
      </c>
    </row>
    <row r="46" spans="2:10" x14ac:dyDescent="0.25">
      <c r="B46" s="8" t="s">
        <v>1021</v>
      </c>
      <c r="C46" s="56" t="s">
        <v>230</v>
      </c>
      <c r="D46" s="53" t="s">
        <v>1022</v>
      </c>
      <c r="E46" s="6" t="s">
        <v>992</v>
      </c>
      <c r="F46" s="19">
        <v>7500</v>
      </c>
      <c r="G46" s="24">
        <v>37394.550000000003</v>
      </c>
      <c r="H46" s="24">
        <v>0.94</v>
      </c>
      <c r="I46" s="31">
        <v>3.8121</v>
      </c>
      <c r="J46" s="35" t="s">
        <v>514</v>
      </c>
    </row>
    <row r="47" spans="2:10" x14ac:dyDescent="0.25">
      <c r="B47" s="8" t="s">
        <v>1023</v>
      </c>
      <c r="C47" s="56" t="s">
        <v>854</v>
      </c>
      <c r="D47" s="53" t="s">
        <v>1024</v>
      </c>
      <c r="E47" s="6" t="s">
        <v>992</v>
      </c>
      <c r="F47" s="19">
        <v>7000</v>
      </c>
      <c r="G47" s="24">
        <v>34953.31</v>
      </c>
      <c r="H47" s="24">
        <v>0.88</v>
      </c>
      <c r="I47" s="31">
        <v>3.2504</v>
      </c>
      <c r="J47" s="35" t="s">
        <v>514</v>
      </c>
    </row>
    <row r="48" spans="2:10" x14ac:dyDescent="0.25">
      <c r="B48" s="8" t="s">
        <v>1025</v>
      </c>
      <c r="C48" s="56" t="s">
        <v>230</v>
      </c>
      <c r="D48" s="53" t="s">
        <v>1026</v>
      </c>
      <c r="E48" s="6" t="s">
        <v>992</v>
      </c>
      <c r="F48" s="19">
        <v>7000</v>
      </c>
      <c r="G48" s="24">
        <v>34905.22</v>
      </c>
      <c r="H48" s="24">
        <v>0.88</v>
      </c>
      <c r="I48" s="31">
        <v>3.8126000000000002</v>
      </c>
      <c r="J48" s="35" t="s">
        <v>514</v>
      </c>
    </row>
    <row r="49" spans="2:10" x14ac:dyDescent="0.25">
      <c r="B49" s="8" t="s">
        <v>1027</v>
      </c>
      <c r="C49" s="56" t="s">
        <v>230</v>
      </c>
      <c r="D49" s="53" t="s">
        <v>1028</v>
      </c>
      <c r="E49" s="6" t="s">
        <v>992</v>
      </c>
      <c r="F49" s="19">
        <v>7000</v>
      </c>
      <c r="G49" s="24">
        <v>34720.28</v>
      </c>
      <c r="H49" s="24">
        <v>0.87</v>
      </c>
      <c r="I49" s="31">
        <v>3.77</v>
      </c>
      <c r="J49" s="35" t="s">
        <v>514</v>
      </c>
    </row>
    <row r="50" spans="2:10" x14ac:dyDescent="0.25">
      <c r="B50" s="8" t="s">
        <v>1029</v>
      </c>
      <c r="C50" s="56" t="s">
        <v>1030</v>
      </c>
      <c r="D50" s="53" t="s">
        <v>1031</v>
      </c>
      <c r="E50" s="6" t="s">
        <v>992</v>
      </c>
      <c r="F50" s="19">
        <v>6000</v>
      </c>
      <c r="G50" s="24">
        <v>29914.77</v>
      </c>
      <c r="H50" s="24">
        <v>0.75</v>
      </c>
      <c r="I50" s="31">
        <v>3.7147000000000001</v>
      </c>
      <c r="J50" s="35" t="s">
        <v>514</v>
      </c>
    </row>
    <row r="51" spans="2:10" x14ac:dyDescent="0.25">
      <c r="B51" s="8" t="s">
        <v>1032</v>
      </c>
      <c r="C51" s="56" t="s">
        <v>1030</v>
      </c>
      <c r="D51" s="53" t="s">
        <v>1033</v>
      </c>
      <c r="E51" s="6" t="s">
        <v>992</v>
      </c>
      <c r="F51" s="19">
        <v>6000</v>
      </c>
      <c r="G51" s="24">
        <v>29893.53</v>
      </c>
      <c r="H51" s="24">
        <v>0.75</v>
      </c>
      <c r="I51" s="31">
        <v>3.7147999999999999</v>
      </c>
      <c r="J51" s="35" t="s">
        <v>514</v>
      </c>
    </row>
    <row r="52" spans="2:10" x14ac:dyDescent="0.25">
      <c r="B52" s="8" t="s">
        <v>1034</v>
      </c>
      <c r="C52" s="56" t="s">
        <v>1035</v>
      </c>
      <c r="D52" s="53" t="s">
        <v>1036</v>
      </c>
      <c r="E52" s="6" t="s">
        <v>992</v>
      </c>
      <c r="F52" s="19">
        <v>5000</v>
      </c>
      <c r="G52" s="24">
        <v>24878.93</v>
      </c>
      <c r="H52" s="24">
        <v>0.63</v>
      </c>
      <c r="I52" s="31">
        <v>3.6251000000000002</v>
      </c>
      <c r="J52" s="35" t="s">
        <v>514</v>
      </c>
    </row>
    <row r="53" spans="2:10" x14ac:dyDescent="0.25">
      <c r="B53" s="8" t="s">
        <v>1037</v>
      </c>
      <c r="C53" s="56" t="s">
        <v>1038</v>
      </c>
      <c r="D53" s="53" t="s">
        <v>1039</v>
      </c>
      <c r="E53" s="6" t="s">
        <v>992</v>
      </c>
      <c r="F53" s="19">
        <v>5000</v>
      </c>
      <c r="G53" s="24">
        <v>24870.75</v>
      </c>
      <c r="H53" s="24">
        <v>0.63</v>
      </c>
      <c r="I53" s="31">
        <v>3.5127000000000002</v>
      </c>
      <c r="J53" s="35" t="s">
        <v>514</v>
      </c>
    </row>
    <row r="54" spans="2:10" x14ac:dyDescent="0.25">
      <c r="B54" s="8" t="s">
        <v>1040</v>
      </c>
      <c r="C54" s="56" t="s">
        <v>1038</v>
      </c>
      <c r="D54" s="53" t="s">
        <v>1041</v>
      </c>
      <c r="E54" s="6" t="s">
        <v>992</v>
      </c>
      <c r="F54" s="19">
        <v>5000</v>
      </c>
      <c r="G54" s="24">
        <v>24868.38</v>
      </c>
      <c r="H54" s="24">
        <v>0.63</v>
      </c>
      <c r="I54" s="31">
        <v>3.5125000000000002</v>
      </c>
      <c r="J54" s="35" t="s">
        <v>514</v>
      </c>
    </row>
    <row r="55" spans="2:10" x14ac:dyDescent="0.25">
      <c r="B55" s="8" t="s">
        <v>1042</v>
      </c>
      <c r="C55" s="56" t="s">
        <v>230</v>
      </c>
      <c r="D55" s="53" t="s">
        <v>1043</v>
      </c>
      <c r="E55" s="6" t="s">
        <v>992</v>
      </c>
      <c r="F55" s="19">
        <v>5000</v>
      </c>
      <c r="G55" s="24">
        <v>24802.75</v>
      </c>
      <c r="H55" s="24">
        <v>0.62</v>
      </c>
      <c r="I55" s="31">
        <v>3.7698</v>
      </c>
      <c r="J55" s="35" t="s">
        <v>514</v>
      </c>
    </row>
    <row r="56" spans="2:10" x14ac:dyDescent="0.25">
      <c r="B56" s="8" t="s">
        <v>1044</v>
      </c>
      <c r="C56" s="56" t="s">
        <v>1045</v>
      </c>
      <c r="D56" s="53" t="s">
        <v>1046</v>
      </c>
      <c r="E56" s="6" t="s">
        <v>992</v>
      </c>
      <c r="F56" s="19">
        <v>5000</v>
      </c>
      <c r="G56" s="24">
        <v>24791.43</v>
      </c>
      <c r="H56" s="24">
        <v>0.62</v>
      </c>
      <c r="I56" s="31">
        <v>3.7448999999999999</v>
      </c>
      <c r="J56" s="35" t="s">
        <v>514</v>
      </c>
    </row>
    <row r="57" spans="2:10" x14ac:dyDescent="0.25">
      <c r="B57" s="8" t="s">
        <v>1047</v>
      </c>
      <c r="C57" s="56" t="s">
        <v>1048</v>
      </c>
      <c r="D57" s="53" t="s">
        <v>1049</v>
      </c>
      <c r="E57" s="6" t="s">
        <v>992</v>
      </c>
      <c r="F57" s="19">
        <v>3000</v>
      </c>
      <c r="G57" s="24">
        <v>14960.16</v>
      </c>
      <c r="H57" s="24">
        <v>0.38</v>
      </c>
      <c r="I57" s="31">
        <v>3.6000999999999999</v>
      </c>
      <c r="J57" s="35" t="s">
        <v>514</v>
      </c>
    </row>
    <row r="58" spans="2:10" x14ac:dyDescent="0.25">
      <c r="B58" s="8" t="s">
        <v>1050</v>
      </c>
      <c r="C58" s="56" t="s">
        <v>1051</v>
      </c>
      <c r="D58" s="53" t="s">
        <v>1052</v>
      </c>
      <c r="E58" s="6" t="s">
        <v>992</v>
      </c>
      <c r="F58" s="19">
        <v>3000</v>
      </c>
      <c r="G58" s="24">
        <v>14921</v>
      </c>
      <c r="H58" s="24">
        <v>0.38</v>
      </c>
      <c r="I58" s="31">
        <v>3.8653</v>
      </c>
      <c r="J58" s="35" t="s">
        <v>514</v>
      </c>
    </row>
    <row r="59" spans="2:10" x14ac:dyDescent="0.25">
      <c r="C59" s="57" t="s">
        <v>35</v>
      </c>
      <c r="D59" s="53"/>
      <c r="E59" s="6"/>
      <c r="F59" s="19"/>
      <c r="G59" s="25">
        <v>1392685.45</v>
      </c>
      <c r="H59" s="25">
        <v>35.049999999999997</v>
      </c>
      <c r="I59" s="31"/>
      <c r="J59" s="35"/>
    </row>
    <row r="60" spans="2:10" x14ac:dyDescent="0.25">
      <c r="C60" s="56"/>
      <c r="D60" s="53"/>
      <c r="E60" s="6"/>
      <c r="F60" s="19"/>
      <c r="G60" s="24"/>
      <c r="H60" s="24"/>
      <c r="I60" s="31"/>
      <c r="J60" s="35"/>
    </row>
    <row r="61" spans="2:10" x14ac:dyDescent="0.25">
      <c r="C61" s="57" t="s">
        <v>14</v>
      </c>
      <c r="D61" s="53"/>
      <c r="E61" s="6"/>
      <c r="F61" s="19"/>
      <c r="G61" s="24" t="s">
        <v>2</v>
      </c>
      <c r="H61" s="24" t="s">
        <v>2</v>
      </c>
      <c r="I61" s="31"/>
      <c r="J61" s="35"/>
    </row>
    <row r="62" spans="2:10" x14ac:dyDescent="0.25">
      <c r="C62" s="56"/>
      <c r="D62" s="53"/>
      <c r="E62" s="6"/>
      <c r="F62" s="19"/>
      <c r="G62" s="24"/>
      <c r="H62" s="24"/>
      <c r="I62" s="31"/>
      <c r="J62" s="35"/>
    </row>
    <row r="63" spans="2:10" x14ac:dyDescent="0.25">
      <c r="C63" s="59" t="s">
        <v>15</v>
      </c>
      <c r="D63" s="53"/>
      <c r="E63" s="6"/>
      <c r="F63" s="19"/>
      <c r="G63" s="24"/>
      <c r="H63" s="24"/>
      <c r="I63" s="31"/>
      <c r="J63" s="35"/>
    </row>
    <row r="64" spans="2:10" x14ac:dyDescent="0.25">
      <c r="B64" s="8" t="s">
        <v>1053</v>
      </c>
      <c r="C64" s="56" t="s">
        <v>1054</v>
      </c>
      <c r="D64" s="53" t="s">
        <v>1055</v>
      </c>
      <c r="E64" s="6" t="s">
        <v>655</v>
      </c>
      <c r="F64" s="19">
        <v>576698600</v>
      </c>
      <c r="G64" s="24">
        <v>574559.62</v>
      </c>
      <c r="H64" s="24">
        <v>14.45</v>
      </c>
      <c r="I64" s="31">
        <v>3.2353000000000001</v>
      </c>
      <c r="J64" s="35"/>
    </row>
    <row r="65" spans="2:10" x14ac:dyDescent="0.25">
      <c r="B65" s="8" t="s">
        <v>1056</v>
      </c>
      <c r="C65" s="56" t="s">
        <v>1057</v>
      </c>
      <c r="D65" s="53" t="s">
        <v>1058</v>
      </c>
      <c r="E65" s="6" t="s">
        <v>655</v>
      </c>
      <c r="F65" s="19">
        <v>397500000</v>
      </c>
      <c r="G65" s="24">
        <v>394512.79</v>
      </c>
      <c r="H65" s="24">
        <v>9.92</v>
      </c>
      <c r="I65" s="31">
        <v>3.2902</v>
      </c>
      <c r="J65" s="35"/>
    </row>
    <row r="66" spans="2:10" x14ac:dyDescent="0.25">
      <c r="B66" s="8" t="s">
        <v>1059</v>
      </c>
      <c r="C66" s="56" t="s">
        <v>1060</v>
      </c>
      <c r="D66" s="53" t="s">
        <v>1061</v>
      </c>
      <c r="E66" s="6" t="s">
        <v>655</v>
      </c>
      <c r="F66" s="19">
        <v>310000000</v>
      </c>
      <c r="G66" s="24">
        <v>309624.90000000002</v>
      </c>
      <c r="H66" s="24">
        <v>7.79</v>
      </c>
      <c r="I66" s="31">
        <v>3.1585000000000001</v>
      </c>
      <c r="J66" s="35"/>
    </row>
    <row r="67" spans="2:10" x14ac:dyDescent="0.25">
      <c r="B67" s="8" t="s">
        <v>1062</v>
      </c>
      <c r="C67" s="56" t="s">
        <v>1063</v>
      </c>
      <c r="D67" s="53" t="s">
        <v>1064</v>
      </c>
      <c r="E67" s="6" t="s">
        <v>655</v>
      </c>
      <c r="F67" s="19">
        <v>300000000</v>
      </c>
      <c r="G67" s="24">
        <v>298321.5</v>
      </c>
      <c r="H67" s="24">
        <v>7.5</v>
      </c>
      <c r="I67" s="31">
        <v>3.2597999999999998</v>
      </c>
      <c r="J67" s="35"/>
    </row>
    <row r="68" spans="2:10" x14ac:dyDescent="0.25">
      <c r="B68" s="8" t="s">
        <v>1065</v>
      </c>
      <c r="C68" s="56" t="s">
        <v>1066</v>
      </c>
      <c r="D68" s="53" t="s">
        <v>1067</v>
      </c>
      <c r="E68" s="6" t="s">
        <v>655</v>
      </c>
      <c r="F68" s="19">
        <v>250000000</v>
      </c>
      <c r="G68" s="24">
        <v>248759.5</v>
      </c>
      <c r="H68" s="24">
        <v>6.26</v>
      </c>
      <c r="I68" s="31">
        <v>3.2503000000000002</v>
      </c>
      <c r="J68" s="35"/>
    </row>
    <row r="69" spans="2:10" x14ac:dyDescent="0.25">
      <c r="B69" s="8" t="s">
        <v>1068</v>
      </c>
      <c r="C69" s="56" t="s">
        <v>1069</v>
      </c>
      <c r="D69" s="53" t="s">
        <v>1070</v>
      </c>
      <c r="E69" s="6" t="s">
        <v>655</v>
      </c>
      <c r="F69" s="19">
        <v>200000000</v>
      </c>
      <c r="G69" s="24">
        <v>199007.6</v>
      </c>
      <c r="H69" s="24">
        <v>5.01</v>
      </c>
      <c r="I69" s="31">
        <v>3.2503000000000002</v>
      </c>
      <c r="J69" s="35"/>
    </row>
    <row r="70" spans="2:10" x14ac:dyDescent="0.25">
      <c r="B70" s="8" t="s">
        <v>1071</v>
      </c>
      <c r="C70" s="56" t="s">
        <v>1072</v>
      </c>
      <c r="D70" s="53" t="s">
        <v>1073</v>
      </c>
      <c r="E70" s="6" t="s">
        <v>655</v>
      </c>
      <c r="F70" s="19">
        <v>140000000</v>
      </c>
      <c r="G70" s="24">
        <v>139662.46</v>
      </c>
      <c r="H70" s="24">
        <v>3.51</v>
      </c>
      <c r="I70" s="31">
        <v>3.1505000000000001</v>
      </c>
      <c r="J70" s="35"/>
    </row>
    <row r="71" spans="2:10" x14ac:dyDescent="0.25">
      <c r="B71" s="8" t="s">
        <v>1074</v>
      </c>
      <c r="C71" s="56" t="s">
        <v>1075</v>
      </c>
      <c r="D71" s="53" t="s">
        <v>1076</v>
      </c>
      <c r="E71" s="6" t="s">
        <v>655</v>
      </c>
      <c r="F71" s="19">
        <v>86000000</v>
      </c>
      <c r="G71" s="24">
        <v>85736.93</v>
      </c>
      <c r="H71" s="24">
        <v>2.16</v>
      </c>
      <c r="I71" s="31">
        <v>3.1999</v>
      </c>
      <c r="J71" s="35"/>
    </row>
    <row r="72" spans="2:10" x14ac:dyDescent="0.25">
      <c r="B72" s="8" t="s">
        <v>1077</v>
      </c>
      <c r="C72" s="56" t="s">
        <v>1078</v>
      </c>
      <c r="D72" s="53" t="s">
        <v>1079</v>
      </c>
      <c r="E72" s="6" t="s">
        <v>655</v>
      </c>
      <c r="F72" s="19">
        <v>75000000</v>
      </c>
      <c r="G72" s="24">
        <v>74762.25</v>
      </c>
      <c r="H72" s="24">
        <v>1.88</v>
      </c>
      <c r="I72" s="31">
        <v>3.2248000000000001</v>
      </c>
      <c r="J72" s="35"/>
    </row>
    <row r="73" spans="2:10" x14ac:dyDescent="0.25">
      <c r="B73" s="8" t="s">
        <v>1080</v>
      </c>
      <c r="C73" s="56" t="s">
        <v>1081</v>
      </c>
      <c r="D73" s="53" t="s">
        <v>1082</v>
      </c>
      <c r="E73" s="6" t="s">
        <v>655</v>
      </c>
      <c r="F73" s="19">
        <v>50000000</v>
      </c>
      <c r="G73" s="24">
        <v>49938.7</v>
      </c>
      <c r="H73" s="24">
        <v>1.26</v>
      </c>
      <c r="I73" s="31">
        <v>3.2002999999999999</v>
      </c>
      <c r="J73" s="35"/>
    </row>
    <row r="74" spans="2:10" x14ac:dyDescent="0.25">
      <c r="B74" s="8" t="s">
        <v>1083</v>
      </c>
      <c r="C74" s="56" t="s">
        <v>1084</v>
      </c>
      <c r="D74" s="53" t="s">
        <v>1085</v>
      </c>
      <c r="E74" s="6" t="s">
        <v>655</v>
      </c>
      <c r="F74" s="19">
        <v>50000000</v>
      </c>
      <c r="G74" s="24">
        <v>49877.75</v>
      </c>
      <c r="H74" s="24">
        <v>1.25</v>
      </c>
      <c r="I74" s="31">
        <v>3.1949999999999998</v>
      </c>
      <c r="J74" s="35"/>
    </row>
    <row r="75" spans="2:10" x14ac:dyDescent="0.25">
      <c r="B75" s="8" t="s">
        <v>1086</v>
      </c>
      <c r="C75" s="56" t="s">
        <v>1087</v>
      </c>
      <c r="D75" s="53" t="s">
        <v>1088</v>
      </c>
      <c r="E75" s="6" t="s">
        <v>655</v>
      </c>
      <c r="F75" s="19">
        <v>32500000</v>
      </c>
      <c r="G75" s="24">
        <v>32358.82</v>
      </c>
      <c r="H75" s="24">
        <v>0.81</v>
      </c>
      <c r="I75" s="31">
        <v>3.25</v>
      </c>
      <c r="J75" s="35"/>
    </row>
    <row r="76" spans="2:10" x14ac:dyDescent="0.25">
      <c r="B76" s="8" t="s">
        <v>1089</v>
      </c>
      <c r="C76" s="56" t="s">
        <v>1090</v>
      </c>
      <c r="D76" s="53" t="s">
        <v>1091</v>
      </c>
      <c r="E76" s="6" t="s">
        <v>655</v>
      </c>
      <c r="F76" s="19">
        <v>30000000</v>
      </c>
      <c r="G76" s="24">
        <v>29888.73</v>
      </c>
      <c r="H76" s="24">
        <v>0.75</v>
      </c>
      <c r="I76" s="31">
        <v>3.2353000000000001</v>
      </c>
      <c r="J76" s="35"/>
    </row>
    <row r="77" spans="2:10" x14ac:dyDescent="0.25">
      <c r="B77" s="8" t="s">
        <v>1092</v>
      </c>
      <c r="C77" s="56" t="s">
        <v>1093</v>
      </c>
      <c r="D77" s="53" t="s">
        <v>1094</v>
      </c>
      <c r="E77" s="6" t="s">
        <v>655</v>
      </c>
      <c r="F77" s="19">
        <v>5000000</v>
      </c>
      <c r="G77" s="24">
        <v>4990.8100000000004</v>
      </c>
      <c r="H77" s="24">
        <v>0.13</v>
      </c>
      <c r="I77" s="31">
        <v>3.2004999999999999</v>
      </c>
      <c r="J77" s="35"/>
    </row>
    <row r="78" spans="2:10" x14ac:dyDescent="0.25">
      <c r="C78" s="57" t="s">
        <v>35</v>
      </c>
      <c r="D78" s="53"/>
      <c r="E78" s="6"/>
      <c r="F78" s="19"/>
      <c r="G78" s="25">
        <v>2492002.36</v>
      </c>
      <c r="H78" s="25">
        <v>62.68</v>
      </c>
      <c r="I78" s="31"/>
      <c r="J78" s="35"/>
    </row>
    <row r="79" spans="2:10" x14ac:dyDescent="0.25">
      <c r="C79" s="56"/>
      <c r="D79" s="53"/>
      <c r="E79" s="6"/>
      <c r="F79" s="19"/>
      <c r="G79" s="24"/>
      <c r="H79" s="24"/>
      <c r="I79" s="31"/>
      <c r="J79" s="35"/>
    </row>
    <row r="80" spans="2:10" x14ac:dyDescent="0.25">
      <c r="C80" s="57" t="s">
        <v>16</v>
      </c>
      <c r="D80" s="53"/>
      <c r="E80" s="6"/>
      <c r="F80" s="19"/>
      <c r="G80" s="24" t="s">
        <v>2</v>
      </c>
      <c r="H80" s="24" t="s">
        <v>2</v>
      </c>
      <c r="I80" s="31"/>
      <c r="J80" s="35"/>
    </row>
    <row r="81" spans="1:10" x14ac:dyDescent="0.25">
      <c r="C81" s="56"/>
      <c r="D81" s="53"/>
      <c r="E81" s="6"/>
      <c r="F81" s="19"/>
      <c r="G81" s="24"/>
      <c r="H81" s="24"/>
      <c r="I81" s="31"/>
      <c r="J81" s="35"/>
    </row>
    <row r="82" spans="1:10" x14ac:dyDescent="0.25">
      <c r="A82" s="10"/>
      <c r="B82" s="28"/>
      <c r="C82" s="58" t="s">
        <v>17</v>
      </c>
      <c r="D82" s="53"/>
      <c r="E82" s="6"/>
      <c r="F82" s="19"/>
      <c r="G82" s="24"/>
      <c r="H82" s="24"/>
      <c r="I82" s="31"/>
      <c r="J82" s="35"/>
    </row>
    <row r="83" spans="1:10" x14ac:dyDescent="0.25">
      <c r="A83" s="28"/>
      <c r="B83" s="28"/>
      <c r="C83" s="58" t="s">
        <v>18</v>
      </c>
      <c r="D83" s="53"/>
      <c r="E83" s="6"/>
      <c r="F83" s="19"/>
      <c r="G83" s="24" t="s">
        <v>2</v>
      </c>
      <c r="H83" s="24" t="s">
        <v>2</v>
      </c>
      <c r="I83" s="31"/>
      <c r="J83" s="35"/>
    </row>
    <row r="84" spans="1:10" x14ac:dyDescent="0.25">
      <c r="A84" s="28"/>
      <c r="B84" s="28"/>
      <c r="C84" s="58"/>
      <c r="D84" s="53"/>
      <c r="E84" s="6"/>
      <c r="F84" s="19"/>
      <c r="G84" s="24"/>
      <c r="H84" s="24"/>
      <c r="I84" s="31"/>
      <c r="J84" s="35"/>
    </row>
    <row r="85" spans="1:10" x14ac:dyDescent="0.25">
      <c r="A85" s="28"/>
      <c r="B85" s="28"/>
      <c r="C85" s="58" t="s">
        <v>19</v>
      </c>
      <c r="D85" s="53"/>
      <c r="E85" s="6"/>
      <c r="F85" s="19"/>
      <c r="G85" s="24" t="s">
        <v>2</v>
      </c>
      <c r="H85" s="24" t="s">
        <v>2</v>
      </c>
      <c r="I85" s="31"/>
      <c r="J85" s="35"/>
    </row>
    <row r="86" spans="1:10" x14ac:dyDescent="0.25">
      <c r="A86" s="28"/>
      <c r="B86" s="28"/>
      <c r="C86" s="58"/>
      <c r="D86" s="53"/>
      <c r="E86" s="6"/>
      <c r="F86" s="19"/>
      <c r="G86" s="24"/>
      <c r="H86" s="24"/>
      <c r="I86" s="31"/>
      <c r="J86" s="35"/>
    </row>
    <row r="87" spans="1:10" x14ac:dyDescent="0.25">
      <c r="A87" s="28"/>
      <c r="B87" s="28"/>
      <c r="C87" s="58" t="s">
        <v>20</v>
      </c>
      <c r="D87" s="53"/>
      <c r="E87" s="6"/>
      <c r="F87" s="19"/>
      <c r="G87" s="24" t="s">
        <v>2</v>
      </c>
      <c r="H87" s="24" t="s">
        <v>2</v>
      </c>
      <c r="I87" s="31"/>
      <c r="J87" s="35"/>
    </row>
    <row r="88" spans="1:10" x14ac:dyDescent="0.25">
      <c r="A88" s="28"/>
      <c r="B88" s="28"/>
      <c r="C88" s="58"/>
      <c r="D88" s="53"/>
      <c r="E88" s="6"/>
      <c r="F88" s="19"/>
      <c r="G88" s="24"/>
      <c r="H88" s="24"/>
      <c r="I88" s="31"/>
      <c r="J88" s="35"/>
    </row>
    <row r="89" spans="1:10" x14ac:dyDescent="0.25">
      <c r="A89" s="28"/>
      <c r="B89" s="28"/>
      <c r="C89" s="58" t="s">
        <v>21</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C91" s="59" t="s">
        <v>22</v>
      </c>
      <c r="D91" s="53"/>
      <c r="E91" s="6"/>
      <c r="F91" s="19"/>
      <c r="G91" s="24"/>
      <c r="H91" s="24"/>
      <c r="I91" s="31"/>
      <c r="J91" s="35"/>
    </row>
    <row r="92" spans="1:10" x14ac:dyDescent="0.25">
      <c r="B92" s="8" t="s">
        <v>33</v>
      </c>
      <c r="C92" s="56" t="s">
        <v>34</v>
      </c>
      <c r="D92" s="53"/>
      <c r="E92" s="6"/>
      <c r="F92" s="19"/>
      <c r="G92" s="24">
        <v>16591.96</v>
      </c>
      <c r="H92" s="24">
        <v>0.42</v>
      </c>
      <c r="I92" s="31"/>
      <c r="J92" s="35"/>
    </row>
    <row r="93" spans="1:10" x14ac:dyDescent="0.25">
      <c r="C93" s="57" t="s">
        <v>35</v>
      </c>
      <c r="D93" s="53"/>
      <c r="E93" s="6"/>
      <c r="F93" s="19"/>
      <c r="G93" s="25">
        <v>16591.96</v>
      </c>
      <c r="H93" s="25">
        <v>0.42</v>
      </c>
      <c r="I93" s="31"/>
      <c r="J93" s="35"/>
    </row>
    <row r="94" spans="1:10" x14ac:dyDescent="0.25">
      <c r="C94" s="56"/>
      <c r="D94" s="53"/>
      <c r="E94" s="6"/>
      <c r="F94" s="19"/>
      <c r="G94" s="24"/>
      <c r="H94" s="24"/>
      <c r="I94" s="31"/>
      <c r="J94" s="35"/>
    </row>
    <row r="95" spans="1:10" x14ac:dyDescent="0.25">
      <c r="A95" s="10"/>
      <c r="B95" s="28"/>
      <c r="C95" s="58" t="s">
        <v>23</v>
      </c>
      <c r="D95" s="53"/>
      <c r="E95" s="6"/>
      <c r="F95" s="19"/>
      <c r="G95" s="24"/>
      <c r="H95" s="24"/>
      <c r="I95" s="31"/>
      <c r="J95" s="35"/>
    </row>
    <row r="96" spans="1:10" x14ac:dyDescent="0.25">
      <c r="A96" s="28"/>
      <c r="B96" s="28"/>
      <c r="C96" s="60" t="s">
        <v>3398</v>
      </c>
      <c r="D96" s="53"/>
      <c r="E96" s="6"/>
      <c r="F96" s="19"/>
      <c r="G96" s="24" t="s">
        <v>2</v>
      </c>
      <c r="H96" s="24" t="s">
        <v>2</v>
      </c>
      <c r="I96" s="31"/>
      <c r="J96" s="35"/>
    </row>
    <row r="97" spans="2:10" x14ac:dyDescent="0.25">
      <c r="B97" s="8"/>
      <c r="C97" s="56" t="s">
        <v>36</v>
      </c>
      <c r="D97" s="53"/>
      <c r="E97" s="6"/>
      <c r="F97" s="19"/>
      <c r="G97" s="24">
        <v>-11170</v>
      </c>
      <c r="H97" s="24">
        <v>-0.29000000000000004</v>
      </c>
      <c r="I97" s="31"/>
      <c r="J97" s="35"/>
    </row>
    <row r="98" spans="2:10" x14ac:dyDescent="0.25">
      <c r="C98" s="57" t="s">
        <v>35</v>
      </c>
      <c r="D98" s="53"/>
      <c r="E98" s="6"/>
      <c r="F98" s="19"/>
      <c r="G98" s="25">
        <v>-11170</v>
      </c>
      <c r="H98" s="25">
        <v>-0.29000000000000004</v>
      </c>
      <c r="I98" s="31"/>
      <c r="J98" s="35"/>
    </row>
    <row r="99" spans="2:10" x14ac:dyDescent="0.25">
      <c r="C99" s="56"/>
      <c r="D99" s="53"/>
      <c r="E99" s="6"/>
      <c r="F99" s="19"/>
      <c r="G99" s="24"/>
      <c r="H99" s="24"/>
      <c r="I99" s="31"/>
      <c r="J99" s="35"/>
    </row>
    <row r="100" spans="2:10" x14ac:dyDescent="0.25">
      <c r="C100" s="61" t="s">
        <v>37</v>
      </c>
      <c r="D100" s="54"/>
      <c r="E100" s="5"/>
      <c r="F100" s="20"/>
      <c r="G100" s="26">
        <v>3975386.41</v>
      </c>
      <c r="H100" s="26">
        <f>SUMIFS(H:H,C:C,"Total")</f>
        <v>100</v>
      </c>
      <c r="I100" s="32"/>
      <c r="J100" s="36"/>
    </row>
    <row r="103" spans="2:10" x14ac:dyDescent="0.25">
      <c r="C103" s="1" t="s">
        <v>38</v>
      </c>
    </row>
    <row r="104" spans="2:10" x14ac:dyDescent="0.25">
      <c r="C104" s="2" t="s">
        <v>39</v>
      </c>
    </row>
    <row r="105" spans="2:10" x14ac:dyDescent="0.25">
      <c r="C105" s="2" t="s">
        <v>40</v>
      </c>
    </row>
    <row r="106" spans="2:10" x14ac:dyDescent="0.25">
      <c r="C106" s="2" t="s">
        <v>3430</v>
      </c>
    </row>
  </sheetData>
  <hyperlinks>
    <hyperlink ref="J2" location="'Index'!A1" display="'Index'!A1"/>
  </hyperlinks>
  <pageMargins left="0.7" right="0.7" top="0.75" bottom="0.75" header="0.3" footer="0.3"/>
  <pageSetup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5"/>
  <dimension ref="A1:J6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1095</v>
      </c>
      <c r="J2" s="37" t="s">
        <v>3307</v>
      </c>
    </row>
    <row r="3" spans="1:10" ht="16.5" x14ac:dyDescent="0.3">
      <c r="C3" s="1" t="s">
        <v>24</v>
      </c>
      <c r="D3" s="21" t="s">
        <v>1096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C23" s="59" t="s">
        <v>9</v>
      </c>
      <c r="D23" s="53"/>
      <c r="E23" s="6"/>
      <c r="F23" s="19"/>
      <c r="G23" s="24"/>
      <c r="H23" s="24"/>
      <c r="I23" s="31"/>
      <c r="J23" s="35"/>
    </row>
    <row r="24" spans="1:10" x14ac:dyDescent="0.25">
      <c r="B24" s="8" t="s">
        <v>652</v>
      </c>
      <c r="C24" s="56" t="s">
        <v>653</v>
      </c>
      <c r="D24" s="53" t="s">
        <v>654</v>
      </c>
      <c r="E24" s="6" t="s">
        <v>655</v>
      </c>
      <c r="F24" s="19">
        <v>111700000</v>
      </c>
      <c r="G24" s="24">
        <v>109662.82</v>
      </c>
      <c r="H24" s="24">
        <v>49.15</v>
      </c>
      <c r="I24" s="31">
        <v>6.3890000000000002</v>
      </c>
      <c r="J24" s="35"/>
    </row>
    <row r="25" spans="1:10" x14ac:dyDescent="0.25">
      <c r="B25" s="8" t="s">
        <v>671</v>
      </c>
      <c r="C25" s="56" t="s">
        <v>672</v>
      </c>
      <c r="D25" s="53" t="s">
        <v>673</v>
      </c>
      <c r="E25" s="6" t="s">
        <v>655</v>
      </c>
      <c r="F25" s="19">
        <v>32000000</v>
      </c>
      <c r="G25" s="24">
        <v>31424.799999999999</v>
      </c>
      <c r="H25" s="24">
        <v>14.08</v>
      </c>
      <c r="I25" s="31">
        <v>6.0133999999999999</v>
      </c>
      <c r="J25" s="35"/>
    </row>
    <row r="26" spans="1:10" x14ac:dyDescent="0.25">
      <c r="B26" s="8" t="s">
        <v>656</v>
      </c>
      <c r="C26" s="56" t="s">
        <v>657</v>
      </c>
      <c r="D26" s="53" t="s">
        <v>658</v>
      </c>
      <c r="E26" s="6" t="s">
        <v>655</v>
      </c>
      <c r="F26" s="19">
        <v>27300000</v>
      </c>
      <c r="G26" s="24">
        <v>29878.13</v>
      </c>
      <c r="H26" s="24">
        <v>13.39</v>
      </c>
      <c r="I26" s="31">
        <v>6.4672999999999998</v>
      </c>
      <c r="J26" s="35"/>
    </row>
    <row r="27" spans="1:10" x14ac:dyDescent="0.25">
      <c r="B27" s="8" t="s">
        <v>659</v>
      </c>
      <c r="C27" s="56" t="s">
        <v>660</v>
      </c>
      <c r="D27" s="53" t="s">
        <v>661</v>
      </c>
      <c r="E27" s="6" t="s">
        <v>655</v>
      </c>
      <c r="F27" s="19">
        <v>21500000</v>
      </c>
      <c r="G27" s="24">
        <v>22830.14</v>
      </c>
      <c r="H27" s="24">
        <v>10.23</v>
      </c>
      <c r="I27" s="31">
        <v>6.1013000000000002</v>
      </c>
      <c r="J27" s="35"/>
    </row>
    <row r="28" spans="1:10" x14ac:dyDescent="0.25">
      <c r="B28" s="8" t="s">
        <v>665</v>
      </c>
      <c r="C28" s="56" t="s">
        <v>666</v>
      </c>
      <c r="D28" s="53" t="s">
        <v>667</v>
      </c>
      <c r="E28" s="6" t="s">
        <v>655</v>
      </c>
      <c r="F28" s="19">
        <v>19800000</v>
      </c>
      <c r="G28" s="24">
        <v>20232.349999999999</v>
      </c>
      <c r="H28" s="24">
        <v>9.07</v>
      </c>
      <c r="I28" s="31">
        <v>6.1308999999999996</v>
      </c>
      <c r="J28" s="35"/>
    </row>
    <row r="29" spans="1:10" x14ac:dyDescent="0.25">
      <c r="B29" s="8" t="s">
        <v>1097</v>
      </c>
      <c r="C29" s="56" t="s">
        <v>1098</v>
      </c>
      <c r="D29" s="53" t="s">
        <v>1099</v>
      </c>
      <c r="E29" s="6" t="s">
        <v>655</v>
      </c>
      <c r="F29" s="19">
        <v>5800000</v>
      </c>
      <c r="G29" s="24">
        <v>6098.73</v>
      </c>
      <c r="H29" s="24">
        <v>2.73</v>
      </c>
      <c r="I29" s="31">
        <v>6.7567000000000004</v>
      </c>
      <c r="J29" s="35"/>
    </row>
    <row r="30" spans="1:10" x14ac:dyDescent="0.25">
      <c r="C30" s="57" t="s">
        <v>35</v>
      </c>
      <c r="D30" s="53"/>
      <c r="E30" s="6"/>
      <c r="F30" s="19"/>
      <c r="G30" s="25">
        <v>220126.97</v>
      </c>
      <c r="H30" s="25">
        <v>98.65</v>
      </c>
      <c r="I30" s="31"/>
      <c r="J30" s="35"/>
    </row>
    <row r="31" spans="1:10" x14ac:dyDescent="0.25">
      <c r="C31" s="56"/>
      <c r="D31" s="53"/>
      <c r="E31" s="6"/>
      <c r="F31" s="19"/>
      <c r="G31" s="24"/>
      <c r="H31" s="24"/>
      <c r="I31" s="31"/>
      <c r="J31" s="35"/>
    </row>
    <row r="32" spans="1:10" x14ac:dyDescent="0.25">
      <c r="C32" s="57" t="s">
        <v>10</v>
      </c>
      <c r="D32" s="53"/>
      <c r="E32" s="6"/>
      <c r="F32" s="19"/>
      <c r="G32" s="24" t="s">
        <v>2</v>
      </c>
      <c r="H32" s="24" t="s">
        <v>2</v>
      </c>
      <c r="I32" s="31"/>
      <c r="J32" s="35"/>
    </row>
    <row r="33" spans="1:10" x14ac:dyDescent="0.25">
      <c r="C33" s="56"/>
      <c r="D33" s="53"/>
      <c r="E33" s="6"/>
      <c r="F33" s="19"/>
      <c r="G33" s="24"/>
      <c r="H33" s="24"/>
      <c r="I33" s="31"/>
      <c r="J33" s="35"/>
    </row>
    <row r="34" spans="1:10" x14ac:dyDescent="0.25">
      <c r="C34" s="57" t="s">
        <v>11</v>
      </c>
      <c r="D34" s="53"/>
      <c r="E34" s="6"/>
      <c r="F34" s="19"/>
      <c r="G34" s="24"/>
      <c r="H34" s="24"/>
      <c r="I34" s="31"/>
      <c r="J34" s="35"/>
    </row>
    <row r="35" spans="1:10" x14ac:dyDescent="0.25">
      <c r="C35" s="56"/>
      <c r="D35" s="53"/>
      <c r="E35" s="6"/>
      <c r="F35" s="19"/>
      <c r="G35" s="24"/>
      <c r="H35" s="24"/>
      <c r="I35" s="31"/>
      <c r="J35" s="35"/>
    </row>
    <row r="36" spans="1:10" x14ac:dyDescent="0.25">
      <c r="C36" s="57" t="s">
        <v>13</v>
      </c>
      <c r="D36" s="53"/>
      <c r="E36" s="6"/>
      <c r="F36" s="19"/>
      <c r="G36" s="24" t="s">
        <v>2</v>
      </c>
      <c r="H36" s="24" t="s">
        <v>2</v>
      </c>
      <c r="I36" s="31"/>
      <c r="J36" s="35"/>
    </row>
    <row r="37" spans="1:10" x14ac:dyDescent="0.25">
      <c r="C37" s="56"/>
      <c r="D37" s="53"/>
      <c r="E37" s="6"/>
      <c r="F37" s="19"/>
      <c r="G37" s="24"/>
      <c r="H37" s="24"/>
      <c r="I37" s="31"/>
      <c r="J37" s="35"/>
    </row>
    <row r="38" spans="1:10" x14ac:dyDescent="0.25">
      <c r="C38" s="57" t="s">
        <v>14</v>
      </c>
      <c r="D38" s="53"/>
      <c r="E38" s="6"/>
      <c r="F38" s="19"/>
      <c r="G38" s="24" t="s">
        <v>2</v>
      </c>
      <c r="H38" s="24" t="s">
        <v>2</v>
      </c>
      <c r="I38" s="31"/>
      <c r="J38" s="35"/>
    </row>
    <row r="39" spans="1:10" x14ac:dyDescent="0.25">
      <c r="C39" s="56"/>
      <c r="D39" s="53"/>
      <c r="E39" s="6"/>
      <c r="F39" s="19"/>
      <c r="G39" s="24"/>
      <c r="H39" s="24"/>
      <c r="I39" s="31"/>
      <c r="J39" s="35"/>
    </row>
    <row r="40" spans="1:10" x14ac:dyDescent="0.25">
      <c r="C40" s="57" t="s">
        <v>15</v>
      </c>
      <c r="D40" s="53"/>
      <c r="E40" s="6"/>
      <c r="F40" s="19"/>
      <c r="G40" s="24" t="s">
        <v>2</v>
      </c>
      <c r="H40" s="24" t="s">
        <v>2</v>
      </c>
      <c r="I40" s="31"/>
      <c r="J40" s="35"/>
    </row>
    <row r="41" spans="1:10" x14ac:dyDescent="0.25">
      <c r="C41" s="56"/>
      <c r="D41" s="53"/>
      <c r="E41" s="6"/>
      <c r="F41" s="19"/>
      <c r="G41" s="24"/>
      <c r="H41" s="24"/>
      <c r="I41" s="31"/>
      <c r="J41" s="35"/>
    </row>
    <row r="42" spans="1:10" x14ac:dyDescent="0.25">
      <c r="C42" s="57" t="s">
        <v>16</v>
      </c>
      <c r="D42" s="53"/>
      <c r="E42" s="6"/>
      <c r="F42" s="19"/>
      <c r="G42" s="24" t="s">
        <v>2</v>
      </c>
      <c r="H42" s="24" t="s">
        <v>2</v>
      </c>
      <c r="I42" s="31"/>
      <c r="J42" s="35"/>
    </row>
    <row r="43" spans="1:10" x14ac:dyDescent="0.25">
      <c r="C43" s="56"/>
      <c r="D43" s="53"/>
      <c r="E43" s="6"/>
      <c r="F43" s="19"/>
      <c r="G43" s="24"/>
      <c r="H43" s="24"/>
      <c r="I43" s="31"/>
      <c r="J43" s="35"/>
    </row>
    <row r="44" spans="1:10" x14ac:dyDescent="0.25">
      <c r="A44" s="10"/>
      <c r="B44" s="28"/>
      <c r="C44" s="58" t="s">
        <v>17</v>
      </c>
      <c r="D44" s="53"/>
      <c r="E44" s="6"/>
      <c r="F44" s="19"/>
      <c r="G44" s="24"/>
      <c r="H44" s="24"/>
      <c r="I44" s="31"/>
      <c r="J44" s="35"/>
    </row>
    <row r="45" spans="1:10" x14ac:dyDescent="0.25">
      <c r="A45" s="28"/>
      <c r="B45" s="28"/>
      <c r="C45" s="58" t="s">
        <v>18</v>
      </c>
      <c r="D45" s="53"/>
      <c r="E45" s="6"/>
      <c r="F45" s="19"/>
      <c r="G45" s="24" t="s">
        <v>2</v>
      </c>
      <c r="H45" s="24" t="s">
        <v>2</v>
      </c>
      <c r="I45" s="31"/>
      <c r="J45" s="35"/>
    </row>
    <row r="46" spans="1:10" x14ac:dyDescent="0.25">
      <c r="A46" s="28"/>
      <c r="B46" s="28"/>
      <c r="C46" s="58"/>
      <c r="D46" s="53"/>
      <c r="E46" s="6"/>
      <c r="F46" s="19"/>
      <c r="G46" s="24"/>
      <c r="H46" s="24"/>
      <c r="I46" s="31"/>
      <c r="J46" s="35"/>
    </row>
    <row r="47" spans="1:10" x14ac:dyDescent="0.25">
      <c r="A47" s="28"/>
      <c r="B47" s="28"/>
      <c r="C47" s="58" t="s">
        <v>19</v>
      </c>
      <c r="D47" s="53"/>
      <c r="E47" s="6"/>
      <c r="F47" s="19"/>
      <c r="G47" s="24" t="s">
        <v>2</v>
      </c>
      <c r="H47" s="24" t="s">
        <v>2</v>
      </c>
      <c r="I47" s="31"/>
      <c r="J47" s="35"/>
    </row>
    <row r="48" spans="1:10" x14ac:dyDescent="0.25">
      <c r="A48" s="28"/>
      <c r="B48" s="28"/>
      <c r="C48" s="58"/>
      <c r="D48" s="53"/>
      <c r="E48" s="6"/>
      <c r="F48" s="19"/>
      <c r="G48" s="24"/>
      <c r="H48" s="24"/>
      <c r="I48" s="31"/>
      <c r="J48" s="35"/>
    </row>
    <row r="49" spans="1:10" x14ac:dyDescent="0.25">
      <c r="A49" s="28"/>
      <c r="B49" s="28"/>
      <c r="C49" s="58" t="s">
        <v>20</v>
      </c>
      <c r="D49" s="53"/>
      <c r="E49" s="6"/>
      <c r="F49" s="19"/>
      <c r="G49" s="24" t="s">
        <v>2</v>
      </c>
      <c r="H49" s="24" t="s">
        <v>2</v>
      </c>
      <c r="I49" s="31"/>
      <c r="J49" s="35"/>
    </row>
    <row r="50" spans="1:10" x14ac:dyDescent="0.25">
      <c r="A50" s="28"/>
      <c r="B50" s="28"/>
      <c r="C50" s="58"/>
      <c r="D50" s="53"/>
      <c r="E50" s="6"/>
      <c r="F50" s="19"/>
      <c r="G50" s="24"/>
      <c r="H50" s="24"/>
      <c r="I50" s="31"/>
      <c r="J50" s="35"/>
    </row>
    <row r="51" spans="1:10" x14ac:dyDescent="0.25">
      <c r="A51" s="28"/>
      <c r="B51" s="28"/>
      <c r="C51" s="58" t="s">
        <v>21</v>
      </c>
      <c r="D51" s="53"/>
      <c r="E51" s="6"/>
      <c r="F51" s="19"/>
      <c r="G51" s="24" t="s">
        <v>2</v>
      </c>
      <c r="H51" s="24" t="s">
        <v>2</v>
      </c>
      <c r="I51" s="31"/>
      <c r="J51" s="35"/>
    </row>
    <row r="52" spans="1:10" x14ac:dyDescent="0.25">
      <c r="A52" s="28"/>
      <c r="B52" s="28"/>
      <c r="C52" s="58"/>
      <c r="D52" s="53"/>
      <c r="E52" s="6"/>
      <c r="F52" s="19"/>
      <c r="G52" s="24"/>
      <c r="H52" s="24"/>
      <c r="I52" s="31"/>
      <c r="J52" s="35"/>
    </row>
    <row r="53" spans="1:10" x14ac:dyDescent="0.25">
      <c r="C53" s="59" t="s">
        <v>22</v>
      </c>
      <c r="D53" s="53"/>
      <c r="E53" s="6"/>
      <c r="F53" s="19"/>
      <c r="G53" s="24"/>
      <c r="H53" s="24"/>
      <c r="I53" s="31"/>
      <c r="J53" s="35"/>
    </row>
    <row r="54" spans="1:10" x14ac:dyDescent="0.25">
      <c r="B54" s="8" t="s">
        <v>33</v>
      </c>
      <c r="C54" s="56" t="s">
        <v>34</v>
      </c>
      <c r="D54" s="53"/>
      <c r="E54" s="6"/>
      <c r="F54" s="19"/>
      <c r="G54" s="24">
        <v>812.86</v>
      </c>
      <c r="H54" s="24">
        <v>0.36</v>
      </c>
      <c r="I54" s="31"/>
      <c r="J54" s="35"/>
    </row>
    <row r="55" spans="1:10" x14ac:dyDescent="0.25">
      <c r="C55" s="57" t="s">
        <v>35</v>
      </c>
      <c r="D55" s="53"/>
      <c r="E55" s="6"/>
      <c r="F55" s="19"/>
      <c r="G55" s="25">
        <v>812.86</v>
      </c>
      <c r="H55" s="25">
        <v>0.36</v>
      </c>
      <c r="I55" s="31"/>
      <c r="J55" s="35"/>
    </row>
    <row r="56" spans="1:10" x14ac:dyDescent="0.25">
      <c r="C56" s="56"/>
      <c r="D56" s="53"/>
      <c r="E56" s="6"/>
      <c r="F56" s="19"/>
      <c r="G56" s="24"/>
      <c r="H56" s="24"/>
      <c r="I56" s="31"/>
      <c r="J56" s="35"/>
    </row>
    <row r="57" spans="1:10" x14ac:dyDescent="0.25">
      <c r="A57" s="10"/>
      <c r="B57" s="28"/>
      <c r="C57" s="58" t="s">
        <v>23</v>
      </c>
      <c r="D57" s="53"/>
      <c r="E57" s="6"/>
      <c r="F57" s="19"/>
      <c r="G57" s="24"/>
      <c r="H57" s="24"/>
      <c r="I57" s="31"/>
      <c r="J57" s="35"/>
    </row>
    <row r="58" spans="1:10" x14ac:dyDescent="0.25">
      <c r="A58" s="28"/>
      <c r="B58" s="28"/>
      <c r="C58" s="60" t="s">
        <v>3398</v>
      </c>
      <c r="D58" s="53"/>
      <c r="E58" s="6"/>
      <c r="F58" s="19"/>
      <c r="G58" s="24" t="s">
        <v>2</v>
      </c>
      <c r="H58" s="24" t="s">
        <v>2</v>
      </c>
      <c r="I58" s="31"/>
      <c r="J58" s="35"/>
    </row>
    <row r="59" spans="1:10" x14ac:dyDescent="0.25">
      <c r="B59" s="8"/>
      <c r="C59" s="56" t="s">
        <v>36</v>
      </c>
      <c r="D59" s="53"/>
      <c r="E59" s="6"/>
      <c r="F59" s="19"/>
      <c r="G59" s="24">
        <v>2170.1999999999998</v>
      </c>
      <c r="H59" s="24">
        <v>0.99</v>
      </c>
      <c r="I59" s="31"/>
      <c r="J59" s="35"/>
    </row>
    <row r="60" spans="1:10" x14ac:dyDescent="0.25">
      <c r="C60" s="57" t="s">
        <v>35</v>
      </c>
      <c r="D60" s="53"/>
      <c r="E60" s="6"/>
      <c r="F60" s="19"/>
      <c r="G60" s="25">
        <v>2170.1999999999998</v>
      </c>
      <c r="H60" s="25">
        <v>0.99</v>
      </c>
      <c r="I60" s="31"/>
      <c r="J60" s="35"/>
    </row>
    <row r="61" spans="1:10" x14ac:dyDescent="0.25">
      <c r="C61" s="56"/>
      <c r="D61" s="53"/>
      <c r="E61" s="6"/>
      <c r="F61" s="19"/>
      <c r="G61" s="24"/>
      <c r="H61" s="24"/>
      <c r="I61" s="31"/>
      <c r="J61" s="35"/>
    </row>
    <row r="62" spans="1:10" x14ac:dyDescent="0.25">
      <c r="C62" s="61" t="s">
        <v>37</v>
      </c>
      <c r="D62" s="54"/>
      <c r="E62" s="5"/>
      <c r="F62" s="20"/>
      <c r="G62" s="26">
        <v>223110.03</v>
      </c>
      <c r="H62" s="26">
        <f>SUMIFS(H:H,C:C,"Total")</f>
        <v>100</v>
      </c>
      <c r="I62" s="32"/>
      <c r="J62" s="36"/>
    </row>
    <row r="65" spans="3:3" x14ac:dyDescent="0.25">
      <c r="C65" s="1" t="s">
        <v>38</v>
      </c>
    </row>
    <row r="66" spans="3:3" x14ac:dyDescent="0.25">
      <c r="C66" s="2" t="s">
        <v>39</v>
      </c>
    </row>
    <row r="67" spans="3:3" x14ac:dyDescent="0.25">
      <c r="C67" s="2" t="s">
        <v>40</v>
      </c>
    </row>
    <row r="68" spans="3:3" x14ac:dyDescent="0.25">
      <c r="C68" s="2" t="s">
        <v>3430</v>
      </c>
    </row>
  </sheetData>
  <hyperlinks>
    <hyperlink ref="J2" location="'Index'!A1" display="'Index'!A1"/>
  </hyperlinks>
  <pageMargins left="0.7" right="0.7" top="0.75" bottom="0.75" header="0.3" footer="0.3"/>
  <pageSetup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6"/>
  <dimension ref="A1:J14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1100</v>
      </c>
      <c r="J2" s="37" t="s">
        <v>3307</v>
      </c>
    </row>
    <row r="3" spans="1:10" ht="16.5" x14ac:dyDescent="0.3">
      <c r="C3" s="1" t="s">
        <v>24</v>
      </c>
      <c r="D3" s="21" t="s">
        <v>1101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C23" s="59" t="s">
        <v>9</v>
      </c>
      <c r="D23" s="53"/>
      <c r="E23" s="6"/>
      <c r="F23" s="19"/>
      <c r="G23" s="24"/>
      <c r="H23" s="24"/>
      <c r="I23" s="31"/>
      <c r="J23" s="35"/>
    </row>
    <row r="24" spans="1:10" x14ac:dyDescent="0.25">
      <c r="B24" s="8" t="s">
        <v>1102</v>
      </c>
      <c r="C24" s="56" t="s">
        <v>1103</v>
      </c>
      <c r="D24" s="53" t="s">
        <v>1104</v>
      </c>
      <c r="E24" s="6" t="s">
        <v>655</v>
      </c>
      <c r="F24" s="19">
        <v>76000000</v>
      </c>
      <c r="G24" s="24">
        <v>76813.2</v>
      </c>
      <c r="H24" s="24">
        <v>3.65</v>
      </c>
      <c r="I24" s="31">
        <v>3.4007999999999998</v>
      </c>
      <c r="J24" s="35"/>
    </row>
    <row r="25" spans="1:10" x14ac:dyDescent="0.25">
      <c r="B25" s="8" t="s">
        <v>1105</v>
      </c>
      <c r="C25" s="56" t="s">
        <v>1106</v>
      </c>
      <c r="D25" s="53" t="s">
        <v>1107</v>
      </c>
      <c r="E25" s="6" t="s">
        <v>655</v>
      </c>
      <c r="F25" s="19">
        <v>13000</v>
      </c>
      <c r="G25" s="24">
        <v>13.12</v>
      </c>
      <c r="H25" s="24" t="s">
        <v>3399</v>
      </c>
      <c r="I25" s="31">
        <v>3.3401000000000001</v>
      </c>
      <c r="J25" s="35"/>
    </row>
    <row r="26" spans="1:10" x14ac:dyDescent="0.25">
      <c r="C26" s="57" t="s">
        <v>35</v>
      </c>
      <c r="D26" s="53"/>
      <c r="E26" s="6"/>
      <c r="F26" s="19"/>
      <c r="G26" s="25">
        <v>76826.320000000007</v>
      </c>
      <c r="H26" s="25">
        <v>3.65</v>
      </c>
      <c r="I26" s="31"/>
      <c r="J26" s="35"/>
    </row>
    <row r="27" spans="1:10" x14ac:dyDescent="0.25">
      <c r="C27" s="56"/>
      <c r="D27" s="53"/>
      <c r="E27" s="6"/>
      <c r="F27" s="19"/>
      <c r="G27" s="24"/>
      <c r="H27" s="24"/>
      <c r="I27" s="31"/>
      <c r="J27" s="35"/>
    </row>
    <row r="28" spans="1:10" x14ac:dyDescent="0.25">
      <c r="C28" s="57" t="s">
        <v>10</v>
      </c>
      <c r="D28" s="53"/>
      <c r="E28" s="6"/>
      <c r="F28" s="19"/>
      <c r="G28" s="24" t="s">
        <v>2</v>
      </c>
      <c r="H28" s="24" t="s">
        <v>2</v>
      </c>
      <c r="I28" s="31"/>
      <c r="J28" s="35"/>
    </row>
    <row r="29" spans="1:10" x14ac:dyDescent="0.25">
      <c r="C29" s="56"/>
      <c r="D29" s="53"/>
      <c r="E29" s="6"/>
      <c r="F29" s="19"/>
      <c r="G29" s="24"/>
      <c r="H29" s="24"/>
      <c r="I29" s="31"/>
      <c r="J29" s="35"/>
    </row>
    <row r="30" spans="1:10" x14ac:dyDescent="0.25">
      <c r="A30" s="10"/>
      <c r="B30" s="28"/>
      <c r="C30" s="58" t="s">
        <v>11</v>
      </c>
      <c r="D30" s="53"/>
      <c r="E30" s="6"/>
      <c r="F30" s="19"/>
      <c r="G30" s="24"/>
      <c r="H30" s="24"/>
      <c r="I30" s="31"/>
      <c r="J30" s="35"/>
    </row>
    <row r="31" spans="1:10" x14ac:dyDescent="0.25">
      <c r="C31" s="59" t="s">
        <v>13</v>
      </c>
      <c r="D31" s="53"/>
      <c r="E31" s="6"/>
      <c r="F31" s="19"/>
      <c r="G31" s="24"/>
      <c r="H31" s="24"/>
      <c r="I31" s="31"/>
      <c r="J31" s="35"/>
    </row>
    <row r="32" spans="1:10" x14ac:dyDescent="0.25">
      <c r="B32" s="8" t="s">
        <v>1108</v>
      </c>
      <c r="C32" s="56" t="s">
        <v>1109</v>
      </c>
      <c r="D32" s="53" t="s">
        <v>1110</v>
      </c>
      <c r="E32" s="6" t="s">
        <v>992</v>
      </c>
      <c r="F32" s="19">
        <v>18000</v>
      </c>
      <c r="G32" s="24">
        <v>88564.23</v>
      </c>
      <c r="H32" s="24">
        <v>4.21</v>
      </c>
      <c r="I32" s="31">
        <v>3.7450999999999999</v>
      </c>
      <c r="J32" s="35" t="s">
        <v>514</v>
      </c>
    </row>
    <row r="33" spans="2:10" x14ac:dyDescent="0.25">
      <c r="B33" s="8" t="s">
        <v>1111</v>
      </c>
      <c r="C33" s="56" t="s">
        <v>125</v>
      </c>
      <c r="D33" s="53" t="s">
        <v>1112</v>
      </c>
      <c r="E33" s="6" t="s">
        <v>992</v>
      </c>
      <c r="F33" s="19">
        <v>12000</v>
      </c>
      <c r="G33" s="24">
        <v>59029.68</v>
      </c>
      <c r="H33" s="24">
        <v>2.81</v>
      </c>
      <c r="I33" s="31">
        <v>3.75</v>
      </c>
      <c r="J33" s="35" t="s">
        <v>514</v>
      </c>
    </row>
    <row r="34" spans="2:10" x14ac:dyDescent="0.25">
      <c r="B34" s="8" t="s">
        <v>1113</v>
      </c>
      <c r="C34" s="56" t="s">
        <v>1114</v>
      </c>
      <c r="D34" s="53" t="s">
        <v>1115</v>
      </c>
      <c r="E34" s="6" t="s">
        <v>1000</v>
      </c>
      <c r="F34" s="19">
        <v>10700</v>
      </c>
      <c r="G34" s="24">
        <v>53280.65</v>
      </c>
      <c r="H34" s="24">
        <v>2.5299999999999998</v>
      </c>
      <c r="I34" s="31">
        <v>3.4950000000000001</v>
      </c>
      <c r="J34" s="35" t="s">
        <v>514</v>
      </c>
    </row>
    <row r="35" spans="2:10" x14ac:dyDescent="0.25">
      <c r="B35" s="8" t="s">
        <v>1116</v>
      </c>
      <c r="C35" s="56" t="s">
        <v>1109</v>
      </c>
      <c r="D35" s="53" t="s">
        <v>1117</v>
      </c>
      <c r="E35" s="6" t="s">
        <v>992</v>
      </c>
      <c r="F35" s="19">
        <v>10000</v>
      </c>
      <c r="G35" s="24">
        <v>49356.85</v>
      </c>
      <c r="H35" s="24">
        <v>2.35</v>
      </c>
      <c r="I35" s="31">
        <v>3.7450000000000001</v>
      </c>
      <c r="J35" s="35" t="s">
        <v>514</v>
      </c>
    </row>
    <row r="36" spans="2:10" x14ac:dyDescent="0.25">
      <c r="B36" s="8" t="s">
        <v>1118</v>
      </c>
      <c r="C36" s="56" t="s">
        <v>1119</v>
      </c>
      <c r="D36" s="53" t="s">
        <v>1120</v>
      </c>
      <c r="E36" s="6" t="s">
        <v>992</v>
      </c>
      <c r="F36" s="19">
        <v>10000</v>
      </c>
      <c r="G36" s="24">
        <v>49316</v>
      </c>
      <c r="H36" s="24">
        <v>2.34</v>
      </c>
      <c r="I36" s="31">
        <v>6.7499000000000002</v>
      </c>
      <c r="J36" s="35" t="s">
        <v>514</v>
      </c>
    </row>
    <row r="37" spans="2:10" x14ac:dyDescent="0.25">
      <c r="B37" s="8" t="s">
        <v>1121</v>
      </c>
      <c r="C37" s="56" t="s">
        <v>77</v>
      </c>
      <c r="D37" s="53" t="s">
        <v>1122</v>
      </c>
      <c r="E37" s="6" t="s">
        <v>992</v>
      </c>
      <c r="F37" s="19">
        <v>8000</v>
      </c>
      <c r="G37" s="24">
        <v>39357.72</v>
      </c>
      <c r="H37" s="24">
        <v>1.87</v>
      </c>
      <c r="I37" s="31">
        <v>3.61</v>
      </c>
      <c r="J37" s="35" t="s">
        <v>514</v>
      </c>
    </row>
    <row r="38" spans="2:10" x14ac:dyDescent="0.25">
      <c r="B38" s="8" t="s">
        <v>1123</v>
      </c>
      <c r="C38" s="56" t="s">
        <v>1124</v>
      </c>
      <c r="D38" s="53" t="s">
        <v>1125</v>
      </c>
      <c r="E38" s="6" t="s">
        <v>992</v>
      </c>
      <c r="F38" s="19">
        <v>8000</v>
      </c>
      <c r="G38" s="24">
        <v>39062.36</v>
      </c>
      <c r="H38" s="24">
        <v>1.86</v>
      </c>
      <c r="I38" s="31">
        <v>4.4701000000000004</v>
      </c>
      <c r="J38" s="35" t="s">
        <v>514</v>
      </c>
    </row>
    <row r="39" spans="2:10" x14ac:dyDescent="0.25">
      <c r="B39" s="8" t="s">
        <v>1126</v>
      </c>
      <c r="C39" s="56" t="s">
        <v>1127</v>
      </c>
      <c r="D39" s="53" t="s">
        <v>1128</v>
      </c>
      <c r="E39" s="6" t="s">
        <v>992</v>
      </c>
      <c r="F39" s="19">
        <v>8000</v>
      </c>
      <c r="G39" s="24">
        <v>38967.68</v>
      </c>
      <c r="H39" s="24">
        <v>1.85</v>
      </c>
      <c r="I39" s="31">
        <v>4.08</v>
      </c>
      <c r="J39" s="35" t="s">
        <v>514</v>
      </c>
    </row>
    <row r="40" spans="2:10" x14ac:dyDescent="0.25">
      <c r="B40" s="8" t="s">
        <v>1129</v>
      </c>
      <c r="C40" s="56" t="s">
        <v>1130</v>
      </c>
      <c r="D40" s="53" t="s">
        <v>1131</v>
      </c>
      <c r="E40" s="6" t="s">
        <v>1132</v>
      </c>
      <c r="F40" s="19">
        <v>8000</v>
      </c>
      <c r="G40" s="24">
        <v>38913.519999999997</v>
      </c>
      <c r="H40" s="24">
        <v>1.85</v>
      </c>
      <c r="I40" s="31">
        <v>3.95</v>
      </c>
      <c r="J40" s="35" t="s">
        <v>514</v>
      </c>
    </row>
    <row r="41" spans="2:10" x14ac:dyDescent="0.25">
      <c r="B41" s="8" t="s">
        <v>1133</v>
      </c>
      <c r="C41" s="56" t="s">
        <v>119</v>
      </c>
      <c r="D41" s="53" t="s">
        <v>1134</v>
      </c>
      <c r="E41" s="6" t="s">
        <v>992</v>
      </c>
      <c r="F41" s="19">
        <v>7000</v>
      </c>
      <c r="G41" s="24">
        <v>34822.339999999997</v>
      </c>
      <c r="H41" s="24">
        <v>1.66</v>
      </c>
      <c r="I41" s="31">
        <v>5.1727999999999996</v>
      </c>
      <c r="J41" s="35" t="s">
        <v>514</v>
      </c>
    </row>
    <row r="42" spans="2:10" x14ac:dyDescent="0.25">
      <c r="B42" s="8" t="s">
        <v>1135</v>
      </c>
      <c r="C42" s="56" t="s">
        <v>1124</v>
      </c>
      <c r="D42" s="53" t="s">
        <v>1136</v>
      </c>
      <c r="E42" s="6" t="s">
        <v>992</v>
      </c>
      <c r="F42" s="19">
        <v>7000</v>
      </c>
      <c r="G42" s="24">
        <v>34424.92</v>
      </c>
      <c r="H42" s="24">
        <v>1.64</v>
      </c>
      <c r="I42" s="31">
        <v>4.1199000000000003</v>
      </c>
      <c r="J42" s="35" t="s">
        <v>514</v>
      </c>
    </row>
    <row r="43" spans="2:10" x14ac:dyDescent="0.25">
      <c r="B43" s="8" t="s">
        <v>1137</v>
      </c>
      <c r="C43" s="56" t="s">
        <v>1138</v>
      </c>
      <c r="D43" s="53" t="s">
        <v>1139</v>
      </c>
      <c r="E43" s="6" t="s">
        <v>992</v>
      </c>
      <c r="F43" s="19">
        <v>6000</v>
      </c>
      <c r="G43" s="24">
        <v>29738.639999999999</v>
      </c>
      <c r="H43" s="24">
        <v>1.41</v>
      </c>
      <c r="I43" s="31">
        <v>3.8651</v>
      </c>
      <c r="J43" s="35" t="s">
        <v>514</v>
      </c>
    </row>
    <row r="44" spans="2:10" x14ac:dyDescent="0.25">
      <c r="B44" s="8" t="s">
        <v>1140</v>
      </c>
      <c r="C44" s="56" t="s">
        <v>854</v>
      </c>
      <c r="D44" s="53" t="s">
        <v>1141</v>
      </c>
      <c r="E44" s="6" t="s">
        <v>992</v>
      </c>
      <c r="F44" s="19">
        <v>6000</v>
      </c>
      <c r="G44" s="24">
        <v>29687.49</v>
      </c>
      <c r="H44" s="24">
        <v>1.41</v>
      </c>
      <c r="I44" s="31">
        <v>3.5249999999999999</v>
      </c>
      <c r="J44" s="35" t="s">
        <v>514</v>
      </c>
    </row>
    <row r="45" spans="2:10" x14ac:dyDescent="0.25">
      <c r="B45" s="8" t="s">
        <v>1142</v>
      </c>
      <c r="C45" s="56" t="s">
        <v>1143</v>
      </c>
      <c r="D45" s="53" t="s">
        <v>1144</v>
      </c>
      <c r="E45" s="6" t="s">
        <v>992</v>
      </c>
      <c r="F45" s="19">
        <v>6000</v>
      </c>
      <c r="G45" s="24">
        <v>29575.41</v>
      </c>
      <c r="H45" s="24">
        <v>1.41</v>
      </c>
      <c r="I45" s="31">
        <v>4</v>
      </c>
      <c r="J45" s="35" t="s">
        <v>514</v>
      </c>
    </row>
    <row r="46" spans="2:10" x14ac:dyDescent="0.25">
      <c r="B46" s="8" t="s">
        <v>1145</v>
      </c>
      <c r="C46" s="56" t="s">
        <v>96</v>
      </c>
      <c r="D46" s="53" t="s">
        <v>1146</v>
      </c>
      <c r="E46" s="6" t="s">
        <v>992</v>
      </c>
      <c r="F46" s="19">
        <v>5999</v>
      </c>
      <c r="G46" s="24">
        <v>29527.83</v>
      </c>
      <c r="H46" s="24">
        <v>1.4</v>
      </c>
      <c r="I46" s="31">
        <v>3.6549</v>
      </c>
      <c r="J46" s="35" t="s">
        <v>514</v>
      </c>
    </row>
    <row r="47" spans="2:10" x14ac:dyDescent="0.25">
      <c r="B47" s="8" t="s">
        <v>1147</v>
      </c>
      <c r="C47" s="56" t="s">
        <v>119</v>
      </c>
      <c r="D47" s="53" t="s">
        <v>1148</v>
      </c>
      <c r="E47" s="6" t="s">
        <v>992</v>
      </c>
      <c r="F47" s="19">
        <v>6000</v>
      </c>
      <c r="G47" s="24">
        <v>29495.22</v>
      </c>
      <c r="H47" s="24">
        <v>1.4</v>
      </c>
      <c r="I47" s="31">
        <v>5.3849999999999998</v>
      </c>
      <c r="J47" s="35" t="s">
        <v>514</v>
      </c>
    </row>
    <row r="48" spans="2:10" x14ac:dyDescent="0.25">
      <c r="B48" s="8" t="s">
        <v>1149</v>
      </c>
      <c r="C48" s="56" t="s">
        <v>1150</v>
      </c>
      <c r="D48" s="53" t="s">
        <v>1151</v>
      </c>
      <c r="E48" s="6" t="s">
        <v>1132</v>
      </c>
      <c r="F48" s="19">
        <v>6000</v>
      </c>
      <c r="G48" s="24">
        <v>29490.09</v>
      </c>
      <c r="H48" s="24">
        <v>1.4</v>
      </c>
      <c r="I48" s="31">
        <v>3.8250000000000002</v>
      </c>
      <c r="J48" s="35" t="s">
        <v>514</v>
      </c>
    </row>
    <row r="49" spans="2:10" x14ac:dyDescent="0.25">
      <c r="B49" s="8" t="s">
        <v>1152</v>
      </c>
      <c r="C49" s="56" t="s">
        <v>3418</v>
      </c>
      <c r="D49" s="53" t="s">
        <v>1154</v>
      </c>
      <c r="E49" s="6" t="s">
        <v>992</v>
      </c>
      <c r="F49" s="19">
        <v>5000</v>
      </c>
      <c r="G49" s="24">
        <v>24846.25</v>
      </c>
      <c r="H49" s="24">
        <v>1.18</v>
      </c>
      <c r="I49" s="31">
        <v>3.7027000000000001</v>
      </c>
      <c r="J49" s="35" t="s">
        <v>514</v>
      </c>
    </row>
    <row r="50" spans="2:10" x14ac:dyDescent="0.25">
      <c r="B50" s="8" t="s">
        <v>1155</v>
      </c>
      <c r="C50" s="56" t="s">
        <v>881</v>
      </c>
      <c r="D50" s="53" t="s">
        <v>1156</v>
      </c>
      <c r="E50" s="6" t="s">
        <v>1132</v>
      </c>
      <c r="F50" s="19">
        <v>5000</v>
      </c>
      <c r="G50" s="24">
        <v>24830.28</v>
      </c>
      <c r="H50" s="24">
        <v>1.18</v>
      </c>
      <c r="I50" s="31">
        <v>6.2373000000000003</v>
      </c>
      <c r="J50" s="35" t="s">
        <v>514</v>
      </c>
    </row>
    <row r="51" spans="2:10" x14ac:dyDescent="0.25">
      <c r="B51" s="8" t="s">
        <v>1157</v>
      </c>
      <c r="C51" s="56" t="s">
        <v>881</v>
      </c>
      <c r="D51" s="53" t="s">
        <v>1158</v>
      </c>
      <c r="E51" s="6" t="s">
        <v>1132</v>
      </c>
      <c r="F51" s="19">
        <v>5000</v>
      </c>
      <c r="G51" s="24">
        <v>24817.65</v>
      </c>
      <c r="H51" s="24">
        <v>1.18</v>
      </c>
      <c r="I51" s="31">
        <v>6.2373000000000003</v>
      </c>
      <c r="J51" s="35" t="s">
        <v>514</v>
      </c>
    </row>
    <row r="52" spans="2:10" x14ac:dyDescent="0.25">
      <c r="B52" s="8" t="s">
        <v>1159</v>
      </c>
      <c r="C52" s="56" t="s">
        <v>1160</v>
      </c>
      <c r="D52" s="53" t="s">
        <v>1161</v>
      </c>
      <c r="E52" s="6" t="s">
        <v>992</v>
      </c>
      <c r="F52" s="19">
        <v>5000</v>
      </c>
      <c r="G52" s="24">
        <v>24806.85</v>
      </c>
      <c r="H52" s="24">
        <v>1.18</v>
      </c>
      <c r="I52" s="31">
        <v>5.7999000000000001</v>
      </c>
      <c r="J52" s="35" t="s">
        <v>514</v>
      </c>
    </row>
    <row r="53" spans="2:10" x14ac:dyDescent="0.25">
      <c r="B53" s="8" t="s">
        <v>1162</v>
      </c>
      <c r="C53" s="56" t="s">
        <v>881</v>
      </c>
      <c r="D53" s="53" t="s">
        <v>1163</v>
      </c>
      <c r="E53" s="6" t="s">
        <v>1132</v>
      </c>
      <c r="F53" s="19">
        <v>5000</v>
      </c>
      <c r="G53" s="24">
        <v>24796.6</v>
      </c>
      <c r="H53" s="24">
        <v>1.18</v>
      </c>
      <c r="I53" s="31">
        <v>6.2374999999999998</v>
      </c>
      <c r="J53" s="35" t="s">
        <v>514</v>
      </c>
    </row>
    <row r="54" spans="2:10" x14ac:dyDescent="0.25">
      <c r="B54" s="8" t="s">
        <v>1164</v>
      </c>
      <c r="C54" s="56" t="s">
        <v>1127</v>
      </c>
      <c r="D54" s="53" t="s">
        <v>1165</v>
      </c>
      <c r="E54" s="6" t="s">
        <v>992</v>
      </c>
      <c r="F54" s="19">
        <v>5000</v>
      </c>
      <c r="G54" s="24">
        <v>24595.7</v>
      </c>
      <c r="H54" s="24">
        <v>1.17</v>
      </c>
      <c r="I54" s="31">
        <v>3.75</v>
      </c>
      <c r="J54" s="35" t="s">
        <v>514</v>
      </c>
    </row>
    <row r="55" spans="2:10" x14ac:dyDescent="0.25">
      <c r="B55" s="8" t="s">
        <v>1166</v>
      </c>
      <c r="C55" s="56" t="s">
        <v>1167</v>
      </c>
      <c r="D55" s="53" t="s">
        <v>1168</v>
      </c>
      <c r="E55" s="6" t="s">
        <v>992</v>
      </c>
      <c r="F55" s="19">
        <v>5000</v>
      </c>
      <c r="G55" s="24">
        <v>24296.799999999999</v>
      </c>
      <c r="H55" s="24">
        <v>1.1599999999999999</v>
      </c>
      <c r="I55" s="31">
        <v>5.56</v>
      </c>
      <c r="J55" s="35" t="s">
        <v>514</v>
      </c>
    </row>
    <row r="56" spans="2:10" x14ac:dyDescent="0.25">
      <c r="B56" s="8" t="s">
        <v>1169</v>
      </c>
      <c r="C56" s="56" t="s">
        <v>1167</v>
      </c>
      <c r="D56" s="53" t="s">
        <v>1170</v>
      </c>
      <c r="E56" s="6" t="s">
        <v>992</v>
      </c>
      <c r="F56" s="19">
        <v>5000</v>
      </c>
      <c r="G56" s="24">
        <v>24271.65</v>
      </c>
      <c r="H56" s="24">
        <v>1.1499999999999999</v>
      </c>
      <c r="I56" s="31">
        <v>5.56</v>
      </c>
      <c r="J56" s="35" t="s">
        <v>514</v>
      </c>
    </row>
    <row r="57" spans="2:10" x14ac:dyDescent="0.25">
      <c r="B57" s="8" t="s">
        <v>1171</v>
      </c>
      <c r="C57" s="56" t="s">
        <v>691</v>
      </c>
      <c r="D57" s="53" t="s">
        <v>1172</v>
      </c>
      <c r="E57" s="6" t="s">
        <v>992</v>
      </c>
      <c r="F57" s="19">
        <v>5000</v>
      </c>
      <c r="G57" s="24">
        <v>24267.33</v>
      </c>
      <c r="H57" s="24">
        <v>1.1499999999999999</v>
      </c>
      <c r="I57" s="31">
        <v>4.75</v>
      </c>
      <c r="J57" s="35" t="s">
        <v>514</v>
      </c>
    </row>
    <row r="58" spans="2:10" x14ac:dyDescent="0.25">
      <c r="B58" s="8" t="s">
        <v>1173</v>
      </c>
      <c r="C58" s="56" t="s">
        <v>125</v>
      </c>
      <c r="D58" s="53" t="s">
        <v>1174</v>
      </c>
      <c r="E58" s="6" t="s">
        <v>992</v>
      </c>
      <c r="F58" s="19">
        <v>4000</v>
      </c>
      <c r="G58" s="24">
        <v>19938.16</v>
      </c>
      <c r="H58" s="24">
        <v>0.95</v>
      </c>
      <c r="I58" s="31">
        <v>3.4304999999999999</v>
      </c>
      <c r="J58" s="35" t="s">
        <v>514</v>
      </c>
    </row>
    <row r="59" spans="2:10" x14ac:dyDescent="0.25">
      <c r="B59" s="8" t="s">
        <v>1175</v>
      </c>
      <c r="C59" s="56" t="s">
        <v>1167</v>
      </c>
      <c r="D59" s="53" t="s">
        <v>1176</v>
      </c>
      <c r="E59" s="6" t="s">
        <v>992</v>
      </c>
      <c r="F59" s="19">
        <v>4000</v>
      </c>
      <c r="G59" s="24">
        <v>19903.5</v>
      </c>
      <c r="H59" s="24">
        <v>0.95</v>
      </c>
      <c r="I59" s="31">
        <v>3.7652000000000001</v>
      </c>
      <c r="J59" s="35" t="s">
        <v>514</v>
      </c>
    </row>
    <row r="60" spans="2:10" x14ac:dyDescent="0.25">
      <c r="B60" s="8" t="s">
        <v>1177</v>
      </c>
      <c r="C60" s="56" t="s">
        <v>1167</v>
      </c>
      <c r="D60" s="53" t="s">
        <v>1178</v>
      </c>
      <c r="E60" s="6" t="s">
        <v>992</v>
      </c>
      <c r="F60" s="19">
        <v>4000</v>
      </c>
      <c r="G60" s="24">
        <v>19897.38</v>
      </c>
      <c r="H60" s="24">
        <v>0.95</v>
      </c>
      <c r="I60" s="31">
        <v>3.7648999999999999</v>
      </c>
      <c r="J60" s="35" t="s">
        <v>514</v>
      </c>
    </row>
    <row r="61" spans="2:10" x14ac:dyDescent="0.25">
      <c r="B61" s="8" t="s">
        <v>1179</v>
      </c>
      <c r="C61" s="56" t="s">
        <v>1180</v>
      </c>
      <c r="D61" s="53" t="s">
        <v>1181</v>
      </c>
      <c r="E61" s="6" t="s">
        <v>992</v>
      </c>
      <c r="F61" s="19">
        <v>4000</v>
      </c>
      <c r="G61" s="24">
        <v>19829.439999999999</v>
      </c>
      <c r="H61" s="24">
        <v>0.94</v>
      </c>
      <c r="I61" s="31">
        <v>6.6798000000000002</v>
      </c>
      <c r="J61" s="35" t="s">
        <v>514</v>
      </c>
    </row>
    <row r="62" spans="2:10" x14ac:dyDescent="0.25">
      <c r="B62" s="8" t="s">
        <v>1182</v>
      </c>
      <c r="C62" s="56" t="s">
        <v>1045</v>
      </c>
      <c r="D62" s="53" t="s">
        <v>1183</v>
      </c>
      <c r="E62" s="6" t="s">
        <v>992</v>
      </c>
      <c r="F62" s="19">
        <v>4000</v>
      </c>
      <c r="G62" s="24">
        <v>19718.36</v>
      </c>
      <c r="H62" s="24">
        <v>0.94</v>
      </c>
      <c r="I62" s="31">
        <v>4.1050000000000004</v>
      </c>
      <c r="J62" s="35" t="s">
        <v>514</v>
      </c>
    </row>
    <row r="63" spans="2:10" x14ac:dyDescent="0.25">
      <c r="B63" s="8" t="s">
        <v>1184</v>
      </c>
      <c r="C63" s="56" t="s">
        <v>100</v>
      </c>
      <c r="D63" s="53" t="s">
        <v>1185</v>
      </c>
      <c r="E63" s="6" t="s">
        <v>992</v>
      </c>
      <c r="F63" s="19">
        <v>4000</v>
      </c>
      <c r="G63" s="24">
        <v>19710.68</v>
      </c>
      <c r="H63" s="24">
        <v>0.94</v>
      </c>
      <c r="I63" s="31">
        <v>3.62</v>
      </c>
      <c r="J63" s="35" t="s">
        <v>514</v>
      </c>
    </row>
    <row r="64" spans="2:10" x14ac:dyDescent="0.25">
      <c r="B64" s="8" t="s">
        <v>1186</v>
      </c>
      <c r="C64" s="56" t="s">
        <v>125</v>
      </c>
      <c r="D64" s="53" t="s">
        <v>1187</v>
      </c>
      <c r="E64" s="6" t="s">
        <v>992</v>
      </c>
      <c r="F64" s="19">
        <v>4000</v>
      </c>
      <c r="G64" s="24">
        <v>19704.439999999999</v>
      </c>
      <c r="H64" s="24">
        <v>0.94</v>
      </c>
      <c r="I64" s="31">
        <v>3.7498999999999998</v>
      </c>
      <c r="J64" s="35" t="s">
        <v>514</v>
      </c>
    </row>
    <row r="65" spans="2:10" x14ac:dyDescent="0.25">
      <c r="B65" s="8" t="s">
        <v>1188</v>
      </c>
      <c r="C65" s="56" t="s">
        <v>53</v>
      </c>
      <c r="D65" s="53" t="s">
        <v>1189</v>
      </c>
      <c r="E65" s="6" t="s">
        <v>992</v>
      </c>
      <c r="F65" s="19">
        <v>4000</v>
      </c>
      <c r="G65" s="24">
        <v>19687.580000000002</v>
      </c>
      <c r="H65" s="24">
        <v>0.94</v>
      </c>
      <c r="I65" s="31">
        <v>3.6200999999999999</v>
      </c>
      <c r="J65" s="35" t="s">
        <v>514</v>
      </c>
    </row>
    <row r="66" spans="2:10" x14ac:dyDescent="0.25">
      <c r="B66" s="8" t="s">
        <v>1190</v>
      </c>
      <c r="C66" s="56" t="s">
        <v>1191</v>
      </c>
      <c r="D66" s="53" t="s">
        <v>1192</v>
      </c>
      <c r="E66" s="6" t="s">
        <v>992</v>
      </c>
      <c r="F66" s="19">
        <v>4000</v>
      </c>
      <c r="G66" s="24">
        <v>19630.919999999998</v>
      </c>
      <c r="H66" s="24">
        <v>0.93</v>
      </c>
      <c r="I66" s="31">
        <v>7.625</v>
      </c>
      <c r="J66" s="35" t="s">
        <v>514</v>
      </c>
    </row>
    <row r="67" spans="2:10" x14ac:dyDescent="0.25">
      <c r="B67" s="8" t="s">
        <v>1193</v>
      </c>
      <c r="C67" s="56" t="s">
        <v>119</v>
      </c>
      <c r="D67" s="53" t="s">
        <v>1194</v>
      </c>
      <c r="E67" s="6" t="s">
        <v>992</v>
      </c>
      <c r="F67" s="19">
        <v>4000</v>
      </c>
      <c r="G67" s="24">
        <v>19495.8</v>
      </c>
      <c r="H67" s="24">
        <v>0.93</v>
      </c>
      <c r="I67" s="31">
        <v>5.4250999999999996</v>
      </c>
      <c r="J67" s="35" t="s">
        <v>514</v>
      </c>
    </row>
    <row r="68" spans="2:10" x14ac:dyDescent="0.25">
      <c r="B68" s="8" t="s">
        <v>1195</v>
      </c>
      <c r="C68" s="56" t="s">
        <v>1191</v>
      </c>
      <c r="D68" s="53" t="s">
        <v>1196</v>
      </c>
      <c r="E68" s="6" t="s">
        <v>992</v>
      </c>
      <c r="F68" s="19">
        <v>4000</v>
      </c>
      <c r="G68" s="24">
        <v>19220.400000000001</v>
      </c>
      <c r="H68" s="24">
        <v>0.91</v>
      </c>
      <c r="I68" s="31">
        <v>8.2249999999999996</v>
      </c>
      <c r="J68" s="35" t="s">
        <v>514</v>
      </c>
    </row>
    <row r="69" spans="2:10" x14ac:dyDescent="0.25">
      <c r="B69" s="8" t="s">
        <v>1197</v>
      </c>
      <c r="C69" s="56" t="s">
        <v>528</v>
      </c>
      <c r="D69" s="53" t="s">
        <v>1198</v>
      </c>
      <c r="E69" s="6" t="s">
        <v>992</v>
      </c>
      <c r="F69" s="19">
        <v>3000</v>
      </c>
      <c r="G69" s="24">
        <v>14978.28</v>
      </c>
      <c r="H69" s="24">
        <v>0.71</v>
      </c>
      <c r="I69" s="31">
        <v>3.7818999999999998</v>
      </c>
      <c r="J69" s="35" t="s">
        <v>514</v>
      </c>
    </row>
    <row r="70" spans="2:10" x14ac:dyDescent="0.25">
      <c r="B70" s="8" t="s">
        <v>1199</v>
      </c>
      <c r="C70" s="56" t="s">
        <v>1200</v>
      </c>
      <c r="D70" s="53" t="s">
        <v>1201</v>
      </c>
      <c r="E70" s="6" t="s">
        <v>992</v>
      </c>
      <c r="F70" s="19">
        <v>3000</v>
      </c>
      <c r="G70" s="24">
        <v>14825.94</v>
      </c>
      <c r="H70" s="24">
        <v>0.7</v>
      </c>
      <c r="I70" s="31">
        <v>4.8150000000000004</v>
      </c>
      <c r="J70" s="35" t="s">
        <v>514</v>
      </c>
    </row>
    <row r="71" spans="2:10" x14ac:dyDescent="0.25">
      <c r="B71" s="8" t="s">
        <v>1202</v>
      </c>
      <c r="C71" s="56" t="s">
        <v>601</v>
      </c>
      <c r="D71" s="53" t="s">
        <v>1203</v>
      </c>
      <c r="E71" s="6" t="s">
        <v>1204</v>
      </c>
      <c r="F71" s="19">
        <v>2500</v>
      </c>
      <c r="G71" s="24">
        <v>12096.41</v>
      </c>
      <c r="H71" s="24">
        <v>0.57999999999999996</v>
      </c>
      <c r="I71" s="31">
        <v>4.0324999999999998</v>
      </c>
      <c r="J71" s="35" t="s">
        <v>514</v>
      </c>
    </row>
    <row r="72" spans="2:10" x14ac:dyDescent="0.25">
      <c r="B72" s="8" t="s">
        <v>1205</v>
      </c>
      <c r="C72" s="56" t="s">
        <v>1180</v>
      </c>
      <c r="D72" s="53" t="s">
        <v>1206</v>
      </c>
      <c r="E72" s="6" t="s">
        <v>992</v>
      </c>
      <c r="F72" s="19">
        <v>2000</v>
      </c>
      <c r="G72" s="24">
        <v>9891.3799999999992</v>
      </c>
      <c r="H72" s="24">
        <v>0.47</v>
      </c>
      <c r="I72" s="31">
        <v>6.6802999999999999</v>
      </c>
      <c r="J72" s="35" t="s">
        <v>514</v>
      </c>
    </row>
    <row r="73" spans="2:10" x14ac:dyDescent="0.25">
      <c r="B73" s="8" t="s">
        <v>1207</v>
      </c>
      <c r="C73" s="56" t="s">
        <v>1208</v>
      </c>
      <c r="D73" s="53" t="s">
        <v>1209</v>
      </c>
      <c r="E73" s="6" t="s">
        <v>992</v>
      </c>
      <c r="F73" s="19">
        <v>2000</v>
      </c>
      <c r="G73" s="24">
        <v>9881.24</v>
      </c>
      <c r="H73" s="24">
        <v>0.47</v>
      </c>
      <c r="I73" s="31">
        <v>5.3498000000000001</v>
      </c>
      <c r="J73" s="35" t="s">
        <v>514</v>
      </c>
    </row>
    <row r="74" spans="2:10" x14ac:dyDescent="0.25">
      <c r="B74" s="8" t="s">
        <v>1210</v>
      </c>
      <c r="C74" s="56" t="s">
        <v>1208</v>
      </c>
      <c r="D74" s="53" t="s">
        <v>1211</v>
      </c>
      <c r="E74" s="6" t="s">
        <v>992</v>
      </c>
      <c r="F74" s="19">
        <v>2000</v>
      </c>
      <c r="G74" s="24">
        <v>9879.7999999999993</v>
      </c>
      <c r="H74" s="24">
        <v>0.47</v>
      </c>
      <c r="I74" s="31">
        <v>5.3502000000000001</v>
      </c>
      <c r="J74" s="35" t="s">
        <v>514</v>
      </c>
    </row>
    <row r="75" spans="2:10" x14ac:dyDescent="0.25">
      <c r="B75" s="8" t="s">
        <v>1212</v>
      </c>
      <c r="C75" s="56" t="s">
        <v>125</v>
      </c>
      <c r="D75" s="53" t="s">
        <v>1213</v>
      </c>
      <c r="E75" s="6" t="s">
        <v>992</v>
      </c>
      <c r="F75" s="19">
        <v>2000</v>
      </c>
      <c r="G75" s="24">
        <v>9871.2099999999991</v>
      </c>
      <c r="H75" s="24">
        <v>0.47</v>
      </c>
      <c r="I75" s="31">
        <v>3.7498999999999998</v>
      </c>
      <c r="J75" s="35" t="s">
        <v>514</v>
      </c>
    </row>
    <row r="76" spans="2:10" x14ac:dyDescent="0.25">
      <c r="B76" s="8" t="s">
        <v>1214</v>
      </c>
      <c r="C76" s="56" t="s">
        <v>1109</v>
      </c>
      <c r="D76" s="53" t="s">
        <v>1215</v>
      </c>
      <c r="E76" s="6" t="s">
        <v>992</v>
      </c>
      <c r="F76" s="19">
        <v>2000</v>
      </c>
      <c r="G76" s="24">
        <v>9833.5300000000007</v>
      </c>
      <c r="H76" s="24">
        <v>0.47</v>
      </c>
      <c r="I76" s="31">
        <v>3.7450000000000001</v>
      </c>
      <c r="J76" s="35" t="s">
        <v>514</v>
      </c>
    </row>
    <row r="77" spans="2:10" x14ac:dyDescent="0.25">
      <c r="B77" s="8" t="s">
        <v>1216</v>
      </c>
      <c r="C77" s="56" t="s">
        <v>1217</v>
      </c>
      <c r="D77" s="53" t="s">
        <v>1218</v>
      </c>
      <c r="E77" s="6" t="s">
        <v>1132</v>
      </c>
      <c r="F77" s="19">
        <v>2000</v>
      </c>
      <c r="G77" s="24">
        <v>9824.36</v>
      </c>
      <c r="H77" s="24">
        <v>0.47</v>
      </c>
      <c r="I77" s="31">
        <v>3.9548999999999999</v>
      </c>
      <c r="J77" s="35" t="s">
        <v>514</v>
      </c>
    </row>
    <row r="78" spans="2:10" x14ac:dyDescent="0.25">
      <c r="B78" s="8" t="s">
        <v>1219</v>
      </c>
      <c r="C78" s="56" t="s">
        <v>389</v>
      </c>
      <c r="D78" s="53" t="s">
        <v>1220</v>
      </c>
      <c r="E78" s="6" t="s">
        <v>992</v>
      </c>
      <c r="F78" s="19">
        <v>1500</v>
      </c>
      <c r="G78" s="24">
        <v>7449.94</v>
      </c>
      <c r="H78" s="24">
        <v>0.35</v>
      </c>
      <c r="I78" s="31">
        <v>3.4548000000000001</v>
      </c>
      <c r="J78" s="35" t="s">
        <v>514</v>
      </c>
    </row>
    <row r="79" spans="2:10" x14ac:dyDescent="0.25">
      <c r="B79" s="8" t="s">
        <v>1221</v>
      </c>
      <c r="C79" s="56" t="s">
        <v>1217</v>
      </c>
      <c r="D79" s="53" t="s">
        <v>1222</v>
      </c>
      <c r="E79" s="6" t="s">
        <v>1132</v>
      </c>
      <c r="F79" s="19">
        <v>1000</v>
      </c>
      <c r="G79" s="24">
        <v>4913.75</v>
      </c>
      <c r="H79" s="24">
        <v>0.23</v>
      </c>
      <c r="I79" s="31">
        <v>3.9548999999999999</v>
      </c>
      <c r="J79" s="35" t="s">
        <v>514</v>
      </c>
    </row>
    <row r="80" spans="2:10" x14ac:dyDescent="0.25">
      <c r="B80" s="8" t="s">
        <v>1223</v>
      </c>
      <c r="C80" s="56" t="s">
        <v>1217</v>
      </c>
      <c r="D80" s="53" t="s">
        <v>1224</v>
      </c>
      <c r="E80" s="6" t="s">
        <v>1132</v>
      </c>
      <c r="F80" s="19">
        <v>1000</v>
      </c>
      <c r="G80" s="24">
        <v>4911.66</v>
      </c>
      <c r="H80" s="24">
        <v>0.23</v>
      </c>
      <c r="I80" s="31">
        <v>3.9548999999999999</v>
      </c>
      <c r="J80" s="35" t="s">
        <v>514</v>
      </c>
    </row>
    <row r="81" spans="2:10" x14ac:dyDescent="0.25">
      <c r="C81" s="57" t="s">
        <v>35</v>
      </c>
      <c r="D81" s="53"/>
      <c r="E81" s="6"/>
      <c r="F81" s="19"/>
      <c r="G81" s="25">
        <v>1259233.8999999999</v>
      </c>
      <c r="H81" s="25">
        <v>59.87</v>
      </c>
      <c r="I81" s="31"/>
      <c r="J81" s="35"/>
    </row>
    <row r="82" spans="2:10" x14ac:dyDescent="0.25">
      <c r="C82" s="56"/>
      <c r="D82" s="53"/>
      <c r="E82" s="6"/>
      <c r="F82" s="19"/>
      <c r="G82" s="24"/>
      <c r="H82" s="24"/>
      <c r="I82" s="31"/>
      <c r="J82" s="35"/>
    </row>
    <row r="83" spans="2:10" x14ac:dyDescent="0.25">
      <c r="C83" s="59" t="s">
        <v>14</v>
      </c>
      <c r="D83" s="53"/>
      <c r="E83" s="6"/>
      <c r="F83" s="19"/>
      <c r="G83" s="24"/>
      <c r="H83" s="24"/>
      <c r="I83" s="31"/>
      <c r="J83" s="35"/>
    </row>
    <row r="84" spans="2:10" x14ac:dyDescent="0.25">
      <c r="B84" s="8" t="s">
        <v>1225</v>
      </c>
      <c r="C84" s="56" t="s">
        <v>818</v>
      </c>
      <c r="D84" s="53" t="s">
        <v>1226</v>
      </c>
      <c r="E84" s="6" t="s">
        <v>1000</v>
      </c>
      <c r="F84" s="19">
        <v>77500</v>
      </c>
      <c r="G84" s="24">
        <v>76331.22</v>
      </c>
      <c r="H84" s="24">
        <v>3.63</v>
      </c>
      <c r="I84" s="31">
        <v>3.5150000000000001</v>
      </c>
      <c r="J84" s="35" t="s">
        <v>514</v>
      </c>
    </row>
    <row r="85" spans="2:10" x14ac:dyDescent="0.25">
      <c r="B85" s="8" t="s">
        <v>1227</v>
      </c>
      <c r="C85" s="56" t="s">
        <v>872</v>
      </c>
      <c r="D85" s="53" t="s">
        <v>1228</v>
      </c>
      <c r="E85" s="6" t="s">
        <v>992</v>
      </c>
      <c r="F85" s="19">
        <v>75000</v>
      </c>
      <c r="G85" s="24">
        <v>73758.98</v>
      </c>
      <c r="H85" s="24">
        <v>3.51</v>
      </c>
      <c r="I85" s="31">
        <v>4.2648999999999999</v>
      </c>
      <c r="J85" s="35" t="s">
        <v>514</v>
      </c>
    </row>
    <row r="86" spans="2:10" x14ac:dyDescent="0.25">
      <c r="B86" s="8" t="s">
        <v>1229</v>
      </c>
      <c r="C86" s="56" t="s">
        <v>1230</v>
      </c>
      <c r="D86" s="53" t="s">
        <v>1231</v>
      </c>
      <c r="E86" s="6" t="s">
        <v>992</v>
      </c>
      <c r="F86" s="19">
        <v>52500</v>
      </c>
      <c r="G86" s="24">
        <v>51147.5</v>
      </c>
      <c r="H86" s="24">
        <v>2.4300000000000002</v>
      </c>
      <c r="I86" s="31">
        <v>3.8300999999999998</v>
      </c>
      <c r="J86" s="35" t="s">
        <v>514</v>
      </c>
    </row>
    <row r="87" spans="2:10" x14ac:dyDescent="0.25">
      <c r="B87" s="8" t="s">
        <v>1232</v>
      </c>
      <c r="C87" s="56" t="s">
        <v>818</v>
      </c>
      <c r="D87" s="53" t="s">
        <v>1233</v>
      </c>
      <c r="E87" s="6" t="s">
        <v>1000</v>
      </c>
      <c r="F87" s="19">
        <v>51600</v>
      </c>
      <c r="G87" s="24">
        <v>50209.120000000003</v>
      </c>
      <c r="H87" s="24">
        <v>2.39</v>
      </c>
      <c r="I87" s="31">
        <v>3.83</v>
      </c>
      <c r="J87" s="35" t="s">
        <v>514</v>
      </c>
    </row>
    <row r="88" spans="2:10" x14ac:dyDescent="0.25">
      <c r="B88" s="8" t="s">
        <v>1234</v>
      </c>
      <c r="C88" s="56" t="s">
        <v>74</v>
      </c>
      <c r="D88" s="53" t="s">
        <v>1235</v>
      </c>
      <c r="E88" s="6" t="s">
        <v>992</v>
      </c>
      <c r="F88" s="19">
        <v>50000</v>
      </c>
      <c r="G88" s="24">
        <v>49224.3</v>
      </c>
      <c r="H88" s="24">
        <v>2.34</v>
      </c>
      <c r="I88" s="31">
        <v>3.5950000000000002</v>
      </c>
      <c r="J88" s="35" t="s">
        <v>514</v>
      </c>
    </row>
    <row r="89" spans="2:10" x14ac:dyDescent="0.25">
      <c r="B89" s="8" t="s">
        <v>1236</v>
      </c>
      <c r="C89" s="56" t="s">
        <v>872</v>
      </c>
      <c r="D89" s="53" t="s">
        <v>1237</v>
      </c>
      <c r="E89" s="6" t="s">
        <v>992</v>
      </c>
      <c r="F89" s="19">
        <v>45000</v>
      </c>
      <c r="G89" s="24">
        <v>44881.65</v>
      </c>
      <c r="H89" s="24">
        <v>2.13</v>
      </c>
      <c r="I89" s="31">
        <v>3.8498999999999999</v>
      </c>
      <c r="J89" s="35" t="s">
        <v>514</v>
      </c>
    </row>
    <row r="90" spans="2:10" x14ac:dyDescent="0.25">
      <c r="B90" s="8" t="s">
        <v>1238</v>
      </c>
      <c r="C90" s="56" t="s">
        <v>1239</v>
      </c>
      <c r="D90" s="53" t="s">
        <v>1240</v>
      </c>
      <c r="E90" s="6" t="s">
        <v>1132</v>
      </c>
      <c r="F90" s="19">
        <v>40000</v>
      </c>
      <c r="G90" s="24">
        <v>39975.599999999999</v>
      </c>
      <c r="H90" s="24">
        <v>1.9</v>
      </c>
      <c r="I90" s="31">
        <v>3.7130999999999998</v>
      </c>
      <c r="J90" s="35" t="s">
        <v>514</v>
      </c>
    </row>
    <row r="91" spans="2:10" x14ac:dyDescent="0.25">
      <c r="B91" s="8" t="s">
        <v>1241</v>
      </c>
      <c r="C91" s="56" t="s">
        <v>1242</v>
      </c>
      <c r="D91" s="53" t="s">
        <v>1243</v>
      </c>
      <c r="E91" s="6" t="s">
        <v>1132</v>
      </c>
      <c r="F91" s="19">
        <v>32500</v>
      </c>
      <c r="G91" s="24">
        <v>32377.54</v>
      </c>
      <c r="H91" s="24">
        <v>1.54</v>
      </c>
      <c r="I91" s="31">
        <v>3.2873999999999999</v>
      </c>
      <c r="J91" s="35" t="s">
        <v>514</v>
      </c>
    </row>
    <row r="92" spans="2:10" x14ac:dyDescent="0.25">
      <c r="B92" s="8" t="s">
        <v>1244</v>
      </c>
      <c r="C92" s="56" t="s">
        <v>909</v>
      </c>
      <c r="D92" s="53" t="s">
        <v>1245</v>
      </c>
      <c r="E92" s="6" t="s">
        <v>992</v>
      </c>
      <c r="F92" s="19">
        <v>25000</v>
      </c>
      <c r="G92" s="24">
        <v>24626.68</v>
      </c>
      <c r="H92" s="24">
        <v>1.17</v>
      </c>
      <c r="I92" s="31">
        <v>3.5699000000000001</v>
      </c>
      <c r="J92" s="35" t="s">
        <v>514</v>
      </c>
    </row>
    <row r="93" spans="2:10" x14ac:dyDescent="0.25">
      <c r="B93" s="8" t="s">
        <v>1246</v>
      </c>
      <c r="C93" s="56" t="s">
        <v>63</v>
      </c>
      <c r="D93" s="53" t="s">
        <v>1247</v>
      </c>
      <c r="E93" s="6" t="s">
        <v>1132</v>
      </c>
      <c r="F93" s="19">
        <v>20000</v>
      </c>
      <c r="G93" s="24">
        <v>19780</v>
      </c>
      <c r="H93" s="24">
        <v>0.94</v>
      </c>
      <c r="I93" s="31">
        <v>3.4998999999999998</v>
      </c>
      <c r="J93" s="35"/>
    </row>
    <row r="94" spans="2:10" x14ac:dyDescent="0.25">
      <c r="B94" s="8" t="s">
        <v>1248</v>
      </c>
      <c r="C94" s="56" t="s">
        <v>818</v>
      </c>
      <c r="D94" s="53" t="s">
        <v>1249</v>
      </c>
      <c r="E94" s="6" t="s">
        <v>1000</v>
      </c>
      <c r="F94" s="19">
        <v>20000</v>
      </c>
      <c r="G94" s="24">
        <v>19502.72</v>
      </c>
      <c r="H94" s="24">
        <v>0.93</v>
      </c>
      <c r="I94" s="31">
        <v>3.8298999999999999</v>
      </c>
      <c r="J94" s="35" t="s">
        <v>514</v>
      </c>
    </row>
    <row r="95" spans="2:10" x14ac:dyDescent="0.25">
      <c r="B95" s="8" t="s">
        <v>1250</v>
      </c>
      <c r="C95" s="56" t="s">
        <v>909</v>
      </c>
      <c r="D95" s="53" t="s">
        <v>1251</v>
      </c>
      <c r="E95" s="6" t="s">
        <v>992</v>
      </c>
      <c r="F95" s="19">
        <v>17500</v>
      </c>
      <c r="G95" s="24">
        <v>17313.259999999998</v>
      </c>
      <c r="H95" s="24">
        <v>0.82</v>
      </c>
      <c r="I95" s="31">
        <v>3.5150999999999999</v>
      </c>
      <c r="J95" s="35" t="s">
        <v>514</v>
      </c>
    </row>
    <row r="96" spans="2:10" x14ac:dyDescent="0.25">
      <c r="B96" s="8" t="s">
        <v>1252</v>
      </c>
      <c r="C96" s="56" t="s">
        <v>909</v>
      </c>
      <c r="D96" s="53" t="s">
        <v>1253</v>
      </c>
      <c r="E96" s="6" t="s">
        <v>992</v>
      </c>
      <c r="F96" s="19">
        <v>17500</v>
      </c>
      <c r="G96" s="24">
        <v>17276.95</v>
      </c>
      <c r="H96" s="24">
        <v>0.82</v>
      </c>
      <c r="I96" s="31">
        <v>3.5701000000000001</v>
      </c>
      <c r="J96" s="35" t="s">
        <v>514</v>
      </c>
    </row>
    <row r="97" spans="2:10" x14ac:dyDescent="0.25">
      <c r="B97" s="8" t="s">
        <v>1254</v>
      </c>
      <c r="C97" s="56" t="s">
        <v>63</v>
      </c>
      <c r="D97" s="53" t="s">
        <v>1255</v>
      </c>
      <c r="E97" s="6" t="s">
        <v>1132</v>
      </c>
      <c r="F97" s="19">
        <v>15000</v>
      </c>
      <c r="G97" s="24">
        <v>14894.96</v>
      </c>
      <c r="H97" s="24">
        <v>0.71</v>
      </c>
      <c r="I97" s="31">
        <v>3.3001999999999998</v>
      </c>
      <c r="J97" s="35" t="s">
        <v>514</v>
      </c>
    </row>
    <row r="98" spans="2:10" x14ac:dyDescent="0.25">
      <c r="B98" s="8" t="s">
        <v>1256</v>
      </c>
      <c r="C98" s="56" t="s">
        <v>63</v>
      </c>
      <c r="D98" s="53" t="s">
        <v>1257</v>
      </c>
      <c r="E98" s="6" t="s">
        <v>1132</v>
      </c>
      <c r="F98" s="19">
        <v>15000</v>
      </c>
      <c r="G98" s="24">
        <v>14876.49</v>
      </c>
      <c r="H98" s="24">
        <v>0.71</v>
      </c>
      <c r="I98" s="31">
        <v>3.3300999999999998</v>
      </c>
      <c r="J98" s="35" t="s">
        <v>514</v>
      </c>
    </row>
    <row r="99" spans="2:10" x14ac:dyDescent="0.25">
      <c r="B99" s="8" t="s">
        <v>1258</v>
      </c>
      <c r="C99" s="56" t="s">
        <v>909</v>
      </c>
      <c r="D99" s="53" t="s">
        <v>1259</v>
      </c>
      <c r="E99" s="6" t="s">
        <v>992</v>
      </c>
      <c r="F99" s="19">
        <v>15000</v>
      </c>
      <c r="G99" s="24">
        <v>14611.61</v>
      </c>
      <c r="H99" s="24">
        <v>0.69</v>
      </c>
      <c r="I99" s="31">
        <v>3.8500999999999999</v>
      </c>
      <c r="J99" s="35" t="s">
        <v>514</v>
      </c>
    </row>
    <row r="100" spans="2:10" x14ac:dyDescent="0.25">
      <c r="B100" s="8" t="s">
        <v>1260</v>
      </c>
      <c r="C100" s="56" t="s">
        <v>402</v>
      </c>
      <c r="D100" s="53" t="s">
        <v>1261</v>
      </c>
      <c r="E100" s="6" t="s">
        <v>992</v>
      </c>
      <c r="F100" s="19">
        <v>10000</v>
      </c>
      <c r="G100" s="24">
        <v>9924.06</v>
      </c>
      <c r="H100" s="24">
        <v>0.47</v>
      </c>
      <c r="I100" s="31">
        <v>3.3250000000000002</v>
      </c>
      <c r="J100" s="35" t="s">
        <v>514</v>
      </c>
    </row>
    <row r="101" spans="2:10" x14ac:dyDescent="0.25">
      <c r="B101" s="8" t="s">
        <v>1262</v>
      </c>
      <c r="C101" s="56" t="s">
        <v>63</v>
      </c>
      <c r="D101" s="53" t="s">
        <v>1263</v>
      </c>
      <c r="E101" s="6" t="s">
        <v>1132</v>
      </c>
      <c r="F101" s="19">
        <v>7500</v>
      </c>
      <c r="G101" s="24">
        <v>7452.17</v>
      </c>
      <c r="H101" s="24">
        <v>0.35</v>
      </c>
      <c r="I101" s="31">
        <v>3.2999000000000001</v>
      </c>
      <c r="J101" s="35" t="s">
        <v>514</v>
      </c>
    </row>
    <row r="102" spans="2:10" x14ac:dyDescent="0.25">
      <c r="B102" s="8" t="s">
        <v>1264</v>
      </c>
      <c r="C102" s="56" t="s">
        <v>909</v>
      </c>
      <c r="D102" s="53" t="s">
        <v>1265</v>
      </c>
      <c r="E102" s="6" t="s">
        <v>992</v>
      </c>
      <c r="F102" s="19">
        <v>5000</v>
      </c>
      <c r="G102" s="24">
        <v>4932.46</v>
      </c>
      <c r="H102" s="24">
        <v>0.23</v>
      </c>
      <c r="I102" s="31">
        <v>3.5701000000000001</v>
      </c>
      <c r="J102" s="35" t="s">
        <v>514</v>
      </c>
    </row>
    <row r="103" spans="2:10" x14ac:dyDescent="0.25">
      <c r="C103" s="57" t="s">
        <v>35</v>
      </c>
      <c r="D103" s="53"/>
      <c r="E103" s="6"/>
      <c r="F103" s="19"/>
      <c r="G103" s="25">
        <v>583097.27</v>
      </c>
      <c r="H103" s="25">
        <v>27.71</v>
      </c>
      <c r="I103" s="31"/>
      <c r="J103" s="35"/>
    </row>
    <row r="104" spans="2:10" x14ac:dyDescent="0.25">
      <c r="C104" s="56"/>
      <c r="D104" s="53"/>
      <c r="E104" s="6"/>
      <c r="F104" s="19"/>
      <c r="G104" s="24"/>
      <c r="H104" s="24"/>
      <c r="I104" s="31"/>
      <c r="J104" s="35"/>
    </row>
    <row r="105" spans="2:10" x14ac:dyDescent="0.25">
      <c r="C105" s="59" t="s">
        <v>15</v>
      </c>
      <c r="D105" s="53"/>
      <c r="E105" s="6"/>
      <c r="F105" s="19"/>
      <c r="G105" s="24"/>
      <c r="H105" s="24"/>
      <c r="I105" s="31"/>
      <c r="J105" s="35"/>
    </row>
    <row r="106" spans="2:10" x14ac:dyDescent="0.25">
      <c r="B106" s="8" t="s">
        <v>1266</v>
      </c>
      <c r="C106" s="56" t="s">
        <v>1267</v>
      </c>
      <c r="D106" s="53" t="s">
        <v>1268</v>
      </c>
      <c r="E106" s="6" t="s">
        <v>655</v>
      </c>
      <c r="F106" s="19">
        <v>67500000</v>
      </c>
      <c r="G106" s="24">
        <v>66401.64</v>
      </c>
      <c r="H106" s="24">
        <v>3.16</v>
      </c>
      <c r="I106" s="31">
        <v>3.45</v>
      </c>
      <c r="J106" s="35"/>
    </row>
    <row r="107" spans="2:10" x14ac:dyDescent="0.25">
      <c r="B107" s="8" t="s">
        <v>1269</v>
      </c>
      <c r="C107" s="56" t="s">
        <v>1270</v>
      </c>
      <c r="D107" s="53" t="s">
        <v>1271</v>
      </c>
      <c r="E107" s="6" t="s">
        <v>655</v>
      </c>
      <c r="F107" s="19">
        <v>30000000</v>
      </c>
      <c r="G107" s="24">
        <v>29498.22</v>
      </c>
      <c r="H107" s="24">
        <v>1.4</v>
      </c>
      <c r="I107" s="31">
        <v>3.4495</v>
      </c>
      <c r="J107" s="35"/>
    </row>
    <row r="108" spans="2:10" x14ac:dyDescent="0.25">
      <c r="B108" s="8" t="s">
        <v>1272</v>
      </c>
      <c r="C108" s="56" t="s">
        <v>1273</v>
      </c>
      <c r="D108" s="53" t="s">
        <v>1274</v>
      </c>
      <c r="E108" s="6" t="s">
        <v>655</v>
      </c>
      <c r="F108" s="19">
        <v>25000000</v>
      </c>
      <c r="G108" s="24">
        <v>24609.23</v>
      </c>
      <c r="H108" s="24">
        <v>1.17</v>
      </c>
      <c r="I108" s="31">
        <v>3.4499</v>
      </c>
      <c r="J108" s="35"/>
    </row>
    <row r="109" spans="2:10" x14ac:dyDescent="0.25">
      <c r="B109" s="8" t="s">
        <v>1275</v>
      </c>
      <c r="C109" s="56" t="s">
        <v>1276</v>
      </c>
      <c r="D109" s="53" t="s">
        <v>1277</v>
      </c>
      <c r="E109" s="6" t="s">
        <v>655</v>
      </c>
      <c r="F109" s="19">
        <v>25000000</v>
      </c>
      <c r="G109" s="24">
        <v>24170.93</v>
      </c>
      <c r="H109" s="24">
        <v>1.1499999999999999</v>
      </c>
      <c r="I109" s="31">
        <v>3.6501000000000001</v>
      </c>
      <c r="J109" s="35"/>
    </row>
    <row r="110" spans="2:10" x14ac:dyDescent="0.25">
      <c r="B110" s="8" t="s">
        <v>1278</v>
      </c>
      <c r="C110" s="56" t="s">
        <v>1279</v>
      </c>
      <c r="D110" s="53" t="s">
        <v>1280</v>
      </c>
      <c r="E110" s="6" t="s">
        <v>655</v>
      </c>
      <c r="F110" s="19">
        <v>20000000</v>
      </c>
      <c r="G110" s="24">
        <v>19674.560000000001</v>
      </c>
      <c r="H110" s="24">
        <v>0.94</v>
      </c>
      <c r="I110" s="31">
        <v>3.45</v>
      </c>
      <c r="J110" s="35"/>
    </row>
    <row r="111" spans="2:10" x14ac:dyDescent="0.25">
      <c r="B111" s="8" t="s">
        <v>1281</v>
      </c>
      <c r="C111" s="56" t="s">
        <v>1282</v>
      </c>
      <c r="D111" s="53" t="s">
        <v>1283</v>
      </c>
      <c r="E111" s="6" t="s">
        <v>655</v>
      </c>
      <c r="F111" s="19">
        <v>20000000</v>
      </c>
      <c r="G111" s="24">
        <v>19490.099999999999</v>
      </c>
      <c r="H111" s="24">
        <v>0.93</v>
      </c>
      <c r="I111" s="31">
        <v>3.59</v>
      </c>
      <c r="J111" s="35"/>
    </row>
    <row r="112" spans="2:10" x14ac:dyDescent="0.25">
      <c r="B112" s="8" t="s">
        <v>1056</v>
      </c>
      <c r="C112" s="56" t="s">
        <v>1057</v>
      </c>
      <c r="D112" s="53" t="s">
        <v>1058</v>
      </c>
      <c r="E112" s="6" t="s">
        <v>655</v>
      </c>
      <c r="F112" s="19">
        <v>2500000</v>
      </c>
      <c r="G112" s="24">
        <v>2481.21</v>
      </c>
      <c r="H112" s="24">
        <v>0.12</v>
      </c>
      <c r="I112" s="31">
        <v>3.2902</v>
      </c>
      <c r="J112" s="35"/>
    </row>
    <row r="113" spans="1:10" x14ac:dyDescent="0.25">
      <c r="B113" s="8" t="s">
        <v>1086</v>
      </c>
      <c r="C113" s="56" t="s">
        <v>1087</v>
      </c>
      <c r="D113" s="53" t="s">
        <v>1088</v>
      </c>
      <c r="E113" s="6" t="s">
        <v>655</v>
      </c>
      <c r="F113" s="19">
        <v>900000</v>
      </c>
      <c r="G113" s="24">
        <v>896.09</v>
      </c>
      <c r="H113" s="24">
        <v>0.04</v>
      </c>
      <c r="I113" s="31">
        <v>3.25</v>
      </c>
      <c r="J113" s="35"/>
    </row>
    <row r="114" spans="1:10" x14ac:dyDescent="0.25">
      <c r="C114" s="57" t="s">
        <v>35</v>
      </c>
      <c r="D114" s="53"/>
      <c r="E114" s="6"/>
      <c r="F114" s="19"/>
      <c r="G114" s="25">
        <v>187221.98</v>
      </c>
      <c r="H114" s="25">
        <v>8.91</v>
      </c>
      <c r="I114" s="31"/>
      <c r="J114" s="35"/>
    </row>
    <row r="115" spans="1:10" x14ac:dyDescent="0.25">
      <c r="C115" s="56"/>
      <c r="D115" s="53"/>
      <c r="E115" s="6"/>
      <c r="F115" s="19"/>
      <c r="G115" s="24"/>
      <c r="H115" s="24"/>
      <c r="I115" s="31"/>
      <c r="J115" s="35"/>
    </row>
    <row r="116" spans="1:10" x14ac:dyDescent="0.25">
      <c r="C116" s="57" t="s">
        <v>16</v>
      </c>
      <c r="D116" s="53"/>
      <c r="E116" s="6"/>
      <c r="F116" s="19"/>
      <c r="G116" s="24" t="s">
        <v>2</v>
      </c>
      <c r="H116" s="24" t="s">
        <v>2</v>
      </c>
      <c r="I116" s="31"/>
      <c r="J116" s="35"/>
    </row>
    <row r="117" spans="1:10" x14ac:dyDescent="0.25">
      <c r="C117" s="56"/>
      <c r="D117" s="53"/>
      <c r="E117" s="6"/>
      <c r="F117" s="19"/>
      <c r="G117" s="24"/>
      <c r="H117" s="24"/>
      <c r="I117" s="31"/>
      <c r="J117" s="35"/>
    </row>
    <row r="118" spans="1:10" x14ac:dyDescent="0.25">
      <c r="A118" s="10"/>
      <c r="B118" s="28"/>
      <c r="C118" s="58" t="s">
        <v>17</v>
      </c>
      <c r="D118" s="53"/>
      <c r="E118" s="6"/>
      <c r="F118" s="19"/>
      <c r="G118" s="24"/>
      <c r="H118" s="24"/>
      <c r="I118" s="31"/>
      <c r="J118" s="35"/>
    </row>
    <row r="119" spans="1:10" x14ac:dyDescent="0.25">
      <c r="A119" s="28"/>
      <c r="B119" s="28"/>
      <c r="C119" s="58" t="s">
        <v>18</v>
      </c>
      <c r="D119" s="53"/>
      <c r="E119" s="6"/>
      <c r="F119" s="19"/>
      <c r="G119" s="24" t="s">
        <v>2</v>
      </c>
      <c r="H119" s="24" t="s">
        <v>2</v>
      </c>
      <c r="I119" s="31"/>
      <c r="J119" s="35"/>
    </row>
    <row r="120" spans="1:10" x14ac:dyDescent="0.25">
      <c r="A120" s="28"/>
      <c r="B120" s="28"/>
      <c r="C120" s="58"/>
      <c r="D120" s="53"/>
      <c r="E120" s="6"/>
      <c r="F120" s="19"/>
      <c r="G120" s="24"/>
      <c r="H120" s="24"/>
      <c r="I120" s="31"/>
      <c r="J120" s="35"/>
    </row>
    <row r="121" spans="1:10" x14ac:dyDescent="0.25">
      <c r="A121" s="28"/>
      <c r="B121" s="28"/>
      <c r="C121" s="58" t="s">
        <v>19</v>
      </c>
      <c r="D121" s="53"/>
      <c r="E121" s="6"/>
      <c r="F121" s="19"/>
      <c r="G121" s="24" t="s">
        <v>2</v>
      </c>
      <c r="H121" s="24" t="s">
        <v>2</v>
      </c>
      <c r="I121" s="31"/>
      <c r="J121" s="35"/>
    </row>
    <row r="122" spans="1:10" x14ac:dyDescent="0.25">
      <c r="A122" s="28"/>
      <c r="B122" s="28"/>
      <c r="C122" s="58"/>
      <c r="D122" s="53"/>
      <c r="E122" s="6"/>
      <c r="F122" s="19"/>
      <c r="G122" s="24"/>
      <c r="H122" s="24"/>
      <c r="I122" s="31"/>
      <c r="J122" s="35"/>
    </row>
    <row r="123" spans="1:10" x14ac:dyDescent="0.25">
      <c r="A123" s="28"/>
      <c r="B123" s="28"/>
      <c r="C123" s="58" t="s">
        <v>20</v>
      </c>
      <c r="D123" s="53"/>
      <c r="E123" s="6"/>
      <c r="F123" s="19"/>
      <c r="G123" s="24" t="s">
        <v>2</v>
      </c>
      <c r="H123" s="24" t="s">
        <v>2</v>
      </c>
      <c r="I123" s="31"/>
      <c r="J123" s="35"/>
    </row>
    <row r="124" spans="1:10" x14ac:dyDescent="0.25">
      <c r="A124" s="28"/>
      <c r="B124" s="28"/>
      <c r="C124" s="58"/>
      <c r="D124" s="53"/>
      <c r="E124" s="6"/>
      <c r="F124" s="19"/>
      <c r="G124" s="24"/>
      <c r="H124" s="24"/>
      <c r="I124" s="31"/>
      <c r="J124" s="35"/>
    </row>
    <row r="125" spans="1:10" x14ac:dyDescent="0.25">
      <c r="A125" s="28"/>
      <c r="B125" s="28"/>
      <c r="C125" s="58" t="s">
        <v>21</v>
      </c>
      <c r="D125" s="53"/>
      <c r="E125" s="6"/>
      <c r="F125" s="19"/>
      <c r="G125" s="24" t="s">
        <v>2</v>
      </c>
      <c r="H125" s="24" t="s">
        <v>2</v>
      </c>
      <c r="I125" s="31"/>
      <c r="J125" s="35"/>
    </row>
    <row r="126" spans="1:10" x14ac:dyDescent="0.25">
      <c r="A126" s="28"/>
      <c r="B126" s="28"/>
      <c r="C126" s="58"/>
      <c r="D126" s="53"/>
      <c r="E126" s="6"/>
      <c r="F126" s="19"/>
      <c r="G126" s="24"/>
      <c r="H126" s="24"/>
      <c r="I126" s="31"/>
      <c r="J126" s="35"/>
    </row>
    <row r="127" spans="1:10" x14ac:dyDescent="0.25">
      <c r="C127" s="59" t="s">
        <v>22</v>
      </c>
      <c r="D127" s="53"/>
      <c r="E127" s="6"/>
      <c r="F127" s="19"/>
      <c r="G127" s="24"/>
      <c r="H127" s="24"/>
      <c r="I127" s="31"/>
      <c r="J127" s="35"/>
    </row>
    <row r="128" spans="1:10" x14ac:dyDescent="0.25">
      <c r="B128" s="8" t="s">
        <v>33</v>
      </c>
      <c r="C128" s="56" t="s">
        <v>34</v>
      </c>
      <c r="D128" s="53"/>
      <c r="E128" s="6"/>
      <c r="F128" s="19"/>
      <c r="G128" s="24">
        <v>20669.32</v>
      </c>
      <c r="H128" s="24">
        <v>0.98</v>
      </c>
      <c r="I128" s="31"/>
      <c r="J128" s="35"/>
    </row>
    <row r="129" spans="1:10" x14ac:dyDescent="0.25">
      <c r="C129" s="57" t="s">
        <v>35</v>
      </c>
      <c r="D129" s="53"/>
      <c r="E129" s="6"/>
      <c r="F129" s="19"/>
      <c r="G129" s="25">
        <v>20669.32</v>
      </c>
      <c r="H129" s="25">
        <v>0.98</v>
      </c>
      <c r="I129" s="31"/>
      <c r="J129" s="35"/>
    </row>
    <row r="130" spans="1:10" x14ac:dyDescent="0.25">
      <c r="C130" s="56"/>
      <c r="D130" s="53"/>
      <c r="E130" s="6"/>
      <c r="F130" s="19"/>
      <c r="G130" s="24"/>
      <c r="H130" s="24"/>
      <c r="I130" s="31"/>
      <c r="J130" s="35"/>
    </row>
    <row r="131" spans="1:10" x14ac:dyDescent="0.25">
      <c r="A131" s="10"/>
      <c r="B131" s="28"/>
      <c r="C131" s="58" t="s">
        <v>23</v>
      </c>
      <c r="D131" s="53"/>
      <c r="E131" s="6"/>
      <c r="F131" s="19"/>
      <c r="G131" s="24"/>
      <c r="H131" s="24"/>
      <c r="I131" s="31"/>
      <c r="J131" s="35"/>
    </row>
    <row r="132" spans="1:10" x14ac:dyDescent="0.25">
      <c r="A132" s="28"/>
      <c r="B132" s="28"/>
      <c r="C132" s="60" t="s">
        <v>3398</v>
      </c>
      <c r="D132" s="53"/>
      <c r="E132" s="6"/>
      <c r="F132" s="19"/>
      <c r="G132" s="24" t="s">
        <v>2</v>
      </c>
      <c r="H132" s="24" t="s">
        <v>2</v>
      </c>
      <c r="I132" s="31"/>
      <c r="J132" s="35"/>
    </row>
    <row r="133" spans="1:10" x14ac:dyDescent="0.25">
      <c r="B133" s="8"/>
      <c r="C133" s="56" t="s">
        <v>36</v>
      </c>
      <c r="D133" s="53"/>
      <c r="E133" s="6"/>
      <c r="F133" s="19"/>
      <c r="G133" s="24">
        <v>-23565.74</v>
      </c>
      <c r="H133" s="24">
        <v>-1.1200000000000001</v>
      </c>
      <c r="I133" s="31"/>
      <c r="J133" s="35"/>
    </row>
    <row r="134" spans="1:10" x14ac:dyDescent="0.25">
      <c r="C134" s="57" t="s">
        <v>35</v>
      </c>
      <c r="D134" s="53"/>
      <c r="E134" s="6"/>
      <c r="F134" s="19"/>
      <c r="G134" s="25">
        <v>-23565.74</v>
      </c>
      <c r="H134" s="25">
        <v>-1.1200000000000001</v>
      </c>
      <c r="I134" s="31"/>
      <c r="J134" s="35"/>
    </row>
    <row r="135" spans="1:10" x14ac:dyDescent="0.25">
      <c r="C135" s="56"/>
      <c r="D135" s="53"/>
      <c r="E135" s="6"/>
      <c r="F135" s="19"/>
      <c r="G135" s="24"/>
      <c r="H135" s="24"/>
      <c r="I135" s="31"/>
      <c r="J135" s="35"/>
    </row>
    <row r="136" spans="1:10" x14ac:dyDescent="0.25">
      <c r="C136" s="61" t="s">
        <v>37</v>
      </c>
      <c r="D136" s="54"/>
      <c r="E136" s="5"/>
      <c r="F136" s="20"/>
      <c r="G136" s="26">
        <v>2103483.0499999998</v>
      </c>
      <c r="H136" s="26">
        <f>SUMIFS(H:H,C:C,"Total")</f>
        <v>99.999999999999986</v>
      </c>
      <c r="I136" s="32"/>
      <c r="J136" s="36"/>
    </row>
    <row r="139" spans="1:10" x14ac:dyDescent="0.25">
      <c r="C139" s="1" t="s">
        <v>38</v>
      </c>
    </row>
    <row r="140" spans="1:10" x14ac:dyDescent="0.25">
      <c r="C140" s="2" t="s">
        <v>39</v>
      </c>
    </row>
    <row r="141" spans="1:10" x14ac:dyDescent="0.25">
      <c r="C141" s="2" t="s">
        <v>40</v>
      </c>
    </row>
    <row r="142" spans="1:10" x14ac:dyDescent="0.25">
      <c r="C142" s="2" t="s">
        <v>3430</v>
      </c>
    </row>
  </sheetData>
  <hyperlinks>
    <hyperlink ref="J2" location="'Index'!A1" display="'Index'!A1"/>
  </hyperlinks>
  <pageMargins left="0.7" right="0.7" top="0.75" bottom="0.75" header="0.3" footer="0.3"/>
  <pageSetup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7"/>
  <dimension ref="A1:J12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1284</v>
      </c>
      <c r="J2" s="37" t="s">
        <v>3307</v>
      </c>
    </row>
    <row r="3" spans="1:10" ht="16.5" x14ac:dyDescent="0.3">
      <c r="C3" s="1" t="s">
        <v>24</v>
      </c>
      <c r="D3" s="21" t="s">
        <v>1285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609</v>
      </c>
      <c r="C18" s="56" t="s">
        <v>559</v>
      </c>
      <c r="D18" s="53" t="s">
        <v>610</v>
      </c>
      <c r="E18" s="6" t="s">
        <v>534</v>
      </c>
      <c r="F18" s="19">
        <v>1500</v>
      </c>
      <c r="G18" s="24">
        <v>15138.03</v>
      </c>
      <c r="H18" s="24">
        <v>4.07</v>
      </c>
      <c r="I18" s="31">
        <v>8.6449999999999996</v>
      </c>
      <c r="J18" s="35" t="s">
        <v>514</v>
      </c>
    </row>
    <row r="19" spans="2:10" x14ac:dyDescent="0.25">
      <c r="B19" s="8" t="s">
        <v>519</v>
      </c>
      <c r="C19" s="56" t="s">
        <v>520</v>
      </c>
      <c r="D19" s="53" t="s">
        <v>521</v>
      </c>
      <c r="E19" s="6" t="s">
        <v>522</v>
      </c>
      <c r="F19" s="19">
        <v>1500</v>
      </c>
      <c r="G19" s="24">
        <v>14971.14</v>
      </c>
      <c r="H19" s="24">
        <v>4.0199999999999996</v>
      </c>
      <c r="I19" s="31">
        <v>10.165900000000001</v>
      </c>
      <c r="J19" s="35" t="s">
        <v>514</v>
      </c>
    </row>
    <row r="20" spans="2:10" x14ac:dyDescent="0.25">
      <c r="B20" s="8" t="s">
        <v>1286</v>
      </c>
      <c r="C20" s="56" t="s">
        <v>66</v>
      </c>
      <c r="D20" s="53" t="s">
        <v>1287</v>
      </c>
      <c r="E20" s="6" t="s">
        <v>541</v>
      </c>
      <c r="F20" s="19">
        <v>1450</v>
      </c>
      <c r="G20" s="24">
        <v>14769.98</v>
      </c>
      <c r="H20" s="24">
        <v>3.97</v>
      </c>
      <c r="I20" s="31">
        <v>4.7049000000000003</v>
      </c>
      <c r="J20" s="35" t="s">
        <v>514</v>
      </c>
    </row>
    <row r="21" spans="2:10" x14ac:dyDescent="0.25">
      <c r="B21" s="8" t="s">
        <v>527</v>
      </c>
      <c r="C21" s="56" t="s">
        <v>528</v>
      </c>
      <c r="D21" s="53" t="s">
        <v>529</v>
      </c>
      <c r="E21" s="6" t="s">
        <v>530</v>
      </c>
      <c r="F21" s="19">
        <v>1250</v>
      </c>
      <c r="G21" s="24">
        <v>14413.71</v>
      </c>
      <c r="H21" s="24">
        <v>3.87</v>
      </c>
      <c r="I21" s="31">
        <v>8.3396000000000008</v>
      </c>
      <c r="J21" s="35" t="s">
        <v>514</v>
      </c>
    </row>
    <row r="22" spans="2:10" x14ac:dyDescent="0.25">
      <c r="B22" s="8" t="s">
        <v>542</v>
      </c>
      <c r="C22" s="56" t="s">
        <v>543</v>
      </c>
      <c r="D22" s="53" t="s">
        <v>544</v>
      </c>
      <c r="E22" s="6" t="s">
        <v>545</v>
      </c>
      <c r="F22" s="19">
        <v>1239</v>
      </c>
      <c r="G22" s="24">
        <v>12505.51</v>
      </c>
      <c r="H22" s="24">
        <v>3.36</v>
      </c>
      <c r="I22" s="31">
        <v>10.023199999999999</v>
      </c>
      <c r="J22" s="35" t="s">
        <v>514</v>
      </c>
    </row>
    <row r="23" spans="2:10" x14ac:dyDescent="0.25">
      <c r="B23" s="8" t="s">
        <v>1288</v>
      </c>
      <c r="C23" s="56" t="s">
        <v>1200</v>
      </c>
      <c r="D23" s="53" t="s">
        <v>1289</v>
      </c>
      <c r="E23" s="6" t="s">
        <v>526</v>
      </c>
      <c r="F23" s="19">
        <v>1100</v>
      </c>
      <c r="G23" s="24">
        <v>11128.3</v>
      </c>
      <c r="H23" s="24">
        <v>2.99</v>
      </c>
      <c r="I23" s="31">
        <v>8.1300000000000008</v>
      </c>
      <c r="J23" s="35" t="s">
        <v>514</v>
      </c>
    </row>
    <row r="24" spans="2:10" x14ac:dyDescent="0.25">
      <c r="B24" s="8" t="s">
        <v>531</v>
      </c>
      <c r="C24" s="56" t="s">
        <v>532</v>
      </c>
      <c r="D24" s="53" t="s">
        <v>533</v>
      </c>
      <c r="E24" s="6" t="s">
        <v>534</v>
      </c>
      <c r="F24" s="19">
        <v>900</v>
      </c>
      <c r="G24" s="24">
        <v>10508.26</v>
      </c>
      <c r="H24" s="24">
        <v>2.82</v>
      </c>
      <c r="I24" s="31">
        <v>6.7321999999999997</v>
      </c>
      <c r="J24" s="35" t="s">
        <v>514</v>
      </c>
    </row>
    <row r="25" spans="2:10" x14ac:dyDescent="0.25">
      <c r="B25" s="8" t="s">
        <v>682</v>
      </c>
      <c r="C25" s="56" t="s">
        <v>683</v>
      </c>
      <c r="D25" s="53" t="s">
        <v>684</v>
      </c>
      <c r="E25" s="6" t="s">
        <v>685</v>
      </c>
      <c r="F25" s="19">
        <v>1000</v>
      </c>
      <c r="G25" s="24">
        <v>10282.98</v>
      </c>
      <c r="H25" s="24">
        <v>2.76</v>
      </c>
      <c r="I25" s="31">
        <v>7.375</v>
      </c>
      <c r="J25" s="35" t="s">
        <v>514</v>
      </c>
    </row>
    <row r="26" spans="2:10" x14ac:dyDescent="0.25">
      <c r="B26" s="8" t="s">
        <v>554</v>
      </c>
      <c r="C26" s="56" t="s">
        <v>555</v>
      </c>
      <c r="D26" s="53" t="s">
        <v>556</v>
      </c>
      <c r="E26" s="6" t="s">
        <v>557</v>
      </c>
      <c r="F26" s="19">
        <v>1000</v>
      </c>
      <c r="G26" s="24">
        <v>10212.06</v>
      </c>
      <c r="H26" s="24">
        <v>2.74</v>
      </c>
      <c r="I26" s="31">
        <v>8.2325999999999997</v>
      </c>
      <c r="J26" s="35" t="s">
        <v>514</v>
      </c>
    </row>
    <row r="27" spans="2:10" x14ac:dyDescent="0.25">
      <c r="B27" s="8" t="s">
        <v>585</v>
      </c>
      <c r="C27" s="56" t="s">
        <v>586</v>
      </c>
      <c r="D27" s="53" t="s">
        <v>587</v>
      </c>
      <c r="E27" s="6" t="s">
        <v>513</v>
      </c>
      <c r="F27" s="19">
        <v>1000</v>
      </c>
      <c r="G27" s="24">
        <v>10097.99</v>
      </c>
      <c r="H27" s="24">
        <v>2.71</v>
      </c>
      <c r="I27" s="31">
        <v>8.9034999999999993</v>
      </c>
      <c r="J27" s="35" t="s">
        <v>514</v>
      </c>
    </row>
    <row r="28" spans="2:10" x14ac:dyDescent="0.25">
      <c r="B28" s="8" t="s">
        <v>1290</v>
      </c>
      <c r="C28" s="56" t="s">
        <v>926</v>
      </c>
      <c r="D28" s="53" t="s">
        <v>1291</v>
      </c>
      <c r="E28" s="6" t="s">
        <v>928</v>
      </c>
      <c r="F28" s="19">
        <v>1000</v>
      </c>
      <c r="G28" s="24">
        <v>10082.719999999999</v>
      </c>
      <c r="H28" s="24">
        <v>2.71</v>
      </c>
      <c r="I28" s="31">
        <v>7.0949999999999998</v>
      </c>
      <c r="J28" s="35" t="s">
        <v>514</v>
      </c>
    </row>
    <row r="29" spans="2:10" x14ac:dyDescent="0.25">
      <c r="B29" s="8" t="s">
        <v>1292</v>
      </c>
      <c r="C29" s="56" t="s">
        <v>1293</v>
      </c>
      <c r="D29" s="53" t="s">
        <v>1294</v>
      </c>
      <c r="E29" s="6" t="s">
        <v>541</v>
      </c>
      <c r="F29" s="19">
        <v>1000</v>
      </c>
      <c r="G29" s="24">
        <v>9998.4599999999991</v>
      </c>
      <c r="H29" s="24">
        <v>2.69</v>
      </c>
      <c r="I29" s="31">
        <v>7.375</v>
      </c>
      <c r="J29" s="35" t="s">
        <v>514</v>
      </c>
    </row>
    <row r="30" spans="2:10" x14ac:dyDescent="0.25">
      <c r="B30" s="8" t="s">
        <v>935</v>
      </c>
      <c r="C30" s="56" t="s">
        <v>3425</v>
      </c>
      <c r="D30" s="53" t="s">
        <v>936</v>
      </c>
      <c r="E30" s="6" t="s">
        <v>534</v>
      </c>
      <c r="F30" s="19">
        <v>1000</v>
      </c>
      <c r="G30" s="24">
        <v>9995.7099999999991</v>
      </c>
      <c r="H30" s="24">
        <v>2.69</v>
      </c>
      <c r="I30" s="31">
        <v>6.2492999999999999</v>
      </c>
      <c r="J30" s="35"/>
    </row>
    <row r="31" spans="2:10" x14ac:dyDescent="0.25">
      <c r="B31" s="8" t="s">
        <v>947</v>
      </c>
      <c r="C31" s="56" t="s">
        <v>948</v>
      </c>
      <c r="D31" s="53" t="s">
        <v>949</v>
      </c>
      <c r="E31" s="6" t="s">
        <v>518</v>
      </c>
      <c r="F31" s="19">
        <v>1000</v>
      </c>
      <c r="G31" s="24">
        <v>9957.6200000000008</v>
      </c>
      <c r="H31" s="24">
        <v>2.68</v>
      </c>
      <c r="I31" s="31">
        <v>9.1074000000000002</v>
      </c>
      <c r="J31" s="35" t="s">
        <v>514</v>
      </c>
    </row>
    <row r="32" spans="2:10" x14ac:dyDescent="0.25">
      <c r="B32" s="8" t="s">
        <v>1295</v>
      </c>
      <c r="C32" s="56" t="s">
        <v>331</v>
      </c>
      <c r="D32" s="53" t="s">
        <v>1296</v>
      </c>
      <c r="E32" s="6" t="s">
        <v>573</v>
      </c>
      <c r="F32" s="19">
        <v>900</v>
      </c>
      <c r="G32" s="24">
        <v>9151.2900000000009</v>
      </c>
      <c r="H32" s="24">
        <v>2.46</v>
      </c>
      <c r="I32" s="31">
        <v>6.5190999999999999</v>
      </c>
      <c r="J32" s="35" t="s">
        <v>514</v>
      </c>
    </row>
    <row r="33" spans="2:10" x14ac:dyDescent="0.25">
      <c r="B33" s="8" t="s">
        <v>932</v>
      </c>
      <c r="C33" s="56" t="s">
        <v>614</v>
      </c>
      <c r="D33" s="53" t="s">
        <v>933</v>
      </c>
      <c r="E33" s="6" t="s">
        <v>934</v>
      </c>
      <c r="F33" s="19">
        <v>750</v>
      </c>
      <c r="G33" s="24">
        <v>8905.07</v>
      </c>
      <c r="H33" s="24">
        <v>2.39</v>
      </c>
      <c r="I33" s="31">
        <v>10.601100000000001</v>
      </c>
      <c r="J33" s="35" t="s">
        <v>514</v>
      </c>
    </row>
    <row r="34" spans="2:10" x14ac:dyDescent="0.25">
      <c r="B34" s="8" t="s">
        <v>552</v>
      </c>
      <c r="C34" s="56" t="s">
        <v>539</v>
      </c>
      <c r="D34" s="53" t="s">
        <v>553</v>
      </c>
      <c r="E34" s="6" t="s">
        <v>541</v>
      </c>
      <c r="F34" s="19">
        <v>750</v>
      </c>
      <c r="G34" s="24">
        <v>7708.2</v>
      </c>
      <c r="H34" s="24">
        <v>2.0699999999999998</v>
      </c>
      <c r="I34" s="31">
        <v>7.9349999999999996</v>
      </c>
      <c r="J34" s="35" t="s">
        <v>514</v>
      </c>
    </row>
    <row r="35" spans="2:10" x14ac:dyDescent="0.25">
      <c r="B35" s="8" t="s">
        <v>1297</v>
      </c>
      <c r="C35" s="56" t="s">
        <v>3427</v>
      </c>
      <c r="D35" s="53" t="s">
        <v>1299</v>
      </c>
      <c r="E35" s="6" t="s">
        <v>513</v>
      </c>
      <c r="F35" s="19">
        <v>750</v>
      </c>
      <c r="G35" s="24">
        <v>7645.07</v>
      </c>
      <c r="H35" s="24">
        <v>2.0499999999999998</v>
      </c>
      <c r="I35" s="31">
        <v>10.3589</v>
      </c>
      <c r="J35" s="35" t="s">
        <v>514</v>
      </c>
    </row>
    <row r="36" spans="2:10" x14ac:dyDescent="0.25">
      <c r="B36" s="8" t="s">
        <v>1300</v>
      </c>
      <c r="C36" s="56" t="s">
        <v>125</v>
      </c>
      <c r="D36" s="53" t="s">
        <v>1301</v>
      </c>
      <c r="E36" s="6" t="s">
        <v>534</v>
      </c>
      <c r="F36" s="19">
        <v>750</v>
      </c>
      <c r="G36" s="24">
        <v>7591.37</v>
      </c>
      <c r="H36" s="24">
        <v>2.04</v>
      </c>
      <c r="I36" s="31">
        <v>7.0650000000000004</v>
      </c>
      <c r="J36" s="35" t="s">
        <v>514</v>
      </c>
    </row>
    <row r="37" spans="2:10" x14ac:dyDescent="0.25">
      <c r="B37" s="8" t="s">
        <v>583</v>
      </c>
      <c r="C37" s="56" t="s">
        <v>562</v>
      </c>
      <c r="D37" s="53" t="s">
        <v>584</v>
      </c>
      <c r="E37" s="6" t="s">
        <v>564</v>
      </c>
      <c r="F37" s="19">
        <v>600</v>
      </c>
      <c r="G37" s="24">
        <v>6849.19</v>
      </c>
      <c r="H37" s="24">
        <v>1.84</v>
      </c>
      <c r="I37" s="31">
        <v>7.4341999999999997</v>
      </c>
      <c r="J37" s="35" t="s">
        <v>514</v>
      </c>
    </row>
    <row r="38" spans="2:10" x14ac:dyDescent="0.25">
      <c r="B38" s="8" t="s">
        <v>1302</v>
      </c>
      <c r="C38" s="56" t="s">
        <v>1303</v>
      </c>
      <c r="D38" s="53" t="s">
        <v>1304</v>
      </c>
      <c r="E38" s="6" t="s">
        <v>541</v>
      </c>
      <c r="F38" s="19">
        <v>650</v>
      </c>
      <c r="G38" s="24">
        <v>6471.42</v>
      </c>
      <c r="H38" s="24">
        <v>1.74</v>
      </c>
      <c r="I38" s="31">
        <v>6.4048999999999996</v>
      </c>
      <c r="J38" s="35" t="s">
        <v>514</v>
      </c>
    </row>
    <row r="39" spans="2:10" x14ac:dyDescent="0.25">
      <c r="B39" s="8" t="s">
        <v>1305</v>
      </c>
      <c r="C39" s="56" t="s">
        <v>53</v>
      </c>
      <c r="D39" s="53" t="s">
        <v>1306</v>
      </c>
      <c r="E39" s="6" t="s">
        <v>534</v>
      </c>
      <c r="F39" s="19">
        <v>500</v>
      </c>
      <c r="G39" s="24">
        <v>5232.24</v>
      </c>
      <c r="H39" s="24">
        <v>1.41</v>
      </c>
      <c r="I39" s="31">
        <v>5.3049999999999997</v>
      </c>
      <c r="J39" s="35" t="s">
        <v>514</v>
      </c>
    </row>
    <row r="40" spans="2:10" x14ac:dyDescent="0.25">
      <c r="B40" s="8" t="s">
        <v>1307</v>
      </c>
      <c r="C40" s="56" t="s">
        <v>53</v>
      </c>
      <c r="D40" s="53" t="s">
        <v>1308</v>
      </c>
      <c r="E40" s="6" t="s">
        <v>534</v>
      </c>
      <c r="F40" s="19">
        <v>500</v>
      </c>
      <c r="G40" s="24">
        <v>5198.1000000000004</v>
      </c>
      <c r="H40" s="24">
        <v>1.4</v>
      </c>
      <c r="I40" s="31">
        <v>5.1798999999999999</v>
      </c>
      <c r="J40" s="35" t="s">
        <v>514</v>
      </c>
    </row>
    <row r="41" spans="2:10" x14ac:dyDescent="0.25">
      <c r="B41" s="8" t="s">
        <v>1309</v>
      </c>
      <c r="C41" s="56" t="s">
        <v>1153</v>
      </c>
      <c r="D41" s="53" t="s">
        <v>1310</v>
      </c>
      <c r="E41" s="6" t="s">
        <v>957</v>
      </c>
      <c r="F41" s="19">
        <v>500</v>
      </c>
      <c r="G41" s="24">
        <v>5114.4399999999996</v>
      </c>
      <c r="H41" s="24">
        <v>1.37</v>
      </c>
      <c r="I41" s="31">
        <v>6.8898999999999999</v>
      </c>
      <c r="J41" s="35" t="s">
        <v>514</v>
      </c>
    </row>
    <row r="42" spans="2:10" x14ac:dyDescent="0.25">
      <c r="B42" s="8" t="s">
        <v>1311</v>
      </c>
      <c r="C42" s="56" t="s">
        <v>1312</v>
      </c>
      <c r="D42" s="53" t="s">
        <v>1313</v>
      </c>
      <c r="E42" s="6" t="s">
        <v>1314</v>
      </c>
      <c r="F42" s="19">
        <v>500</v>
      </c>
      <c r="G42" s="24">
        <v>5060.46</v>
      </c>
      <c r="H42" s="24">
        <v>1.36</v>
      </c>
      <c r="I42" s="31">
        <v>5.8045</v>
      </c>
      <c r="J42" s="35" t="s">
        <v>514</v>
      </c>
    </row>
    <row r="43" spans="2:10" x14ac:dyDescent="0.25">
      <c r="B43" s="8" t="s">
        <v>1315</v>
      </c>
      <c r="C43" s="56" t="s">
        <v>938</v>
      </c>
      <c r="D43" s="53" t="s">
        <v>1316</v>
      </c>
      <c r="E43" s="6" t="s">
        <v>573</v>
      </c>
      <c r="F43" s="19">
        <v>500000</v>
      </c>
      <c r="G43" s="24">
        <v>4884.21</v>
      </c>
      <c r="H43" s="24">
        <v>1.31</v>
      </c>
      <c r="I43" s="31">
        <v>12.112299999999999</v>
      </c>
      <c r="J43" s="35" t="s">
        <v>514</v>
      </c>
    </row>
    <row r="44" spans="2:10" x14ac:dyDescent="0.25">
      <c r="B44" s="8" t="s">
        <v>1317</v>
      </c>
      <c r="C44" s="56" t="s">
        <v>806</v>
      </c>
      <c r="D44" s="53" t="s">
        <v>1318</v>
      </c>
      <c r="E44" s="6" t="s">
        <v>534</v>
      </c>
      <c r="F44" s="19">
        <v>450</v>
      </c>
      <c r="G44" s="24">
        <v>4723.18</v>
      </c>
      <c r="H44" s="24">
        <v>1.27</v>
      </c>
      <c r="I44" s="31">
        <v>5.5345000000000004</v>
      </c>
      <c r="J44" s="35" t="s">
        <v>514</v>
      </c>
    </row>
    <row r="45" spans="2:10" x14ac:dyDescent="0.25">
      <c r="B45" s="8" t="s">
        <v>1319</v>
      </c>
      <c r="C45" s="56" t="s">
        <v>1320</v>
      </c>
      <c r="D45" s="53" t="s">
        <v>1321</v>
      </c>
      <c r="E45" s="6" t="s">
        <v>541</v>
      </c>
      <c r="F45" s="19">
        <v>340</v>
      </c>
      <c r="G45" s="24">
        <v>4127.79</v>
      </c>
      <c r="H45" s="24">
        <v>1.1100000000000001</v>
      </c>
      <c r="I45" s="31">
        <v>6.8826999999999998</v>
      </c>
      <c r="J45" s="35" t="s">
        <v>514</v>
      </c>
    </row>
    <row r="46" spans="2:10" x14ac:dyDescent="0.25">
      <c r="B46" s="8" t="s">
        <v>548</v>
      </c>
      <c r="C46" s="56" t="s">
        <v>549</v>
      </c>
      <c r="D46" s="53" t="s">
        <v>550</v>
      </c>
      <c r="E46" s="6" t="s">
        <v>551</v>
      </c>
      <c r="F46" s="19">
        <v>350</v>
      </c>
      <c r="G46" s="24">
        <v>3787.14</v>
      </c>
      <c r="H46" s="24">
        <v>1.02</v>
      </c>
      <c r="I46" s="31">
        <v>7.8461999999999996</v>
      </c>
      <c r="J46" s="35" t="s">
        <v>514</v>
      </c>
    </row>
    <row r="47" spans="2:10" x14ac:dyDescent="0.25">
      <c r="B47" s="8" t="s">
        <v>1322</v>
      </c>
      <c r="C47" s="56" t="s">
        <v>562</v>
      </c>
      <c r="D47" s="53" t="s">
        <v>1323</v>
      </c>
      <c r="E47" s="6" t="s">
        <v>541</v>
      </c>
      <c r="F47" s="19">
        <v>300</v>
      </c>
      <c r="G47" s="24">
        <v>3743.1</v>
      </c>
      <c r="H47" s="24">
        <v>1.01</v>
      </c>
      <c r="I47" s="31">
        <v>7.2232000000000003</v>
      </c>
      <c r="J47" s="35" t="s">
        <v>514</v>
      </c>
    </row>
    <row r="48" spans="2:10" x14ac:dyDescent="0.25">
      <c r="B48" s="8" t="s">
        <v>914</v>
      </c>
      <c r="C48" s="56" t="s">
        <v>230</v>
      </c>
      <c r="D48" s="53" t="s">
        <v>915</v>
      </c>
      <c r="E48" s="6" t="s">
        <v>541</v>
      </c>
      <c r="F48" s="19">
        <v>330</v>
      </c>
      <c r="G48" s="24">
        <v>3364.67</v>
      </c>
      <c r="H48" s="24">
        <v>0.9</v>
      </c>
      <c r="I48" s="31">
        <v>7.1150000000000002</v>
      </c>
      <c r="J48" s="35" t="s">
        <v>514</v>
      </c>
    </row>
    <row r="49" spans="2:10" x14ac:dyDescent="0.25">
      <c r="B49" s="8" t="s">
        <v>686</v>
      </c>
      <c r="C49" s="56" t="s">
        <v>687</v>
      </c>
      <c r="D49" s="53" t="s">
        <v>688</v>
      </c>
      <c r="E49" s="6" t="s">
        <v>689</v>
      </c>
      <c r="F49" s="19">
        <v>300</v>
      </c>
      <c r="G49" s="24">
        <v>2980.61</v>
      </c>
      <c r="H49" s="24">
        <v>0.8</v>
      </c>
      <c r="I49" s="31">
        <v>8.9672999999999998</v>
      </c>
      <c r="J49" s="35" t="s">
        <v>514</v>
      </c>
    </row>
    <row r="50" spans="2:10" x14ac:dyDescent="0.25">
      <c r="B50" s="8" t="s">
        <v>565</v>
      </c>
      <c r="C50" s="56" t="s">
        <v>549</v>
      </c>
      <c r="D50" s="53" t="s">
        <v>566</v>
      </c>
      <c r="E50" s="6" t="s">
        <v>551</v>
      </c>
      <c r="F50" s="19">
        <v>240</v>
      </c>
      <c r="G50" s="24">
        <v>2610.04</v>
      </c>
      <c r="H50" s="24">
        <v>0.7</v>
      </c>
      <c r="I50" s="31">
        <v>7.8384999999999998</v>
      </c>
      <c r="J50" s="35" t="s">
        <v>514</v>
      </c>
    </row>
    <row r="51" spans="2:10" x14ac:dyDescent="0.25">
      <c r="B51" s="8" t="s">
        <v>912</v>
      </c>
      <c r="C51" s="56" t="s">
        <v>601</v>
      </c>
      <c r="D51" s="53" t="s">
        <v>913</v>
      </c>
      <c r="E51" s="6" t="s">
        <v>534</v>
      </c>
      <c r="F51" s="19">
        <v>250</v>
      </c>
      <c r="G51" s="24">
        <v>2583.5</v>
      </c>
      <c r="H51" s="24">
        <v>0.69</v>
      </c>
      <c r="I51" s="31">
        <v>7.25</v>
      </c>
      <c r="J51" s="35" t="s">
        <v>514</v>
      </c>
    </row>
    <row r="52" spans="2:10" x14ac:dyDescent="0.25">
      <c r="B52" s="8" t="s">
        <v>1324</v>
      </c>
      <c r="C52" s="56" t="s">
        <v>601</v>
      </c>
      <c r="D52" s="53" t="s">
        <v>1325</v>
      </c>
      <c r="E52" s="6" t="s">
        <v>534</v>
      </c>
      <c r="F52" s="19">
        <v>250</v>
      </c>
      <c r="G52" s="24">
        <v>2574.12</v>
      </c>
      <c r="H52" s="24">
        <v>0.69</v>
      </c>
      <c r="I52" s="31">
        <v>5.4950000000000001</v>
      </c>
      <c r="J52" s="35" t="s">
        <v>514</v>
      </c>
    </row>
    <row r="53" spans="2:10" x14ac:dyDescent="0.25">
      <c r="B53" s="8" t="s">
        <v>1326</v>
      </c>
      <c r="C53" s="56" t="s">
        <v>831</v>
      </c>
      <c r="D53" s="53" t="s">
        <v>1327</v>
      </c>
      <c r="E53" s="6" t="s">
        <v>934</v>
      </c>
      <c r="F53" s="19">
        <v>200</v>
      </c>
      <c r="G53" s="24">
        <v>2035.93</v>
      </c>
      <c r="H53" s="24">
        <v>0.55000000000000004</v>
      </c>
      <c r="I53" s="31">
        <v>10.59</v>
      </c>
      <c r="J53" s="35" t="s">
        <v>514</v>
      </c>
    </row>
    <row r="54" spans="2:10" x14ac:dyDescent="0.25">
      <c r="B54" s="8" t="s">
        <v>1328</v>
      </c>
      <c r="C54" s="56" t="s">
        <v>1329</v>
      </c>
      <c r="D54" s="53" t="s">
        <v>1330</v>
      </c>
      <c r="E54" s="6" t="s">
        <v>911</v>
      </c>
      <c r="F54" s="19">
        <v>135</v>
      </c>
      <c r="G54" s="24">
        <v>1657.29</v>
      </c>
      <c r="H54" s="24">
        <v>0.45</v>
      </c>
      <c r="I54" s="31">
        <v>6.1849999999999996</v>
      </c>
      <c r="J54" s="35" t="s">
        <v>514</v>
      </c>
    </row>
    <row r="55" spans="2:10" x14ac:dyDescent="0.25">
      <c r="B55" s="8" t="s">
        <v>1331</v>
      </c>
      <c r="C55" s="56" t="s">
        <v>1298</v>
      </c>
      <c r="D55" s="53" t="s">
        <v>1332</v>
      </c>
      <c r="E55" s="6" t="s">
        <v>530</v>
      </c>
      <c r="F55" s="19">
        <v>150</v>
      </c>
      <c r="G55" s="24">
        <v>1532.58</v>
      </c>
      <c r="H55" s="24">
        <v>0.41</v>
      </c>
      <c r="I55" s="31">
        <v>8.0678999999999998</v>
      </c>
      <c r="J55" s="35" t="s">
        <v>514</v>
      </c>
    </row>
    <row r="56" spans="2:10" x14ac:dyDescent="0.25">
      <c r="B56" s="8" t="s">
        <v>1333</v>
      </c>
      <c r="C56" s="56" t="s">
        <v>831</v>
      </c>
      <c r="D56" s="53" t="s">
        <v>1334</v>
      </c>
      <c r="E56" s="6" t="s">
        <v>934</v>
      </c>
      <c r="F56" s="19">
        <v>150</v>
      </c>
      <c r="G56" s="24">
        <v>1526.95</v>
      </c>
      <c r="H56" s="24">
        <v>0.41</v>
      </c>
      <c r="I56" s="31">
        <v>10.59</v>
      </c>
      <c r="J56" s="35" t="s">
        <v>514</v>
      </c>
    </row>
    <row r="57" spans="2:10" x14ac:dyDescent="0.25">
      <c r="B57" s="8" t="s">
        <v>1335</v>
      </c>
      <c r="C57" s="56" t="s">
        <v>831</v>
      </c>
      <c r="D57" s="53" t="s">
        <v>1336</v>
      </c>
      <c r="E57" s="6" t="s">
        <v>934</v>
      </c>
      <c r="F57" s="19">
        <v>150</v>
      </c>
      <c r="G57" s="24">
        <v>1526.95</v>
      </c>
      <c r="H57" s="24">
        <v>0.41</v>
      </c>
      <c r="I57" s="31">
        <v>10.59</v>
      </c>
      <c r="J57" s="35" t="s">
        <v>514</v>
      </c>
    </row>
    <row r="58" spans="2:10" x14ac:dyDescent="0.25">
      <c r="B58" s="8" t="s">
        <v>1337</v>
      </c>
      <c r="C58" s="56" t="s">
        <v>831</v>
      </c>
      <c r="D58" s="53" t="s">
        <v>1338</v>
      </c>
      <c r="E58" s="6" t="s">
        <v>934</v>
      </c>
      <c r="F58" s="19">
        <v>150</v>
      </c>
      <c r="G58" s="24">
        <v>1526.95</v>
      </c>
      <c r="H58" s="24">
        <v>0.41</v>
      </c>
      <c r="I58" s="31">
        <v>10.59</v>
      </c>
      <c r="J58" s="35" t="s">
        <v>514</v>
      </c>
    </row>
    <row r="59" spans="2:10" x14ac:dyDescent="0.25">
      <c r="B59" s="8" t="s">
        <v>1339</v>
      </c>
      <c r="C59" s="56" t="s">
        <v>831</v>
      </c>
      <c r="D59" s="53" t="s">
        <v>1340</v>
      </c>
      <c r="E59" s="6" t="s">
        <v>934</v>
      </c>
      <c r="F59" s="19">
        <v>100</v>
      </c>
      <c r="G59" s="24">
        <v>1017.96</v>
      </c>
      <c r="H59" s="24">
        <v>0.27</v>
      </c>
      <c r="I59" s="31">
        <v>10.59</v>
      </c>
      <c r="J59" s="35" t="s">
        <v>514</v>
      </c>
    </row>
    <row r="60" spans="2:10" x14ac:dyDescent="0.25">
      <c r="B60" s="8" t="s">
        <v>1341</v>
      </c>
      <c r="C60" s="56" t="s">
        <v>831</v>
      </c>
      <c r="D60" s="53" t="s">
        <v>1342</v>
      </c>
      <c r="E60" s="6" t="s">
        <v>934</v>
      </c>
      <c r="F60" s="19">
        <v>50</v>
      </c>
      <c r="G60" s="24">
        <v>505.78</v>
      </c>
      <c r="H60" s="24">
        <v>0.14000000000000001</v>
      </c>
      <c r="I60" s="31">
        <v>9.5033999999999992</v>
      </c>
      <c r="J60" s="35" t="s">
        <v>514</v>
      </c>
    </row>
    <row r="61" spans="2:10" x14ac:dyDescent="0.25">
      <c r="B61" s="8" t="s">
        <v>1343</v>
      </c>
      <c r="C61" s="56" t="s">
        <v>1344</v>
      </c>
      <c r="D61" s="53" t="s">
        <v>1345</v>
      </c>
      <c r="E61" s="6" t="s">
        <v>534</v>
      </c>
      <c r="F61" s="19">
        <v>1</v>
      </c>
      <c r="G61" s="24">
        <v>12.54</v>
      </c>
      <c r="H61" s="24" t="s">
        <v>3399</v>
      </c>
      <c r="I61" s="31">
        <v>4</v>
      </c>
      <c r="J61" s="35" t="s">
        <v>514</v>
      </c>
    </row>
    <row r="62" spans="2:10" x14ac:dyDescent="0.25">
      <c r="C62" s="57" t="s">
        <v>35</v>
      </c>
      <c r="D62" s="53"/>
      <c r="E62" s="6"/>
      <c r="F62" s="19"/>
      <c r="G62" s="25">
        <v>285710.61</v>
      </c>
      <c r="H62" s="25">
        <v>76.760000000000005</v>
      </c>
      <c r="I62" s="31"/>
      <c r="J62" s="35"/>
    </row>
    <row r="63" spans="2:10" x14ac:dyDescent="0.25">
      <c r="C63" s="56"/>
      <c r="D63" s="53"/>
      <c r="E63" s="6"/>
      <c r="F63" s="19"/>
      <c r="G63" s="24"/>
      <c r="H63" s="24"/>
      <c r="I63" s="31"/>
      <c r="J63" s="35"/>
    </row>
    <row r="64" spans="2:10" x14ac:dyDescent="0.25">
      <c r="C64" s="59" t="s">
        <v>7</v>
      </c>
      <c r="D64" s="53"/>
      <c r="E64" s="6"/>
      <c r="F64" s="19"/>
      <c r="G64" s="24"/>
      <c r="H64" s="24"/>
      <c r="I64" s="31"/>
      <c r="J64" s="35"/>
    </row>
    <row r="65" spans="2:10" x14ac:dyDescent="0.25">
      <c r="B65" s="8" t="s">
        <v>958</v>
      </c>
      <c r="C65" s="56" t="s">
        <v>959</v>
      </c>
      <c r="D65" s="53" t="s">
        <v>960</v>
      </c>
      <c r="E65" s="6" t="s">
        <v>545</v>
      </c>
      <c r="F65" s="19">
        <v>130000</v>
      </c>
      <c r="G65" s="24">
        <v>12972.47</v>
      </c>
      <c r="H65" s="24">
        <v>3.49</v>
      </c>
      <c r="I65" s="31">
        <v>10.4034</v>
      </c>
      <c r="J65" s="35" t="s">
        <v>514</v>
      </c>
    </row>
    <row r="66" spans="2:10" x14ac:dyDescent="0.25">
      <c r="B66" s="8" t="s">
        <v>621</v>
      </c>
      <c r="C66" s="56" t="s">
        <v>622</v>
      </c>
      <c r="D66" s="53" t="s">
        <v>623</v>
      </c>
      <c r="E66" s="6" t="s">
        <v>624</v>
      </c>
      <c r="F66" s="19">
        <v>1699</v>
      </c>
      <c r="G66" s="24">
        <v>1407.29</v>
      </c>
      <c r="H66" s="24">
        <v>0.38</v>
      </c>
      <c r="I66" s="31">
        <v>11.4246</v>
      </c>
      <c r="J66" s="35" t="s">
        <v>514</v>
      </c>
    </row>
    <row r="67" spans="2:10" x14ac:dyDescent="0.25">
      <c r="B67" s="8" t="s">
        <v>625</v>
      </c>
      <c r="C67" s="56" t="s">
        <v>626</v>
      </c>
      <c r="D67" s="53" t="s">
        <v>627</v>
      </c>
      <c r="E67" s="6" t="s">
        <v>624</v>
      </c>
      <c r="F67" s="19">
        <v>1699</v>
      </c>
      <c r="G67" s="24">
        <v>1407.29</v>
      </c>
      <c r="H67" s="24">
        <v>0.38</v>
      </c>
      <c r="I67" s="31">
        <v>11.4246</v>
      </c>
      <c r="J67" s="35" t="s">
        <v>514</v>
      </c>
    </row>
    <row r="68" spans="2:10" x14ac:dyDescent="0.25">
      <c r="B68" s="8" t="s">
        <v>628</v>
      </c>
      <c r="C68" s="56" t="s">
        <v>629</v>
      </c>
      <c r="D68" s="53" t="s">
        <v>630</v>
      </c>
      <c r="E68" s="6" t="s">
        <v>624</v>
      </c>
      <c r="F68" s="19">
        <v>1699</v>
      </c>
      <c r="G68" s="24">
        <v>1407.29</v>
      </c>
      <c r="H68" s="24">
        <v>0.38</v>
      </c>
      <c r="I68" s="31">
        <v>11.4246</v>
      </c>
      <c r="J68" s="35" t="s">
        <v>514</v>
      </c>
    </row>
    <row r="69" spans="2:10" x14ac:dyDescent="0.25">
      <c r="B69" s="8" t="s">
        <v>631</v>
      </c>
      <c r="C69" s="56" t="s">
        <v>632</v>
      </c>
      <c r="D69" s="53" t="s">
        <v>633</v>
      </c>
      <c r="E69" s="6" t="s">
        <v>624</v>
      </c>
      <c r="F69" s="19">
        <v>1699</v>
      </c>
      <c r="G69" s="24">
        <v>1407.29</v>
      </c>
      <c r="H69" s="24">
        <v>0.38</v>
      </c>
      <c r="I69" s="31">
        <v>11.4246</v>
      </c>
      <c r="J69" s="35" t="s">
        <v>514</v>
      </c>
    </row>
    <row r="70" spans="2:10" x14ac:dyDescent="0.25">
      <c r="B70" s="8" t="s">
        <v>634</v>
      </c>
      <c r="C70" s="56" t="s">
        <v>635</v>
      </c>
      <c r="D70" s="53" t="s">
        <v>636</v>
      </c>
      <c r="E70" s="6" t="s">
        <v>624</v>
      </c>
      <c r="F70" s="19">
        <v>1699</v>
      </c>
      <c r="G70" s="24">
        <v>1407.29</v>
      </c>
      <c r="H70" s="24">
        <v>0.38</v>
      </c>
      <c r="I70" s="31">
        <v>11.4246</v>
      </c>
      <c r="J70" s="35" t="s">
        <v>514</v>
      </c>
    </row>
    <row r="71" spans="2:10" x14ac:dyDescent="0.25">
      <c r="B71" s="8" t="s">
        <v>637</v>
      </c>
      <c r="C71" s="56" t="s">
        <v>638</v>
      </c>
      <c r="D71" s="53" t="s">
        <v>639</v>
      </c>
      <c r="E71" s="6" t="s">
        <v>624</v>
      </c>
      <c r="F71" s="19">
        <v>1699</v>
      </c>
      <c r="G71" s="24">
        <v>1407.29</v>
      </c>
      <c r="H71" s="24">
        <v>0.38</v>
      </c>
      <c r="I71" s="31">
        <v>11.4246</v>
      </c>
      <c r="J71" s="35" t="s">
        <v>514</v>
      </c>
    </row>
    <row r="72" spans="2:10" x14ac:dyDescent="0.25">
      <c r="B72" s="8" t="s">
        <v>640</v>
      </c>
      <c r="C72" s="56" t="s">
        <v>641</v>
      </c>
      <c r="D72" s="53" t="s">
        <v>642</v>
      </c>
      <c r="E72" s="6" t="s">
        <v>624</v>
      </c>
      <c r="F72" s="19">
        <v>1699</v>
      </c>
      <c r="G72" s="24">
        <v>1407.29</v>
      </c>
      <c r="H72" s="24">
        <v>0.38</v>
      </c>
      <c r="I72" s="31">
        <v>11.4246</v>
      </c>
      <c r="J72" s="35" t="s">
        <v>514</v>
      </c>
    </row>
    <row r="73" spans="2:10" x14ac:dyDescent="0.25">
      <c r="B73" s="8" t="s">
        <v>643</v>
      </c>
      <c r="C73" s="56" t="s">
        <v>644</v>
      </c>
      <c r="D73" s="53" t="s">
        <v>645</v>
      </c>
      <c r="E73" s="6" t="s">
        <v>624</v>
      </c>
      <c r="F73" s="19">
        <v>1699</v>
      </c>
      <c r="G73" s="24">
        <v>1407.29</v>
      </c>
      <c r="H73" s="24">
        <v>0.38</v>
      </c>
      <c r="I73" s="31">
        <v>11.4246</v>
      </c>
      <c r="J73" s="35" t="s">
        <v>514</v>
      </c>
    </row>
    <row r="74" spans="2:10" x14ac:dyDescent="0.25">
      <c r="B74" s="8" t="s">
        <v>646</v>
      </c>
      <c r="C74" s="56" t="s">
        <v>647</v>
      </c>
      <c r="D74" s="53" t="s">
        <v>648</v>
      </c>
      <c r="E74" s="6" t="s">
        <v>624</v>
      </c>
      <c r="F74" s="19">
        <v>1699</v>
      </c>
      <c r="G74" s="24">
        <v>1407.29</v>
      </c>
      <c r="H74" s="24">
        <v>0.38</v>
      </c>
      <c r="I74" s="31">
        <v>11.4246</v>
      </c>
      <c r="J74" s="35" t="s">
        <v>514</v>
      </c>
    </row>
    <row r="75" spans="2:10" x14ac:dyDescent="0.25">
      <c r="B75" s="8" t="s">
        <v>649</v>
      </c>
      <c r="C75" s="56" t="s">
        <v>650</v>
      </c>
      <c r="D75" s="53" t="s">
        <v>651</v>
      </c>
      <c r="E75" s="6" t="s">
        <v>624</v>
      </c>
      <c r="F75" s="19">
        <v>1699</v>
      </c>
      <c r="G75" s="24">
        <v>1407.29</v>
      </c>
      <c r="H75" s="24">
        <v>0.38</v>
      </c>
      <c r="I75" s="31">
        <v>11.4246</v>
      </c>
      <c r="J75" s="35" t="s">
        <v>514</v>
      </c>
    </row>
    <row r="76" spans="2:10" x14ac:dyDescent="0.25">
      <c r="C76" s="57" t="s">
        <v>35</v>
      </c>
      <c r="D76" s="53"/>
      <c r="E76" s="6"/>
      <c r="F76" s="19"/>
      <c r="G76" s="25">
        <v>27045.37</v>
      </c>
      <c r="H76" s="25">
        <v>7.29</v>
      </c>
      <c r="I76" s="31"/>
      <c r="J76" s="35"/>
    </row>
    <row r="77" spans="2:10" x14ac:dyDescent="0.25">
      <c r="C77" s="56"/>
      <c r="D77" s="53"/>
      <c r="E77" s="6"/>
      <c r="F77" s="19"/>
      <c r="G77" s="24"/>
      <c r="H77" s="24"/>
      <c r="I77" s="31"/>
      <c r="J77" s="35"/>
    </row>
    <row r="78" spans="2:10" x14ac:dyDescent="0.25">
      <c r="C78" s="57" t="s">
        <v>8</v>
      </c>
      <c r="D78" s="53"/>
      <c r="E78" s="6"/>
      <c r="F78" s="19"/>
      <c r="G78" s="24" t="s">
        <v>2</v>
      </c>
      <c r="H78" s="24" t="s">
        <v>2</v>
      </c>
      <c r="I78" s="31"/>
      <c r="J78" s="35"/>
    </row>
    <row r="79" spans="2:10" x14ac:dyDescent="0.25">
      <c r="C79" s="56"/>
      <c r="D79" s="53"/>
      <c r="E79" s="6"/>
      <c r="F79" s="19"/>
      <c r="G79" s="24"/>
      <c r="H79" s="24"/>
      <c r="I79" s="31"/>
      <c r="J79" s="35"/>
    </row>
    <row r="80" spans="2:10" x14ac:dyDescent="0.25">
      <c r="C80" s="59" t="s">
        <v>9</v>
      </c>
      <c r="D80" s="53"/>
      <c r="E80" s="6"/>
      <c r="F80" s="19"/>
      <c r="G80" s="24"/>
      <c r="H80" s="24"/>
      <c r="I80" s="31"/>
      <c r="J80" s="35"/>
    </row>
    <row r="81" spans="2:10" x14ac:dyDescent="0.25">
      <c r="B81" s="8" t="s">
        <v>668</v>
      </c>
      <c r="C81" s="56" t="s">
        <v>669</v>
      </c>
      <c r="D81" s="53" t="s">
        <v>670</v>
      </c>
      <c r="E81" s="6" t="s">
        <v>655</v>
      </c>
      <c r="F81" s="19">
        <v>13500000</v>
      </c>
      <c r="G81" s="24">
        <v>14422.98</v>
      </c>
      <c r="H81" s="24">
        <v>3.88</v>
      </c>
      <c r="I81" s="31">
        <v>6.1906999999999996</v>
      </c>
      <c r="J81" s="35"/>
    </row>
    <row r="82" spans="2:10" x14ac:dyDescent="0.25">
      <c r="B82" s="8" t="s">
        <v>964</v>
      </c>
      <c r="C82" s="56" t="s">
        <v>965</v>
      </c>
      <c r="D82" s="53" t="s">
        <v>966</v>
      </c>
      <c r="E82" s="6" t="s">
        <v>655</v>
      </c>
      <c r="F82" s="19">
        <v>10500000</v>
      </c>
      <c r="G82" s="24">
        <v>11271.51</v>
      </c>
      <c r="H82" s="24">
        <v>3.03</v>
      </c>
      <c r="I82" s="31">
        <v>5.6993</v>
      </c>
      <c r="J82" s="35"/>
    </row>
    <row r="83" spans="2:10" x14ac:dyDescent="0.25">
      <c r="B83" s="8" t="s">
        <v>1346</v>
      </c>
      <c r="C83" s="56" t="s">
        <v>1347</v>
      </c>
      <c r="D83" s="53" t="s">
        <v>1348</v>
      </c>
      <c r="E83" s="6" t="s">
        <v>655</v>
      </c>
      <c r="F83" s="19">
        <v>10000000</v>
      </c>
      <c r="G83" s="24">
        <v>10853.33</v>
      </c>
      <c r="H83" s="24">
        <v>2.92</v>
      </c>
      <c r="I83" s="31">
        <v>5.6924999999999999</v>
      </c>
      <c r="J83" s="35"/>
    </row>
    <row r="84" spans="2:10" x14ac:dyDescent="0.25">
      <c r="B84" s="8" t="s">
        <v>967</v>
      </c>
      <c r="C84" s="56" t="s">
        <v>968</v>
      </c>
      <c r="D84" s="53" t="s">
        <v>969</v>
      </c>
      <c r="E84" s="6" t="s">
        <v>655</v>
      </c>
      <c r="F84" s="19">
        <v>7000000</v>
      </c>
      <c r="G84" s="24">
        <v>6950.05</v>
      </c>
      <c r="H84" s="24">
        <v>1.87</v>
      </c>
      <c r="I84" s="31">
        <v>5.3917000000000002</v>
      </c>
      <c r="J84" s="35"/>
    </row>
    <row r="85" spans="2:10" x14ac:dyDescent="0.25">
      <c r="B85" s="8" t="s">
        <v>970</v>
      </c>
      <c r="C85" s="56" t="s">
        <v>971</v>
      </c>
      <c r="D85" s="53" t="s">
        <v>972</v>
      </c>
      <c r="E85" s="6" t="s">
        <v>655</v>
      </c>
      <c r="F85" s="19">
        <v>3000000</v>
      </c>
      <c r="G85" s="24">
        <v>3098.92</v>
      </c>
      <c r="H85" s="24">
        <v>0.83</v>
      </c>
      <c r="I85" s="31">
        <v>5.2718999999999996</v>
      </c>
      <c r="J85" s="35"/>
    </row>
    <row r="86" spans="2:10" x14ac:dyDescent="0.25">
      <c r="C86" s="57" t="s">
        <v>35</v>
      </c>
      <c r="D86" s="53"/>
      <c r="E86" s="6"/>
      <c r="F86" s="19"/>
      <c r="G86" s="25">
        <v>46596.79</v>
      </c>
      <c r="H86" s="25">
        <v>12.53</v>
      </c>
      <c r="I86" s="31"/>
      <c r="J86" s="35"/>
    </row>
    <row r="87" spans="2:10" x14ac:dyDescent="0.25">
      <c r="C87" s="56"/>
      <c r="D87" s="53"/>
      <c r="E87" s="6"/>
      <c r="F87" s="19"/>
      <c r="G87" s="24"/>
      <c r="H87" s="24"/>
      <c r="I87" s="31"/>
      <c r="J87" s="35"/>
    </row>
    <row r="88" spans="2:10" x14ac:dyDescent="0.25">
      <c r="C88" s="57" t="s">
        <v>10</v>
      </c>
      <c r="D88" s="53"/>
      <c r="E88" s="6"/>
      <c r="F88" s="19"/>
      <c r="G88" s="24" t="s">
        <v>2</v>
      </c>
      <c r="H88" s="24" t="s">
        <v>2</v>
      </c>
      <c r="I88" s="31"/>
      <c r="J88" s="35"/>
    </row>
    <row r="89" spans="2:10" x14ac:dyDescent="0.25">
      <c r="C89" s="56"/>
      <c r="D89" s="53"/>
      <c r="E89" s="6"/>
      <c r="F89" s="19"/>
      <c r="G89" s="24"/>
      <c r="H89" s="24"/>
      <c r="I89" s="31"/>
      <c r="J89" s="35"/>
    </row>
    <row r="90" spans="2:10" x14ac:dyDescent="0.25">
      <c r="C90" s="57" t="s">
        <v>11</v>
      </c>
      <c r="D90" s="53"/>
      <c r="E90" s="6"/>
      <c r="F90" s="19"/>
      <c r="G90" s="24"/>
      <c r="H90" s="24"/>
      <c r="I90" s="31"/>
      <c r="J90" s="35"/>
    </row>
    <row r="91" spans="2:10" x14ac:dyDescent="0.25">
      <c r="C91" s="56"/>
      <c r="D91" s="53"/>
      <c r="E91" s="6"/>
      <c r="F91" s="19"/>
      <c r="G91" s="24"/>
      <c r="H91" s="24"/>
      <c r="I91" s="31"/>
      <c r="J91" s="35"/>
    </row>
    <row r="92" spans="2:10" x14ac:dyDescent="0.25">
      <c r="C92" s="57" t="s">
        <v>13</v>
      </c>
      <c r="D92" s="53"/>
      <c r="E92" s="6"/>
      <c r="F92" s="19"/>
      <c r="G92" s="24" t="s">
        <v>2</v>
      </c>
      <c r="H92" s="24" t="s">
        <v>2</v>
      </c>
      <c r="I92" s="31"/>
      <c r="J92" s="35"/>
    </row>
    <row r="93" spans="2:10" x14ac:dyDescent="0.25">
      <c r="C93" s="56"/>
      <c r="D93" s="53"/>
      <c r="E93" s="6"/>
      <c r="F93" s="19"/>
      <c r="G93" s="24"/>
      <c r="H93" s="24"/>
      <c r="I93" s="31"/>
      <c r="J93" s="35"/>
    </row>
    <row r="94" spans="2:10" x14ac:dyDescent="0.25">
      <c r="C94" s="57" t="s">
        <v>14</v>
      </c>
      <c r="D94" s="53"/>
      <c r="E94" s="6"/>
      <c r="F94" s="19"/>
      <c r="G94" s="24" t="s">
        <v>2</v>
      </c>
      <c r="H94" s="24" t="s">
        <v>2</v>
      </c>
      <c r="I94" s="31"/>
      <c r="J94" s="35"/>
    </row>
    <row r="95" spans="2:10" x14ac:dyDescent="0.25">
      <c r="C95" s="56"/>
      <c r="D95" s="53"/>
      <c r="E95" s="6"/>
      <c r="F95" s="19"/>
      <c r="G95" s="24"/>
      <c r="H95" s="24"/>
      <c r="I95" s="31"/>
      <c r="J95" s="35"/>
    </row>
    <row r="96" spans="2:10" x14ac:dyDescent="0.25">
      <c r="C96" s="57" t="s">
        <v>15</v>
      </c>
      <c r="D96" s="53"/>
      <c r="E96" s="6"/>
      <c r="F96" s="19"/>
      <c r="G96" s="24" t="s">
        <v>2</v>
      </c>
      <c r="H96" s="24" t="s">
        <v>2</v>
      </c>
      <c r="I96" s="31"/>
      <c r="J96" s="35"/>
    </row>
    <row r="97" spans="1:10" x14ac:dyDescent="0.25">
      <c r="C97" s="56"/>
      <c r="D97" s="53"/>
      <c r="E97" s="6"/>
      <c r="F97" s="19"/>
      <c r="G97" s="24"/>
      <c r="H97" s="24"/>
      <c r="I97" s="31"/>
      <c r="J97" s="35"/>
    </row>
    <row r="98" spans="1:10" x14ac:dyDescent="0.25">
      <c r="C98" s="57" t="s">
        <v>16</v>
      </c>
      <c r="D98" s="53"/>
      <c r="E98" s="6"/>
      <c r="F98" s="19"/>
      <c r="G98" s="24" t="s">
        <v>2</v>
      </c>
      <c r="H98" s="24" t="s">
        <v>2</v>
      </c>
      <c r="I98" s="31"/>
      <c r="J98" s="35"/>
    </row>
    <row r="99" spans="1:10" x14ac:dyDescent="0.25">
      <c r="C99" s="56"/>
      <c r="D99" s="53"/>
      <c r="E99" s="6"/>
      <c r="F99" s="19"/>
      <c r="G99" s="24"/>
      <c r="H99" s="24"/>
      <c r="I99" s="31"/>
      <c r="J99" s="35"/>
    </row>
    <row r="100" spans="1:10" x14ac:dyDescent="0.25">
      <c r="A100" s="10"/>
      <c r="B100" s="28"/>
      <c r="C100" s="58" t="s">
        <v>17</v>
      </c>
      <c r="D100" s="53"/>
      <c r="E100" s="6"/>
      <c r="F100" s="19"/>
      <c r="G100" s="24"/>
      <c r="H100" s="24"/>
      <c r="I100" s="31"/>
      <c r="J100" s="35"/>
    </row>
    <row r="101" spans="1:10" x14ac:dyDescent="0.25">
      <c r="A101" s="28"/>
      <c r="B101" s="28"/>
      <c r="C101" s="58" t="s">
        <v>18</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19</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A105" s="28"/>
      <c r="B105" s="28"/>
      <c r="C105" s="58" t="s">
        <v>20</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A107" s="28"/>
      <c r="B107" s="28"/>
      <c r="C107" s="58" t="s">
        <v>21</v>
      </c>
      <c r="D107" s="53"/>
      <c r="E107" s="6"/>
      <c r="F107" s="19"/>
      <c r="G107" s="24" t="s">
        <v>2</v>
      </c>
      <c r="H107" s="24" t="s">
        <v>2</v>
      </c>
      <c r="I107" s="31"/>
      <c r="J107" s="35"/>
    </row>
    <row r="108" spans="1:10" x14ac:dyDescent="0.25">
      <c r="A108" s="28"/>
      <c r="B108" s="28"/>
      <c r="C108" s="58"/>
      <c r="D108" s="53"/>
      <c r="E108" s="6"/>
      <c r="F108" s="19"/>
      <c r="G108" s="24"/>
      <c r="H108" s="24"/>
      <c r="I108" s="31"/>
      <c r="J108" s="35"/>
    </row>
    <row r="109" spans="1:10" x14ac:dyDescent="0.25">
      <c r="C109" s="59" t="s">
        <v>22</v>
      </c>
      <c r="D109" s="53"/>
      <c r="E109" s="6"/>
      <c r="F109" s="19"/>
      <c r="G109" s="24"/>
      <c r="H109" s="24"/>
      <c r="I109" s="31"/>
      <c r="J109" s="35"/>
    </row>
    <row r="110" spans="1:10" x14ac:dyDescent="0.25">
      <c r="B110" s="8" t="s">
        <v>33</v>
      </c>
      <c r="C110" s="56" t="s">
        <v>34</v>
      </c>
      <c r="D110" s="53"/>
      <c r="E110" s="6"/>
      <c r="F110" s="19"/>
      <c r="G110" s="24">
        <v>5094.3500000000004</v>
      </c>
      <c r="H110" s="24">
        <v>1.37</v>
      </c>
      <c r="I110" s="31"/>
      <c r="J110" s="35"/>
    </row>
    <row r="111" spans="1:10" x14ac:dyDescent="0.25">
      <c r="C111" s="57" t="s">
        <v>35</v>
      </c>
      <c r="D111" s="53"/>
      <c r="E111" s="6"/>
      <c r="F111" s="19"/>
      <c r="G111" s="25">
        <v>5094.3500000000004</v>
      </c>
      <c r="H111" s="25">
        <v>1.37</v>
      </c>
      <c r="I111" s="31"/>
      <c r="J111" s="35"/>
    </row>
    <row r="112" spans="1:10" x14ac:dyDescent="0.25">
      <c r="C112" s="56"/>
      <c r="D112" s="53"/>
      <c r="E112" s="6"/>
      <c r="F112" s="19"/>
      <c r="G112" s="24"/>
      <c r="H112" s="24"/>
      <c r="I112" s="31"/>
      <c r="J112" s="35"/>
    </row>
    <row r="113" spans="1:10" x14ac:dyDescent="0.25">
      <c r="A113" s="10"/>
      <c r="B113" s="28"/>
      <c r="C113" s="58" t="s">
        <v>23</v>
      </c>
      <c r="D113" s="53"/>
      <c r="E113" s="6"/>
      <c r="F113" s="19"/>
      <c r="G113" s="24"/>
      <c r="H113" s="24"/>
      <c r="I113" s="31"/>
      <c r="J113" s="35"/>
    </row>
    <row r="114" spans="1:10" x14ac:dyDescent="0.25">
      <c r="A114" s="28"/>
      <c r="B114" s="28"/>
      <c r="C114" s="60" t="s">
        <v>3398</v>
      </c>
      <c r="D114" s="53"/>
      <c r="E114" s="6"/>
      <c r="F114" s="19"/>
      <c r="G114" s="24" t="s">
        <v>2</v>
      </c>
      <c r="H114" s="24" t="s">
        <v>2</v>
      </c>
      <c r="I114" s="31"/>
      <c r="J114" s="35"/>
    </row>
    <row r="115" spans="1:10" x14ac:dyDescent="0.25">
      <c r="B115" s="8"/>
      <c r="C115" s="56" t="s">
        <v>36</v>
      </c>
      <c r="D115" s="53"/>
      <c r="E115" s="6"/>
      <c r="F115" s="19"/>
      <c r="G115" s="24">
        <v>7677.97</v>
      </c>
      <c r="H115" s="24">
        <v>2.0500000000000003</v>
      </c>
      <c r="I115" s="31"/>
      <c r="J115" s="35"/>
    </row>
    <row r="116" spans="1:10" x14ac:dyDescent="0.25">
      <c r="C116" s="57" t="s">
        <v>35</v>
      </c>
      <c r="D116" s="53"/>
      <c r="E116" s="6"/>
      <c r="F116" s="19"/>
      <c r="G116" s="25">
        <v>7677.97</v>
      </c>
      <c r="H116" s="25">
        <v>2.0500000000000003</v>
      </c>
      <c r="I116" s="31"/>
      <c r="J116" s="35"/>
    </row>
    <row r="117" spans="1:10" x14ac:dyDescent="0.25">
      <c r="C117" s="56"/>
      <c r="D117" s="53"/>
      <c r="E117" s="6"/>
      <c r="F117" s="19"/>
      <c r="G117" s="24"/>
      <c r="H117" s="24"/>
      <c r="I117" s="31"/>
      <c r="J117" s="35"/>
    </row>
    <row r="118" spans="1:10" x14ac:dyDescent="0.25">
      <c r="C118" s="61" t="s">
        <v>37</v>
      </c>
      <c r="D118" s="54"/>
      <c r="E118" s="5"/>
      <c r="F118" s="20"/>
      <c r="G118" s="26">
        <v>372125.09</v>
      </c>
      <c r="H118" s="26">
        <f>SUMIFS(H:H,C:C,"Total")</f>
        <v>100.00000000000001</v>
      </c>
      <c r="I118" s="32"/>
      <c r="J118" s="36"/>
    </row>
    <row r="121" spans="1:10" x14ac:dyDescent="0.25">
      <c r="C121" s="1" t="s">
        <v>38</v>
      </c>
    </row>
    <row r="122" spans="1:10" x14ac:dyDescent="0.25">
      <c r="C122" s="2" t="s">
        <v>39</v>
      </c>
    </row>
    <row r="123" spans="1:10" x14ac:dyDescent="0.25">
      <c r="C123" s="2" t="s">
        <v>40</v>
      </c>
    </row>
    <row r="124" spans="1:10" x14ac:dyDescent="0.25">
      <c r="C124" s="2" t="s">
        <v>3430</v>
      </c>
    </row>
    <row r="125" spans="1:10" x14ac:dyDescent="0.25">
      <c r="C125" s="105" t="s">
        <v>3409</v>
      </c>
      <c r="D125" s="105"/>
      <c r="E125" s="105"/>
      <c r="F125" s="105"/>
      <c r="G125" s="106"/>
    </row>
    <row r="126" spans="1:10" ht="76.5" x14ac:dyDescent="0.25">
      <c r="C126" s="107" t="s">
        <v>3410</v>
      </c>
      <c r="D126" s="107" t="s">
        <v>27</v>
      </c>
      <c r="E126" s="107" t="s">
        <v>3411</v>
      </c>
      <c r="F126" s="107" t="s">
        <v>3412</v>
      </c>
      <c r="G126" s="108" t="s">
        <v>3413</v>
      </c>
    </row>
    <row r="127" spans="1:10" ht="15" x14ac:dyDescent="0.25">
      <c r="C127" s="109" t="s">
        <v>3416</v>
      </c>
      <c r="D127" s="109" t="s">
        <v>3417</v>
      </c>
      <c r="E127" s="110">
        <v>0</v>
      </c>
      <c r="F127" s="111">
        <v>0</v>
      </c>
      <c r="G127" s="110">
        <v>13612.5</v>
      </c>
    </row>
    <row r="128" spans="1:10" ht="15" x14ac:dyDescent="0.25">
      <c r="C128" s="109" t="s">
        <v>3414</v>
      </c>
      <c r="D128" s="109" t="s">
        <v>3415</v>
      </c>
      <c r="E128" s="110">
        <v>0</v>
      </c>
      <c r="F128" s="111">
        <v>0</v>
      </c>
      <c r="G128" s="110">
        <v>2717.5</v>
      </c>
    </row>
  </sheetData>
  <hyperlinks>
    <hyperlink ref="J2" location="'Index'!A1" display="'Index'!A1"/>
  </hyperlinks>
  <pageMargins left="0.7" right="0.7" top="0.75" bottom="0.75" header="0.3" footer="0.3"/>
  <pageSetup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8"/>
  <dimension ref="A1:J9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1349</v>
      </c>
      <c r="J2" s="37" t="s">
        <v>3307</v>
      </c>
    </row>
    <row r="3" spans="1:10" ht="16.5" x14ac:dyDescent="0.3">
      <c r="C3" s="1" t="s">
        <v>24</v>
      </c>
      <c r="D3" s="21" t="s">
        <v>1350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7000000</v>
      </c>
      <c r="G10" s="24">
        <v>75502</v>
      </c>
      <c r="H10" s="24">
        <v>7.47</v>
      </c>
      <c r="I10" s="31"/>
      <c r="J10" s="35"/>
    </row>
    <row r="11" spans="1:10" x14ac:dyDescent="0.25">
      <c r="B11" s="8" t="s">
        <v>415</v>
      </c>
      <c r="C11" s="56" t="s">
        <v>416</v>
      </c>
      <c r="D11" s="53" t="s">
        <v>417</v>
      </c>
      <c r="E11" s="6" t="s">
        <v>90</v>
      </c>
      <c r="F11" s="19">
        <v>613891</v>
      </c>
      <c r="G11" s="24">
        <v>61061.9</v>
      </c>
      <c r="H11" s="24">
        <v>6.04</v>
      </c>
      <c r="I11" s="31"/>
      <c r="J11" s="35"/>
    </row>
    <row r="12" spans="1:10" x14ac:dyDescent="0.25">
      <c r="B12" s="8" t="s">
        <v>91</v>
      </c>
      <c r="C12" s="56" t="s">
        <v>92</v>
      </c>
      <c r="D12" s="53" t="s">
        <v>93</v>
      </c>
      <c r="E12" s="6" t="s">
        <v>94</v>
      </c>
      <c r="F12" s="19">
        <v>1700000</v>
      </c>
      <c r="G12" s="24">
        <v>55736.2</v>
      </c>
      <c r="H12" s="24">
        <v>5.51</v>
      </c>
      <c r="I12" s="31"/>
      <c r="J12" s="35"/>
    </row>
    <row r="13" spans="1:10" x14ac:dyDescent="0.25">
      <c r="B13" s="8" t="s">
        <v>143</v>
      </c>
      <c r="C13" s="56" t="s">
        <v>144</v>
      </c>
      <c r="D13" s="53" t="s">
        <v>145</v>
      </c>
      <c r="E13" s="6" t="s">
        <v>146</v>
      </c>
      <c r="F13" s="19">
        <v>2500000</v>
      </c>
      <c r="G13" s="24">
        <v>55078.75</v>
      </c>
      <c r="H13" s="24">
        <v>5.45</v>
      </c>
      <c r="I13" s="31"/>
      <c r="J13" s="35"/>
    </row>
    <row r="14" spans="1:10" x14ac:dyDescent="0.25">
      <c r="B14" s="8" t="s">
        <v>65</v>
      </c>
      <c r="C14" s="56" t="s">
        <v>66</v>
      </c>
      <c r="D14" s="53" t="s">
        <v>67</v>
      </c>
      <c r="E14" s="6" t="s">
        <v>68</v>
      </c>
      <c r="F14" s="19">
        <v>13000000</v>
      </c>
      <c r="G14" s="24">
        <v>54723.5</v>
      </c>
      <c r="H14" s="24">
        <v>5.41</v>
      </c>
      <c r="I14" s="31"/>
      <c r="J14" s="35"/>
    </row>
    <row r="15" spans="1:10" x14ac:dyDescent="0.25">
      <c r="B15" s="8" t="s">
        <v>112</v>
      </c>
      <c r="C15" s="56" t="s">
        <v>113</v>
      </c>
      <c r="D15" s="53" t="s">
        <v>114</v>
      </c>
      <c r="E15" s="6" t="s">
        <v>111</v>
      </c>
      <c r="F15" s="19">
        <v>1700000</v>
      </c>
      <c r="G15" s="24">
        <v>51815.15</v>
      </c>
      <c r="H15" s="24">
        <v>5.12</v>
      </c>
      <c r="I15" s="31"/>
      <c r="J15" s="35"/>
    </row>
    <row r="16" spans="1:10" x14ac:dyDescent="0.25">
      <c r="B16" s="8" t="s">
        <v>59</v>
      </c>
      <c r="C16" s="56" t="s">
        <v>60</v>
      </c>
      <c r="D16" s="53" t="s">
        <v>61</v>
      </c>
      <c r="E16" s="6" t="s">
        <v>51</v>
      </c>
      <c r="F16" s="19">
        <v>3900000</v>
      </c>
      <c r="G16" s="24">
        <v>49459.8</v>
      </c>
      <c r="H16" s="24">
        <v>4.8899999999999997</v>
      </c>
      <c r="I16" s="31"/>
      <c r="J16" s="35"/>
    </row>
    <row r="17" spans="2:10" x14ac:dyDescent="0.25">
      <c r="B17" s="8" t="s">
        <v>180</v>
      </c>
      <c r="C17" s="56" t="s">
        <v>53</v>
      </c>
      <c r="D17" s="53" t="s">
        <v>181</v>
      </c>
      <c r="E17" s="6" t="s">
        <v>55</v>
      </c>
      <c r="F17" s="19">
        <v>2900000</v>
      </c>
      <c r="G17" s="24">
        <v>38961.5</v>
      </c>
      <c r="H17" s="24">
        <v>3.85</v>
      </c>
      <c r="I17" s="31"/>
      <c r="J17" s="35" t="s">
        <v>182</v>
      </c>
    </row>
    <row r="18" spans="2:10" x14ac:dyDescent="0.25">
      <c r="B18" s="8" t="s">
        <v>229</v>
      </c>
      <c r="C18" s="56" t="s">
        <v>230</v>
      </c>
      <c r="D18" s="53" t="s">
        <v>231</v>
      </c>
      <c r="E18" s="6" t="s">
        <v>94</v>
      </c>
      <c r="F18" s="19">
        <v>3300000</v>
      </c>
      <c r="G18" s="24">
        <v>37359.300000000003</v>
      </c>
      <c r="H18" s="24">
        <v>3.69</v>
      </c>
      <c r="I18" s="31"/>
      <c r="J18" s="35"/>
    </row>
    <row r="19" spans="2:10" x14ac:dyDescent="0.25">
      <c r="B19" s="8" t="s">
        <v>282</v>
      </c>
      <c r="C19" s="56" t="s">
        <v>283</v>
      </c>
      <c r="D19" s="53" t="s">
        <v>284</v>
      </c>
      <c r="E19" s="6" t="s">
        <v>254</v>
      </c>
      <c r="F19" s="19">
        <v>4077371</v>
      </c>
      <c r="G19" s="24">
        <v>35045</v>
      </c>
      <c r="H19" s="24">
        <v>3.46</v>
      </c>
      <c r="I19" s="31"/>
      <c r="J19" s="35"/>
    </row>
    <row r="20" spans="2:10" x14ac:dyDescent="0.25">
      <c r="B20" s="8" t="s">
        <v>307</v>
      </c>
      <c r="C20" s="56" t="s">
        <v>308</v>
      </c>
      <c r="D20" s="53" t="s">
        <v>309</v>
      </c>
      <c r="E20" s="6" t="s">
        <v>90</v>
      </c>
      <c r="F20" s="19">
        <v>4449323</v>
      </c>
      <c r="G20" s="24">
        <v>34702.49</v>
      </c>
      <c r="H20" s="24">
        <v>3.43</v>
      </c>
      <c r="I20" s="31"/>
      <c r="J20" s="35"/>
    </row>
    <row r="21" spans="2:10" x14ac:dyDescent="0.25">
      <c r="B21" s="8" t="s">
        <v>409</v>
      </c>
      <c r="C21" s="56" t="s">
        <v>410</v>
      </c>
      <c r="D21" s="53" t="s">
        <v>411</v>
      </c>
      <c r="E21" s="6" t="s">
        <v>98</v>
      </c>
      <c r="F21" s="19">
        <v>500000</v>
      </c>
      <c r="G21" s="24">
        <v>33717.25</v>
      </c>
      <c r="H21" s="24">
        <v>3.33</v>
      </c>
      <c r="I21" s="31"/>
      <c r="J21" s="35"/>
    </row>
    <row r="22" spans="2:10" x14ac:dyDescent="0.25">
      <c r="B22" s="8" t="s">
        <v>480</v>
      </c>
      <c r="C22" s="56" t="s">
        <v>481</v>
      </c>
      <c r="D22" s="53" t="s">
        <v>482</v>
      </c>
      <c r="E22" s="6" t="s">
        <v>142</v>
      </c>
      <c r="F22" s="19">
        <v>9479775</v>
      </c>
      <c r="G22" s="24">
        <v>32397.13</v>
      </c>
      <c r="H22" s="24">
        <v>3.2</v>
      </c>
      <c r="I22" s="31"/>
      <c r="J22" s="35"/>
    </row>
    <row r="23" spans="2:10" x14ac:dyDescent="0.25">
      <c r="B23" s="8" t="s">
        <v>339</v>
      </c>
      <c r="C23" s="56" t="s">
        <v>340</v>
      </c>
      <c r="D23" s="53" t="s">
        <v>341</v>
      </c>
      <c r="E23" s="6" t="s">
        <v>261</v>
      </c>
      <c r="F23" s="19">
        <v>10000000</v>
      </c>
      <c r="G23" s="24">
        <v>31335</v>
      </c>
      <c r="H23" s="24">
        <v>3.1</v>
      </c>
      <c r="I23" s="31"/>
      <c r="J23" s="35"/>
    </row>
    <row r="24" spans="2:10" x14ac:dyDescent="0.25">
      <c r="B24" s="8" t="s">
        <v>255</v>
      </c>
      <c r="C24" s="56" t="s">
        <v>256</v>
      </c>
      <c r="D24" s="53" t="s">
        <v>257</v>
      </c>
      <c r="E24" s="6" t="s">
        <v>51</v>
      </c>
      <c r="F24" s="19">
        <v>11000000</v>
      </c>
      <c r="G24" s="24">
        <v>30030</v>
      </c>
      <c r="H24" s="24">
        <v>2.97</v>
      </c>
      <c r="I24" s="31"/>
      <c r="J24" s="35"/>
    </row>
    <row r="25" spans="2:10" x14ac:dyDescent="0.25">
      <c r="B25" s="8" t="s">
        <v>69</v>
      </c>
      <c r="C25" s="56" t="s">
        <v>70</v>
      </c>
      <c r="D25" s="53" t="s">
        <v>71</v>
      </c>
      <c r="E25" s="6" t="s">
        <v>72</v>
      </c>
      <c r="F25" s="19">
        <v>140000</v>
      </c>
      <c r="G25" s="24">
        <v>29870.33</v>
      </c>
      <c r="H25" s="24">
        <v>2.95</v>
      </c>
      <c r="I25" s="31"/>
      <c r="J25" s="35"/>
    </row>
    <row r="26" spans="2:10" x14ac:dyDescent="0.25">
      <c r="B26" s="8" t="s">
        <v>492</v>
      </c>
      <c r="C26" s="56" t="s">
        <v>493</v>
      </c>
      <c r="D26" s="53" t="s">
        <v>494</v>
      </c>
      <c r="E26" s="6" t="s">
        <v>195</v>
      </c>
      <c r="F26" s="19">
        <v>2643638</v>
      </c>
      <c r="G26" s="24">
        <v>27351.08</v>
      </c>
      <c r="H26" s="24">
        <v>2.7</v>
      </c>
      <c r="I26" s="31"/>
      <c r="J26" s="35"/>
    </row>
    <row r="27" spans="2:10" x14ac:dyDescent="0.25">
      <c r="B27" s="8" t="s">
        <v>209</v>
      </c>
      <c r="C27" s="56" t="s">
        <v>210</v>
      </c>
      <c r="D27" s="53" t="s">
        <v>211</v>
      </c>
      <c r="E27" s="6" t="s">
        <v>83</v>
      </c>
      <c r="F27" s="19">
        <v>4000000</v>
      </c>
      <c r="G27" s="24">
        <v>26666</v>
      </c>
      <c r="H27" s="24">
        <v>2.64</v>
      </c>
      <c r="I27" s="31"/>
      <c r="J27" s="35"/>
    </row>
    <row r="28" spans="2:10" x14ac:dyDescent="0.25">
      <c r="B28" s="8" t="s">
        <v>1351</v>
      </c>
      <c r="C28" s="56" t="s">
        <v>1352</v>
      </c>
      <c r="D28" s="53" t="s">
        <v>1353</v>
      </c>
      <c r="E28" s="6" t="s">
        <v>195</v>
      </c>
      <c r="F28" s="19">
        <v>770000</v>
      </c>
      <c r="G28" s="24">
        <v>20579.79</v>
      </c>
      <c r="H28" s="24">
        <v>2.0299999999999998</v>
      </c>
      <c r="I28" s="31"/>
      <c r="J28" s="35"/>
    </row>
    <row r="29" spans="2:10" x14ac:dyDescent="0.25">
      <c r="B29" s="8" t="s">
        <v>1354</v>
      </c>
      <c r="C29" s="56" t="s">
        <v>1355</v>
      </c>
      <c r="D29" s="53" t="s">
        <v>1356</v>
      </c>
      <c r="E29" s="6" t="s">
        <v>826</v>
      </c>
      <c r="F29" s="19">
        <v>9000000</v>
      </c>
      <c r="G29" s="24">
        <v>19858.5</v>
      </c>
      <c r="H29" s="24">
        <v>1.96</v>
      </c>
      <c r="I29" s="31"/>
      <c r="J29" s="35"/>
    </row>
    <row r="30" spans="2:10" x14ac:dyDescent="0.25">
      <c r="B30" s="8" t="s">
        <v>1357</v>
      </c>
      <c r="C30" s="56" t="s">
        <v>1358</v>
      </c>
      <c r="D30" s="53" t="s">
        <v>1359</v>
      </c>
      <c r="E30" s="6" t="s">
        <v>196</v>
      </c>
      <c r="F30" s="19">
        <v>3000000</v>
      </c>
      <c r="G30" s="24">
        <v>18129</v>
      </c>
      <c r="H30" s="24">
        <v>1.79</v>
      </c>
      <c r="I30" s="31"/>
      <c r="J30" s="35"/>
    </row>
    <row r="31" spans="2:10" x14ac:dyDescent="0.25">
      <c r="B31" s="8" t="s">
        <v>893</v>
      </c>
      <c r="C31" s="56" t="s">
        <v>894</v>
      </c>
      <c r="D31" s="53" t="s">
        <v>895</v>
      </c>
      <c r="E31" s="6" t="s">
        <v>261</v>
      </c>
      <c r="F31" s="19">
        <v>82980174</v>
      </c>
      <c r="G31" s="24">
        <v>16762</v>
      </c>
      <c r="H31" s="24">
        <v>1.66</v>
      </c>
      <c r="I31" s="31"/>
      <c r="J31" s="35"/>
    </row>
    <row r="32" spans="2:10" x14ac:dyDescent="0.25">
      <c r="B32" s="8" t="s">
        <v>1360</v>
      </c>
      <c r="C32" s="56" t="s">
        <v>1361</v>
      </c>
      <c r="D32" s="53" t="s">
        <v>1362</v>
      </c>
      <c r="E32" s="6" t="s">
        <v>83</v>
      </c>
      <c r="F32" s="19">
        <v>2512375</v>
      </c>
      <c r="G32" s="24">
        <v>16108.09</v>
      </c>
      <c r="H32" s="24">
        <v>1.59</v>
      </c>
      <c r="I32" s="31"/>
      <c r="J32" s="35"/>
    </row>
    <row r="33" spans="2:10" x14ac:dyDescent="0.25">
      <c r="B33" s="8" t="s">
        <v>115</v>
      </c>
      <c r="C33" s="56" t="s">
        <v>116</v>
      </c>
      <c r="D33" s="53" t="s">
        <v>117</v>
      </c>
      <c r="E33" s="6" t="s">
        <v>94</v>
      </c>
      <c r="F33" s="19">
        <v>1074021</v>
      </c>
      <c r="G33" s="24">
        <v>13956.9</v>
      </c>
      <c r="H33" s="24">
        <v>1.38</v>
      </c>
      <c r="I33" s="31"/>
      <c r="J33" s="35"/>
    </row>
    <row r="34" spans="2:10" x14ac:dyDescent="0.25">
      <c r="B34" s="8" t="s">
        <v>215</v>
      </c>
      <c r="C34" s="56" t="s">
        <v>216</v>
      </c>
      <c r="D34" s="53" t="s">
        <v>217</v>
      </c>
      <c r="E34" s="6" t="s">
        <v>218</v>
      </c>
      <c r="F34" s="19">
        <v>12952870</v>
      </c>
      <c r="G34" s="24">
        <v>12305.23</v>
      </c>
      <c r="H34" s="24">
        <v>1.22</v>
      </c>
      <c r="I34" s="31"/>
      <c r="J34" s="35"/>
    </row>
    <row r="35" spans="2:10" x14ac:dyDescent="0.25">
      <c r="B35" s="8" t="s">
        <v>222</v>
      </c>
      <c r="C35" s="56" t="s">
        <v>223</v>
      </c>
      <c r="D35" s="53" t="s">
        <v>224</v>
      </c>
      <c r="E35" s="6" t="s">
        <v>83</v>
      </c>
      <c r="F35" s="19">
        <v>28887</v>
      </c>
      <c r="G35" s="24">
        <v>383.24</v>
      </c>
      <c r="H35" s="24">
        <v>0.04</v>
      </c>
      <c r="I35" s="31"/>
      <c r="J35" s="35"/>
    </row>
    <row r="36" spans="2:10" x14ac:dyDescent="0.25">
      <c r="C36" s="57" t="s">
        <v>35</v>
      </c>
      <c r="D36" s="53"/>
      <c r="E36" s="6"/>
      <c r="F36" s="19"/>
      <c r="G36" s="25">
        <f>SUM(XDO_?FINAL_MV?142?)</f>
        <v>878895.12999999989</v>
      </c>
      <c r="H36" s="25">
        <f>SUM(XDO_?FINAL_PER_NET?142?)</f>
        <v>86.88000000000001</v>
      </c>
      <c r="I36" s="31"/>
      <c r="J36" s="35"/>
    </row>
    <row r="37" spans="2:10" x14ac:dyDescent="0.25">
      <c r="C37" s="56"/>
      <c r="D37" s="53"/>
      <c r="E37" s="6"/>
      <c r="F37" s="19"/>
      <c r="G37" s="24"/>
      <c r="H37" s="24"/>
      <c r="I37" s="31"/>
      <c r="J37" s="35"/>
    </row>
    <row r="38" spans="2:10" x14ac:dyDescent="0.25">
      <c r="C38" s="57" t="s">
        <v>3</v>
      </c>
      <c r="D38" s="53"/>
      <c r="E38" s="6"/>
      <c r="F38" s="19"/>
      <c r="G38" s="24" t="s">
        <v>2</v>
      </c>
      <c r="H38" s="24" t="s">
        <v>2</v>
      </c>
      <c r="I38" s="31"/>
      <c r="J38" s="35"/>
    </row>
    <row r="39" spans="2:10" x14ac:dyDescent="0.25">
      <c r="C39" s="56"/>
      <c r="D39" s="53"/>
      <c r="E39" s="6"/>
      <c r="F39" s="19"/>
      <c r="G39" s="24"/>
      <c r="H39" s="24"/>
      <c r="I39" s="31"/>
      <c r="J39" s="35"/>
    </row>
    <row r="40" spans="2:10" x14ac:dyDescent="0.25">
      <c r="C40" s="59" t="s">
        <v>4</v>
      </c>
      <c r="D40" s="53"/>
      <c r="E40" s="6"/>
      <c r="F40" s="19"/>
      <c r="G40" s="24"/>
      <c r="H40" s="24"/>
      <c r="I40" s="31"/>
      <c r="J40" s="35"/>
    </row>
    <row r="41" spans="2:10" x14ac:dyDescent="0.25">
      <c r="B41" s="8" t="s">
        <v>445</v>
      </c>
      <c r="C41" s="56" t="s">
        <v>446</v>
      </c>
      <c r="D41" s="53" t="s">
        <v>447</v>
      </c>
      <c r="E41" s="6" t="s">
        <v>47</v>
      </c>
      <c r="F41" s="19">
        <v>59000</v>
      </c>
      <c r="G41" s="24">
        <v>63831.54</v>
      </c>
      <c r="H41" s="24">
        <v>6.31</v>
      </c>
      <c r="I41" s="31"/>
      <c r="J41" s="35"/>
    </row>
    <row r="42" spans="2:10" x14ac:dyDescent="0.25">
      <c r="B42" s="8" t="s">
        <v>764</v>
      </c>
      <c r="C42" s="56" t="s">
        <v>765</v>
      </c>
      <c r="D42" s="53" t="s">
        <v>766</v>
      </c>
      <c r="E42" s="6" t="s">
        <v>47</v>
      </c>
      <c r="F42" s="19">
        <v>150000</v>
      </c>
      <c r="G42" s="24">
        <v>22943</v>
      </c>
      <c r="H42" s="24">
        <v>2.27</v>
      </c>
      <c r="I42" s="31"/>
      <c r="J42" s="35"/>
    </row>
    <row r="43" spans="2:10" x14ac:dyDescent="0.25">
      <c r="C43" s="57" t="s">
        <v>35</v>
      </c>
      <c r="D43" s="53"/>
      <c r="E43" s="6"/>
      <c r="F43" s="19"/>
      <c r="G43" s="25">
        <f>SUM(G41:G42)</f>
        <v>86774.540000000008</v>
      </c>
      <c r="H43" s="25">
        <f>SUM(H41:H42)</f>
        <v>8.58</v>
      </c>
      <c r="I43" s="31"/>
      <c r="J43" s="35"/>
    </row>
    <row r="44" spans="2:10" x14ac:dyDescent="0.25">
      <c r="C44" s="56"/>
      <c r="D44" s="53"/>
      <c r="E44" s="6"/>
      <c r="F44" s="19"/>
      <c r="G44" s="24"/>
      <c r="H44" s="24"/>
      <c r="I44" s="31"/>
      <c r="J44" s="35"/>
    </row>
    <row r="45" spans="2:10" x14ac:dyDescent="0.25">
      <c r="C45" s="57" t="s">
        <v>5</v>
      </c>
      <c r="D45" s="53"/>
      <c r="E45" s="6"/>
      <c r="F45" s="19"/>
      <c r="G45" s="24"/>
      <c r="H45" s="24"/>
      <c r="I45" s="31"/>
      <c r="J45" s="35"/>
    </row>
    <row r="46" spans="2:10" x14ac:dyDescent="0.25">
      <c r="C46" s="56"/>
      <c r="D46" s="53"/>
      <c r="E46" s="6"/>
      <c r="F46" s="19"/>
      <c r="G46" s="24"/>
      <c r="H46" s="24"/>
      <c r="I46" s="31"/>
      <c r="J46" s="35"/>
    </row>
    <row r="47" spans="2:10" x14ac:dyDescent="0.25">
      <c r="C47" s="57" t="s">
        <v>6</v>
      </c>
      <c r="D47" s="53"/>
      <c r="E47" s="6"/>
      <c r="F47" s="19"/>
      <c r="G47" s="24" t="s">
        <v>2</v>
      </c>
      <c r="H47" s="24" t="s">
        <v>2</v>
      </c>
      <c r="I47" s="31"/>
      <c r="J47" s="35"/>
    </row>
    <row r="48" spans="2:10" x14ac:dyDescent="0.25">
      <c r="C48" s="56"/>
      <c r="D48" s="53"/>
      <c r="E48" s="6"/>
      <c r="F48" s="19"/>
      <c r="G48" s="24"/>
      <c r="H48" s="24"/>
      <c r="I48" s="31"/>
      <c r="J48" s="35"/>
    </row>
    <row r="49" spans="3:10" x14ac:dyDescent="0.25">
      <c r="C49" s="57" t="s">
        <v>7</v>
      </c>
      <c r="D49" s="53"/>
      <c r="E49" s="6"/>
      <c r="F49" s="19"/>
      <c r="G49" s="24" t="s">
        <v>2</v>
      </c>
      <c r="H49" s="24" t="s">
        <v>2</v>
      </c>
      <c r="I49" s="31"/>
      <c r="J49" s="35"/>
    </row>
    <row r="50" spans="3:10" x14ac:dyDescent="0.25">
      <c r="C50" s="56"/>
      <c r="D50" s="53"/>
      <c r="E50" s="6"/>
      <c r="F50" s="19"/>
      <c r="G50" s="24"/>
      <c r="H50" s="24"/>
      <c r="I50" s="31"/>
      <c r="J50" s="35"/>
    </row>
    <row r="51" spans="3:10" x14ac:dyDescent="0.25">
      <c r="C51" s="57" t="s">
        <v>8</v>
      </c>
      <c r="D51" s="53"/>
      <c r="E51" s="6"/>
      <c r="F51" s="19"/>
      <c r="G51" s="24" t="s">
        <v>2</v>
      </c>
      <c r="H51" s="24" t="s">
        <v>2</v>
      </c>
      <c r="I51" s="31"/>
      <c r="J51" s="35"/>
    </row>
    <row r="52" spans="3:10" x14ac:dyDescent="0.25">
      <c r="C52" s="56"/>
      <c r="D52" s="53"/>
      <c r="E52" s="6"/>
      <c r="F52" s="19"/>
      <c r="G52" s="24"/>
      <c r="H52" s="24"/>
      <c r="I52" s="31"/>
      <c r="J52" s="35"/>
    </row>
    <row r="53" spans="3:10" x14ac:dyDescent="0.25">
      <c r="C53" s="57" t="s">
        <v>9</v>
      </c>
      <c r="D53" s="53"/>
      <c r="E53" s="6"/>
      <c r="F53" s="19"/>
      <c r="G53" s="24" t="s">
        <v>2</v>
      </c>
      <c r="H53" s="24" t="s">
        <v>2</v>
      </c>
      <c r="I53" s="31"/>
      <c r="J53" s="35"/>
    </row>
    <row r="54" spans="3:10" x14ac:dyDescent="0.25">
      <c r="C54" s="56"/>
      <c r="D54" s="53"/>
      <c r="E54" s="6"/>
      <c r="F54" s="19"/>
      <c r="G54" s="24"/>
      <c r="H54" s="24"/>
      <c r="I54" s="31"/>
      <c r="J54" s="35"/>
    </row>
    <row r="55" spans="3:10" x14ac:dyDescent="0.25">
      <c r="C55" s="57" t="s">
        <v>10</v>
      </c>
      <c r="D55" s="53"/>
      <c r="E55" s="6"/>
      <c r="F55" s="19"/>
      <c r="G55" s="24" t="s">
        <v>2</v>
      </c>
      <c r="H55" s="24" t="s">
        <v>2</v>
      </c>
      <c r="I55" s="31"/>
      <c r="J55" s="35"/>
    </row>
    <row r="56" spans="3:10" x14ac:dyDescent="0.25">
      <c r="C56" s="56"/>
      <c r="D56" s="53"/>
      <c r="E56" s="6"/>
      <c r="F56" s="19"/>
      <c r="G56" s="24"/>
      <c r="H56" s="24"/>
      <c r="I56" s="31"/>
      <c r="J56" s="35"/>
    </row>
    <row r="57" spans="3:10" x14ac:dyDescent="0.25">
      <c r="C57" s="57" t="s">
        <v>11</v>
      </c>
      <c r="D57" s="53"/>
      <c r="E57" s="6"/>
      <c r="F57" s="19"/>
      <c r="G57" s="24"/>
      <c r="H57" s="24"/>
      <c r="I57" s="31"/>
      <c r="J57" s="35"/>
    </row>
    <row r="58" spans="3:10" x14ac:dyDescent="0.25">
      <c r="C58" s="56"/>
      <c r="D58" s="53"/>
      <c r="E58" s="6"/>
      <c r="F58" s="19"/>
      <c r="G58" s="24"/>
      <c r="H58" s="24"/>
      <c r="I58" s="31"/>
      <c r="J58" s="35"/>
    </row>
    <row r="59" spans="3:10" x14ac:dyDescent="0.25">
      <c r="C59" s="57" t="s">
        <v>13</v>
      </c>
      <c r="D59" s="53"/>
      <c r="E59" s="6"/>
      <c r="F59" s="19"/>
      <c r="G59" s="24" t="s">
        <v>2</v>
      </c>
      <c r="H59" s="24" t="s">
        <v>2</v>
      </c>
      <c r="I59" s="31"/>
      <c r="J59" s="35"/>
    </row>
    <row r="60" spans="3:10" x14ac:dyDescent="0.25">
      <c r="C60" s="56"/>
      <c r="D60" s="53"/>
      <c r="E60" s="6"/>
      <c r="F60" s="19"/>
      <c r="G60" s="24"/>
      <c r="H60" s="24"/>
      <c r="I60" s="31"/>
      <c r="J60" s="35"/>
    </row>
    <row r="61" spans="3:10" x14ac:dyDescent="0.25">
      <c r="C61" s="57" t="s">
        <v>14</v>
      </c>
      <c r="D61" s="53"/>
      <c r="E61" s="6"/>
      <c r="F61" s="19"/>
      <c r="G61" s="24" t="s">
        <v>2</v>
      </c>
      <c r="H61" s="24" t="s">
        <v>2</v>
      </c>
      <c r="I61" s="31"/>
      <c r="J61" s="35"/>
    </row>
    <row r="62" spans="3:10" x14ac:dyDescent="0.25">
      <c r="C62" s="56"/>
      <c r="D62" s="53"/>
      <c r="E62" s="6"/>
      <c r="F62" s="19"/>
      <c r="G62" s="24"/>
      <c r="H62" s="24"/>
      <c r="I62" s="31"/>
      <c r="J62" s="35"/>
    </row>
    <row r="63" spans="3:10" x14ac:dyDescent="0.25">
      <c r="C63" s="57" t="s">
        <v>15</v>
      </c>
      <c r="D63" s="53"/>
      <c r="E63" s="6"/>
      <c r="F63" s="19"/>
      <c r="G63" s="24" t="s">
        <v>2</v>
      </c>
      <c r="H63" s="24" t="s">
        <v>2</v>
      </c>
      <c r="I63" s="31"/>
      <c r="J63" s="35"/>
    </row>
    <row r="64" spans="3:10" x14ac:dyDescent="0.25">
      <c r="C64" s="56"/>
      <c r="D64" s="53"/>
      <c r="E64" s="6"/>
      <c r="F64" s="19"/>
      <c r="G64" s="24"/>
      <c r="H64" s="24"/>
      <c r="I64" s="31"/>
      <c r="J64" s="35"/>
    </row>
    <row r="65" spans="1:10" x14ac:dyDescent="0.25">
      <c r="C65" s="57" t="s">
        <v>16</v>
      </c>
      <c r="D65" s="53"/>
      <c r="E65" s="6"/>
      <c r="F65" s="19"/>
      <c r="G65" s="24" t="s">
        <v>2</v>
      </c>
      <c r="H65" s="24" t="s">
        <v>2</v>
      </c>
      <c r="I65" s="31"/>
      <c r="J65" s="35"/>
    </row>
    <row r="66" spans="1:10" x14ac:dyDescent="0.25">
      <c r="C66" s="56"/>
      <c r="D66" s="53"/>
      <c r="E66" s="6"/>
      <c r="F66" s="19"/>
      <c r="G66" s="24"/>
      <c r="H66" s="24"/>
      <c r="I66" s="31"/>
      <c r="J66" s="35"/>
    </row>
    <row r="67" spans="1:10" x14ac:dyDescent="0.25">
      <c r="A67" s="10"/>
      <c r="B67" s="28"/>
      <c r="C67" s="58" t="s">
        <v>17</v>
      </c>
      <c r="D67" s="53"/>
      <c r="E67" s="6"/>
      <c r="F67" s="19"/>
      <c r="G67" s="24"/>
      <c r="H67" s="24"/>
      <c r="I67" s="31"/>
      <c r="J67" s="35"/>
    </row>
    <row r="68" spans="1:10" x14ac:dyDescent="0.25">
      <c r="A68" s="28"/>
      <c r="B68" s="28"/>
      <c r="C68" s="58" t="s">
        <v>18</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A70" s="28"/>
      <c r="B70" s="28"/>
      <c r="C70" s="58" t="s">
        <v>19</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20</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C74" s="59" t="s">
        <v>21</v>
      </c>
      <c r="D74" s="53"/>
      <c r="E74" s="6"/>
      <c r="F74" s="19"/>
      <c r="G74" s="24"/>
      <c r="H74" s="24"/>
      <c r="I74" s="31"/>
      <c r="J74" s="35"/>
    </row>
    <row r="75" spans="1:10" x14ac:dyDescent="0.25">
      <c r="B75" s="8" t="s">
        <v>677</v>
      </c>
      <c r="C75" s="56" t="s">
        <v>678</v>
      </c>
      <c r="D75" s="53"/>
      <c r="E75" s="6"/>
      <c r="F75" s="19"/>
      <c r="G75" s="24">
        <v>5000</v>
      </c>
      <c r="H75" s="24">
        <v>0.49</v>
      </c>
      <c r="I75" s="31"/>
      <c r="J75" s="35"/>
    </row>
    <row r="76" spans="1:10" x14ac:dyDescent="0.25">
      <c r="C76" s="57" t="s">
        <v>35</v>
      </c>
      <c r="D76" s="53"/>
      <c r="E76" s="6"/>
      <c r="F76" s="19"/>
      <c r="G76" s="25">
        <v>5000</v>
      </c>
      <c r="H76" s="25">
        <v>0.49</v>
      </c>
      <c r="I76" s="31"/>
      <c r="J76" s="35"/>
    </row>
    <row r="77" spans="1:10" x14ac:dyDescent="0.25">
      <c r="C77" s="56"/>
      <c r="D77" s="53"/>
      <c r="E77" s="6"/>
      <c r="F77" s="19"/>
      <c r="G77" s="24"/>
      <c r="H77" s="24"/>
      <c r="I77" s="31"/>
      <c r="J77" s="35"/>
    </row>
    <row r="78" spans="1:10" x14ac:dyDescent="0.25">
      <c r="C78" s="59" t="s">
        <v>22</v>
      </c>
      <c r="D78" s="53"/>
      <c r="E78" s="6"/>
      <c r="F78" s="19"/>
      <c r="G78" s="24"/>
      <c r="H78" s="24"/>
      <c r="I78" s="31"/>
      <c r="J78" s="35"/>
    </row>
    <row r="79" spans="1:10" x14ac:dyDescent="0.25">
      <c r="B79" s="8" t="s">
        <v>33</v>
      </c>
      <c r="C79" s="56" t="s">
        <v>34</v>
      </c>
      <c r="D79" s="53"/>
      <c r="E79" s="6"/>
      <c r="F79" s="19"/>
      <c r="G79" s="24">
        <v>46573.78</v>
      </c>
      <c r="H79" s="24">
        <v>4.5999999999999996</v>
      </c>
      <c r="I79" s="31"/>
      <c r="J79" s="35"/>
    </row>
    <row r="80" spans="1:10" x14ac:dyDescent="0.25">
      <c r="C80" s="57" t="s">
        <v>35</v>
      </c>
      <c r="D80" s="53"/>
      <c r="E80" s="6"/>
      <c r="F80" s="19"/>
      <c r="G80" s="25">
        <v>46573.78</v>
      </c>
      <c r="H80" s="25">
        <v>4.5999999999999996</v>
      </c>
      <c r="I80" s="31"/>
      <c r="J80" s="35"/>
    </row>
    <row r="81" spans="1:10" x14ac:dyDescent="0.25">
      <c r="C81" s="56"/>
      <c r="D81" s="53"/>
      <c r="E81" s="6"/>
      <c r="F81" s="19"/>
      <c r="G81" s="24"/>
      <c r="H81" s="24"/>
      <c r="I81" s="31"/>
      <c r="J81" s="35"/>
    </row>
    <row r="82" spans="1:10" x14ac:dyDescent="0.25">
      <c r="A82" s="10"/>
      <c r="B82" s="28"/>
      <c r="C82" s="58" t="s">
        <v>23</v>
      </c>
      <c r="D82" s="53"/>
      <c r="E82" s="6"/>
      <c r="F82" s="19"/>
      <c r="G82" s="24"/>
      <c r="H82" s="24"/>
      <c r="I82" s="31"/>
      <c r="J82" s="35"/>
    </row>
    <row r="83" spans="1:10" x14ac:dyDescent="0.25">
      <c r="A83" s="28"/>
      <c r="B83" s="28"/>
      <c r="C83" s="60" t="s">
        <v>3398</v>
      </c>
      <c r="D83" s="53"/>
      <c r="E83" s="6"/>
      <c r="F83" s="19"/>
      <c r="G83" s="24">
        <v>520</v>
      </c>
      <c r="H83" s="24">
        <v>0.05</v>
      </c>
      <c r="I83" s="31"/>
      <c r="J83" s="35"/>
    </row>
    <row r="84" spans="1:10" x14ac:dyDescent="0.25">
      <c r="B84" s="8"/>
      <c r="C84" s="56" t="s">
        <v>36</v>
      </c>
      <c r="D84" s="53"/>
      <c r="E84" s="6"/>
      <c r="F84" s="19"/>
      <c r="G84" s="24">
        <v>-6360.3</v>
      </c>
      <c r="H84" s="24">
        <v>-0.6</v>
      </c>
      <c r="I84" s="31"/>
      <c r="J84" s="35"/>
    </row>
    <row r="85" spans="1:10" x14ac:dyDescent="0.25">
      <c r="C85" s="57" t="s">
        <v>35</v>
      </c>
      <c r="D85" s="53"/>
      <c r="E85" s="6"/>
      <c r="F85" s="19"/>
      <c r="G85" s="25">
        <v>-5840.3</v>
      </c>
      <c r="H85" s="25">
        <v>-0.54999999999999993</v>
      </c>
      <c r="I85" s="31"/>
      <c r="J85" s="35"/>
    </row>
    <row r="86" spans="1:10" x14ac:dyDescent="0.25">
      <c r="C86" s="56"/>
      <c r="D86" s="53"/>
      <c r="E86" s="6"/>
      <c r="F86" s="19"/>
      <c r="G86" s="24"/>
      <c r="H86" s="24"/>
      <c r="I86" s="31"/>
      <c r="J86" s="35"/>
    </row>
    <row r="87" spans="1:10" x14ac:dyDescent="0.25">
      <c r="C87" s="61" t="s">
        <v>37</v>
      </c>
      <c r="D87" s="54"/>
      <c r="E87" s="5"/>
      <c r="F87" s="20"/>
      <c r="G87" s="26">
        <v>1011403.15</v>
      </c>
      <c r="H87" s="26">
        <f>SUMIFS(H:H,C:C,"Total")</f>
        <v>100</v>
      </c>
      <c r="I87" s="32"/>
      <c r="J87" s="36"/>
    </row>
    <row r="90" spans="1:10" x14ac:dyDescent="0.25">
      <c r="C90" s="1" t="s">
        <v>38</v>
      </c>
    </row>
    <row r="91" spans="1:10" x14ac:dyDescent="0.25">
      <c r="C91" s="2" t="s">
        <v>39</v>
      </c>
    </row>
    <row r="92" spans="1:10" x14ac:dyDescent="0.25">
      <c r="C92" s="2" t="s">
        <v>40</v>
      </c>
    </row>
    <row r="93" spans="1:10" x14ac:dyDescent="0.25">
      <c r="C93" s="2" t="s">
        <v>3430</v>
      </c>
    </row>
  </sheetData>
  <hyperlinks>
    <hyperlink ref="J2" location="'Index'!A1" display="'Index'!A1"/>
  </hyperlinks>
  <pageMargins left="0.7" right="0.7" top="0.75" bottom="0.75" header="0.3" footer="0.3"/>
  <pageSetup orientation="portrait" horizontalDpi="4294967293"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9"/>
  <dimension ref="A1:J12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1363</v>
      </c>
      <c r="J2" s="37" t="s">
        <v>3307</v>
      </c>
    </row>
    <row r="3" spans="1:10" ht="16.5" x14ac:dyDescent="0.3">
      <c r="C3" s="1" t="s">
        <v>24</v>
      </c>
      <c r="D3" s="21" t="s">
        <v>1364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222</v>
      </c>
      <c r="C10" s="56" t="s">
        <v>223</v>
      </c>
      <c r="D10" s="53" t="s">
        <v>224</v>
      </c>
      <c r="E10" s="6" t="s">
        <v>83</v>
      </c>
      <c r="F10" s="19">
        <v>102000</v>
      </c>
      <c r="G10" s="24">
        <v>1353.23</v>
      </c>
      <c r="H10" s="24">
        <v>1.41</v>
      </c>
      <c r="I10" s="31"/>
      <c r="J10" s="35"/>
    </row>
    <row r="11" spans="1:10" x14ac:dyDescent="0.25">
      <c r="B11" s="8" t="s">
        <v>225</v>
      </c>
      <c r="C11" s="56" t="s">
        <v>226</v>
      </c>
      <c r="D11" s="53" t="s">
        <v>227</v>
      </c>
      <c r="E11" s="6" t="s">
        <v>228</v>
      </c>
      <c r="F11" s="19">
        <v>67000</v>
      </c>
      <c r="G11" s="24">
        <v>1320.91</v>
      </c>
      <c r="H11" s="24">
        <v>1.38</v>
      </c>
      <c r="I11" s="31"/>
      <c r="J11" s="35"/>
    </row>
    <row r="12" spans="1:10" x14ac:dyDescent="0.25">
      <c r="B12" s="8" t="s">
        <v>424</v>
      </c>
      <c r="C12" s="56" t="s">
        <v>425</v>
      </c>
      <c r="D12" s="53" t="s">
        <v>426</v>
      </c>
      <c r="E12" s="6" t="s">
        <v>83</v>
      </c>
      <c r="F12" s="19">
        <v>15000</v>
      </c>
      <c r="G12" s="24">
        <v>1314.31</v>
      </c>
      <c r="H12" s="24">
        <v>1.37</v>
      </c>
      <c r="I12" s="31"/>
      <c r="J12" s="35"/>
    </row>
    <row r="13" spans="1:10" x14ac:dyDescent="0.25">
      <c r="B13" s="8" t="s">
        <v>409</v>
      </c>
      <c r="C13" s="56" t="s">
        <v>410</v>
      </c>
      <c r="D13" s="53" t="s">
        <v>411</v>
      </c>
      <c r="E13" s="6" t="s">
        <v>98</v>
      </c>
      <c r="F13" s="19">
        <v>18000</v>
      </c>
      <c r="G13" s="24">
        <v>1213.82</v>
      </c>
      <c r="H13" s="24">
        <v>1.27</v>
      </c>
      <c r="I13" s="31"/>
      <c r="J13" s="35"/>
    </row>
    <row r="14" spans="1:10" x14ac:dyDescent="0.25">
      <c r="B14" s="8" t="s">
        <v>814</v>
      </c>
      <c r="C14" s="56" t="s">
        <v>815</v>
      </c>
      <c r="D14" s="53" t="s">
        <v>816</v>
      </c>
      <c r="E14" s="6" t="s">
        <v>83</v>
      </c>
      <c r="F14" s="19">
        <v>700000</v>
      </c>
      <c r="G14" s="24">
        <v>1193.1500000000001</v>
      </c>
      <c r="H14" s="24">
        <v>1.24</v>
      </c>
      <c r="I14" s="31"/>
      <c r="J14" s="35"/>
    </row>
    <row r="15" spans="1:10" x14ac:dyDescent="0.25">
      <c r="B15" s="8" t="s">
        <v>91</v>
      </c>
      <c r="C15" s="56" t="s">
        <v>92</v>
      </c>
      <c r="D15" s="53" t="s">
        <v>93</v>
      </c>
      <c r="E15" s="6" t="s">
        <v>94</v>
      </c>
      <c r="F15" s="19">
        <v>35000</v>
      </c>
      <c r="G15" s="24">
        <v>1147.51</v>
      </c>
      <c r="H15" s="24">
        <v>1.2</v>
      </c>
      <c r="I15" s="31"/>
      <c r="J15" s="35"/>
    </row>
    <row r="16" spans="1:10" x14ac:dyDescent="0.25">
      <c r="B16" s="8" t="s">
        <v>59</v>
      </c>
      <c r="C16" s="56" t="s">
        <v>60</v>
      </c>
      <c r="D16" s="53" t="s">
        <v>61</v>
      </c>
      <c r="E16" s="6" t="s">
        <v>51</v>
      </c>
      <c r="F16" s="19">
        <v>90000</v>
      </c>
      <c r="G16" s="24">
        <v>1141.3800000000001</v>
      </c>
      <c r="H16" s="24">
        <v>1.19</v>
      </c>
      <c r="I16" s="31"/>
      <c r="J16" s="35"/>
    </row>
    <row r="17" spans="2:10" x14ac:dyDescent="0.25">
      <c r="B17" s="8" t="s">
        <v>139</v>
      </c>
      <c r="C17" s="56" t="s">
        <v>140</v>
      </c>
      <c r="D17" s="53" t="s">
        <v>141</v>
      </c>
      <c r="E17" s="6" t="s">
        <v>142</v>
      </c>
      <c r="F17" s="19">
        <v>90000</v>
      </c>
      <c r="G17" s="24">
        <v>1124.19</v>
      </c>
      <c r="H17" s="24">
        <v>1.17</v>
      </c>
      <c r="I17" s="31"/>
      <c r="J17" s="35"/>
    </row>
    <row r="18" spans="2:10" x14ac:dyDescent="0.25">
      <c r="B18" s="8" t="s">
        <v>415</v>
      </c>
      <c r="C18" s="56" t="s">
        <v>416</v>
      </c>
      <c r="D18" s="53" t="s">
        <v>417</v>
      </c>
      <c r="E18" s="6" t="s">
        <v>90</v>
      </c>
      <c r="F18" s="19">
        <v>11000</v>
      </c>
      <c r="G18" s="24">
        <v>1094.1400000000001</v>
      </c>
      <c r="H18" s="24">
        <v>1.1399999999999999</v>
      </c>
      <c r="I18" s="31"/>
      <c r="J18" s="35"/>
    </row>
    <row r="19" spans="2:10" x14ac:dyDescent="0.25">
      <c r="B19" s="8" t="s">
        <v>80</v>
      </c>
      <c r="C19" s="56" t="s">
        <v>81</v>
      </c>
      <c r="D19" s="53" t="s">
        <v>82</v>
      </c>
      <c r="E19" s="6" t="s">
        <v>83</v>
      </c>
      <c r="F19" s="19">
        <v>90000</v>
      </c>
      <c r="G19" s="24">
        <v>1081.22</v>
      </c>
      <c r="H19" s="24">
        <v>1.1299999999999999</v>
      </c>
      <c r="I19" s="31"/>
      <c r="J19" s="35"/>
    </row>
    <row r="20" spans="2:10" x14ac:dyDescent="0.25">
      <c r="B20" s="8" t="s">
        <v>69</v>
      </c>
      <c r="C20" s="56" t="s">
        <v>70</v>
      </c>
      <c r="D20" s="53" t="s">
        <v>71</v>
      </c>
      <c r="E20" s="6" t="s">
        <v>72</v>
      </c>
      <c r="F20" s="19">
        <v>5000</v>
      </c>
      <c r="G20" s="24">
        <v>1066.8</v>
      </c>
      <c r="H20" s="24">
        <v>1.1100000000000001</v>
      </c>
      <c r="I20" s="31"/>
      <c r="J20" s="35"/>
    </row>
    <row r="21" spans="2:10" x14ac:dyDescent="0.25">
      <c r="B21" s="8" t="s">
        <v>73</v>
      </c>
      <c r="C21" s="56" t="s">
        <v>74</v>
      </c>
      <c r="D21" s="53" t="s">
        <v>75</v>
      </c>
      <c r="E21" s="6" t="s">
        <v>51</v>
      </c>
      <c r="F21" s="19">
        <v>245000</v>
      </c>
      <c r="G21" s="24">
        <v>1040.3900000000001</v>
      </c>
      <c r="H21" s="24">
        <v>1.08</v>
      </c>
      <c r="I21" s="31"/>
      <c r="J21" s="35"/>
    </row>
    <row r="22" spans="2:10" x14ac:dyDescent="0.25">
      <c r="B22" s="8" t="s">
        <v>105</v>
      </c>
      <c r="C22" s="56" t="s">
        <v>106</v>
      </c>
      <c r="D22" s="53" t="s">
        <v>107</v>
      </c>
      <c r="E22" s="6" t="s">
        <v>98</v>
      </c>
      <c r="F22" s="19">
        <v>200000</v>
      </c>
      <c r="G22" s="24">
        <v>936.6</v>
      </c>
      <c r="H22" s="24">
        <v>0.98</v>
      </c>
      <c r="I22" s="31"/>
      <c r="J22" s="35"/>
    </row>
    <row r="23" spans="2:10" x14ac:dyDescent="0.25">
      <c r="B23" s="8" t="s">
        <v>65</v>
      </c>
      <c r="C23" s="56" t="s">
        <v>66</v>
      </c>
      <c r="D23" s="53" t="s">
        <v>67</v>
      </c>
      <c r="E23" s="6" t="s">
        <v>68</v>
      </c>
      <c r="F23" s="19">
        <v>220000</v>
      </c>
      <c r="G23" s="24">
        <v>926.09</v>
      </c>
      <c r="H23" s="24">
        <v>0.97</v>
      </c>
      <c r="I23" s="31"/>
      <c r="J23" s="35"/>
    </row>
    <row r="24" spans="2:10" x14ac:dyDescent="0.25">
      <c r="B24" s="8" t="s">
        <v>62</v>
      </c>
      <c r="C24" s="56" t="s">
        <v>63</v>
      </c>
      <c r="D24" s="53" t="s">
        <v>64</v>
      </c>
      <c r="E24" s="6" t="s">
        <v>51</v>
      </c>
      <c r="F24" s="19">
        <v>250000</v>
      </c>
      <c r="G24" s="24">
        <v>886.88</v>
      </c>
      <c r="H24" s="24">
        <v>0.92</v>
      </c>
      <c r="I24" s="31"/>
      <c r="J24" s="35"/>
    </row>
    <row r="25" spans="2:10" x14ac:dyDescent="0.25">
      <c r="B25" s="8" t="s">
        <v>76</v>
      </c>
      <c r="C25" s="56" t="s">
        <v>77</v>
      </c>
      <c r="D25" s="53" t="s">
        <v>78</v>
      </c>
      <c r="E25" s="6" t="s">
        <v>79</v>
      </c>
      <c r="F25" s="19">
        <v>95000</v>
      </c>
      <c r="G25" s="24">
        <v>856.52</v>
      </c>
      <c r="H25" s="24">
        <v>0.89</v>
      </c>
      <c r="I25" s="31"/>
      <c r="J25" s="35"/>
    </row>
    <row r="26" spans="2:10" x14ac:dyDescent="0.25">
      <c r="B26" s="8" t="s">
        <v>1365</v>
      </c>
      <c r="C26" s="56" t="s">
        <v>1366</v>
      </c>
      <c r="D26" s="53" t="s">
        <v>1367</v>
      </c>
      <c r="E26" s="6" t="s">
        <v>47</v>
      </c>
      <c r="F26" s="19">
        <v>50000</v>
      </c>
      <c r="G26" s="24">
        <v>809.03</v>
      </c>
      <c r="H26" s="24">
        <v>0.84</v>
      </c>
      <c r="I26" s="31"/>
      <c r="J26" s="35"/>
    </row>
    <row r="27" spans="2:10" x14ac:dyDescent="0.25">
      <c r="B27" s="8" t="s">
        <v>206</v>
      </c>
      <c r="C27" s="56" t="s">
        <v>207</v>
      </c>
      <c r="D27" s="53" t="s">
        <v>208</v>
      </c>
      <c r="E27" s="6" t="s">
        <v>41</v>
      </c>
      <c r="F27" s="19">
        <v>50000</v>
      </c>
      <c r="G27" s="24">
        <v>753.43</v>
      </c>
      <c r="H27" s="24">
        <v>0.79</v>
      </c>
      <c r="I27" s="31"/>
      <c r="J27" s="35"/>
    </row>
    <row r="28" spans="2:10" x14ac:dyDescent="0.25">
      <c r="B28" s="8" t="s">
        <v>486</v>
      </c>
      <c r="C28" s="56" t="s">
        <v>487</v>
      </c>
      <c r="D28" s="53" t="s">
        <v>488</v>
      </c>
      <c r="E28" s="6" t="s">
        <v>41</v>
      </c>
      <c r="F28" s="19">
        <v>90000</v>
      </c>
      <c r="G28" s="24">
        <v>678.15</v>
      </c>
      <c r="H28" s="24">
        <v>0.71</v>
      </c>
      <c r="I28" s="31"/>
      <c r="J28" s="35"/>
    </row>
    <row r="29" spans="2:10" x14ac:dyDescent="0.25">
      <c r="B29" s="8" t="s">
        <v>118</v>
      </c>
      <c r="C29" s="56" t="s">
        <v>119</v>
      </c>
      <c r="D29" s="53" t="s">
        <v>120</v>
      </c>
      <c r="E29" s="6" t="s">
        <v>98</v>
      </c>
      <c r="F29" s="19">
        <v>500000</v>
      </c>
      <c r="G29" s="24">
        <v>666.5</v>
      </c>
      <c r="H29" s="24">
        <v>0.69</v>
      </c>
      <c r="I29" s="31"/>
      <c r="J29" s="35"/>
    </row>
    <row r="30" spans="2:10" x14ac:dyDescent="0.25">
      <c r="B30" s="8" t="s">
        <v>275</v>
      </c>
      <c r="C30" s="56" t="s">
        <v>276</v>
      </c>
      <c r="D30" s="53" t="s">
        <v>277</v>
      </c>
      <c r="E30" s="6" t="s">
        <v>218</v>
      </c>
      <c r="F30" s="19">
        <v>2142790</v>
      </c>
      <c r="G30" s="24">
        <v>597.84</v>
      </c>
      <c r="H30" s="24">
        <v>0.62</v>
      </c>
      <c r="I30" s="31"/>
      <c r="J30" s="35"/>
    </row>
    <row r="31" spans="2:10" x14ac:dyDescent="0.25">
      <c r="B31" s="8" t="s">
        <v>719</v>
      </c>
      <c r="C31" s="56" t="s">
        <v>720</v>
      </c>
      <c r="D31" s="53" t="s">
        <v>721</v>
      </c>
      <c r="E31" s="6" t="s">
        <v>722</v>
      </c>
      <c r="F31" s="19">
        <v>280000</v>
      </c>
      <c r="G31" s="24">
        <v>584.91999999999996</v>
      </c>
      <c r="H31" s="24">
        <v>0.61</v>
      </c>
      <c r="I31" s="31"/>
      <c r="J31" s="35"/>
    </row>
    <row r="32" spans="2:10" x14ac:dyDescent="0.25">
      <c r="B32" s="8" t="s">
        <v>248</v>
      </c>
      <c r="C32" s="56" t="s">
        <v>249</v>
      </c>
      <c r="D32" s="53" t="s">
        <v>250</v>
      </c>
      <c r="E32" s="6" t="s">
        <v>90</v>
      </c>
      <c r="F32" s="19">
        <v>90665</v>
      </c>
      <c r="G32" s="24">
        <v>546.79999999999995</v>
      </c>
      <c r="H32" s="24">
        <v>0.56999999999999995</v>
      </c>
      <c r="I32" s="31"/>
      <c r="J32" s="35"/>
    </row>
    <row r="33" spans="1:10" x14ac:dyDescent="0.25">
      <c r="B33" s="8" t="s">
        <v>102</v>
      </c>
      <c r="C33" s="56" t="s">
        <v>103</v>
      </c>
      <c r="D33" s="53" t="s">
        <v>104</v>
      </c>
      <c r="E33" s="6" t="s">
        <v>94</v>
      </c>
      <c r="F33" s="19">
        <v>60000</v>
      </c>
      <c r="G33" s="24">
        <v>335.64</v>
      </c>
      <c r="H33" s="24">
        <v>0.35</v>
      </c>
      <c r="I33" s="31"/>
      <c r="J33" s="35"/>
    </row>
    <row r="34" spans="1:10" x14ac:dyDescent="0.25">
      <c r="B34" s="8" t="s">
        <v>1368</v>
      </c>
      <c r="C34" s="56" t="s">
        <v>1369</v>
      </c>
      <c r="D34" s="53" t="s">
        <v>1370</v>
      </c>
      <c r="E34" s="6" t="s">
        <v>196</v>
      </c>
      <c r="F34" s="19">
        <v>25757</v>
      </c>
      <c r="G34" s="24">
        <v>296.8</v>
      </c>
      <c r="H34" s="24">
        <v>0.31</v>
      </c>
      <c r="I34" s="31"/>
      <c r="J34" s="35"/>
    </row>
    <row r="35" spans="1:10" x14ac:dyDescent="0.25">
      <c r="C35" s="57" t="s">
        <v>35</v>
      </c>
      <c r="D35" s="53"/>
      <c r="E35" s="6"/>
      <c r="F35" s="19"/>
      <c r="G35" s="25">
        <v>22966.25</v>
      </c>
      <c r="H35" s="25">
        <v>23.94</v>
      </c>
      <c r="I35" s="31"/>
      <c r="J35" s="35"/>
    </row>
    <row r="36" spans="1:10" x14ac:dyDescent="0.25">
      <c r="C36" s="56"/>
      <c r="D36" s="53"/>
      <c r="E36" s="6"/>
      <c r="F36" s="19"/>
      <c r="G36" s="24"/>
      <c r="H36" s="24"/>
      <c r="I36" s="31"/>
      <c r="J36" s="35"/>
    </row>
    <row r="37" spans="1:10" x14ac:dyDescent="0.25">
      <c r="C37" s="57" t="s">
        <v>3</v>
      </c>
      <c r="D37" s="53"/>
      <c r="E37" s="6"/>
      <c r="F37" s="19"/>
      <c r="G37" s="24" t="s">
        <v>2</v>
      </c>
      <c r="H37" s="24" t="s">
        <v>2</v>
      </c>
      <c r="I37" s="31"/>
      <c r="J37" s="35"/>
    </row>
    <row r="38" spans="1:10" x14ac:dyDescent="0.25">
      <c r="C38" s="56"/>
      <c r="D38" s="53"/>
      <c r="E38" s="6"/>
      <c r="F38" s="19"/>
      <c r="G38" s="24"/>
      <c r="H38" s="24"/>
      <c r="I38" s="31"/>
      <c r="J38" s="35"/>
    </row>
    <row r="39" spans="1:10" x14ac:dyDescent="0.25">
      <c r="C39" s="57" t="s">
        <v>4</v>
      </c>
      <c r="D39" s="53"/>
      <c r="E39" s="6"/>
      <c r="F39" s="19"/>
      <c r="G39" s="24" t="s">
        <v>2</v>
      </c>
      <c r="H39" s="24" t="s">
        <v>2</v>
      </c>
      <c r="I39" s="31"/>
      <c r="J39" s="35"/>
    </row>
    <row r="40" spans="1:10" x14ac:dyDescent="0.25">
      <c r="C40" s="56"/>
      <c r="D40" s="53"/>
      <c r="E40" s="6"/>
      <c r="F40" s="19"/>
      <c r="G40" s="24"/>
      <c r="H40" s="24"/>
      <c r="I40" s="31"/>
      <c r="J40" s="35"/>
    </row>
    <row r="41" spans="1:10" x14ac:dyDescent="0.25">
      <c r="A41" s="10"/>
      <c r="B41" s="28"/>
      <c r="C41" s="58" t="s">
        <v>5</v>
      </c>
      <c r="D41" s="53"/>
      <c r="E41" s="6"/>
      <c r="F41" s="19"/>
      <c r="G41" s="24"/>
      <c r="H41" s="24"/>
      <c r="I41" s="31"/>
      <c r="J41" s="35"/>
    </row>
    <row r="42" spans="1:10" x14ac:dyDescent="0.25">
      <c r="C42" s="59" t="s">
        <v>6</v>
      </c>
      <c r="D42" s="53"/>
      <c r="E42" s="6"/>
      <c r="F42" s="19"/>
      <c r="G42" s="24"/>
      <c r="H42" s="24"/>
      <c r="I42" s="31"/>
      <c r="J42" s="35"/>
    </row>
    <row r="43" spans="1:10" x14ac:dyDescent="0.25">
      <c r="B43" s="8" t="s">
        <v>511</v>
      </c>
      <c r="C43" s="56" t="s">
        <v>3428</v>
      </c>
      <c r="D43" s="53" t="s">
        <v>512</v>
      </c>
      <c r="E43" s="6" t="s">
        <v>513</v>
      </c>
      <c r="F43" s="19">
        <v>400</v>
      </c>
      <c r="G43" s="24">
        <v>4367.8999999999996</v>
      </c>
      <c r="H43" s="24">
        <v>4.55</v>
      </c>
      <c r="I43" s="31">
        <v>6.9349999999999996</v>
      </c>
      <c r="J43" s="35" t="s">
        <v>514</v>
      </c>
    </row>
    <row r="44" spans="1:10" x14ac:dyDescent="0.25">
      <c r="B44" s="8" t="s">
        <v>682</v>
      </c>
      <c r="C44" s="56" t="s">
        <v>683</v>
      </c>
      <c r="D44" s="53" t="s">
        <v>684</v>
      </c>
      <c r="E44" s="6" t="s">
        <v>685</v>
      </c>
      <c r="F44" s="19">
        <v>400</v>
      </c>
      <c r="G44" s="24">
        <v>4113.1899999999996</v>
      </c>
      <c r="H44" s="24">
        <v>4.29</v>
      </c>
      <c r="I44" s="31">
        <v>7.375</v>
      </c>
      <c r="J44" s="35" t="s">
        <v>514</v>
      </c>
    </row>
    <row r="45" spans="1:10" x14ac:dyDescent="0.25">
      <c r="B45" s="8" t="s">
        <v>581</v>
      </c>
      <c r="C45" s="56" t="s">
        <v>528</v>
      </c>
      <c r="D45" s="53" t="s">
        <v>582</v>
      </c>
      <c r="E45" s="6" t="s">
        <v>530</v>
      </c>
      <c r="F45" s="19">
        <v>300</v>
      </c>
      <c r="G45" s="24">
        <v>3454.85</v>
      </c>
      <c r="H45" s="24">
        <v>3.6</v>
      </c>
      <c r="I45" s="31">
        <v>8.4656000000000002</v>
      </c>
      <c r="J45" s="35" t="s">
        <v>514</v>
      </c>
    </row>
    <row r="46" spans="1:10" x14ac:dyDescent="0.25">
      <c r="B46" s="8" t="s">
        <v>538</v>
      </c>
      <c r="C46" s="56" t="s">
        <v>539</v>
      </c>
      <c r="D46" s="53" t="s">
        <v>540</v>
      </c>
      <c r="E46" s="6" t="s">
        <v>541</v>
      </c>
      <c r="F46" s="19">
        <v>300</v>
      </c>
      <c r="G46" s="24">
        <v>3120.08</v>
      </c>
      <c r="H46" s="24">
        <v>3.25</v>
      </c>
      <c r="I46" s="31">
        <v>7.6</v>
      </c>
      <c r="J46" s="35" t="s">
        <v>514</v>
      </c>
    </row>
    <row r="47" spans="1:10" x14ac:dyDescent="0.25">
      <c r="B47" s="8" t="s">
        <v>577</v>
      </c>
      <c r="C47" s="56" t="s">
        <v>578</v>
      </c>
      <c r="D47" s="53" t="s">
        <v>579</v>
      </c>
      <c r="E47" s="6" t="s">
        <v>526</v>
      </c>
      <c r="F47" s="19">
        <v>300</v>
      </c>
      <c r="G47" s="24">
        <v>3065.78</v>
      </c>
      <c r="H47" s="24">
        <v>3.2</v>
      </c>
      <c r="I47" s="31">
        <v>8.0896000000000008</v>
      </c>
      <c r="J47" s="35" t="s">
        <v>514</v>
      </c>
    </row>
    <row r="48" spans="1:10" x14ac:dyDescent="0.25">
      <c r="B48" s="8" t="s">
        <v>531</v>
      </c>
      <c r="C48" s="56" t="s">
        <v>532</v>
      </c>
      <c r="D48" s="53" t="s">
        <v>533</v>
      </c>
      <c r="E48" s="6" t="s">
        <v>534</v>
      </c>
      <c r="F48" s="19">
        <v>250</v>
      </c>
      <c r="G48" s="24">
        <v>2918.96</v>
      </c>
      <c r="H48" s="24">
        <v>3.04</v>
      </c>
      <c r="I48" s="31">
        <v>6.7321999999999997</v>
      </c>
      <c r="J48" s="35" t="s">
        <v>514</v>
      </c>
    </row>
    <row r="49" spans="2:10" x14ac:dyDescent="0.25">
      <c r="B49" s="8" t="s">
        <v>565</v>
      </c>
      <c r="C49" s="56" t="s">
        <v>549</v>
      </c>
      <c r="D49" s="53" t="s">
        <v>566</v>
      </c>
      <c r="E49" s="6" t="s">
        <v>551</v>
      </c>
      <c r="F49" s="19">
        <v>250</v>
      </c>
      <c r="G49" s="24">
        <v>2718.79</v>
      </c>
      <c r="H49" s="24">
        <v>2.83</v>
      </c>
      <c r="I49" s="31">
        <v>7.8384999999999998</v>
      </c>
      <c r="J49" s="35" t="s">
        <v>514</v>
      </c>
    </row>
    <row r="50" spans="2:10" x14ac:dyDescent="0.25">
      <c r="B50" s="8" t="s">
        <v>617</v>
      </c>
      <c r="C50" s="56" t="s">
        <v>524</v>
      </c>
      <c r="D50" s="53" t="s">
        <v>618</v>
      </c>
      <c r="E50" s="6" t="s">
        <v>526</v>
      </c>
      <c r="F50" s="19">
        <v>250</v>
      </c>
      <c r="G50" s="24">
        <v>2600.79</v>
      </c>
      <c r="H50" s="24">
        <v>2.71</v>
      </c>
      <c r="I50" s="31">
        <v>6.9198000000000004</v>
      </c>
      <c r="J50" s="35" t="s">
        <v>514</v>
      </c>
    </row>
    <row r="51" spans="2:10" x14ac:dyDescent="0.25">
      <c r="B51" s="8" t="s">
        <v>690</v>
      </c>
      <c r="C51" s="56" t="s">
        <v>691</v>
      </c>
      <c r="D51" s="53" t="s">
        <v>692</v>
      </c>
      <c r="E51" s="6" t="s">
        <v>693</v>
      </c>
      <c r="F51" s="19">
        <v>250</v>
      </c>
      <c r="G51" s="24">
        <v>2522.37</v>
      </c>
      <c r="H51" s="24">
        <v>2.63</v>
      </c>
      <c r="I51" s="31">
        <v>7.6753999999999998</v>
      </c>
      <c r="J51" s="35" t="s">
        <v>514</v>
      </c>
    </row>
    <row r="52" spans="2:10" x14ac:dyDescent="0.25">
      <c r="B52" s="8" t="s">
        <v>558</v>
      </c>
      <c r="C52" s="56" t="s">
        <v>559</v>
      </c>
      <c r="D52" s="53" t="s">
        <v>560</v>
      </c>
      <c r="E52" s="6" t="s">
        <v>534</v>
      </c>
      <c r="F52" s="19">
        <v>200</v>
      </c>
      <c r="G52" s="24">
        <v>2018.46</v>
      </c>
      <c r="H52" s="24">
        <v>2.1</v>
      </c>
      <c r="I52" s="31">
        <v>8.6449999999999996</v>
      </c>
      <c r="J52" s="35" t="s">
        <v>514</v>
      </c>
    </row>
    <row r="53" spans="2:10" x14ac:dyDescent="0.25">
      <c r="B53" s="8" t="s">
        <v>603</v>
      </c>
      <c r="C53" s="56" t="s">
        <v>568</v>
      </c>
      <c r="D53" s="53" t="s">
        <v>604</v>
      </c>
      <c r="E53" s="6" t="s">
        <v>545</v>
      </c>
      <c r="F53" s="19">
        <v>100</v>
      </c>
      <c r="G53" s="24">
        <v>988.4</v>
      </c>
      <c r="H53" s="24">
        <v>1.03</v>
      </c>
      <c r="I53" s="31">
        <v>10.003500000000001</v>
      </c>
      <c r="J53" s="35" t="s">
        <v>514</v>
      </c>
    </row>
    <row r="54" spans="2:10" x14ac:dyDescent="0.25">
      <c r="B54" s="8" t="s">
        <v>1371</v>
      </c>
      <c r="C54" s="56" t="s">
        <v>906</v>
      </c>
      <c r="D54" s="53" t="s">
        <v>1372</v>
      </c>
      <c r="E54" s="6" t="s">
        <v>534</v>
      </c>
      <c r="F54" s="19">
        <v>5</v>
      </c>
      <c r="G54" s="24">
        <v>54.7</v>
      </c>
      <c r="H54" s="24">
        <v>0.06</v>
      </c>
      <c r="I54" s="31">
        <v>5.5</v>
      </c>
      <c r="J54" s="35"/>
    </row>
    <row r="55" spans="2:10" x14ac:dyDescent="0.25">
      <c r="C55" s="57" t="s">
        <v>35</v>
      </c>
      <c r="D55" s="53"/>
      <c r="E55" s="6"/>
      <c r="F55" s="19"/>
      <c r="G55" s="25">
        <v>31944.27</v>
      </c>
      <c r="H55" s="25">
        <v>33.29</v>
      </c>
      <c r="I55" s="31"/>
      <c r="J55" s="35"/>
    </row>
    <row r="56" spans="2:10" x14ac:dyDescent="0.25">
      <c r="C56" s="56"/>
      <c r="D56" s="53"/>
      <c r="E56" s="6"/>
      <c r="F56" s="19"/>
      <c r="G56" s="24"/>
      <c r="H56" s="24"/>
      <c r="I56" s="31"/>
      <c r="J56" s="35"/>
    </row>
    <row r="57" spans="2:10" x14ac:dyDescent="0.25">
      <c r="C57" s="59" t="s">
        <v>7</v>
      </c>
      <c r="D57" s="53"/>
      <c r="E57" s="6"/>
      <c r="F57" s="19"/>
      <c r="G57" s="24"/>
      <c r="H57" s="24"/>
      <c r="I57" s="31"/>
      <c r="J57" s="35"/>
    </row>
    <row r="58" spans="2:10" x14ac:dyDescent="0.25">
      <c r="B58" s="8" t="s">
        <v>958</v>
      </c>
      <c r="C58" s="56" t="s">
        <v>959</v>
      </c>
      <c r="D58" s="53" t="s">
        <v>960</v>
      </c>
      <c r="E58" s="6" t="s">
        <v>545</v>
      </c>
      <c r="F58" s="19">
        <v>10000</v>
      </c>
      <c r="G58" s="24">
        <v>997.88</v>
      </c>
      <c r="H58" s="24">
        <v>1.04</v>
      </c>
      <c r="I58" s="31">
        <v>10.4034</v>
      </c>
      <c r="J58" s="35" t="s">
        <v>514</v>
      </c>
    </row>
    <row r="59" spans="2:10" x14ac:dyDescent="0.25">
      <c r="B59" s="8" t="s">
        <v>621</v>
      </c>
      <c r="C59" s="56" t="s">
        <v>622</v>
      </c>
      <c r="D59" s="53" t="s">
        <v>623</v>
      </c>
      <c r="E59" s="6" t="s">
        <v>624</v>
      </c>
      <c r="F59" s="19">
        <v>350</v>
      </c>
      <c r="G59" s="24">
        <v>289.91000000000003</v>
      </c>
      <c r="H59" s="24">
        <v>0.3</v>
      </c>
      <c r="I59" s="31">
        <v>11.4246</v>
      </c>
      <c r="J59" s="35" t="s">
        <v>514</v>
      </c>
    </row>
    <row r="60" spans="2:10" x14ac:dyDescent="0.25">
      <c r="B60" s="8" t="s">
        <v>625</v>
      </c>
      <c r="C60" s="56" t="s">
        <v>626</v>
      </c>
      <c r="D60" s="53" t="s">
        <v>627</v>
      </c>
      <c r="E60" s="6" t="s">
        <v>624</v>
      </c>
      <c r="F60" s="19">
        <v>350</v>
      </c>
      <c r="G60" s="24">
        <v>289.91000000000003</v>
      </c>
      <c r="H60" s="24">
        <v>0.3</v>
      </c>
      <c r="I60" s="31">
        <v>11.4246</v>
      </c>
      <c r="J60" s="35" t="s">
        <v>514</v>
      </c>
    </row>
    <row r="61" spans="2:10" x14ac:dyDescent="0.25">
      <c r="B61" s="8" t="s">
        <v>628</v>
      </c>
      <c r="C61" s="56" t="s">
        <v>629</v>
      </c>
      <c r="D61" s="53" t="s">
        <v>630</v>
      </c>
      <c r="E61" s="6" t="s">
        <v>624</v>
      </c>
      <c r="F61" s="19">
        <v>350</v>
      </c>
      <c r="G61" s="24">
        <v>289.91000000000003</v>
      </c>
      <c r="H61" s="24">
        <v>0.3</v>
      </c>
      <c r="I61" s="31">
        <v>11.4246</v>
      </c>
      <c r="J61" s="35" t="s">
        <v>514</v>
      </c>
    </row>
    <row r="62" spans="2:10" x14ac:dyDescent="0.25">
      <c r="B62" s="8" t="s">
        <v>631</v>
      </c>
      <c r="C62" s="56" t="s">
        <v>632</v>
      </c>
      <c r="D62" s="53" t="s">
        <v>633</v>
      </c>
      <c r="E62" s="6" t="s">
        <v>624</v>
      </c>
      <c r="F62" s="19">
        <v>350</v>
      </c>
      <c r="G62" s="24">
        <v>289.91000000000003</v>
      </c>
      <c r="H62" s="24">
        <v>0.3</v>
      </c>
      <c r="I62" s="31">
        <v>11.4246</v>
      </c>
      <c r="J62" s="35" t="s">
        <v>514</v>
      </c>
    </row>
    <row r="63" spans="2:10" x14ac:dyDescent="0.25">
      <c r="B63" s="8" t="s">
        <v>634</v>
      </c>
      <c r="C63" s="56" t="s">
        <v>635</v>
      </c>
      <c r="D63" s="53" t="s">
        <v>636</v>
      </c>
      <c r="E63" s="6" t="s">
        <v>624</v>
      </c>
      <c r="F63" s="19">
        <v>350</v>
      </c>
      <c r="G63" s="24">
        <v>289.91000000000003</v>
      </c>
      <c r="H63" s="24">
        <v>0.3</v>
      </c>
      <c r="I63" s="31">
        <v>11.4246</v>
      </c>
      <c r="J63" s="35" t="s">
        <v>514</v>
      </c>
    </row>
    <row r="64" spans="2:10" x14ac:dyDescent="0.25">
      <c r="B64" s="8" t="s">
        <v>637</v>
      </c>
      <c r="C64" s="56" t="s">
        <v>638</v>
      </c>
      <c r="D64" s="53" t="s">
        <v>639</v>
      </c>
      <c r="E64" s="6" t="s">
        <v>624</v>
      </c>
      <c r="F64" s="19">
        <v>350</v>
      </c>
      <c r="G64" s="24">
        <v>289.91000000000003</v>
      </c>
      <c r="H64" s="24">
        <v>0.3</v>
      </c>
      <c r="I64" s="31">
        <v>11.4246</v>
      </c>
      <c r="J64" s="35" t="s">
        <v>514</v>
      </c>
    </row>
    <row r="65" spans="2:10" x14ac:dyDescent="0.25">
      <c r="B65" s="8" t="s">
        <v>640</v>
      </c>
      <c r="C65" s="56" t="s">
        <v>641</v>
      </c>
      <c r="D65" s="53" t="s">
        <v>642</v>
      </c>
      <c r="E65" s="6" t="s">
        <v>624</v>
      </c>
      <c r="F65" s="19">
        <v>350</v>
      </c>
      <c r="G65" s="24">
        <v>289.91000000000003</v>
      </c>
      <c r="H65" s="24">
        <v>0.3</v>
      </c>
      <c r="I65" s="31">
        <v>11.4246</v>
      </c>
      <c r="J65" s="35" t="s">
        <v>514</v>
      </c>
    </row>
    <row r="66" spans="2:10" x14ac:dyDescent="0.25">
      <c r="B66" s="8" t="s">
        <v>643</v>
      </c>
      <c r="C66" s="56" t="s">
        <v>644</v>
      </c>
      <c r="D66" s="53" t="s">
        <v>645</v>
      </c>
      <c r="E66" s="6" t="s">
        <v>624</v>
      </c>
      <c r="F66" s="19">
        <v>350</v>
      </c>
      <c r="G66" s="24">
        <v>289.91000000000003</v>
      </c>
      <c r="H66" s="24">
        <v>0.3</v>
      </c>
      <c r="I66" s="31">
        <v>11.4246</v>
      </c>
      <c r="J66" s="35" t="s">
        <v>514</v>
      </c>
    </row>
    <row r="67" spans="2:10" x14ac:dyDescent="0.25">
      <c r="B67" s="8" t="s">
        <v>646</v>
      </c>
      <c r="C67" s="56" t="s">
        <v>647</v>
      </c>
      <c r="D67" s="53" t="s">
        <v>648</v>
      </c>
      <c r="E67" s="6" t="s">
        <v>624</v>
      </c>
      <c r="F67" s="19">
        <v>350</v>
      </c>
      <c r="G67" s="24">
        <v>289.91000000000003</v>
      </c>
      <c r="H67" s="24">
        <v>0.3</v>
      </c>
      <c r="I67" s="31">
        <v>11.4246</v>
      </c>
      <c r="J67" s="35" t="s">
        <v>514</v>
      </c>
    </row>
    <row r="68" spans="2:10" x14ac:dyDescent="0.25">
      <c r="B68" s="8" t="s">
        <v>649</v>
      </c>
      <c r="C68" s="56" t="s">
        <v>650</v>
      </c>
      <c r="D68" s="53" t="s">
        <v>651</v>
      </c>
      <c r="E68" s="6" t="s">
        <v>624</v>
      </c>
      <c r="F68" s="19">
        <v>350</v>
      </c>
      <c r="G68" s="24">
        <v>289.91000000000003</v>
      </c>
      <c r="H68" s="24">
        <v>0.3</v>
      </c>
      <c r="I68" s="31">
        <v>11.4246</v>
      </c>
      <c r="J68" s="35" t="s">
        <v>514</v>
      </c>
    </row>
    <row r="69" spans="2:10" x14ac:dyDescent="0.25">
      <c r="C69" s="57" t="s">
        <v>35</v>
      </c>
      <c r="D69" s="53"/>
      <c r="E69" s="6"/>
      <c r="F69" s="19"/>
      <c r="G69" s="25">
        <v>3896.98</v>
      </c>
      <c r="H69" s="25">
        <v>4.04</v>
      </c>
      <c r="I69" s="31"/>
      <c r="J69" s="35"/>
    </row>
    <row r="70" spans="2:10" x14ac:dyDescent="0.25">
      <c r="C70" s="56"/>
      <c r="D70" s="53"/>
      <c r="E70" s="6"/>
      <c r="F70" s="19"/>
      <c r="G70" s="24"/>
      <c r="H70" s="24"/>
      <c r="I70" s="31"/>
      <c r="J70" s="35"/>
    </row>
    <row r="71" spans="2:10" x14ac:dyDescent="0.25">
      <c r="C71" s="57" t="s">
        <v>8</v>
      </c>
      <c r="D71" s="53"/>
      <c r="E71" s="6"/>
      <c r="F71" s="19"/>
      <c r="G71" s="24" t="s">
        <v>2</v>
      </c>
      <c r="H71" s="24" t="s">
        <v>2</v>
      </c>
      <c r="I71" s="31"/>
      <c r="J71" s="35"/>
    </row>
    <row r="72" spans="2:10" x14ac:dyDescent="0.25">
      <c r="C72" s="56"/>
      <c r="D72" s="53"/>
      <c r="E72" s="6"/>
      <c r="F72" s="19"/>
      <c r="G72" s="24"/>
      <c r="H72" s="24"/>
      <c r="I72" s="31"/>
      <c r="J72" s="35"/>
    </row>
    <row r="73" spans="2:10" x14ac:dyDescent="0.25">
      <c r="C73" s="59" t="s">
        <v>9</v>
      </c>
      <c r="D73" s="53"/>
      <c r="E73" s="6"/>
      <c r="F73" s="19"/>
      <c r="G73" s="24"/>
      <c r="H73" s="24"/>
      <c r="I73" s="31"/>
      <c r="J73" s="35"/>
    </row>
    <row r="74" spans="2:10" x14ac:dyDescent="0.25">
      <c r="B74" s="8" t="s">
        <v>652</v>
      </c>
      <c r="C74" s="56" t="s">
        <v>653</v>
      </c>
      <c r="D74" s="53" t="s">
        <v>654</v>
      </c>
      <c r="E74" s="6" t="s">
        <v>655</v>
      </c>
      <c r="F74" s="19">
        <v>27500000</v>
      </c>
      <c r="G74" s="24">
        <v>26998.46</v>
      </c>
      <c r="H74" s="24">
        <v>28.15</v>
      </c>
      <c r="I74" s="31">
        <v>6.3890000000000002</v>
      </c>
      <c r="J74" s="35"/>
    </row>
    <row r="75" spans="2:10" x14ac:dyDescent="0.25">
      <c r="B75" s="8" t="s">
        <v>671</v>
      </c>
      <c r="C75" s="56" t="s">
        <v>672</v>
      </c>
      <c r="D75" s="53" t="s">
        <v>673</v>
      </c>
      <c r="E75" s="6" t="s">
        <v>655</v>
      </c>
      <c r="F75" s="19">
        <v>6000000</v>
      </c>
      <c r="G75" s="24">
        <v>5892.15</v>
      </c>
      <c r="H75" s="24">
        <v>6.14</v>
      </c>
      <c r="I75" s="31">
        <v>6.0133999999999999</v>
      </c>
      <c r="J75" s="35"/>
    </row>
    <row r="76" spans="2:10" x14ac:dyDescent="0.25">
      <c r="B76" s="8" t="s">
        <v>665</v>
      </c>
      <c r="C76" s="56" t="s">
        <v>666</v>
      </c>
      <c r="D76" s="53" t="s">
        <v>667</v>
      </c>
      <c r="E76" s="6" t="s">
        <v>655</v>
      </c>
      <c r="F76" s="19">
        <v>1300000</v>
      </c>
      <c r="G76" s="24">
        <v>1328.39</v>
      </c>
      <c r="H76" s="24">
        <v>1.38</v>
      </c>
      <c r="I76" s="31">
        <v>6.1308999999999996</v>
      </c>
      <c r="J76" s="35"/>
    </row>
    <row r="77" spans="2:10" x14ac:dyDescent="0.25">
      <c r="B77" s="8" t="s">
        <v>659</v>
      </c>
      <c r="C77" s="56" t="s">
        <v>660</v>
      </c>
      <c r="D77" s="53" t="s">
        <v>661</v>
      </c>
      <c r="E77" s="6" t="s">
        <v>655</v>
      </c>
      <c r="F77" s="19">
        <v>1000000</v>
      </c>
      <c r="G77" s="24">
        <v>1061.8699999999999</v>
      </c>
      <c r="H77" s="24">
        <v>1.1100000000000001</v>
      </c>
      <c r="I77" s="31">
        <v>6.1013000000000002</v>
      </c>
      <c r="J77" s="35"/>
    </row>
    <row r="78" spans="2:10" x14ac:dyDescent="0.25">
      <c r="C78" s="57" t="s">
        <v>35</v>
      </c>
      <c r="D78" s="53"/>
      <c r="E78" s="6"/>
      <c r="F78" s="19"/>
      <c r="G78" s="25">
        <v>35280.870000000003</v>
      </c>
      <c r="H78" s="25">
        <v>36.78</v>
      </c>
      <c r="I78" s="31"/>
      <c r="J78" s="35"/>
    </row>
    <row r="79" spans="2:10" x14ac:dyDescent="0.25">
      <c r="C79" s="56"/>
      <c r="D79" s="53"/>
      <c r="E79" s="6"/>
      <c r="F79" s="19"/>
      <c r="G79" s="24"/>
      <c r="H79" s="24"/>
      <c r="I79" s="31"/>
      <c r="J79" s="35"/>
    </row>
    <row r="80" spans="2:10" x14ac:dyDescent="0.25">
      <c r="C80" s="57" t="s">
        <v>10</v>
      </c>
      <c r="D80" s="53"/>
      <c r="E80" s="6"/>
      <c r="F80" s="19"/>
      <c r="G80" s="24" t="s">
        <v>2</v>
      </c>
      <c r="H80" s="24" t="s">
        <v>2</v>
      </c>
      <c r="I80" s="31"/>
      <c r="J80" s="35"/>
    </row>
    <row r="81" spans="1:10" x14ac:dyDescent="0.25">
      <c r="C81" s="56"/>
      <c r="D81" s="53"/>
      <c r="E81" s="6"/>
      <c r="F81" s="19"/>
      <c r="G81" s="24"/>
      <c r="H81" s="24"/>
      <c r="I81" s="31"/>
      <c r="J81" s="35"/>
    </row>
    <row r="82" spans="1:10" x14ac:dyDescent="0.25">
      <c r="C82" s="57" t="s">
        <v>11</v>
      </c>
      <c r="D82" s="53"/>
      <c r="E82" s="6"/>
      <c r="F82" s="19"/>
      <c r="G82" s="24"/>
      <c r="H82" s="24"/>
      <c r="I82" s="31"/>
      <c r="J82" s="35"/>
    </row>
    <row r="83" spans="1:10" x14ac:dyDescent="0.25">
      <c r="C83" s="56"/>
      <c r="D83" s="53"/>
      <c r="E83" s="6"/>
      <c r="F83" s="19"/>
      <c r="G83" s="24"/>
      <c r="H83" s="24"/>
      <c r="I83" s="31"/>
      <c r="J83" s="35"/>
    </row>
    <row r="84" spans="1:10" x14ac:dyDescent="0.25">
      <c r="C84" s="57" t="s">
        <v>13</v>
      </c>
      <c r="D84" s="53"/>
      <c r="E84" s="6"/>
      <c r="F84" s="19"/>
      <c r="G84" s="24" t="s">
        <v>2</v>
      </c>
      <c r="H84" s="24" t="s">
        <v>2</v>
      </c>
      <c r="I84" s="31"/>
      <c r="J84" s="35"/>
    </row>
    <row r="85" spans="1:10" x14ac:dyDescent="0.25">
      <c r="C85" s="56"/>
      <c r="D85" s="53"/>
      <c r="E85" s="6"/>
      <c r="F85" s="19"/>
      <c r="G85" s="24"/>
      <c r="H85" s="24"/>
      <c r="I85" s="31"/>
      <c r="J85" s="35"/>
    </row>
    <row r="86" spans="1:10" x14ac:dyDescent="0.25">
      <c r="C86" s="57" t="s">
        <v>14</v>
      </c>
      <c r="D86" s="53"/>
      <c r="E86" s="6"/>
      <c r="F86" s="19"/>
      <c r="G86" s="24" t="s">
        <v>2</v>
      </c>
      <c r="H86" s="24" t="s">
        <v>2</v>
      </c>
      <c r="I86" s="31"/>
      <c r="J86" s="35"/>
    </row>
    <row r="87" spans="1:10" x14ac:dyDescent="0.25">
      <c r="C87" s="56"/>
      <c r="D87" s="53"/>
      <c r="E87" s="6"/>
      <c r="F87" s="19"/>
      <c r="G87" s="24"/>
      <c r="H87" s="24"/>
      <c r="I87" s="31"/>
      <c r="J87" s="35"/>
    </row>
    <row r="88" spans="1:10" x14ac:dyDescent="0.25">
      <c r="C88" s="57" t="s">
        <v>15</v>
      </c>
      <c r="D88" s="53"/>
      <c r="E88" s="6"/>
      <c r="F88" s="19"/>
      <c r="G88" s="24" t="s">
        <v>2</v>
      </c>
      <c r="H88" s="24" t="s">
        <v>2</v>
      </c>
      <c r="I88" s="31"/>
      <c r="J88" s="35"/>
    </row>
    <row r="89" spans="1:10" x14ac:dyDescent="0.25">
      <c r="C89" s="56"/>
      <c r="D89" s="53"/>
      <c r="E89" s="6"/>
      <c r="F89" s="19"/>
      <c r="G89" s="24"/>
      <c r="H89" s="24"/>
      <c r="I89" s="31"/>
      <c r="J89" s="35"/>
    </row>
    <row r="90" spans="1:10" x14ac:dyDescent="0.25">
      <c r="C90" s="57" t="s">
        <v>16</v>
      </c>
      <c r="D90" s="53"/>
      <c r="E90" s="6"/>
      <c r="F90" s="19"/>
      <c r="G90" s="24" t="s">
        <v>2</v>
      </c>
      <c r="H90" s="24" t="s">
        <v>2</v>
      </c>
      <c r="I90" s="31"/>
      <c r="J90" s="35"/>
    </row>
    <row r="91" spans="1:10" x14ac:dyDescent="0.25">
      <c r="C91" s="56"/>
      <c r="D91" s="53"/>
      <c r="E91" s="6"/>
      <c r="F91" s="19"/>
      <c r="G91" s="24"/>
      <c r="H91" s="24"/>
      <c r="I91" s="31"/>
      <c r="J91" s="35"/>
    </row>
    <row r="92" spans="1:10" x14ac:dyDescent="0.25">
      <c r="A92" s="10"/>
      <c r="B92" s="28"/>
      <c r="C92" s="58" t="s">
        <v>17</v>
      </c>
      <c r="D92" s="53"/>
      <c r="E92" s="6"/>
      <c r="F92" s="19"/>
      <c r="G92" s="24"/>
      <c r="H92" s="24"/>
      <c r="I92" s="31"/>
      <c r="J92" s="35"/>
    </row>
    <row r="93" spans="1:10" x14ac:dyDescent="0.25">
      <c r="A93" s="28"/>
      <c r="B93" s="28"/>
      <c r="C93" s="58" t="s">
        <v>18</v>
      </c>
      <c r="D93" s="53"/>
      <c r="E93" s="6"/>
      <c r="F93" s="19"/>
      <c r="G93" s="24" t="s">
        <v>2</v>
      </c>
      <c r="H93" s="24" t="s">
        <v>2</v>
      </c>
      <c r="I93" s="31"/>
      <c r="J93" s="35"/>
    </row>
    <row r="94" spans="1:10" x14ac:dyDescent="0.25">
      <c r="A94" s="28"/>
      <c r="B94" s="28"/>
      <c r="C94" s="58"/>
      <c r="D94" s="53"/>
      <c r="E94" s="6"/>
      <c r="F94" s="19"/>
      <c r="G94" s="24"/>
      <c r="H94" s="24"/>
      <c r="I94" s="31"/>
      <c r="J94" s="35"/>
    </row>
    <row r="95" spans="1:10" x14ac:dyDescent="0.25">
      <c r="A95" s="28"/>
      <c r="B95" s="28"/>
      <c r="C95" s="58" t="s">
        <v>19</v>
      </c>
      <c r="D95" s="53"/>
      <c r="E95" s="6"/>
      <c r="F95" s="19"/>
      <c r="G95" s="24" t="s">
        <v>2</v>
      </c>
      <c r="H95" s="24" t="s">
        <v>2</v>
      </c>
      <c r="I95" s="31"/>
      <c r="J95" s="35"/>
    </row>
    <row r="96" spans="1:10" x14ac:dyDescent="0.25">
      <c r="A96" s="28"/>
      <c r="B96" s="28"/>
      <c r="C96" s="58"/>
      <c r="D96" s="53"/>
      <c r="E96" s="6"/>
      <c r="F96" s="19"/>
      <c r="G96" s="24"/>
      <c r="H96" s="24"/>
      <c r="I96" s="31"/>
      <c r="J96" s="35"/>
    </row>
    <row r="97" spans="1:10" x14ac:dyDescent="0.25">
      <c r="A97" s="28"/>
      <c r="B97" s="28"/>
      <c r="C97" s="58" t="s">
        <v>20</v>
      </c>
      <c r="D97" s="53"/>
      <c r="E97" s="6"/>
      <c r="F97" s="19"/>
      <c r="G97" s="24" t="s">
        <v>2</v>
      </c>
      <c r="H97" s="24" t="s">
        <v>2</v>
      </c>
      <c r="I97" s="31"/>
      <c r="J97" s="35"/>
    </row>
    <row r="98" spans="1:10" x14ac:dyDescent="0.25">
      <c r="A98" s="28"/>
      <c r="B98" s="28"/>
      <c r="C98" s="58"/>
      <c r="D98" s="53"/>
      <c r="E98" s="6"/>
      <c r="F98" s="19"/>
      <c r="G98" s="24"/>
      <c r="H98" s="24"/>
      <c r="I98" s="31"/>
      <c r="J98" s="35"/>
    </row>
    <row r="99" spans="1:10" x14ac:dyDescent="0.25">
      <c r="A99" s="28"/>
      <c r="B99" s="28"/>
      <c r="C99" s="58" t="s">
        <v>21</v>
      </c>
      <c r="D99" s="53"/>
      <c r="E99" s="6"/>
      <c r="F99" s="19"/>
      <c r="G99" s="24" t="s">
        <v>2</v>
      </c>
      <c r="H99" s="24" t="s">
        <v>2</v>
      </c>
      <c r="I99" s="31"/>
      <c r="J99" s="35"/>
    </row>
    <row r="100" spans="1:10" x14ac:dyDescent="0.25">
      <c r="A100" s="28"/>
      <c r="B100" s="28"/>
      <c r="C100" s="58"/>
      <c r="D100" s="53"/>
      <c r="E100" s="6"/>
      <c r="F100" s="19"/>
      <c r="G100" s="24"/>
      <c r="H100" s="24"/>
      <c r="I100" s="31"/>
      <c r="J100" s="35"/>
    </row>
    <row r="101" spans="1:10" x14ac:dyDescent="0.25">
      <c r="C101" s="59" t="s">
        <v>22</v>
      </c>
      <c r="D101" s="53"/>
      <c r="E101" s="6"/>
      <c r="F101" s="19"/>
      <c r="G101" s="24"/>
      <c r="H101" s="24"/>
      <c r="I101" s="31"/>
      <c r="J101" s="35"/>
    </row>
    <row r="102" spans="1:10" x14ac:dyDescent="0.25">
      <c r="B102" s="8" t="s">
        <v>33</v>
      </c>
      <c r="C102" s="56" t="s">
        <v>34</v>
      </c>
      <c r="D102" s="53"/>
      <c r="E102" s="6"/>
      <c r="F102" s="19"/>
      <c r="G102" s="24">
        <v>686.32</v>
      </c>
      <c r="H102" s="24">
        <v>0.72</v>
      </c>
      <c r="I102" s="31"/>
      <c r="J102" s="35"/>
    </row>
    <row r="103" spans="1:10" x14ac:dyDescent="0.25">
      <c r="C103" s="57" t="s">
        <v>35</v>
      </c>
      <c r="D103" s="53"/>
      <c r="E103" s="6"/>
      <c r="F103" s="19"/>
      <c r="G103" s="25">
        <v>686.32</v>
      </c>
      <c r="H103" s="25">
        <v>0.72</v>
      </c>
      <c r="I103" s="31"/>
      <c r="J103" s="35"/>
    </row>
    <row r="104" spans="1:10" x14ac:dyDescent="0.25">
      <c r="C104" s="56"/>
      <c r="D104" s="53"/>
      <c r="E104" s="6"/>
      <c r="F104" s="19"/>
      <c r="G104" s="24"/>
      <c r="H104" s="24"/>
      <c r="I104" s="31"/>
      <c r="J104" s="35"/>
    </row>
    <row r="105" spans="1:10" x14ac:dyDescent="0.25">
      <c r="A105" s="10"/>
      <c r="B105" s="28"/>
      <c r="C105" s="58" t="s">
        <v>23</v>
      </c>
      <c r="D105" s="53"/>
      <c r="E105" s="6"/>
      <c r="F105" s="19"/>
      <c r="G105" s="24"/>
      <c r="H105" s="24"/>
      <c r="I105" s="31"/>
      <c r="J105" s="35"/>
    </row>
    <row r="106" spans="1:10" x14ac:dyDescent="0.25">
      <c r="A106" s="28"/>
      <c r="B106" s="28"/>
      <c r="C106" s="60" t="s">
        <v>3398</v>
      </c>
      <c r="D106" s="53"/>
      <c r="E106" s="6"/>
      <c r="F106" s="19"/>
      <c r="G106" s="24" t="s">
        <v>2</v>
      </c>
      <c r="H106" s="24" t="s">
        <v>2</v>
      </c>
      <c r="I106" s="31"/>
      <c r="J106" s="35"/>
    </row>
    <row r="107" spans="1:10" x14ac:dyDescent="0.25">
      <c r="B107" s="8"/>
      <c r="C107" s="56" t="s">
        <v>36</v>
      </c>
      <c r="D107" s="53"/>
      <c r="E107" s="6"/>
      <c r="F107" s="19"/>
      <c r="G107" s="24">
        <v>1150.4000000000001</v>
      </c>
      <c r="H107" s="24">
        <v>1.23</v>
      </c>
      <c r="I107" s="31"/>
      <c r="J107" s="35"/>
    </row>
    <row r="108" spans="1:10" x14ac:dyDescent="0.25">
      <c r="C108" s="57" t="s">
        <v>35</v>
      </c>
      <c r="D108" s="53"/>
      <c r="E108" s="6"/>
      <c r="F108" s="19"/>
      <c r="G108" s="25">
        <v>1150.4000000000001</v>
      </c>
      <c r="H108" s="25">
        <v>1.23</v>
      </c>
      <c r="I108" s="31"/>
      <c r="J108" s="35"/>
    </row>
    <row r="109" spans="1:10" x14ac:dyDescent="0.25">
      <c r="C109" s="56"/>
      <c r="D109" s="53"/>
      <c r="E109" s="6"/>
      <c r="F109" s="19"/>
      <c r="G109" s="24"/>
      <c r="H109" s="24"/>
      <c r="I109" s="31"/>
      <c r="J109" s="35"/>
    </row>
    <row r="110" spans="1:10" x14ac:dyDescent="0.25">
      <c r="C110" s="61" t="s">
        <v>37</v>
      </c>
      <c r="D110" s="54"/>
      <c r="E110" s="5"/>
      <c r="F110" s="20"/>
      <c r="G110" s="26">
        <v>95925.09</v>
      </c>
      <c r="H110" s="26">
        <f>SUMIFS(H:H,C:C,"Total")</f>
        <v>100.00000000000001</v>
      </c>
      <c r="I110" s="32"/>
      <c r="J110" s="36"/>
    </row>
    <row r="113" spans="3:7" x14ac:dyDescent="0.25">
      <c r="C113" s="1" t="s">
        <v>38</v>
      </c>
    </row>
    <row r="114" spans="3:7" x14ac:dyDescent="0.25">
      <c r="C114" s="2" t="s">
        <v>39</v>
      </c>
    </row>
    <row r="115" spans="3:7" x14ac:dyDescent="0.25">
      <c r="C115" s="2" t="s">
        <v>40</v>
      </c>
    </row>
    <row r="116" spans="3:7" x14ac:dyDescent="0.25">
      <c r="C116" s="2" t="s">
        <v>3430</v>
      </c>
    </row>
    <row r="117" spans="3:7" x14ac:dyDescent="0.25">
      <c r="C117" s="105" t="s">
        <v>3409</v>
      </c>
      <c r="D117" s="105"/>
      <c r="E117" s="105"/>
      <c r="F117" s="105"/>
      <c r="G117" s="106"/>
    </row>
    <row r="118" spans="3:7" ht="76.5" x14ac:dyDescent="0.25">
      <c r="C118" s="107" t="s">
        <v>3410</v>
      </c>
      <c r="D118" s="107" t="s">
        <v>27</v>
      </c>
      <c r="E118" s="107" t="s">
        <v>3411</v>
      </c>
      <c r="F118" s="107" t="s">
        <v>3412</v>
      </c>
      <c r="G118" s="108" t="s">
        <v>3413</v>
      </c>
    </row>
    <row r="119" spans="3:7" ht="15" x14ac:dyDescent="0.25">
      <c r="C119" s="109" t="s">
        <v>3414</v>
      </c>
      <c r="D119" s="109" t="s">
        <v>3415</v>
      </c>
      <c r="E119" s="110">
        <v>0</v>
      </c>
      <c r="F119" s="111">
        <v>0</v>
      </c>
      <c r="G119" s="110">
        <v>2717.5</v>
      </c>
    </row>
    <row r="120" spans="3:7" ht="15" x14ac:dyDescent="0.25">
      <c r="C120" s="109" t="s">
        <v>3416</v>
      </c>
      <c r="D120" s="109" t="s">
        <v>3417</v>
      </c>
      <c r="E120" s="110">
        <v>0</v>
      </c>
      <c r="F120" s="111">
        <v>0</v>
      </c>
      <c r="G120" s="110">
        <v>1089</v>
      </c>
    </row>
  </sheetData>
  <hyperlinks>
    <hyperlink ref="J2" location="'Index'!A1" display="'Index'!A1"/>
  </hyperlinks>
  <pageMargins left="0.7" right="0.7" top="0.75" bottom="0.75" header="0.3" footer="0.3"/>
  <pageSetup orientation="portrait" horizont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0"/>
  <dimension ref="A1:J12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1373</v>
      </c>
      <c r="J2" s="37" t="s">
        <v>3307</v>
      </c>
    </row>
    <row r="3" spans="1:10" ht="16.5" x14ac:dyDescent="0.3">
      <c r="C3" s="1" t="s">
        <v>24</v>
      </c>
      <c r="D3" s="21" t="s">
        <v>1374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1375</v>
      </c>
      <c r="C18" s="56" t="s">
        <v>1376</v>
      </c>
      <c r="D18" s="53" t="s">
        <v>1377</v>
      </c>
      <c r="E18" s="6" t="s">
        <v>534</v>
      </c>
      <c r="F18" s="19">
        <v>6750</v>
      </c>
      <c r="G18" s="24">
        <v>68886.320000000007</v>
      </c>
      <c r="H18" s="24">
        <v>6.81</v>
      </c>
      <c r="I18" s="31">
        <v>4.5716999999999999</v>
      </c>
      <c r="J18" s="35" t="s">
        <v>514</v>
      </c>
    </row>
    <row r="19" spans="2:10" x14ac:dyDescent="0.25">
      <c r="B19" s="8" t="s">
        <v>1378</v>
      </c>
      <c r="C19" s="56" t="s">
        <v>125</v>
      </c>
      <c r="D19" s="53" t="s">
        <v>1379</v>
      </c>
      <c r="E19" s="6" t="s">
        <v>534</v>
      </c>
      <c r="F19" s="19">
        <v>3750</v>
      </c>
      <c r="G19" s="24">
        <v>37880.660000000003</v>
      </c>
      <c r="H19" s="24">
        <v>3.74</v>
      </c>
      <c r="I19" s="31">
        <v>3.4948000000000001</v>
      </c>
      <c r="J19" s="35" t="s">
        <v>514</v>
      </c>
    </row>
    <row r="20" spans="2:10" x14ac:dyDescent="0.25">
      <c r="B20" s="8" t="s">
        <v>1380</v>
      </c>
      <c r="C20" s="56" t="s">
        <v>1381</v>
      </c>
      <c r="D20" s="53" t="s">
        <v>1382</v>
      </c>
      <c r="E20" s="6" t="s">
        <v>1383</v>
      </c>
      <c r="F20" s="19">
        <v>3000</v>
      </c>
      <c r="G20" s="24">
        <v>37262.28</v>
      </c>
      <c r="H20" s="24">
        <v>3.68</v>
      </c>
      <c r="I20" s="31">
        <v>4.8624999999999998</v>
      </c>
      <c r="J20" s="35" t="s">
        <v>514</v>
      </c>
    </row>
    <row r="21" spans="2:10" x14ac:dyDescent="0.25">
      <c r="B21" s="8" t="s">
        <v>1384</v>
      </c>
      <c r="C21" s="56" t="s">
        <v>125</v>
      </c>
      <c r="D21" s="53" t="s">
        <v>1385</v>
      </c>
      <c r="E21" s="6" t="s">
        <v>534</v>
      </c>
      <c r="F21" s="19">
        <v>2250</v>
      </c>
      <c r="G21" s="24">
        <v>23070.89</v>
      </c>
      <c r="H21" s="24">
        <v>2.2799999999999998</v>
      </c>
      <c r="I21" s="31">
        <v>4.38</v>
      </c>
      <c r="J21" s="35"/>
    </row>
    <row r="22" spans="2:10" x14ac:dyDescent="0.25">
      <c r="B22" s="8" t="s">
        <v>1386</v>
      </c>
      <c r="C22" s="56" t="s">
        <v>230</v>
      </c>
      <c r="D22" s="53" t="s">
        <v>1387</v>
      </c>
      <c r="E22" s="6" t="s">
        <v>541</v>
      </c>
      <c r="F22" s="19">
        <v>1880000</v>
      </c>
      <c r="G22" s="24">
        <v>19119.240000000002</v>
      </c>
      <c r="H22" s="24">
        <v>1.89</v>
      </c>
      <c r="I22" s="31">
        <v>6.2046999999999999</v>
      </c>
      <c r="J22" s="35" t="s">
        <v>514</v>
      </c>
    </row>
    <row r="23" spans="2:10" x14ac:dyDescent="0.25">
      <c r="B23" s="8" t="s">
        <v>1388</v>
      </c>
      <c r="C23" s="56" t="s">
        <v>539</v>
      </c>
      <c r="D23" s="53" t="s">
        <v>1389</v>
      </c>
      <c r="E23" s="6" t="s">
        <v>541</v>
      </c>
      <c r="F23" s="19">
        <v>1650</v>
      </c>
      <c r="G23" s="24">
        <v>16544.29</v>
      </c>
      <c r="H23" s="24">
        <v>1.63</v>
      </c>
      <c r="I23" s="31">
        <v>4.9945000000000004</v>
      </c>
      <c r="J23" s="35" t="s">
        <v>514</v>
      </c>
    </row>
    <row r="24" spans="2:10" x14ac:dyDescent="0.25">
      <c r="B24" s="8" t="s">
        <v>1390</v>
      </c>
      <c r="C24" s="56" t="s">
        <v>1127</v>
      </c>
      <c r="D24" s="53" t="s">
        <v>1391</v>
      </c>
      <c r="E24" s="6" t="s">
        <v>1314</v>
      </c>
      <c r="F24" s="19">
        <v>1500</v>
      </c>
      <c r="G24" s="24">
        <v>15171.06</v>
      </c>
      <c r="H24" s="24">
        <v>1.5</v>
      </c>
      <c r="I24" s="31">
        <v>3.5499000000000001</v>
      </c>
      <c r="J24" s="35" t="s">
        <v>514</v>
      </c>
    </row>
    <row r="25" spans="2:10" x14ac:dyDescent="0.25">
      <c r="B25" s="8" t="s">
        <v>1392</v>
      </c>
      <c r="C25" s="56" t="s">
        <v>1127</v>
      </c>
      <c r="D25" s="53" t="s">
        <v>1393</v>
      </c>
      <c r="E25" s="6" t="s">
        <v>1314</v>
      </c>
      <c r="F25" s="19">
        <v>1250</v>
      </c>
      <c r="G25" s="24">
        <v>12698.79</v>
      </c>
      <c r="H25" s="24">
        <v>1.25</v>
      </c>
      <c r="I25" s="31">
        <v>4.4000000000000004</v>
      </c>
      <c r="J25" s="35" t="s">
        <v>514</v>
      </c>
    </row>
    <row r="26" spans="2:10" x14ac:dyDescent="0.25">
      <c r="B26" s="8" t="s">
        <v>1394</v>
      </c>
      <c r="C26" s="56" t="s">
        <v>909</v>
      </c>
      <c r="D26" s="53" t="s">
        <v>1395</v>
      </c>
      <c r="E26" s="6" t="s">
        <v>534</v>
      </c>
      <c r="F26" s="19">
        <v>1000</v>
      </c>
      <c r="G26" s="24">
        <v>10523.13</v>
      </c>
      <c r="H26" s="24">
        <v>1.04</v>
      </c>
      <c r="I26" s="31">
        <v>4.4400000000000004</v>
      </c>
      <c r="J26" s="35" t="s">
        <v>514</v>
      </c>
    </row>
    <row r="27" spans="2:10" x14ac:dyDescent="0.25">
      <c r="B27" s="8" t="s">
        <v>1396</v>
      </c>
      <c r="C27" s="56" t="s">
        <v>536</v>
      </c>
      <c r="D27" s="53" t="s">
        <v>1397</v>
      </c>
      <c r="E27" s="6" t="s">
        <v>534</v>
      </c>
      <c r="F27" s="19">
        <v>1000</v>
      </c>
      <c r="G27" s="24">
        <v>10328.959999999999</v>
      </c>
      <c r="H27" s="24">
        <v>1.02</v>
      </c>
      <c r="I27" s="31">
        <v>5.9770000000000003</v>
      </c>
      <c r="J27" s="35" t="s">
        <v>514</v>
      </c>
    </row>
    <row r="28" spans="2:10" x14ac:dyDescent="0.25">
      <c r="B28" s="8" t="s">
        <v>1398</v>
      </c>
      <c r="C28" s="56" t="s">
        <v>1376</v>
      </c>
      <c r="D28" s="53" t="s">
        <v>1399</v>
      </c>
      <c r="E28" s="6" t="s">
        <v>534</v>
      </c>
      <c r="F28" s="19">
        <v>800</v>
      </c>
      <c r="G28" s="24">
        <v>8418.11</v>
      </c>
      <c r="H28" s="24">
        <v>0.83</v>
      </c>
      <c r="I28" s="31">
        <v>5.6</v>
      </c>
      <c r="J28" s="35" t="s">
        <v>514</v>
      </c>
    </row>
    <row r="29" spans="2:10" x14ac:dyDescent="0.25">
      <c r="B29" s="8" t="s">
        <v>1322</v>
      </c>
      <c r="C29" s="56" t="s">
        <v>562</v>
      </c>
      <c r="D29" s="53" t="s">
        <v>1323</v>
      </c>
      <c r="E29" s="6" t="s">
        <v>541</v>
      </c>
      <c r="F29" s="19">
        <v>500</v>
      </c>
      <c r="G29" s="24">
        <v>6238.5</v>
      </c>
      <c r="H29" s="24">
        <v>0.62</v>
      </c>
      <c r="I29" s="31">
        <v>7.2232000000000003</v>
      </c>
      <c r="J29" s="35" t="s">
        <v>514</v>
      </c>
    </row>
    <row r="30" spans="2:10" x14ac:dyDescent="0.25">
      <c r="B30" s="8" t="s">
        <v>583</v>
      </c>
      <c r="C30" s="56" t="s">
        <v>562</v>
      </c>
      <c r="D30" s="53" t="s">
        <v>584</v>
      </c>
      <c r="E30" s="6" t="s">
        <v>564</v>
      </c>
      <c r="F30" s="19">
        <v>500</v>
      </c>
      <c r="G30" s="24">
        <v>5707.66</v>
      </c>
      <c r="H30" s="24">
        <v>0.56000000000000005</v>
      </c>
      <c r="I30" s="31">
        <v>7.4341999999999997</v>
      </c>
      <c r="J30" s="35" t="s">
        <v>514</v>
      </c>
    </row>
    <row r="31" spans="2:10" x14ac:dyDescent="0.25">
      <c r="B31" s="8" t="s">
        <v>1400</v>
      </c>
      <c r="C31" s="56" t="s">
        <v>53</v>
      </c>
      <c r="D31" s="53" t="s">
        <v>1401</v>
      </c>
      <c r="E31" s="6" t="s">
        <v>534</v>
      </c>
      <c r="F31" s="19">
        <v>500</v>
      </c>
      <c r="G31" s="24">
        <v>5148.5200000000004</v>
      </c>
      <c r="H31" s="24">
        <v>0.51</v>
      </c>
      <c r="I31" s="31">
        <v>4.24</v>
      </c>
      <c r="J31" s="35" t="s">
        <v>514</v>
      </c>
    </row>
    <row r="32" spans="2:10" x14ac:dyDescent="0.25">
      <c r="B32" s="8" t="s">
        <v>1402</v>
      </c>
      <c r="C32" s="56" t="s">
        <v>125</v>
      </c>
      <c r="D32" s="53" t="s">
        <v>1403</v>
      </c>
      <c r="E32" s="6" t="s">
        <v>534</v>
      </c>
      <c r="F32" s="19">
        <v>500</v>
      </c>
      <c r="G32" s="24">
        <v>5135.6099999999997</v>
      </c>
      <c r="H32" s="24">
        <v>0.51</v>
      </c>
      <c r="I32" s="31">
        <v>4.5</v>
      </c>
      <c r="J32" s="35"/>
    </row>
    <row r="33" spans="2:10" x14ac:dyDescent="0.25">
      <c r="B33" s="8" t="s">
        <v>1404</v>
      </c>
      <c r="C33" s="56" t="s">
        <v>125</v>
      </c>
      <c r="D33" s="53" t="s">
        <v>1405</v>
      </c>
      <c r="E33" s="6" t="s">
        <v>534</v>
      </c>
      <c r="F33" s="19">
        <v>50</v>
      </c>
      <c r="G33" s="24">
        <v>5095.46</v>
      </c>
      <c r="H33" s="24">
        <v>0.5</v>
      </c>
      <c r="I33" s="31">
        <v>3.95</v>
      </c>
      <c r="J33" s="35" t="s">
        <v>514</v>
      </c>
    </row>
    <row r="34" spans="2:10" x14ac:dyDescent="0.25">
      <c r="B34" s="8" t="s">
        <v>1406</v>
      </c>
      <c r="C34" s="56" t="s">
        <v>1407</v>
      </c>
      <c r="D34" s="53" t="s">
        <v>1408</v>
      </c>
      <c r="E34" s="6" t="s">
        <v>534</v>
      </c>
      <c r="F34" s="19">
        <v>1000</v>
      </c>
      <c r="G34" s="24">
        <v>5090.29</v>
      </c>
      <c r="H34" s="24">
        <v>0.5</v>
      </c>
      <c r="I34" s="31">
        <v>4.1798999999999999</v>
      </c>
      <c r="J34" s="35" t="s">
        <v>514</v>
      </c>
    </row>
    <row r="35" spans="2:10" x14ac:dyDescent="0.25">
      <c r="B35" s="8" t="s">
        <v>1409</v>
      </c>
      <c r="C35" s="56" t="s">
        <v>1127</v>
      </c>
      <c r="D35" s="53" t="s">
        <v>1410</v>
      </c>
      <c r="E35" s="6" t="s">
        <v>534</v>
      </c>
      <c r="F35" s="19">
        <v>500</v>
      </c>
      <c r="G35" s="24">
        <v>5056.21</v>
      </c>
      <c r="H35" s="24">
        <v>0.5</v>
      </c>
      <c r="I35" s="31">
        <v>3.9249999999999998</v>
      </c>
      <c r="J35" s="35" t="s">
        <v>514</v>
      </c>
    </row>
    <row r="36" spans="2:10" x14ac:dyDescent="0.25">
      <c r="B36" s="8" t="s">
        <v>1411</v>
      </c>
      <c r="C36" s="56" t="s">
        <v>125</v>
      </c>
      <c r="D36" s="53" t="s">
        <v>1412</v>
      </c>
      <c r="E36" s="6" t="s">
        <v>534</v>
      </c>
      <c r="F36" s="19">
        <v>500</v>
      </c>
      <c r="G36" s="24">
        <v>5009.3500000000004</v>
      </c>
      <c r="H36" s="24">
        <v>0.49</v>
      </c>
      <c r="I36" s="31">
        <v>3.4409000000000001</v>
      </c>
      <c r="J36" s="35" t="s">
        <v>514</v>
      </c>
    </row>
    <row r="37" spans="2:10" x14ac:dyDescent="0.25">
      <c r="B37" s="8" t="s">
        <v>1413</v>
      </c>
      <c r="C37" s="56" t="s">
        <v>1127</v>
      </c>
      <c r="D37" s="53" t="s">
        <v>1414</v>
      </c>
      <c r="E37" s="6" t="s">
        <v>534</v>
      </c>
      <c r="F37" s="19">
        <v>250</v>
      </c>
      <c r="G37" s="24">
        <v>2528.1</v>
      </c>
      <c r="H37" s="24">
        <v>0.25</v>
      </c>
      <c r="I37" s="31">
        <v>3.9249999999999998</v>
      </c>
      <c r="J37" s="35" t="s">
        <v>514</v>
      </c>
    </row>
    <row r="38" spans="2:10" x14ac:dyDescent="0.25">
      <c r="B38" s="8" t="s">
        <v>1415</v>
      </c>
      <c r="C38" s="56" t="s">
        <v>691</v>
      </c>
      <c r="D38" s="53" t="s">
        <v>1416</v>
      </c>
      <c r="E38" s="6" t="s">
        <v>693</v>
      </c>
      <c r="F38" s="19">
        <v>120</v>
      </c>
      <c r="G38" s="24">
        <v>1205.07</v>
      </c>
      <c r="H38" s="24">
        <v>0.12</v>
      </c>
      <c r="I38" s="31">
        <v>5.1250999999999998</v>
      </c>
      <c r="J38" s="35" t="s">
        <v>514</v>
      </c>
    </row>
    <row r="39" spans="2:10" x14ac:dyDescent="0.25">
      <c r="B39" s="8" t="s">
        <v>1417</v>
      </c>
      <c r="C39" s="56" t="s">
        <v>1376</v>
      </c>
      <c r="D39" s="53" t="s">
        <v>1418</v>
      </c>
      <c r="E39" s="6" t="s">
        <v>534</v>
      </c>
      <c r="F39" s="19">
        <v>50</v>
      </c>
      <c r="G39" s="24">
        <v>511.92</v>
      </c>
      <c r="H39" s="24">
        <v>0.05</v>
      </c>
      <c r="I39" s="31">
        <v>4.1500000000000004</v>
      </c>
      <c r="J39" s="35" t="s">
        <v>514</v>
      </c>
    </row>
    <row r="40" spans="2:10" x14ac:dyDescent="0.25">
      <c r="C40" s="57" t="s">
        <v>35</v>
      </c>
      <c r="D40" s="53"/>
      <c r="E40" s="6"/>
      <c r="F40" s="19"/>
      <c r="G40" s="25">
        <v>306630.42</v>
      </c>
      <c r="H40" s="25">
        <v>30.28</v>
      </c>
      <c r="I40" s="31"/>
      <c r="J40" s="35"/>
    </row>
    <row r="41" spans="2:10" x14ac:dyDescent="0.25">
      <c r="C41" s="56"/>
      <c r="D41" s="53"/>
      <c r="E41" s="6"/>
      <c r="F41" s="19"/>
      <c r="G41" s="24"/>
      <c r="H41" s="24"/>
      <c r="I41" s="31"/>
      <c r="J41" s="35"/>
    </row>
    <row r="42" spans="2:10" x14ac:dyDescent="0.25">
      <c r="C42" s="57" t="s">
        <v>7</v>
      </c>
      <c r="D42" s="53"/>
      <c r="E42" s="6"/>
      <c r="F42" s="19"/>
      <c r="G42" s="24" t="s">
        <v>2</v>
      </c>
      <c r="H42" s="24" t="s">
        <v>2</v>
      </c>
      <c r="I42" s="31"/>
      <c r="J42" s="35"/>
    </row>
    <row r="43" spans="2:10" x14ac:dyDescent="0.25">
      <c r="C43" s="56"/>
      <c r="D43" s="53"/>
      <c r="E43" s="6"/>
      <c r="F43" s="19"/>
      <c r="G43" s="24"/>
      <c r="H43" s="24"/>
      <c r="I43" s="31"/>
      <c r="J43" s="35"/>
    </row>
    <row r="44" spans="2:10" x14ac:dyDescent="0.25">
      <c r="C44" s="59" t="s">
        <v>8</v>
      </c>
      <c r="D44" s="53"/>
      <c r="E44" s="6"/>
      <c r="F44" s="19"/>
      <c r="G44" s="24"/>
      <c r="H44" s="24"/>
      <c r="I44" s="31"/>
      <c r="J44" s="35"/>
    </row>
    <row r="45" spans="2:10" x14ac:dyDescent="0.25">
      <c r="B45" s="8" t="s">
        <v>1419</v>
      </c>
      <c r="C45" s="56" t="s">
        <v>1420</v>
      </c>
      <c r="D45" s="53" t="s">
        <v>1421</v>
      </c>
      <c r="E45" s="6" t="s">
        <v>1422</v>
      </c>
      <c r="F45" s="19">
        <v>630</v>
      </c>
      <c r="G45" s="24">
        <v>7854.93</v>
      </c>
      <c r="H45" s="24">
        <v>0.78</v>
      </c>
      <c r="I45" s="31">
        <v>4.5183999999999997</v>
      </c>
      <c r="J45" s="35" t="s">
        <v>514</v>
      </c>
    </row>
    <row r="46" spans="2:10" x14ac:dyDescent="0.25">
      <c r="B46" s="8" t="s">
        <v>1423</v>
      </c>
      <c r="C46" s="56" t="s">
        <v>1424</v>
      </c>
      <c r="D46" s="53" t="s">
        <v>1425</v>
      </c>
      <c r="E46" s="6" t="s">
        <v>1422</v>
      </c>
      <c r="F46" s="19">
        <v>621</v>
      </c>
      <c r="G46" s="24">
        <v>7423.33</v>
      </c>
      <c r="H46" s="24">
        <v>0.73</v>
      </c>
      <c r="I46" s="31">
        <v>3.8492999999999999</v>
      </c>
      <c r="J46" s="35" t="s">
        <v>514</v>
      </c>
    </row>
    <row r="47" spans="2:10" x14ac:dyDescent="0.25">
      <c r="B47" s="8" t="s">
        <v>1426</v>
      </c>
      <c r="C47" s="56" t="s">
        <v>1427</v>
      </c>
      <c r="D47" s="53" t="s">
        <v>1428</v>
      </c>
      <c r="E47" s="6" t="s">
        <v>1422</v>
      </c>
      <c r="F47" s="19">
        <v>254</v>
      </c>
      <c r="G47" s="24">
        <v>3110.21</v>
      </c>
      <c r="H47" s="24">
        <v>0.31</v>
      </c>
      <c r="I47" s="31">
        <v>3.9510000000000001</v>
      </c>
      <c r="J47" s="35" t="s">
        <v>514</v>
      </c>
    </row>
    <row r="48" spans="2:10" x14ac:dyDescent="0.25">
      <c r="B48" s="8" t="s">
        <v>1429</v>
      </c>
      <c r="C48" s="56" t="s">
        <v>1427</v>
      </c>
      <c r="D48" s="53" t="s">
        <v>1430</v>
      </c>
      <c r="E48" s="6" t="s">
        <v>1422</v>
      </c>
      <c r="F48" s="19">
        <v>245</v>
      </c>
      <c r="G48" s="24">
        <v>3027.59</v>
      </c>
      <c r="H48" s="24">
        <v>0.3</v>
      </c>
      <c r="I48" s="31">
        <v>4.5243000000000002</v>
      </c>
      <c r="J48" s="35" t="s">
        <v>514</v>
      </c>
    </row>
    <row r="49" spans="1:10" x14ac:dyDescent="0.25">
      <c r="B49" s="8" t="s">
        <v>1431</v>
      </c>
      <c r="C49" s="56" t="s">
        <v>1420</v>
      </c>
      <c r="D49" s="53" t="s">
        <v>1432</v>
      </c>
      <c r="E49" s="6" t="s">
        <v>1422</v>
      </c>
      <c r="F49" s="19">
        <v>185</v>
      </c>
      <c r="G49" s="24">
        <v>2277.3000000000002</v>
      </c>
      <c r="H49" s="24">
        <v>0.22</v>
      </c>
      <c r="I49" s="31">
        <v>3.9352999999999998</v>
      </c>
      <c r="J49" s="35" t="s">
        <v>514</v>
      </c>
    </row>
    <row r="50" spans="1:10" x14ac:dyDescent="0.25">
      <c r="B50" s="8" t="s">
        <v>1433</v>
      </c>
      <c r="C50" s="56" t="s">
        <v>1424</v>
      </c>
      <c r="D50" s="53" t="s">
        <v>1434</v>
      </c>
      <c r="E50" s="6" t="s">
        <v>1422</v>
      </c>
      <c r="F50" s="19">
        <v>120</v>
      </c>
      <c r="G50" s="24">
        <v>1449.66</v>
      </c>
      <c r="H50" s="24">
        <v>0.14000000000000001</v>
      </c>
      <c r="I50" s="31">
        <v>4.4913999999999996</v>
      </c>
      <c r="J50" s="35" t="s">
        <v>514</v>
      </c>
    </row>
    <row r="51" spans="1:10" x14ac:dyDescent="0.25">
      <c r="C51" s="57" t="s">
        <v>35</v>
      </c>
      <c r="D51" s="53"/>
      <c r="E51" s="6"/>
      <c r="F51" s="19"/>
      <c r="G51" s="25">
        <v>25143.02</v>
      </c>
      <c r="H51" s="25">
        <v>2.48</v>
      </c>
      <c r="I51" s="31"/>
      <c r="J51" s="35"/>
    </row>
    <row r="52" spans="1:10" x14ac:dyDescent="0.25">
      <c r="C52" s="56"/>
      <c r="D52" s="53"/>
      <c r="E52" s="6"/>
      <c r="F52" s="19"/>
      <c r="G52" s="24"/>
      <c r="H52" s="24"/>
      <c r="I52" s="31"/>
      <c r="J52" s="35"/>
    </row>
    <row r="53" spans="1:10" x14ac:dyDescent="0.25">
      <c r="C53" s="57" t="s">
        <v>9</v>
      </c>
      <c r="D53" s="53"/>
      <c r="E53" s="6"/>
      <c r="F53" s="19"/>
      <c r="G53" s="24" t="s">
        <v>2</v>
      </c>
      <c r="H53" s="24" t="s">
        <v>2</v>
      </c>
      <c r="I53" s="31"/>
      <c r="J53" s="35"/>
    </row>
    <row r="54" spans="1:10" x14ac:dyDescent="0.25">
      <c r="C54" s="56"/>
      <c r="D54" s="53"/>
      <c r="E54" s="6"/>
      <c r="F54" s="19"/>
      <c r="G54" s="24"/>
      <c r="H54" s="24"/>
      <c r="I54" s="31"/>
      <c r="J54" s="35"/>
    </row>
    <row r="55" spans="1:10" x14ac:dyDescent="0.25">
      <c r="C55" s="59" t="s">
        <v>10</v>
      </c>
      <c r="D55" s="53"/>
      <c r="E55" s="6"/>
      <c r="F55" s="19"/>
      <c r="G55" s="24"/>
      <c r="H55" s="24"/>
      <c r="I55" s="31"/>
      <c r="J55" s="35"/>
    </row>
    <row r="56" spans="1:10" x14ac:dyDescent="0.25">
      <c r="B56" s="8" t="s">
        <v>1435</v>
      </c>
      <c r="C56" s="56" t="s">
        <v>1436</v>
      </c>
      <c r="D56" s="53" t="s">
        <v>1437</v>
      </c>
      <c r="E56" s="6" t="s">
        <v>655</v>
      </c>
      <c r="F56" s="19">
        <v>10000000</v>
      </c>
      <c r="G56" s="24">
        <v>10197.77</v>
      </c>
      <c r="H56" s="24">
        <v>1.01</v>
      </c>
      <c r="I56" s="31">
        <v>3.7057000000000002</v>
      </c>
      <c r="J56" s="35"/>
    </row>
    <row r="57" spans="1:10" x14ac:dyDescent="0.25">
      <c r="C57" s="57" t="s">
        <v>35</v>
      </c>
      <c r="D57" s="53"/>
      <c r="E57" s="6"/>
      <c r="F57" s="19"/>
      <c r="G57" s="25">
        <v>10197.77</v>
      </c>
      <c r="H57" s="25">
        <v>1.01</v>
      </c>
      <c r="I57" s="31"/>
      <c r="J57" s="35"/>
    </row>
    <row r="58" spans="1:10" x14ac:dyDescent="0.25">
      <c r="C58" s="56"/>
      <c r="D58" s="53"/>
      <c r="E58" s="6"/>
      <c r="F58" s="19"/>
      <c r="G58" s="24"/>
      <c r="H58" s="24"/>
      <c r="I58" s="31"/>
      <c r="J58" s="35"/>
    </row>
    <row r="59" spans="1:10" x14ac:dyDescent="0.25">
      <c r="A59" s="10"/>
      <c r="B59" s="28"/>
      <c r="C59" s="58" t="s">
        <v>11</v>
      </c>
      <c r="D59" s="53"/>
      <c r="E59" s="6"/>
      <c r="F59" s="19"/>
      <c r="G59" s="24"/>
      <c r="H59" s="24"/>
      <c r="I59" s="31"/>
      <c r="J59" s="35"/>
    </row>
    <row r="60" spans="1:10" x14ac:dyDescent="0.25">
      <c r="C60" s="59" t="s">
        <v>13</v>
      </c>
      <c r="D60" s="53"/>
      <c r="E60" s="6"/>
      <c r="F60" s="19"/>
      <c r="G60" s="24"/>
      <c r="H60" s="24"/>
      <c r="I60" s="31"/>
      <c r="J60" s="35"/>
    </row>
    <row r="61" spans="1:10" x14ac:dyDescent="0.25">
      <c r="B61" s="8" t="s">
        <v>1202</v>
      </c>
      <c r="C61" s="56" t="s">
        <v>601</v>
      </c>
      <c r="D61" s="53" t="s">
        <v>1203</v>
      </c>
      <c r="E61" s="6" t="s">
        <v>1204</v>
      </c>
      <c r="F61" s="19">
        <v>8000</v>
      </c>
      <c r="G61" s="24">
        <v>38708.519999999997</v>
      </c>
      <c r="H61" s="24">
        <v>3.82</v>
      </c>
      <c r="I61" s="31">
        <v>4.0324999999999998</v>
      </c>
      <c r="J61" s="35" t="s">
        <v>514</v>
      </c>
    </row>
    <row r="62" spans="1:10" x14ac:dyDescent="0.25">
      <c r="B62" s="8" t="s">
        <v>997</v>
      </c>
      <c r="C62" s="56" t="s">
        <v>998</v>
      </c>
      <c r="D62" s="53" t="s">
        <v>999</v>
      </c>
      <c r="E62" s="6" t="s">
        <v>1000</v>
      </c>
      <c r="F62" s="19">
        <v>7500</v>
      </c>
      <c r="G62" s="24">
        <v>37406.1</v>
      </c>
      <c r="H62" s="24">
        <v>3.7</v>
      </c>
      <c r="I62" s="31">
        <v>3.2723</v>
      </c>
      <c r="J62" s="35"/>
    </row>
    <row r="63" spans="1:10" x14ac:dyDescent="0.25">
      <c r="B63" s="8" t="s">
        <v>1438</v>
      </c>
      <c r="C63" s="56" t="s">
        <v>1127</v>
      </c>
      <c r="D63" s="53" t="s">
        <v>1439</v>
      </c>
      <c r="E63" s="6" t="s">
        <v>992</v>
      </c>
      <c r="F63" s="19">
        <v>6000</v>
      </c>
      <c r="G63" s="24">
        <v>29884.86</v>
      </c>
      <c r="H63" s="24">
        <v>2.95</v>
      </c>
      <c r="I63" s="31">
        <v>3.4298999999999999</v>
      </c>
      <c r="J63" s="35" t="s">
        <v>514</v>
      </c>
    </row>
    <row r="64" spans="1:10" x14ac:dyDescent="0.25">
      <c r="B64" s="8" t="s">
        <v>1440</v>
      </c>
      <c r="C64" s="56" t="s">
        <v>881</v>
      </c>
      <c r="D64" s="53" t="s">
        <v>1441</v>
      </c>
      <c r="E64" s="6" t="s">
        <v>1132</v>
      </c>
      <c r="F64" s="19">
        <v>5000</v>
      </c>
      <c r="G64" s="24">
        <v>24881.58</v>
      </c>
      <c r="H64" s="24">
        <v>2.46</v>
      </c>
      <c r="I64" s="31">
        <v>6.2050999999999998</v>
      </c>
      <c r="J64" s="35" t="s">
        <v>514</v>
      </c>
    </row>
    <row r="65" spans="2:10" x14ac:dyDescent="0.25">
      <c r="B65" s="8" t="s">
        <v>1442</v>
      </c>
      <c r="C65" s="56" t="s">
        <v>1030</v>
      </c>
      <c r="D65" s="53" t="s">
        <v>1443</v>
      </c>
      <c r="E65" s="6" t="s">
        <v>992</v>
      </c>
      <c r="F65" s="19">
        <v>4000</v>
      </c>
      <c r="G65" s="24">
        <v>19973.46</v>
      </c>
      <c r="H65" s="24">
        <v>1.97</v>
      </c>
      <c r="I65" s="31">
        <v>3.7322000000000002</v>
      </c>
      <c r="J65" s="35"/>
    </row>
    <row r="66" spans="2:10" x14ac:dyDescent="0.25">
      <c r="B66" s="8" t="s">
        <v>1142</v>
      </c>
      <c r="C66" s="56" t="s">
        <v>1143</v>
      </c>
      <c r="D66" s="53" t="s">
        <v>1144</v>
      </c>
      <c r="E66" s="6" t="s">
        <v>992</v>
      </c>
      <c r="F66" s="19">
        <v>4000</v>
      </c>
      <c r="G66" s="24">
        <v>19716.939999999999</v>
      </c>
      <c r="H66" s="24">
        <v>1.95</v>
      </c>
      <c r="I66" s="31">
        <v>4</v>
      </c>
      <c r="J66" s="35" t="s">
        <v>514</v>
      </c>
    </row>
    <row r="67" spans="2:10" x14ac:dyDescent="0.25">
      <c r="B67" s="8" t="s">
        <v>1444</v>
      </c>
      <c r="C67" s="56" t="s">
        <v>1445</v>
      </c>
      <c r="D67" s="53" t="s">
        <v>1446</v>
      </c>
      <c r="E67" s="6" t="s">
        <v>992</v>
      </c>
      <c r="F67" s="19">
        <v>2000</v>
      </c>
      <c r="G67" s="24">
        <v>9953.4599999999991</v>
      </c>
      <c r="H67" s="24">
        <v>0.98</v>
      </c>
      <c r="I67" s="31">
        <v>4.1626000000000003</v>
      </c>
      <c r="J67" s="35" t="s">
        <v>514</v>
      </c>
    </row>
    <row r="68" spans="2:10" x14ac:dyDescent="0.25">
      <c r="B68" s="8" t="s">
        <v>1212</v>
      </c>
      <c r="C68" s="56" t="s">
        <v>125</v>
      </c>
      <c r="D68" s="53" t="s">
        <v>1213</v>
      </c>
      <c r="E68" s="6" t="s">
        <v>992</v>
      </c>
      <c r="F68" s="19">
        <v>2000</v>
      </c>
      <c r="G68" s="24">
        <v>9871.2099999999991</v>
      </c>
      <c r="H68" s="24">
        <v>0.98</v>
      </c>
      <c r="I68" s="31">
        <v>3.7498999999999998</v>
      </c>
      <c r="J68" s="35" t="s">
        <v>514</v>
      </c>
    </row>
    <row r="69" spans="2:10" x14ac:dyDescent="0.25">
      <c r="B69" s="8" t="s">
        <v>1447</v>
      </c>
      <c r="C69" s="56" t="s">
        <v>106</v>
      </c>
      <c r="D69" s="53" t="s">
        <v>1448</v>
      </c>
      <c r="E69" s="6" t="s">
        <v>1204</v>
      </c>
      <c r="F69" s="19">
        <v>2000</v>
      </c>
      <c r="G69" s="24">
        <v>9817.86</v>
      </c>
      <c r="H69" s="24">
        <v>0.97</v>
      </c>
      <c r="I69" s="31">
        <v>4.18</v>
      </c>
      <c r="J69" s="35" t="s">
        <v>514</v>
      </c>
    </row>
    <row r="70" spans="2:10" x14ac:dyDescent="0.25">
      <c r="B70" s="8" t="s">
        <v>1449</v>
      </c>
      <c r="C70" s="56" t="s">
        <v>1124</v>
      </c>
      <c r="D70" s="53" t="s">
        <v>1450</v>
      </c>
      <c r="E70" s="6" t="s">
        <v>992</v>
      </c>
      <c r="F70" s="19">
        <v>2000</v>
      </c>
      <c r="G70" s="24">
        <v>9812.81</v>
      </c>
      <c r="H70" s="24">
        <v>0.97</v>
      </c>
      <c r="I70" s="31">
        <v>4.12</v>
      </c>
      <c r="J70" s="35" t="s">
        <v>514</v>
      </c>
    </row>
    <row r="71" spans="2:10" x14ac:dyDescent="0.25">
      <c r="C71" s="57" t="s">
        <v>35</v>
      </c>
      <c r="D71" s="53"/>
      <c r="E71" s="6"/>
      <c r="F71" s="19"/>
      <c r="G71" s="25">
        <v>210026.8</v>
      </c>
      <c r="H71" s="25">
        <v>20.75</v>
      </c>
      <c r="I71" s="31"/>
      <c r="J71" s="35"/>
    </row>
    <row r="72" spans="2:10" x14ac:dyDescent="0.25">
      <c r="C72" s="56"/>
      <c r="D72" s="53"/>
      <c r="E72" s="6"/>
      <c r="F72" s="19"/>
      <c r="G72" s="24"/>
      <c r="H72" s="24"/>
      <c r="I72" s="31"/>
      <c r="J72" s="35"/>
    </row>
    <row r="73" spans="2:10" x14ac:dyDescent="0.25">
      <c r="C73" s="59" t="s">
        <v>14</v>
      </c>
      <c r="D73" s="53"/>
      <c r="E73" s="6"/>
      <c r="F73" s="19"/>
      <c r="G73" s="24"/>
      <c r="H73" s="24"/>
      <c r="I73" s="31"/>
      <c r="J73" s="35"/>
    </row>
    <row r="74" spans="2:10" x14ac:dyDescent="0.25">
      <c r="B74" s="8" t="s">
        <v>1229</v>
      </c>
      <c r="C74" s="56" t="s">
        <v>1230</v>
      </c>
      <c r="D74" s="53" t="s">
        <v>1231</v>
      </c>
      <c r="E74" s="6" t="s">
        <v>992</v>
      </c>
      <c r="F74" s="19">
        <v>37500</v>
      </c>
      <c r="G74" s="24">
        <v>36533.93</v>
      </c>
      <c r="H74" s="24">
        <v>3.61</v>
      </c>
      <c r="I74" s="31">
        <v>3.8300999999999998</v>
      </c>
      <c r="J74" s="35" t="s">
        <v>514</v>
      </c>
    </row>
    <row r="75" spans="2:10" x14ac:dyDescent="0.25">
      <c r="B75" s="8" t="s">
        <v>1451</v>
      </c>
      <c r="C75" s="56" t="s">
        <v>1242</v>
      </c>
      <c r="D75" s="53" t="s">
        <v>1452</v>
      </c>
      <c r="E75" s="6" t="s">
        <v>1132</v>
      </c>
      <c r="F75" s="19">
        <v>35000</v>
      </c>
      <c r="G75" s="24">
        <v>34509.97</v>
      </c>
      <c r="H75" s="24">
        <v>3.41</v>
      </c>
      <c r="I75" s="31">
        <v>3.55</v>
      </c>
      <c r="J75" s="35" t="s">
        <v>514</v>
      </c>
    </row>
    <row r="76" spans="2:10" x14ac:dyDescent="0.25">
      <c r="B76" s="8" t="s">
        <v>1238</v>
      </c>
      <c r="C76" s="56" t="s">
        <v>1239</v>
      </c>
      <c r="D76" s="53" t="s">
        <v>1240</v>
      </c>
      <c r="E76" s="6" t="s">
        <v>1132</v>
      </c>
      <c r="F76" s="19">
        <v>30000</v>
      </c>
      <c r="G76" s="24">
        <v>29981.7</v>
      </c>
      <c r="H76" s="24">
        <v>2.96</v>
      </c>
      <c r="I76" s="31">
        <v>3.7130999999999998</v>
      </c>
      <c r="J76" s="35" t="s">
        <v>514</v>
      </c>
    </row>
    <row r="77" spans="2:10" x14ac:dyDescent="0.25">
      <c r="B77" s="8" t="s">
        <v>1453</v>
      </c>
      <c r="C77" s="56" t="s">
        <v>74</v>
      </c>
      <c r="D77" s="53" t="s">
        <v>1454</v>
      </c>
      <c r="E77" s="6" t="s">
        <v>992</v>
      </c>
      <c r="F77" s="19">
        <v>30000</v>
      </c>
      <c r="G77" s="24">
        <v>29872.86</v>
      </c>
      <c r="H77" s="24">
        <v>2.95</v>
      </c>
      <c r="I77" s="31">
        <v>3.3052000000000001</v>
      </c>
      <c r="J77" s="35" t="s">
        <v>514</v>
      </c>
    </row>
    <row r="78" spans="2:10" x14ac:dyDescent="0.25">
      <c r="B78" s="8" t="s">
        <v>1455</v>
      </c>
      <c r="C78" s="56" t="s">
        <v>74</v>
      </c>
      <c r="D78" s="53" t="s">
        <v>1456</v>
      </c>
      <c r="E78" s="6" t="s">
        <v>992</v>
      </c>
      <c r="F78" s="19">
        <v>25000</v>
      </c>
      <c r="G78" s="24">
        <v>24800.15</v>
      </c>
      <c r="H78" s="24">
        <v>2.4500000000000002</v>
      </c>
      <c r="I78" s="31">
        <v>3.3050999999999999</v>
      </c>
      <c r="J78" s="35"/>
    </row>
    <row r="79" spans="2:10" x14ac:dyDescent="0.25">
      <c r="B79" s="8" t="s">
        <v>1457</v>
      </c>
      <c r="C79" s="56" t="s">
        <v>1298</v>
      </c>
      <c r="D79" s="53" t="s">
        <v>1458</v>
      </c>
      <c r="E79" s="6" t="s">
        <v>992</v>
      </c>
      <c r="F79" s="19">
        <v>20000</v>
      </c>
      <c r="G79" s="24">
        <v>19572.560000000001</v>
      </c>
      <c r="H79" s="24">
        <v>1.93</v>
      </c>
      <c r="I79" s="31">
        <v>5.21</v>
      </c>
      <c r="J79" s="35" t="s">
        <v>514</v>
      </c>
    </row>
    <row r="80" spans="2:10" x14ac:dyDescent="0.25">
      <c r="B80" s="8" t="s">
        <v>1241</v>
      </c>
      <c r="C80" s="56" t="s">
        <v>1242</v>
      </c>
      <c r="D80" s="53" t="s">
        <v>1243</v>
      </c>
      <c r="E80" s="6" t="s">
        <v>1132</v>
      </c>
      <c r="F80" s="19">
        <v>15000</v>
      </c>
      <c r="G80" s="24">
        <v>14943.48</v>
      </c>
      <c r="H80" s="24">
        <v>1.48</v>
      </c>
      <c r="I80" s="31">
        <v>3.2873999999999999</v>
      </c>
      <c r="J80" s="35" t="s">
        <v>514</v>
      </c>
    </row>
    <row r="81" spans="2:10" x14ac:dyDescent="0.25">
      <c r="B81" s="8" t="s">
        <v>1459</v>
      </c>
      <c r="C81" s="56" t="s">
        <v>74</v>
      </c>
      <c r="D81" s="53" t="s">
        <v>1460</v>
      </c>
      <c r="E81" s="6" t="s">
        <v>992</v>
      </c>
      <c r="F81" s="19">
        <v>15000</v>
      </c>
      <c r="G81" s="24">
        <v>14814.69</v>
      </c>
      <c r="H81" s="24">
        <v>1.46</v>
      </c>
      <c r="I81" s="31">
        <v>3.5950000000000002</v>
      </c>
      <c r="J81" s="35" t="s">
        <v>514</v>
      </c>
    </row>
    <row r="82" spans="2:10" x14ac:dyDescent="0.25">
      <c r="B82" s="8" t="s">
        <v>1461</v>
      </c>
      <c r="C82" s="56" t="s">
        <v>1298</v>
      </c>
      <c r="D82" s="53" t="s">
        <v>1462</v>
      </c>
      <c r="E82" s="6" t="s">
        <v>992</v>
      </c>
      <c r="F82" s="19">
        <v>10000</v>
      </c>
      <c r="G82" s="24">
        <v>9951.7800000000007</v>
      </c>
      <c r="H82" s="24">
        <v>0.98</v>
      </c>
      <c r="I82" s="31">
        <v>4.9127000000000001</v>
      </c>
      <c r="J82" s="35" t="s">
        <v>514</v>
      </c>
    </row>
    <row r="83" spans="2:10" x14ac:dyDescent="0.25">
      <c r="B83" s="8" t="s">
        <v>1463</v>
      </c>
      <c r="C83" s="56" t="s">
        <v>1230</v>
      </c>
      <c r="D83" s="53" t="s">
        <v>1464</v>
      </c>
      <c r="E83" s="6" t="s">
        <v>992</v>
      </c>
      <c r="F83" s="19">
        <v>10000</v>
      </c>
      <c r="G83" s="24">
        <v>9791.43</v>
      </c>
      <c r="H83" s="24">
        <v>0.97</v>
      </c>
      <c r="I83" s="31">
        <v>3.83</v>
      </c>
      <c r="J83" s="35" t="s">
        <v>514</v>
      </c>
    </row>
    <row r="84" spans="2:10" x14ac:dyDescent="0.25">
      <c r="B84" s="8" t="s">
        <v>1248</v>
      </c>
      <c r="C84" s="56" t="s">
        <v>818</v>
      </c>
      <c r="D84" s="53" t="s">
        <v>1249</v>
      </c>
      <c r="E84" s="6" t="s">
        <v>1000</v>
      </c>
      <c r="F84" s="19">
        <v>10000</v>
      </c>
      <c r="G84" s="24">
        <v>9751.36</v>
      </c>
      <c r="H84" s="24">
        <v>0.96</v>
      </c>
      <c r="I84" s="31">
        <v>3.8298999999999999</v>
      </c>
      <c r="J84" s="35" t="s">
        <v>514</v>
      </c>
    </row>
    <row r="85" spans="2:10" x14ac:dyDescent="0.25">
      <c r="B85" s="8" t="s">
        <v>1465</v>
      </c>
      <c r="C85" s="56" t="s">
        <v>74</v>
      </c>
      <c r="D85" s="53" t="s">
        <v>1466</v>
      </c>
      <c r="E85" s="6" t="s">
        <v>992</v>
      </c>
      <c r="F85" s="19">
        <v>5000</v>
      </c>
      <c r="G85" s="24">
        <v>4981.0600000000004</v>
      </c>
      <c r="H85" s="24">
        <v>0.49</v>
      </c>
      <c r="I85" s="31">
        <v>3.3052999999999999</v>
      </c>
      <c r="J85" s="35" t="s">
        <v>514</v>
      </c>
    </row>
    <row r="86" spans="2:10" x14ac:dyDescent="0.25">
      <c r="B86" s="8" t="s">
        <v>1256</v>
      </c>
      <c r="C86" s="56" t="s">
        <v>63</v>
      </c>
      <c r="D86" s="53" t="s">
        <v>1257</v>
      </c>
      <c r="E86" s="6" t="s">
        <v>1132</v>
      </c>
      <c r="F86" s="19">
        <v>5000</v>
      </c>
      <c r="G86" s="24">
        <v>4958.83</v>
      </c>
      <c r="H86" s="24">
        <v>0.49</v>
      </c>
      <c r="I86" s="31">
        <v>3.3300999999999998</v>
      </c>
      <c r="J86" s="35" t="s">
        <v>514</v>
      </c>
    </row>
    <row r="87" spans="2:10" x14ac:dyDescent="0.25">
      <c r="C87" s="57" t="s">
        <v>35</v>
      </c>
      <c r="D87" s="53"/>
      <c r="E87" s="6"/>
      <c r="F87" s="19"/>
      <c r="G87" s="25">
        <v>244463.8</v>
      </c>
      <c r="H87" s="25">
        <v>24.14</v>
      </c>
      <c r="I87" s="31"/>
      <c r="J87" s="35"/>
    </row>
    <row r="88" spans="2:10" x14ac:dyDescent="0.25">
      <c r="C88" s="56"/>
      <c r="D88" s="53"/>
      <c r="E88" s="6"/>
      <c r="F88" s="19"/>
      <c r="G88" s="24"/>
      <c r="H88" s="24"/>
      <c r="I88" s="31"/>
      <c r="J88" s="35"/>
    </row>
    <row r="89" spans="2:10" x14ac:dyDescent="0.25">
      <c r="C89" s="59" t="s">
        <v>15</v>
      </c>
      <c r="D89" s="53"/>
      <c r="E89" s="6"/>
      <c r="F89" s="19"/>
      <c r="G89" s="24"/>
      <c r="H89" s="24"/>
      <c r="I89" s="31"/>
      <c r="J89" s="35"/>
    </row>
    <row r="90" spans="2:10" x14ac:dyDescent="0.25">
      <c r="B90" s="8" t="s">
        <v>1467</v>
      </c>
      <c r="C90" s="56" t="s">
        <v>1468</v>
      </c>
      <c r="D90" s="53" t="s">
        <v>1469</v>
      </c>
      <c r="E90" s="6" t="s">
        <v>655</v>
      </c>
      <c r="F90" s="19">
        <v>50000000</v>
      </c>
      <c r="G90" s="24">
        <v>48552.6</v>
      </c>
      <c r="H90" s="24">
        <v>4.8</v>
      </c>
      <c r="I90" s="31">
        <v>3.6150000000000002</v>
      </c>
      <c r="J90" s="35"/>
    </row>
    <row r="91" spans="2:10" x14ac:dyDescent="0.25">
      <c r="B91" s="8" t="s">
        <v>1470</v>
      </c>
      <c r="C91" s="56" t="s">
        <v>1471</v>
      </c>
      <c r="D91" s="53" t="s">
        <v>1472</v>
      </c>
      <c r="E91" s="6" t="s">
        <v>655</v>
      </c>
      <c r="F91" s="19">
        <v>40000000</v>
      </c>
      <c r="G91" s="24">
        <v>39776.199999999997</v>
      </c>
      <c r="H91" s="24">
        <v>3.93</v>
      </c>
      <c r="I91" s="31">
        <v>3.2597999999999998</v>
      </c>
      <c r="J91" s="35"/>
    </row>
    <row r="92" spans="2:10" x14ac:dyDescent="0.25">
      <c r="B92" s="8" t="s">
        <v>1473</v>
      </c>
      <c r="C92" s="56" t="s">
        <v>1474</v>
      </c>
      <c r="D92" s="53" t="s">
        <v>1475</v>
      </c>
      <c r="E92" s="6" t="s">
        <v>655</v>
      </c>
      <c r="F92" s="19">
        <v>35000000</v>
      </c>
      <c r="G92" s="24">
        <v>34594.559999999998</v>
      </c>
      <c r="H92" s="24">
        <v>3.42</v>
      </c>
      <c r="I92" s="31">
        <v>3.395</v>
      </c>
      <c r="J92" s="35"/>
    </row>
    <row r="93" spans="2:10" x14ac:dyDescent="0.25">
      <c r="B93" s="8" t="s">
        <v>1476</v>
      </c>
      <c r="C93" s="56" t="s">
        <v>1477</v>
      </c>
      <c r="D93" s="53" t="s">
        <v>1478</v>
      </c>
      <c r="E93" s="6" t="s">
        <v>655</v>
      </c>
      <c r="F93" s="19">
        <v>1509900</v>
      </c>
      <c r="G93" s="24">
        <v>1457.44</v>
      </c>
      <c r="H93" s="24">
        <v>0.14000000000000001</v>
      </c>
      <c r="I93" s="31">
        <v>3.7353000000000001</v>
      </c>
      <c r="J93" s="35"/>
    </row>
    <row r="94" spans="2:10" x14ac:dyDescent="0.25">
      <c r="B94" s="8" t="s">
        <v>1479</v>
      </c>
      <c r="C94" s="56" t="s">
        <v>1480</v>
      </c>
      <c r="D94" s="53" t="s">
        <v>1481</v>
      </c>
      <c r="E94" s="6" t="s">
        <v>655</v>
      </c>
      <c r="F94" s="19">
        <v>501800</v>
      </c>
      <c r="G94" s="24">
        <v>478.69</v>
      </c>
      <c r="H94" s="24">
        <v>0.05</v>
      </c>
      <c r="I94" s="31">
        <v>3.9497</v>
      </c>
      <c r="J94" s="35"/>
    </row>
    <row r="95" spans="2:10" x14ac:dyDescent="0.25">
      <c r="C95" s="57" t="s">
        <v>35</v>
      </c>
      <c r="D95" s="53"/>
      <c r="E95" s="6"/>
      <c r="F95" s="19"/>
      <c r="G95" s="25">
        <v>124859.49</v>
      </c>
      <c r="H95" s="25">
        <v>12.34</v>
      </c>
      <c r="I95" s="31"/>
      <c r="J95" s="35"/>
    </row>
    <row r="96" spans="2:10" x14ac:dyDescent="0.25">
      <c r="C96" s="56"/>
      <c r="D96" s="53"/>
      <c r="E96" s="6"/>
      <c r="F96" s="19"/>
      <c r="G96" s="24"/>
      <c r="H96" s="24"/>
      <c r="I96" s="31"/>
      <c r="J96" s="35"/>
    </row>
    <row r="97" spans="1:10" x14ac:dyDescent="0.25">
      <c r="C97" s="57" t="s">
        <v>16</v>
      </c>
      <c r="D97" s="53"/>
      <c r="E97" s="6"/>
      <c r="F97" s="19"/>
      <c r="G97" s="24" t="s">
        <v>2</v>
      </c>
      <c r="H97" s="24" t="s">
        <v>2</v>
      </c>
      <c r="I97" s="31"/>
      <c r="J97" s="35"/>
    </row>
    <row r="98" spans="1:10" x14ac:dyDescent="0.25">
      <c r="C98" s="56"/>
      <c r="D98" s="53"/>
      <c r="E98" s="6"/>
      <c r="F98" s="19"/>
      <c r="G98" s="24"/>
      <c r="H98" s="24"/>
      <c r="I98" s="31"/>
      <c r="J98" s="35"/>
    </row>
    <row r="99" spans="1:10" x14ac:dyDescent="0.25">
      <c r="A99" s="10"/>
      <c r="B99" s="28"/>
      <c r="C99" s="58" t="s">
        <v>17</v>
      </c>
      <c r="D99" s="53"/>
      <c r="E99" s="6"/>
      <c r="F99" s="19"/>
      <c r="G99" s="24"/>
      <c r="H99" s="24"/>
      <c r="I99" s="31"/>
      <c r="J99" s="35"/>
    </row>
    <row r="100" spans="1:10" x14ac:dyDescent="0.25">
      <c r="A100" s="28"/>
      <c r="B100" s="28"/>
      <c r="C100" s="58" t="s">
        <v>18</v>
      </c>
      <c r="D100" s="53"/>
      <c r="E100" s="6"/>
      <c r="F100" s="19"/>
      <c r="G100" s="24" t="s">
        <v>2</v>
      </c>
      <c r="H100" s="24" t="s">
        <v>2</v>
      </c>
      <c r="I100" s="31"/>
      <c r="J100" s="35"/>
    </row>
    <row r="101" spans="1:10" x14ac:dyDescent="0.25">
      <c r="A101" s="28"/>
      <c r="B101" s="28"/>
      <c r="C101" s="58"/>
      <c r="D101" s="53"/>
      <c r="E101" s="6"/>
      <c r="F101" s="19"/>
      <c r="G101" s="24"/>
      <c r="H101" s="24"/>
      <c r="I101" s="31"/>
      <c r="J101" s="35"/>
    </row>
    <row r="102" spans="1:10" x14ac:dyDescent="0.25">
      <c r="A102" s="28"/>
      <c r="B102" s="28"/>
      <c r="C102" s="58" t="s">
        <v>19</v>
      </c>
      <c r="D102" s="53"/>
      <c r="E102" s="6"/>
      <c r="F102" s="19"/>
      <c r="G102" s="24" t="s">
        <v>2</v>
      </c>
      <c r="H102" s="24" t="s">
        <v>2</v>
      </c>
      <c r="I102" s="31"/>
      <c r="J102" s="35"/>
    </row>
    <row r="103" spans="1:10" x14ac:dyDescent="0.25">
      <c r="A103" s="28"/>
      <c r="B103" s="28"/>
      <c r="C103" s="58"/>
      <c r="D103" s="53"/>
      <c r="E103" s="6"/>
      <c r="F103" s="19"/>
      <c r="G103" s="24"/>
      <c r="H103" s="24"/>
      <c r="I103" s="31"/>
      <c r="J103" s="35"/>
    </row>
    <row r="104" spans="1:10" x14ac:dyDescent="0.25">
      <c r="A104" s="28"/>
      <c r="B104" s="28"/>
      <c r="C104" s="58" t="s">
        <v>20</v>
      </c>
      <c r="D104" s="53"/>
      <c r="E104" s="6"/>
      <c r="F104" s="19"/>
      <c r="G104" s="24" t="s">
        <v>2</v>
      </c>
      <c r="H104" s="24" t="s">
        <v>2</v>
      </c>
      <c r="I104" s="31"/>
      <c r="J104" s="35"/>
    </row>
    <row r="105" spans="1:10" x14ac:dyDescent="0.25">
      <c r="A105" s="28"/>
      <c r="B105" s="28"/>
      <c r="C105" s="58"/>
      <c r="D105" s="53"/>
      <c r="E105" s="6"/>
      <c r="F105" s="19"/>
      <c r="G105" s="24"/>
      <c r="H105" s="24"/>
      <c r="I105" s="31"/>
      <c r="J105" s="35"/>
    </row>
    <row r="106" spans="1:10" x14ac:dyDescent="0.25">
      <c r="A106" s="28"/>
      <c r="B106" s="28"/>
      <c r="C106" s="58" t="s">
        <v>21</v>
      </c>
      <c r="D106" s="53"/>
      <c r="E106" s="6"/>
      <c r="F106" s="19"/>
      <c r="G106" s="24" t="s">
        <v>2</v>
      </c>
      <c r="H106" s="24" t="s">
        <v>2</v>
      </c>
      <c r="I106" s="31"/>
      <c r="J106" s="35"/>
    </row>
    <row r="107" spans="1:10" x14ac:dyDescent="0.25">
      <c r="A107" s="28"/>
      <c r="B107" s="28"/>
      <c r="C107" s="58"/>
      <c r="D107" s="53"/>
      <c r="E107" s="6"/>
      <c r="F107" s="19"/>
      <c r="G107" s="24"/>
      <c r="H107" s="24"/>
      <c r="I107" s="31"/>
      <c r="J107" s="35"/>
    </row>
    <row r="108" spans="1:10" x14ac:dyDescent="0.25">
      <c r="C108" s="59" t="s">
        <v>22</v>
      </c>
      <c r="D108" s="53"/>
      <c r="E108" s="6"/>
      <c r="F108" s="19"/>
      <c r="G108" s="24"/>
      <c r="H108" s="24"/>
      <c r="I108" s="31"/>
      <c r="J108" s="35"/>
    </row>
    <row r="109" spans="1:10" x14ac:dyDescent="0.25">
      <c r="B109" s="8" t="s">
        <v>33</v>
      </c>
      <c r="C109" s="56" t="s">
        <v>34</v>
      </c>
      <c r="D109" s="53"/>
      <c r="E109" s="6"/>
      <c r="F109" s="19"/>
      <c r="G109" s="24">
        <v>90100.77</v>
      </c>
      <c r="H109" s="24">
        <v>8.9</v>
      </c>
      <c r="I109" s="31"/>
      <c r="J109" s="35"/>
    </row>
    <row r="110" spans="1:10" x14ac:dyDescent="0.25">
      <c r="C110" s="57" t="s">
        <v>35</v>
      </c>
      <c r="D110" s="53"/>
      <c r="E110" s="6"/>
      <c r="F110" s="19"/>
      <c r="G110" s="25">
        <v>90100.77</v>
      </c>
      <c r="H110" s="25">
        <v>8.9</v>
      </c>
      <c r="I110" s="31"/>
      <c r="J110" s="35"/>
    </row>
    <row r="111" spans="1:10" x14ac:dyDescent="0.25">
      <c r="C111" s="56"/>
      <c r="D111" s="53"/>
      <c r="E111" s="6"/>
      <c r="F111" s="19"/>
      <c r="G111" s="24"/>
      <c r="H111" s="24"/>
      <c r="I111" s="31"/>
      <c r="J111" s="35"/>
    </row>
    <row r="112" spans="1:10" x14ac:dyDescent="0.25">
      <c r="A112" s="10"/>
      <c r="B112" s="28"/>
      <c r="C112" s="58" t="s">
        <v>23</v>
      </c>
      <c r="D112" s="53"/>
      <c r="E112" s="6"/>
      <c r="F112" s="19"/>
      <c r="G112" s="24"/>
      <c r="H112" s="24"/>
      <c r="I112" s="31"/>
      <c r="J112" s="35"/>
    </row>
    <row r="113" spans="1:10" x14ac:dyDescent="0.25">
      <c r="A113" s="28"/>
      <c r="B113" s="28"/>
      <c r="C113" s="60" t="s">
        <v>3398</v>
      </c>
      <c r="D113" s="53"/>
      <c r="E113" s="6"/>
      <c r="F113" s="19"/>
      <c r="G113" s="24" t="s">
        <v>2</v>
      </c>
      <c r="H113" s="24" t="s">
        <v>2</v>
      </c>
      <c r="I113" s="31"/>
      <c r="J113" s="35"/>
    </row>
    <row r="114" spans="1:10" x14ac:dyDescent="0.25">
      <c r="B114" s="8"/>
      <c r="C114" s="56" t="s">
        <v>36</v>
      </c>
      <c r="D114" s="53"/>
      <c r="E114" s="6"/>
      <c r="F114" s="19"/>
      <c r="G114" s="24">
        <v>803.05</v>
      </c>
      <c r="H114" s="24">
        <v>0.1</v>
      </c>
      <c r="I114" s="31"/>
      <c r="J114" s="35"/>
    </row>
    <row r="115" spans="1:10" x14ac:dyDescent="0.25">
      <c r="C115" s="57" t="s">
        <v>35</v>
      </c>
      <c r="D115" s="53"/>
      <c r="E115" s="6"/>
      <c r="F115" s="19"/>
      <c r="G115" s="25">
        <v>803.05</v>
      </c>
      <c r="H115" s="25">
        <v>0.1</v>
      </c>
      <c r="I115" s="31"/>
      <c r="J115" s="35"/>
    </row>
    <row r="116" spans="1:10" x14ac:dyDescent="0.25">
      <c r="C116" s="56"/>
      <c r="D116" s="53"/>
      <c r="E116" s="6"/>
      <c r="F116" s="19"/>
      <c r="G116" s="24"/>
      <c r="H116" s="24"/>
      <c r="I116" s="31"/>
      <c r="J116" s="35"/>
    </row>
    <row r="117" spans="1:10" x14ac:dyDescent="0.25">
      <c r="C117" s="61" t="s">
        <v>37</v>
      </c>
      <c r="D117" s="54"/>
      <c r="E117" s="5"/>
      <c r="F117" s="20"/>
      <c r="G117" s="26">
        <v>1012225.12</v>
      </c>
      <c r="H117" s="26">
        <f>SUMIFS(H:H,C:C,"Total")</f>
        <v>100</v>
      </c>
      <c r="I117" s="32"/>
      <c r="J117" s="36"/>
    </row>
    <row r="120" spans="1:10" x14ac:dyDescent="0.25">
      <c r="C120" s="1" t="s">
        <v>38</v>
      </c>
    </row>
    <row r="121" spans="1:10" x14ac:dyDescent="0.25">
      <c r="C121" s="2" t="s">
        <v>39</v>
      </c>
    </row>
    <row r="122" spans="1:10" x14ac:dyDescent="0.25">
      <c r="C122" s="2" t="s">
        <v>40</v>
      </c>
    </row>
    <row r="123" spans="1:10" x14ac:dyDescent="0.25">
      <c r="C123" s="2" t="s">
        <v>3430</v>
      </c>
    </row>
    <row r="124" spans="1:10" x14ac:dyDescent="0.25">
      <c r="C124" s="2" t="s">
        <v>3403</v>
      </c>
    </row>
  </sheetData>
  <hyperlinks>
    <hyperlink ref="J2" location="'Index'!A1" display="'Index'!A1"/>
  </hyperlinks>
  <pageMargins left="0.7" right="0.7" top="0.75" bottom="0.75" header="0.3" footer="0.3"/>
  <pageSetup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1"/>
  <dimension ref="A1:J113"/>
  <sheetViews>
    <sheetView showGridLines="0" zoomScale="90" zoomScaleNormal="90" workbookViewId="0">
      <pane ySplit="6" topLeftCell="A97" activePane="bottomLeft" state="frozen"/>
      <selection pane="bottomLeft" activeCell="C113" sqref="C113"/>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1482</v>
      </c>
      <c r="J2" s="37" t="s">
        <v>3307</v>
      </c>
    </row>
    <row r="3" spans="1:10" ht="16.5" x14ac:dyDescent="0.3">
      <c r="C3" s="1" t="s">
        <v>24</v>
      </c>
      <c r="D3" s="21" t="s">
        <v>1483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225</v>
      </c>
      <c r="C10" s="56" t="s">
        <v>226</v>
      </c>
      <c r="D10" s="53" t="s">
        <v>227</v>
      </c>
      <c r="E10" s="6" t="s">
        <v>228</v>
      </c>
      <c r="F10" s="19">
        <v>1330132</v>
      </c>
      <c r="G10" s="24">
        <v>26223.55</v>
      </c>
      <c r="H10" s="24">
        <v>7.17</v>
      </c>
      <c r="I10" s="31"/>
      <c r="J10" s="35"/>
    </row>
    <row r="11" spans="1:10" x14ac:dyDescent="0.25">
      <c r="B11" s="8" t="s">
        <v>222</v>
      </c>
      <c r="C11" s="56" t="s">
        <v>223</v>
      </c>
      <c r="D11" s="53" t="s">
        <v>224</v>
      </c>
      <c r="E11" s="6" t="s">
        <v>83</v>
      </c>
      <c r="F11" s="19">
        <v>1561806</v>
      </c>
      <c r="G11" s="24">
        <v>20720.48</v>
      </c>
      <c r="H11" s="24">
        <v>5.66</v>
      </c>
      <c r="I11" s="31"/>
      <c r="J11" s="35"/>
    </row>
    <row r="12" spans="1:10" x14ac:dyDescent="0.25">
      <c r="B12" s="8" t="s">
        <v>1484</v>
      </c>
      <c r="C12" s="56" t="s">
        <v>1485</v>
      </c>
      <c r="D12" s="53" t="s">
        <v>1486</v>
      </c>
      <c r="E12" s="6" t="s">
        <v>1487</v>
      </c>
      <c r="F12" s="19">
        <v>2393994</v>
      </c>
      <c r="G12" s="24">
        <v>18501.98</v>
      </c>
      <c r="H12" s="24">
        <v>5.0599999999999996</v>
      </c>
      <c r="I12" s="31"/>
      <c r="J12" s="35"/>
    </row>
    <row r="13" spans="1:10" x14ac:dyDescent="0.25">
      <c r="B13" s="8" t="s">
        <v>1488</v>
      </c>
      <c r="C13" s="56" t="s">
        <v>1489</v>
      </c>
      <c r="D13" s="53" t="s">
        <v>1490</v>
      </c>
      <c r="E13" s="6" t="s">
        <v>274</v>
      </c>
      <c r="F13" s="19">
        <v>1995872</v>
      </c>
      <c r="G13" s="24">
        <v>17173.48</v>
      </c>
      <c r="H13" s="24">
        <v>4.6900000000000004</v>
      </c>
      <c r="I13" s="31"/>
      <c r="J13" s="35"/>
    </row>
    <row r="14" spans="1:10" x14ac:dyDescent="0.25">
      <c r="B14" s="8" t="s">
        <v>1491</v>
      </c>
      <c r="C14" s="56" t="s">
        <v>691</v>
      </c>
      <c r="D14" s="53" t="s">
        <v>1492</v>
      </c>
      <c r="E14" s="6" t="s">
        <v>94</v>
      </c>
      <c r="F14" s="19">
        <v>6662175</v>
      </c>
      <c r="G14" s="24">
        <v>16598.810000000001</v>
      </c>
      <c r="H14" s="24">
        <v>4.54</v>
      </c>
      <c r="I14" s="31"/>
      <c r="J14" s="35"/>
    </row>
    <row r="15" spans="1:10" x14ac:dyDescent="0.25">
      <c r="B15" s="8" t="s">
        <v>486</v>
      </c>
      <c r="C15" s="56" t="s">
        <v>487</v>
      </c>
      <c r="D15" s="53" t="s">
        <v>488</v>
      </c>
      <c r="E15" s="6" t="s">
        <v>41</v>
      </c>
      <c r="F15" s="19">
        <v>1728391</v>
      </c>
      <c r="G15" s="24">
        <v>13023.43</v>
      </c>
      <c r="H15" s="24">
        <v>3.56</v>
      </c>
      <c r="I15" s="31"/>
      <c r="J15" s="35"/>
    </row>
    <row r="16" spans="1:10" x14ac:dyDescent="0.25">
      <c r="B16" s="8" t="s">
        <v>1493</v>
      </c>
      <c r="C16" s="56" t="s">
        <v>1494</v>
      </c>
      <c r="D16" s="53" t="s">
        <v>1495</v>
      </c>
      <c r="E16" s="6" t="s">
        <v>826</v>
      </c>
      <c r="F16" s="19">
        <v>6167951</v>
      </c>
      <c r="G16" s="24">
        <v>12863.26</v>
      </c>
      <c r="H16" s="24">
        <v>3.52</v>
      </c>
      <c r="I16" s="31"/>
      <c r="J16" s="35"/>
    </row>
    <row r="17" spans="2:10" x14ac:dyDescent="0.25">
      <c r="B17" s="8" t="s">
        <v>69</v>
      </c>
      <c r="C17" s="56" t="s">
        <v>70</v>
      </c>
      <c r="D17" s="53" t="s">
        <v>71</v>
      </c>
      <c r="E17" s="6" t="s">
        <v>72</v>
      </c>
      <c r="F17" s="19">
        <v>55000</v>
      </c>
      <c r="G17" s="24">
        <v>11734.77</v>
      </c>
      <c r="H17" s="24">
        <v>3.21</v>
      </c>
      <c r="I17" s="31"/>
      <c r="J17" s="35"/>
    </row>
    <row r="18" spans="2:10" x14ac:dyDescent="0.25">
      <c r="B18" s="8" t="s">
        <v>811</v>
      </c>
      <c r="C18" s="56" t="s">
        <v>812</v>
      </c>
      <c r="D18" s="53" t="s">
        <v>813</v>
      </c>
      <c r="E18" s="6" t="s">
        <v>157</v>
      </c>
      <c r="F18" s="19">
        <v>4047103</v>
      </c>
      <c r="G18" s="24">
        <v>10896.82</v>
      </c>
      <c r="H18" s="24">
        <v>2.98</v>
      </c>
      <c r="I18" s="31"/>
      <c r="J18" s="35"/>
    </row>
    <row r="19" spans="2:10" x14ac:dyDescent="0.25">
      <c r="B19" s="8" t="s">
        <v>206</v>
      </c>
      <c r="C19" s="56" t="s">
        <v>207</v>
      </c>
      <c r="D19" s="53" t="s">
        <v>208</v>
      </c>
      <c r="E19" s="6" t="s">
        <v>41</v>
      </c>
      <c r="F19" s="19">
        <v>721000</v>
      </c>
      <c r="G19" s="24">
        <v>10864.39</v>
      </c>
      <c r="H19" s="24">
        <v>2.97</v>
      </c>
      <c r="I19" s="31"/>
      <c r="J19" s="35"/>
    </row>
    <row r="20" spans="2:10" x14ac:dyDescent="0.25">
      <c r="B20" s="8" t="s">
        <v>781</v>
      </c>
      <c r="C20" s="56" t="s">
        <v>782</v>
      </c>
      <c r="D20" s="53" t="s">
        <v>783</v>
      </c>
      <c r="E20" s="6" t="s">
        <v>111</v>
      </c>
      <c r="F20" s="19">
        <v>1126818</v>
      </c>
      <c r="G20" s="24">
        <v>10570.12</v>
      </c>
      <c r="H20" s="24">
        <v>2.89</v>
      </c>
      <c r="I20" s="31"/>
      <c r="J20" s="35"/>
    </row>
    <row r="21" spans="2:10" x14ac:dyDescent="0.25">
      <c r="B21" s="8" t="s">
        <v>203</v>
      </c>
      <c r="C21" s="56" t="s">
        <v>204</v>
      </c>
      <c r="D21" s="53" t="s">
        <v>205</v>
      </c>
      <c r="E21" s="6" t="s">
        <v>111</v>
      </c>
      <c r="F21" s="19">
        <v>1095130</v>
      </c>
      <c r="G21" s="24">
        <v>10402.64</v>
      </c>
      <c r="H21" s="24">
        <v>2.84</v>
      </c>
      <c r="I21" s="31"/>
      <c r="J21" s="35"/>
    </row>
    <row r="22" spans="2:10" x14ac:dyDescent="0.25">
      <c r="B22" s="8" t="s">
        <v>1368</v>
      </c>
      <c r="C22" s="56" t="s">
        <v>1369</v>
      </c>
      <c r="D22" s="53" t="s">
        <v>1370</v>
      </c>
      <c r="E22" s="6" t="s">
        <v>196</v>
      </c>
      <c r="F22" s="19">
        <v>900000</v>
      </c>
      <c r="G22" s="24">
        <v>10370.700000000001</v>
      </c>
      <c r="H22" s="24">
        <v>2.83</v>
      </c>
      <c r="I22" s="31"/>
      <c r="J22" s="35"/>
    </row>
    <row r="23" spans="2:10" x14ac:dyDescent="0.25">
      <c r="B23" s="8" t="s">
        <v>360</v>
      </c>
      <c r="C23" s="56" t="s">
        <v>361</v>
      </c>
      <c r="D23" s="53" t="s">
        <v>362</v>
      </c>
      <c r="E23" s="6" t="s">
        <v>111</v>
      </c>
      <c r="F23" s="19">
        <v>118301</v>
      </c>
      <c r="G23" s="24">
        <v>10221.98</v>
      </c>
      <c r="H23" s="24">
        <v>2.79</v>
      </c>
      <c r="I23" s="31"/>
      <c r="J23" s="35"/>
    </row>
    <row r="24" spans="2:10" x14ac:dyDescent="0.25">
      <c r="B24" s="8" t="s">
        <v>345</v>
      </c>
      <c r="C24" s="56" t="s">
        <v>346</v>
      </c>
      <c r="D24" s="53" t="s">
        <v>347</v>
      </c>
      <c r="E24" s="6" t="s">
        <v>111</v>
      </c>
      <c r="F24" s="19">
        <v>1338241</v>
      </c>
      <c r="G24" s="24">
        <v>9629.31</v>
      </c>
      <c r="H24" s="24">
        <v>2.63</v>
      </c>
      <c r="I24" s="31"/>
      <c r="J24" s="35"/>
    </row>
    <row r="25" spans="2:10" x14ac:dyDescent="0.25">
      <c r="B25" s="8" t="s">
        <v>330</v>
      </c>
      <c r="C25" s="56" t="s">
        <v>331</v>
      </c>
      <c r="D25" s="53" t="s">
        <v>332</v>
      </c>
      <c r="E25" s="6" t="s">
        <v>83</v>
      </c>
      <c r="F25" s="19">
        <v>3010000</v>
      </c>
      <c r="G25" s="24">
        <v>8799.74</v>
      </c>
      <c r="H25" s="24">
        <v>2.4</v>
      </c>
      <c r="I25" s="31"/>
      <c r="J25" s="35"/>
    </row>
    <row r="26" spans="2:10" x14ac:dyDescent="0.25">
      <c r="B26" s="8" t="s">
        <v>1496</v>
      </c>
      <c r="C26" s="56" t="s">
        <v>1497</v>
      </c>
      <c r="D26" s="53" t="s">
        <v>1498</v>
      </c>
      <c r="E26" s="6" t="s">
        <v>254</v>
      </c>
      <c r="F26" s="19">
        <v>1161202</v>
      </c>
      <c r="G26" s="24">
        <v>8343.82</v>
      </c>
      <c r="H26" s="24">
        <v>2.2799999999999998</v>
      </c>
      <c r="I26" s="31"/>
      <c r="J26" s="35"/>
    </row>
    <row r="27" spans="2:10" x14ac:dyDescent="0.25">
      <c r="B27" s="8" t="s">
        <v>1499</v>
      </c>
      <c r="C27" s="56" t="s">
        <v>1381</v>
      </c>
      <c r="D27" s="53" t="s">
        <v>1500</v>
      </c>
      <c r="E27" s="6" t="s">
        <v>94</v>
      </c>
      <c r="F27" s="19">
        <v>6384948</v>
      </c>
      <c r="G27" s="24">
        <v>7859.87</v>
      </c>
      <c r="H27" s="24">
        <v>2.15</v>
      </c>
      <c r="I27" s="31"/>
      <c r="J27" s="35"/>
    </row>
    <row r="28" spans="2:10" x14ac:dyDescent="0.25">
      <c r="B28" s="8" t="s">
        <v>784</v>
      </c>
      <c r="C28" s="56" t="s">
        <v>785</v>
      </c>
      <c r="D28" s="53" t="s">
        <v>786</v>
      </c>
      <c r="E28" s="6" t="s">
        <v>111</v>
      </c>
      <c r="F28" s="19">
        <v>718806</v>
      </c>
      <c r="G28" s="24">
        <v>7735.07</v>
      </c>
      <c r="H28" s="24">
        <v>2.11</v>
      </c>
      <c r="I28" s="31"/>
      <c r="J28" s="35"/>
    </row>
    <row r="29" spans="2:10" x14ac:dyDescent="0.25">
      <c r="B29" s="8" t="s">
        <v>433</v>
      </c>
      <c r="C29" s="56" t="s">
        <v>434</v>
      </c>
      <c r="D29" s="53" t="s">
        <v>435</v>
      </c>
      <c r="E29" s="6" t="s">
        <v>157</v>
      </c>
      <c r="F29" s="19">
        <v>203319</v>
      </c>
      <c r="G29" s="24">
        <v>7200.14</v>
      </c>
      <c r="H29" s="24">
        <v>1.97</v>
      </c>
      <c r="I29" s="31"/>
      <c r="J29" s="35"/>
    </row>
    <row r="30" spans="2:10" x14ac:dyDescent="0.25">
      <c r="B30" s="8" t="s">
        <v>424</v>
      </c>
      <c r="C30" s="56" t="s">
        <v>425</v>
      </c>
      <c r="D30" s="53" t="s">
        <v>426</v>
      </c>
      <c r="E30" s="6" t="s">
        <v>83</v>
      </c>
      <c r="F30" s="19">
        <v>80000</v>
      </c>
      <c r="G30" s="24">
        <v>7009.64</v>
      </c>
      <c r="H30" s="24">
        <v>1.92</v>
      </c>
      <c r="I30" s="31"/>
      <c r="J30" s="35"/>
    </row>
    <row r="31" spans="2:10" x14ac:dyDescent="0.25">
      <c r="B31" s="8" t="s">
        <v>130</v>
      </c>
      <c r="C31" s="56" t="s">
        <v>131</v>
      </c>
      <c r="D31" s="53" t="s">
        <v>132</v>
      </c>
      <c r="E31" s="6" t="s">
        <v>47</v>
      </c>
      <c r="F31" s="19">
        <v>165048</v>
      </c>
      <c r="G31" s="24">
        <v>5999</v>
      </c>
      <c r="H31" s="24">
        <v>1.64</v>
      </c>
      <c r="I31" s="31"/>
      <c r="J31" s="35"/>
    </row>
    <row r="32" spans="2:10" x14ac:dyDescent="0.25">
      <c r="B32" s="8" t="s">
        <v>265</v>
      </c>
      <c r="C32" s="56" t="s">
        <v>266</v>
      </c>
      <c r="D32" s="53" t="s">
        <v>267</v>
      </c>
      <c r="E32" s="6" t="s">
        <v>157</v>
      </c>
      <c r="F32" s="19">
        <v>351548</v>
      </c>
      <c r="G32" s="24">
        <v>5137.87</v>
      </c>
      <c r="H32" s="24">
        <v>1.4</v>
      </c>
      <c r="I32" s="31"/>
      <c r="J32" s="35"/>
    </row>
    <row r="33" spans="2:10" x14ac:dyDescent="0.25">
      <c r="B33" s="8" t="s">
        <v>808</v>
      </c>
      <c r="C33" s="56" t="s">
        <v>809</v>
      </c>
      <c r="D33" s="53" t="s">
        <v>810</v>
      </c>
      <c r="E33" s="6" t="s">
        <v>274</v>
      </c>
      <c r="F33" s="19">
        <v>815700</v>
      </c>
      <c r="G33" s="24">
        <v>4753.08</v>
      </c>
      <c r="H33" s="24">
        <v>1.3</v>
      </c>
      <c r="I33" s="31"/>
      <c r="J33" s="35"/>
    </row>
    <row r="34" spans="2:10" x14ac:dyDescent="0.25">
      <c r="B34" s="8" t="s">
        <v>215</v>
      </c>
      <c r="C34" s="56" t="s">
        <v>216</v>
      </c>
      <c r="D34" s="53" t="s">
        <v>217</v>
      </c>
      <c r="E34" s="6" t="s">
        <v>218</v>
      </c>
      <c r="F34" s="19">
        <v>4864008</v>
      </c>
      <c r="G34" s="24">
        <v>4620.8100000000004</v>
      </c>
      <c r="H34" s="24">
        <v>1.26</v>
      </c>
      <c r="I34" s="31"/>
      <c r="J34" s="35"/>
    </row>
    <row r="35" spans="2:10" x14ac:dyDescent="0.25">
      <c r="B35" s="8" t="s">
        <v>775</v>
      </c>
      <c r="C35" s="56" t="s">
        <v>776</v>
      </c>
      <c r="D35" s="53" t="s">
        <v>777</v>
      </c>
      <c r="E35" s="6" t="s">
        <v>111</v>
      </c>
      <c r="F35" s="19">
        <v>2922019</v>
      </c>
      <c r="G35" s="24">
        <v>4491.1400000000003</v>
      </c>
      <c r="H35" s="24">
        <v>1.23</v>
      </c>
      <c r="I35" s="31"/>
      <c r="J35" s="35"/>
    </row>
    <row r="36" spans="2:10" x14ac:dyDescent="0.25">
      <c r="B36" s="8" t="s">
        <v>154</v>
      </c>
      <c r="C36" s="56" t="s">
        <v>155</v>
      </c>
      <c r="D36" s="53" t="s">
        <v>156</v>
      </c>
      <c r="E36" s="6" t="s">
        <v>157</v>
      </c>
      <c r="F36" s="19">
        <v>950794</v>
      </c>
      <c r="G36" s="24">
        <v>4232.93</v>
      </c>
      <c r="H36" s="24">
        <v>1.1599999999999999</v>
      </c>
      <c r="I36" s="31"/>
      <c r="J36" s="35"/>
    </row>
    <row r="37" spans="2:10" x14ac:dyDescent="0.25">
      <c r="B37" s="8" t="s">
        <v>373</v>
      </c>
      <c r="C37" s="56" t="s">
        <v>374</v>
      </c>
      <c r="D37" s="53" t="s">
        <v>375</v>
      </c>
      <c r="E37" s="6" t="s">
        <v>51</v>
      </c>
      <c r="F37" s="19">
        <v>8428983</v>
      </c>
      <c r="G37" s="24">
        <v>4096.49</v>
      </c>
      <c r="H37" s="24">
        <v>1.1200000000000001</v>
      </c>
      <c r="I37" s="31"/>
      <c r="J37" s="35"/>
    </row>
    <row r="38" spans="2:10" x14ac:dyDescent="0.25">
      <c r="B38" s="8" t="s">
        <v>427</v>
      </c>
      <c r="C38" s="56" t="s">
        <v>428</v>
      </c>
      <c r="D38" s="53" t="s">
        <v>429</v>
      </c>
      <c r="E38" s="6" t="s">
        <v>111</v>
      </c>
      <c r="F38" s="19">
        <v>80000</v>
      </c>
      <c r="G38" s="24">
        <v>3919.72</v>
      </c>
      <c r="H38" s="24">
        <v>1.07</v>
      </c>
      <c r="I38" s="31"/>
      <c r="J38" s="35"/>
    </row>
    <row r="39" spans="2:10" x14ac:dyDescent="0.25">
      <c r="B39" s="8" t="s">
        <v>498</v>
      </c>
      <c r="C39" s="56" t="s">
        <v>499</v>
      </c>
      <c r="D39" s="53" t="s">
        <v>500</v>
      </c>
      <c r="E39" s="6" t="s">
        <v>254</v>
      </c>
      <c r="F39" s="19">
        <v>4000000</v>
      </c>
      <c r="G39" s="24">
        <v>3830</v>
      </c>
      <c r="H39" s="24">
        <v>1.05</v>
      </c>
      <c r="I39" s="31"/>
      <c r="J39" s="35"/>
    </row>
    <row r="40" spans="2:10" x14ac:dyDescent="0.25">
      <c r="B40" s="8" t="s">
        <v>255</v>
      </c>
      <c r="C40" s="56" t="s">
        <v>256</v>
      </c>
      <c r="D40" s="53" t="s">
        <v>257</v>
      </c>
      <c r="E40" s="6" t="s">
        <v>51</v>
      </c>
      <c r="F40" s="19">
        <v>1350000</v>
      </c>
      <c r="G40" s="24">
        <v>3685.5</v>
      </c>
      <c r="H40" s="24">
        <v>1.01</v>
      </c>
      <c r="I40" s="31"/>
      <c r="J40" s="35"/>
    </row>
    <row r="41" spans="2:10" x14ac:dyDescent="0.25">
      <c r="B41" s="8" t="s">
        <v>1501</v>
      </c>
      <c r="C41" s="56" t="s">
        <v>1130</v>
      </c>
      <c r="D41" s="53" t="s">
        <v>1502</v>
      </c>
      <c r="E41" s="6" t="s">
        <v>94</v>
      </c>
      <c r="F41" s="19">
        <v>11131540</v>
      </c>
      <c r="G41" s="24">
        <v>3606.62</v>
      </c>
      <c r="H41" s="24">
        <v>0.99</v>
      </c>
      <c r="I41" s="31"/>
      <c r="J41" s="35"/>
    </row>
    <row r="42" spans="2:10" x14ac:dyDescent="0.25">
      <c r="B42" s="8" t="s">
        <v>339</v>
      </c>
      <c r="C42" s="56" t="s">
        <v>340</v>
      </c>
      <c r="D42" s="53" t="s">
        <v>341</v>
      </c>
      <c r="E42" s="6" t="s">
        <v>261</v>
      </c>
      <c r="F42" s="19">
        <v>1069750</v>
      </c>
      <c r="G42" s="24">
        <v>3352.06</v>
      </c>
      <c r="H42" s="24">
        <v>0.92</v>
      </c>
      <c r="I42" s="31"/>
      <c r="J42" s="35"/>
    </row>
    <row r="43" spans="2:10" x14ac:dyDescent="0.25">
      <c r="B43" s="8" t="s">
        <v>790</v>
      </c>
      <c r="C43" s="56" t="s">
        <v>791</v>
      </c>
      <c r="D43" s="53" t="s">
        <v>792</v>
      </c>
      <c r="E43" s="6" t="s">
        <v>366</v>
      </c>
      <c r="F43" s="19">
        <v>183529</v>
      </c>
      <c r="G43" s="24">
        <v>3292.6</v>
      </c>
      <c r="H43" s="24">
        <v>0.9</v>
      </c>
      <c r="I43" s="31"/>
      <c r="J43" s="35"/>
    </row>
    <row r="44" spans="2:10" x14ac:dyDescent="0.25">
      <c r="B44" s="8" t="s">
        <v>1503</v>
      </c>
      <c r="C44" s="56" t="s">
        <v>1504</v>
      </c>
      <c r="D44" s="53" t="s">
        <v>1505</v>
      </c>
      <c r="E44" s="6" t="s">
        <v>94</v>
      </c>
      <c r="F44" s="19">
        <v>327563</v>
      </c>
      <c r="G44" s="24">
        <v>3107.75</v>
      </c>
      <c r="H44" s="24">
        <v>0.85</v>
      </c>
      <c r="I44" s="31"/>
      <c r="J44" s="35"/>
    </row>
    <row r="45" spans="2:10" x14ac:dyDescent="0.25">
      <c r="B45" s="8" t="s">
        <v>282</v>
      </c>
      <c r="C45" s="56" t="s">
        <v>283</v>
      </c>
      <c r="D45" s="53" t="s">
        <v>284</v>
      </c>
      <c r="E45" s="6" t="s">
        <v>254</v>
      </c>
      <c r="F45" s="19">
        <v>361134</v>
      </c>
      <c r="G45" s="24">
        <v>3103.95</v>
      </c>
      <c r="H45" s="24">
        <v>0.85</v>
      </c>
      <c r="I45" s="31"/>
      <c r="J45" s="35"/>
    </row>
    <row r="46" spans="2:10" x14ac:dyDescent="0.25">
      <c r="B46" s="8" t="s">
        <v>237</v>
      </c>
      <c r="C46" s="56" t="s">
        <v>238</v>
      </c>
      <c r="D46" s="53" t="s">
        <v>239</v>
      </c>
      <c r="E46" s="6" t="s">
        <v>41</v>
      </c>
      <c r="F46" s="19">
        <v>4856508</v>
      </c>
      <c r="G46" s="24">
        <v>2705.07</v>
      </c>
      <c r="H46" s="24">
        <v>0.74</v>
      </c>
      <c r="I46" s="31"/>
      <c r="J46" s="35"/>
    </row>
    <row r="47" spans="2:10" x14ac:dyDescent="0.25">
      <c r="B47" s="8" t="s">
        <v>1506</v>
      </c>
      <c r="C47" s="56" t="s">
        <v>1507</v>
      </c>
      <c r="D47" s="53" t="s">
        <v>1508</v>
      </c>
      <c r="E47" s="6" t="s">
        <v>157</v>
      </c>
      <c r="F47" s="19">
        <v>156075</v>
      </c>
      <c r="G47" s="24">
        <v>2276.4299999999998</v>
      </c>
      <c r="H47" s="24">
        <v>0.62</v>
      </c>
      <c r="I47" s="31"/>
      <c r="J47" s="35"/>
    </row>
    <row r="48" spans="2:10" x14ac:dyDescent="0.25">
      <c r="B48" s="8" t="s">
        <v>1509</v>
      </c>
      <c r="C48" s="56" t="s">
        <v>1510</v>
      </c>
      <c r="D48" s="53" t="s">
        <v>1511</v>
      </c>
      <c r="E48" s="6" t="s">
        <v>170</v>
      </c>
      <c r="F48" s="19">
        <v>6785449</v>
      </c>
      <c r="G48" s="24">
        <v>2188.31</v>
      </c>
      <c r="H48" s="24">
        <v>0.6</v>
      </c>
      <c r="I48" s="31"/>
      <c r="J48" s="35"/>
    </row>
    <row r="49" spans="2:10" x14ac:dyDescent="0.25">
      <c r="B49" s="8" t="s">
        <v>1512</v>
      </c>
      <c r="C49" s="56" t="s">
        <v>1513</v>
      </c>
      <c r="D49" s="53" t="s">
        <v>1514</v>
      </c>
      <c r="E49" s="6" t="s">
        <v>51</v>
      </c>
      <c r="F49" s="19">
        <v>1500000</v>
      </c>
      <c r="G49" s="24">
        <v>2096.25</v>
      </c>
      <c r="H49" s="24">
        <v>0.56999999999999995</v>
      </c>
      <c r="I49" s="31"/>
      <c r="J49" s="35"/>
    </row>
    <row r="50" spans="2:10" x14ac:dyDescent="0.25">
      <c r="B50" s="8" t="s">
        <v>316</v>
      </c>
      <c r="C50" s="56" t="s">
        <v>317</v>
      </c>
      <c r="D50" s="53" t="s">
        <v>318</v>
      </c>
      <c r="E50" s="6" t="s">
        <v>94</v>
      </c>
      <c r="F50" s="19">
        <v>154472</v>
      </c>
      <c r="G50" s="24">
        <v>1900.01</v>
      </c>
      <c r="H50" s="24">
        <v>0.52</v>
      </c>
      <c r="I50" s="31"/>
      <c r="J50" s="35" t="s">
        <v>3431</v>
      </c>
    </row>
    <row r="51" spans="2:10" x14ac:dyDescent="0.25">
      <c r="B51" s="8" t="s">
        <v>827</v>
      </c>
      <c r="C51" s="56" t="s">
        <v>828</v>
      </c>
      <c r="D51" s="53" t="s">
        <v>829</v>
      </c>
      <c r="E51" s="6" t="s">
        <v>79</v>
      </c>
      <c r="F51" s="19">
        <v>4879784</v>
      </c>
      <c r="G51" s="24">
        <v>1737.2</v>
      </c>
      <c r="H51" s="24">
        <v>0.47</v>
      </c>
      <c r="I51" s="31"/>
      <c r="J51" s="35"/>
    </row>
    <row r="52" spans="2:10" x14ac:dyDescent="0.25">
      <c r="B52" s="8" t="s">
        <v>1515</v>
      </c>
      <c r="C52" s="56" t="s">
        <v>1516</v>
      </c>
      <c r="D52" s="53" t="s">
        <v>1517</v>
      </c>
      <c r="E52" s="6" t="s">
        <v>111</v>
      </c>
      <c r="F52" s="19">
        <v>108396</v>
      </c>
      <c r="G52" s="24">
        <v>1707.4</v>
      </c>
      <c r="H52" s="24">
        <v>0.47</v>
      </c>
      <c r="I52" s="31"/>
      <c r="J52" s="35"/>
    </row>
    <row r="53" spans="2:10" x14ac:dyDescent="0.25">
      <c r="B53" s="8" t="s">
        <v>1518</v>
      </c>
      <c r="C53" s="56" t="s">
        <v>1519</v>
      </c>
      <c r="D53" s="53" t="s">
        <v>1520</v>
      </c>
      <c r="E53" s="6" t="s">
        <v>83</v>
      </c>
      <c r="F53" s="19">
        <v>250000</v>
      </c>
      <c r="G53" s="24">
        <v>1700.88</v>
      </c>
      <c r="H53" s="24">
        <v>0.46</v>
      </c>
      <c r="I53" s="31"/>
      <c r="J53" s="35"/>
    </row>
    <row r="54" spans="2:10" x14ac:dyDescent="0.25">
      <c r="B54" s="8" t="s">
        <v>1521</v>
      </c>
      <c r="C54" s="56" t="s">
        <v>1522</v>
      </c>
      <c r="D54" s="53" t="s">
        <v>1523</v>
      </c>
      <c r="E54" s="6" t="s">
        <v>94</v>
      </c>
      <c r="F54" s="19">
        <v>2904403</v>
      </c>
      <c r="G54" s="24">
        <v>1459.46</v>
      </c>
      <c r="H54" s="24">
        <v>0.4</v>
      </c>
      <c r="I54" s="31"/>
      <c r="J54" s="35"/>
    </row>
    <row r="55" spans="2:10" x14ac:dyDescent="0.25">
      <c r="B55" s="8" t="s">
        <v>1524</v>
      </c>
      <c r="C55" s="56" t="s">
        <v>1525</v>
      </c>
      <c r="D55" s="53" t="s">
        <v>1526</v>
      </c>
      <c r="E55" s="6" t="s">
        <v>41</v>
      </c>
      <c r="F55" s="19">
        <v>766567</v>
      </c>
      <c r="G55" s="24">
        <v>1360.27</v>
      </c>
      <c r="H55" s="24">
        <v>0.37</v>
      </c>
      <c r="I55" s="31"/>
      <c r="J55" s="35"/>
    </row>
    <row r="56" spans="2:10" x14ac:dyDescent="0.25">
      <c r="B56" s="8" t="s">
        <v>836</v>
      </c>
      <c r="C56" s="56" t="s">
        <v>837</v>
      </c>
      <c r="D56" s="53" t="s">
        <v>838</v>
      </c>
      <c r="E56" s="6" t="s">
        <v>79</v>
      </c>
      <c r="F56" s="19">
        <v>2324090</v>
      </c>
      <c r="G56" s="24">
        <v>1120.21</v>
      </c>
      <c r="H56" s="24">
        <v>0.31</v>
      </c>
      <c r="I56" s="31"/>
      <c r="J56" s="35"/>
    </row>
    <row r="57" spans="2:10" x14ac:dyDescent="0.25">
      <c r="B57" s="8" t="s">
        <v>1527</v>
      </c>
      <c r="C57" s="56" t="s">
        <v>1528</v>
      </c>
      <c r="D57" s="53" t="s">
        <v>1529</v>
      </c>
      <c r="E57" s="6" t="s">
        <v>157</v>
      </c>
      <c r="F57" s="19">
        <v>1275761</v>
      </c>
      <c r="G57" s="24">
        <v>928.12</v>
      </c>
      <c r="H57" s="24">
        <v>0.25</v>
      </c>
      <c r="I57" s="31"/>
      <c r="J57" s="35"/>
    </row>
    <row r="58" spans="2:10" x14ac:dyDescent="0.25">
      <c r="B58" s="8" t="s">
        <v>1530</v>
      </c>
      <c r="C58" s="56" t="s">
        <v>1531</v>
      </c>
      <c r="D58" s="53" t="s">
        <v>1532</v>
      </c>
      <c r="E58" s="6" t="s">
        <v>195</v>
      </c>
      <c r="F58" s="19">
        <v>26174</v>
      </c>
      <c r="G58" s="24">
        <v>208.69</v>
      </c>
      <c r="H58" s="24">
        <v>0.06</v>
      </c>
      <c r="I58" s="31"/>
      <c r="J58" s="35"/>
    </row>
    <row r="59" spans="2:10" x14ac:dyDescent="0.25">
      <c r="B59" s="8" t="s">
        <v>310</v>
      </c>
      <c r="C59" s="56" t="s">
        <v>311</v>
      </c>
      <c r="D59" s="53" t="s">
        <v>312</v>
      </c>
      <c r="E59" s="6" t="s">
        <v>90</v>
      </c>
      <c r="F59" s="19">
        <v>2562406</v>
      </c>
      <c r="G59" s="24">
        <v>149.9</v>
      </c>
      <c r="H59" s="24">
        <v>0.04</v>
      </c>
      <c r="I59" s="31"/>
      <c r="J59" s="35" t="s">
        <v>3421</v>
      </c>
    </row>
    <row r="60" spans="2:10" x14ac:dyDescent="0.25">
      <c r="C60" s="57" t="s">
        <v>35</v>
      </c>
      <c r="D60" s="53"/>
      <c r="E60" s="6"/>
      <c r="F60" s="19"/>
      <c r="G60" s="25">
        <f>SUM(XDO_?FINAL_MV?161?)</f>
        <v>339511.72000000009</v>
      </c>
      <c r="H60" s="25">
        <f>SUM(XDO_?FINAL_PER_NET?161?)</f>
        <v>92.8</v>
      </c>
      <c r="I60" s="31"/>
      <c r="J60" s="35"/>
    </row>
    <row r="61" spans="2:10" x14ac:dyDescent="0.25">
      <c r="C61" s="56"/>
      <c r="D61" s="53"/>
      <c r="E61" s="6"/>
      <c r="F61" s="19"/>
      <c r="G61" s="24"/>
      <c r="H61" s="24"/>
      <c r="I61" s="31"/>
      <c r="J61" s="35"/>
    </row>
    <row r="62" spans="2:10" x14ac:dyDescent="0.25">
      <c r="C62" s="59"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3:10" x14ac:dyDescent="0.25">
      <c r="C65" s="56"/>
      <c r="D65" s="53"/>
      <c r="E65" s="6"/>
      <c r="F65" s="19"/>
      <c r="G65" s="24"/>
      <c r="H65" s="24"/>
      <c r="I65" s="31"/>
      <c r="J65" s="35"/>
    </row>
    <row r="66" spans="3:10" x14ac:dyDescent="0.25">
      <c r="C66" s="57" t="s">
        <v>5</v>
      </c>
      <c r="D66" s="53"/>
      <c r="E66" s="6"/>
      <c r="F66" s="19"/>
      <c r="G66" s="24"/>
      <c r="H66" s="24"/>
      <c r="I66" s="31"/>
      <c r="J66" s="35"/>
    </row>
    <row r="67" spans="3:10" x14ac:dyDescent="0.25">
      <c r="C67" s="56"/>
      <c r="D67" s="53"/>
      <c r="E67" s="6"/>
      <c r="F67" s="19"/>
      <c r="G67" s="24"/>
      <c r="H67" s="24"/>
      <c r="I67" s="31"/>
      <c r="J67" s="35"/>
    </row>
    <row r="68" spans="3:10" x14ac:dyDescent="0.25">
      <c r="C68" s="57" t="s">
        <v>6</v>
      </c>
      <c r="D68" s="53"/>
      <c r="E68" s="6"/>
      <c r="F68" s="19"/>
      <c r="G68" s="24" t="s">
        <v>2</v>
      </c>
      <c r="H68" s="24" t="s">
        <v>2</v>
      </c>
      <c r="I68" s="31"/>
      <c r="J68" s="35"/>
    </row>
    <row r="69" spans="3:10" x14ac:dyDescent="0.25">
      <c r="C69" s="56"/>
      <c r="D69" s="53"/>
      <c r="E69" s="6"/>
      <c r="F69" s="19"/>
      <c r="G69" s="24"/>
      <c r="H69" s="24"/>
      <c r="I69" s="31"/>
      <c r="J69" s="35"/>
    </row>
    <row r="70" spans="3:10" x14ac:dyDescent="0.25">
      <c r="C70" s="57" t="s">
        <v>7</v>
      </c>
      <c r="D70" s="53"/>
      <c r="E70" s="6"/>
      <c r="F70" s="19"/>
      <c r="G70" s="24" t="s">
        <v>2</v>
      </c>
      <c r="H70" s="24" t="s">
        <v>2</v>
      </c>
      <c r="I70" s="31"/>
      <c r="J70" s="35"/>
    </row>
    <row r="71" spans="3:10" x14ac:dyDescent="0.25">
      <c r="C71" s="56"/>
      <c r="D71" s="53"/>
      <c r="E71" s="6"/>
      <c r="F71" s="19"/>
      <c r="G71" s="24"/>
      <c r="H71" s="24"/>
      <c r="I71" s="31"/>
      <c r="J71" s="35"/>
    </row>
    <row r="72" spans="3:10" x14ac:dyDescent="0.25">
      <c r="C72" s="57" t="s">
        <v>8</v>
      </c>
      <c r="D72" s="53"/>
      <c r="E72" s="6"/>
      <c r="F72" s="19"/>
      <c r="G72" s="24" t="s">
        <v>2</v>
      </c>
      <c r="H72" s="24" t="s">
        <v>2</v>
      </c>
      <c r="I72" s="31"/>
      <c r="J72" s="35"/>
    </row>
    <row r="73" spans="3:10" x14ac:dyDescent="0.25">
      <c r="C73" s="56"/>
      <c r="D73" s="53"/>
      <c r="E73" s="6"/>
      <c r="F73" s="19"/>
      <c r="G73" s="24"/>
      <c r="H73" s="24"/>
      <c r="I73" s="31"/>
      <c r="J73" s="35"/>
    </row>
    <row r="74" spans="3:10" x14ac:dyDescent="0.25">
      <c r="C74" s="57" t="s">
        <v>9</v>
      </c>
      <c r="D74" s="53"/>
      <c r="E74" s="6"/>
      <c r="F74" s="19"/>
      <c r="G74" s="24" t="s">
        <v>2</v>
      </c>
      <c r="H74" s="24" t="s">
        <v>2</v>
      </c>
      <c r="I74" s="31"/>
      <c r="J74" s="35"/>
    </row>
    <row r="75" spans="3:10" x14ac:dyDescent="0.25">
      <c r="C75" s="56"/>
      <c r="D75" s="53"/>
      <c r="E75" s="6"/>
      <c r="F75" s="19"/>
      <c r="G75" s="24"/>
      <c r="H75" s="24"/>
      <c r="I75" s="31"/>
      <c r="J75" s="35"/>
    </row>
    <row r="76" spans="3:10" x14ac:dyDescent="0.25">
      <c r="C76" s="57" t="s">
        <v>10</v>
      </c>
      <c r="D76" s="53"/>
      <c r="E76" s="6"/>
      <c r="F76" s="19"/>
      <c r="G76" s="24" t="s">
        <v>2</v>
      </c>
      <c r="H76" s="24" t="s">
        <v>2</v>
      </c>
      <c r="I76" s="31"/>
      <c r="J76" s="35"/>
    </row>
    <row r="77" spans="3:10" x14ac:dyDescent="0.25">
      <c r="C77" s="56"/>
      <c r="D77" s="53"/>
      <c r="E77" s="6"/>
      <c r="F77" s="19"/>
      <c r="G77" s="24"/>
      <c r="H77" s="24"/>
      <c r="I77" s="31"/>
      <c r="J77" s="35"/>
    </row>
    <row r="78" spans="3:10" x14ac:dyDescent="0.25">
      <c r="C78" s="57" t="s">
        <v>11</v>
      </c>
      <c r="D78" s="53"/>
      <c r="E78" s="6"/>
      <c r="F78" s="19"/>
      <c r="G78" s="24"/>
      <c r="H78" s="24"/>
      <c r="I78" s="31"/>
      <c r="J78" s="35"/>
    </row>
    <row r="79" spans="3:10" x14ac:dyDescent="0.25">
      <c r="C79" s="56"/>
      <c r="D79" s="53"/>
      <c r="E79" s="6"/>
      <c r="F79" s="19"/>
      <c r="G79" s="24"/>
      <c r="H79" s="24"/>
      <c r="I79" s="31"/>
      <c r="J79" s="35"/>
    </row>
    <row r="80" spans="3:10" x14ac:dyDescent="0.25">
      <c r="C80" s="57" t="s">
        <v>13</v>
      </c>
      <c r="D80" s="53"/>
      <c r="E80" s="6"/>
      <c r="F80" s="19"/>
      <c r="G80" s="24" t="s">
        <v>2</v>
      </c>
      <c r="H80" s="24" t="s">
        <v>2</v>
      </c>
      <c r="I80" s="31"/>
      <c r="J80" s="35"/>
    </row>
    <row r="81" spans="1:10" x14ac:dyDescent="0.25">
      <c r="C81" s="56"/>
      <c r="D81" s="53"/>
      <c r="E81" s="6"/>
      <c r="F81" s="19"/>
      <c r="G81" s="24"/>
      <c r="H81" s="24"/>
      <c r="I81" s="31"/>
      <c r="J81" s="35"/>
    </row>
    <row r="82" spans="1:10" x14ac:dyDescent="0.25">
      <c r="C82" s="57" t="s">
        <v>14</v>
      </c>
      <c r="D82" s="53"/>
      <c r="E82" s="6"/>
      <c r="F82" s="19"/>
      <c r="G82" s="24" t="s">
        <v>2</v>
      </c>
      <c r="H82" s="24" t="s">
        <v>2</v>
      </c>
      <c r="I82" s="31"/>
      <c r="J82" s="35"/>
    </row>
    <row r="83" spans="1:10" x14ac:dyDescent="0.25">
      <c r="C83" s="56"/>
      <c r="D83" s="53"/>
      <c r="E83" s="6"/>
      <c r="F83" s="19"/>
      <c r="G83" s="24"/>
      <c r="H83" s="24"/>
      <c r="I83" s="31"/>
      <c r="J83" s="35"/>
    </row>
    <row r="84" spans="1:10" x14ac:dyDescent="0.25">
      <c r="C84" s="57" t="s">
        <v>15</v>
      </c>
      <c r="D84" s="53"/>
      <c r="E84" s="6"/>
      <c r="F84" s="19"/>
      <c r="G84" s="24" t="s">
        <v>2</v>
      </c>
      <c r="H84" s="24" t="s">
        <v>2</v>
      </c>
      <c r="I84" s="31"/>
      <c r="J84" s="35"/>
    </row>
    <row r="85" spans="1:10" x14ac:dyDescent="0.25">
      <c r="C85" s="56"/>
      <c r="D85" s="53"/>
      <c r="E85" s="6"/>
      <c r="F85" s="19"/>
      <c r="G85" s="24"/>
      <c r="H85" s="24"/>
      <c r="I85" s="31"/>
      <c r="J85" s="35"/>
    </row>
    <row r="86" spans="1:10" x14ac:dyDescent="0.25">
      <c r="C86" s="57" t="s">
        <v>16</v>
      </c>
      <c r="D86" s="53"/>
      <c r="E86" s="6"/>
      <c r="F86" s="19"/>
      <c r="G86" s="24" t="s">
        <v>2</v>
      </c>
      <c r="H86" s="24" t="s">
        <v>2</v>
      </c>
      <c r="I86" s="31"/>
      <c r="J86" s="35"/>
    </row>
    <row r="87" spans="1:10" x14ac:dyDescent="0.25">
      <c r="C87" s="56"/>
      <c r="D87" s="53"/>
      <c r="E87" s="6"/>
      <c r="F87" s="19"/>
      <c r="G87" s="24"/>
      <c r="H87" s="24"/>
      <c r="I87" s="31"/>
      <c r="J87" s="35"/>
    </row>
    <row r="88" spans="1:10" x14ac:dyDescent="0.25">
      <c r="A88" s="10"/>
      <c r="B88" s="28"/>
      <c r="C88" s="58" t="s">
        <v>17</v>
      </c>
      <c r="D88" s="53"/>
      <c r="E88" s="6"/>
      <c r="F88" s="19"/>
      <c r="G88" s="24"/>
      <c r="H88" s="24"/>
      <c r="I88" s="31"/>
      <c r="J88" s="35"/>
    </row>
    <row r="89" spans="1:10" x14ac:dyDescent="0.25">
      <c r="A89" s="28"/>
      <c r="B89" s="28"/>
      <c r="C89" s="58" t="s">
        <v>18</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19</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A93" s="28"/>
      <c r="B93" s="28"/>
      <c r="C93" s="58" t="s">
        <v>20</v>
      </c>
      <c r="D93" s="53"/>
      <c r="E93" s="6"/>
      <c r="F93" s="19"/>
      <c r="G93" s="24" t="s">
        <v>2</v>
      </c>
      <c r="H93" s="24" t="s">
        <v>2</v>
      </c>
      <c r="I93" s="31"/>
      <c r="J93" s="35"/>
    </row>
    <row r="94" spans="1:10" x14ac:dyDescent="0.25">
      <c r="A94" s="28"/>
      <c r="B94" s="28"/>
      <c r="C94" s="58"/>
      <c r="D94" s="53"/>
      <c r="E94" s="6"/>
      <c r="F94" s="19"/>
      <c r="G94" s="24"/>
      <c r="H94" s="24"/>
      <c r="I94" s="31"/>
      <c r="J94" s="35"/>
    </row>
    <row r="95" spans="1:10" x14ac:dyDescent="0.25">
      <c r="A95" s="28"/>
      <c r="B95" s="28"/>
      <c r="C95" s="58" t="s">
        <v>21</v>
      </c>
      <c r="D95" s="53"/>
      <c r="E95" s="6"/>
      <c r="F95" s="19"/>
      <c r="G95" s="24" t="s">
        <v>2</v>
      </c>
      <c r="H95" s="24" t="s">
        <v>2</v>
      </c>
      <c r="I95" s="31"/>
      <c r="J95" s="35"/>
    </row>
    <row r="96" spans="1:10" x14ac:dyDescent="0.25">
      <c r="A96" s="28"/>
      <c r="B96" s="28"/>
      <c r="C96" s="58"/>
      <c r="D96" s="53"/>
      <c r="E96" s="6"/>
      <c r="F96" s="19"/>
      <c r="G96" s="24"/>
      <c r="H96" s="24"/>
      <c r="I96" s="31"/>
      <c r="J96" s="35"/>
    </row>
    <row r="97" spans="1:10" x14ac:dyDescent="0.25">
      <c r="C97" s="59" t="s">
        <v>22</v>
      </c>
      <c r="D97" s="53"/>
      <c r="E97" s="6"/>
      <c r="F97" s="19"/>
      <c r="G97" s="24"/>
      <c r="H97" s="24"/>
      <c r="I97" s="31"/>
      <c r="J97" s="35"/>
    </row>
    <row r="98" spans="1:10" x14ac:dyDescent="0.25">
      <c r="B98" s="8" t="s">
        <v>33</v>
      </c>
      <c r="C98" s="56" t="s">
        <v>34</v>
      </c>
      <c r="D98" s="53"/>
      <c r="E98" s="6"/>
      <c r="F98" s="19"/>
      <c r="G98" s="24">
        <v>25669.48</v>
      </c>
      <c r="H98" s="24">
        <v>7.01</v>
      </c>
      <c r="I98" s="31"/>
      <c r="J98" s="35"/>
    </row>
    <row r="99" spans="1:10" x14ac:dyDescent="0.25">
      <c r="C99" s="57" t="s">
        <v>35</v>
      </c>
      <c r="D99" s="53"/>
      <c r="E99" s="6"/>
      <c r="F99" s="19"/>
      <c r="G99" s="25">
        <v>25669.48</v>
      </c>
      <c r="H99" s="25">
        <v>7.01</v>
      </c>
      <c r="I99" s="31"/>
      <c r="J99" s="35"/>
    </row>
    <row r="100" spans="1:10" x14ac:dyDescent="0.25">
      <c r="C100" s="56"/>
      <c r="D100" s="53"/>
      <c r="E100" s="6"/>
      <c r="F100" s="19"/>
      <c r="G100" s="24"/>
      <c r="H100" s="24"/>
      <c r="I100" s="31"/>
      <c r="J100" s="35"/>
    </row>
    <row r="101" spans="1:10" x14ac:dyDescent="0.25">
      <c r="A101" s="10"/>
      <c r="B101" s="28"/>
      <c r="C101" s="58" t="s">
        <v>23</v>
      </c>
      <c r="D101" s="53"/>
      <c r="E101" s="6"/>
      <c r="F101" s="19"/>
      <c r="G101" s="24"/>
      <c r="H101" s="24"/>
      <c r="I101" s="31"/>
      <c r="J101" s="35"/>
    </row>
    <row r="102" spans="1:10" x14ac:dyDescent="0.25">
      <c r="A102" s="28"/>
      <c r="B102" s="28"/>
      <c r="C102" s="60" t="s">
        <v>3398</v>
      </c>
      <c r="D102" s="53"/>
      <c r="E102" s="6"/>
      <c r="F102" s="19"/>
      <c r="G102" s="24">
        <v>1315</v>
      </c>
      <c r="H102" s="24">
        <v>0.36</v>
      </c>
      <c r="I102" s="31"/>
      <c r="J102" s="35"/>
    </row>
    <row r="103" spans="1:10" x14ac:dyDescent="0.25">
      <c r="B103" s="8"/>
      <c r="C103" s="56" t="s">
        <v>36</v>
      </c>
      <c r="D103" s="53"/>
      <c r="E103" s="6"/>
      <c r="F103" s="19"/>
      <c r="G103" s="24">
        <v>-555.84</v>
      </c>
      <c r="H103" s="24">
        <v>-0.16999999999999998</v>
      </c>
      <c r="I103" s="31"/>
      <c r="J103" s="35"/>
    </row>
    <row r="104" spans="1:10" x14ac:dyDescent="0.25">
      <c r="C104" s="57" t="s">
        <v>35</v>
      </c>
      <c r="D104" s="53"/>
      <c r="E104" s="6"/>
      <c r="F104" s="19"/>
      <c r="G104" s="25">
        <v>759.16</v>
      </c>
      <c r="H104" s="25">
        <v>0.19</v>
      </c>
      <c r="I104" s="31"/>
      <c r="J104" s="35"/>
    </row>
    <row r="105" spans="1:10" x14ac:dyDescent="0.25">
      <c r="C105" s="56"/>
      <c r="D105" s="53"/>
      <c r="E105" s="6"/>
      <c r="F105" s="19"/>
      <c r="G105" s="24"/>
      <c r="H105" s="24"/>
      <c r="I105" s="31"/>
      <c r="J105" s="35"/>
    </row>
    <row r="106" spans="1:10" x14ac:dyDescent="0.25">
      <c r="C106" s="61" t="s">
        <v>37</v>
      </c>
      <c r="D106" s="54"/>
      <c r="E106" s="5"/>
      <c r="F106" s="20"/>
      <c r="G106" s="26">
        <v>365940.36</v>
      </c>
      <c r="H106" s="26">
        <f>SUMIFS(H:H,C:C,"Total")</f>
        <v>100</v>
      </c>
      <c r="I106" s="32"/>
      <c r="J106" s="36"/>
    </row>
    <row r="109" spans="1:10" x14ac:dyDescent="0.25">
      <c r="C109" s="1" t="s">
        <v>38</v>
      </c>
    </row>
    <row r="110" spans="1:10" x14ac:dyDescent="0.25">
      <c r="C110" s="2" t="s">
        <v>3422</v>
      </c>
    </row>
    <row r="111" spans="1:10" x14ac:dyDescent="0.25">
      <c r="C111" s="2" t="s">
        <v>40</v>
      </c>
    </row>
    <row r="112" spans="1:10" x14ac:dyDescent="0.25">
      <c r="C112" s="2" t="s">
        <v>3430</v>
      </c>
    </row>
    <row r="113" spans="3:3" x14ac:dyDescent="0.25">
      <c r="C113" s="2" t="s">
        <v>3433</v>
      </c>
    </row>
  </sheetData>
  <hyperlinks>
    <hyperlink ref="J2" location="'Index'!A1" display="'Index'!A1"/>
  </hyperlinks>
  <pageMargins left="0.7" right="0.7" top="0.75" bottom="0.75" header="0.3" footer="0.3"/>
  <pageSetup orientation="portrait" horizontalDpi="4294967293"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2"/>
  <dimension ref="A1:J6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1533</v>
      </c>
      <c r="J2" s="37" t="s">
        <v>3307</v>
      </c>
    </row>
    <row r="3" spans="1:10" ht="16.5" x14ac:dyDescent="0.3">
      <c r="C3" s="1" t="s">
        <v>24</v>
      </c>
      <c r="D3" s="21" t="s">
        <v>1534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C23" s="59" t="s">
        <v>9</v>
      </c>
      <c r="D23" s="53"/>
      <c r="E23" s="6"/>
      <c r="F23" s="19"/>
      <c r="G23" s="24"/>
      <c r="H23" s="24"/>
      <c r="I23" s="31"/>
      <c r="J23" s="35"/>
    </row>
    <row r="24" spans="1:10" x14ac:dyDescent="0.25">
      <c r="B24" s="8" t="s">
        <v>668</v>
      </c>
      <c r="C24" s="56" t="s">
        <v>669</v>
      </c>
      <c r="D24" s="53" t="s">
        <v>670</v>
      </c>
      <c r="E24" s="6" t="s">
        <v>655</v>
      </c>
      <c r="F24" s="19">
        <v>37500000</v>
      </c>
      <c r="G24" s="24">
        <v>40063.839999999997</v>
      </c>
      <c r="H24" s="24">
        <v>53.79</v>
      </c>
      <c r="I24" s="31">
        <v>6.1906999999999996</v>
      </c>
      <c r="J24" s="35"/>
    </row>
    <row r="25" spans="1:10" x14ac:dyDescent="0.25">
      <c r="B25" s="8" t="s">
        <v>656</v>
      </c>
      <c r="C25" s="56" t="s">
        <v>657</v>
      </c>
      <c r="D25" s="53" t="s">
        <v>658</v>
      </c>
      <c r="E25" s="6" t="s">
        <v>655</v>
      </c>
      <c r="F25" s="19">
        <v>17500000</v>
      </c>
      <c r="G25" s="24">
        <v>19152.650000000001</v>
      </c>
      <c r="H25" s="24">
        <v>25.72</v>
      </c>
      <c r="I25" s="31">
        <v>6.4672999999999998</v>
      </c>
      <c r="J25" s="35"/>
    </row>
    <row r="26" spans="1:10" x14ac:dyDescent="0.25">
      <c r="B26" s="8" t="s">
        <v>671</v>
      </c>
      <c r="C26" s="56" t="s">
        <v>672</v>
      </c>
      <c r="D26" s="53" t="s">
        <v>673</v>
      </c>
      <c r="E26" s="6" t="s">
        <v>655</v>
      </c>
      <c r="F26" s="19">
        <v>12500000</v>
      </c>
      <c r="G26" s="24">
        <v>12275.31</v>
      </c>
      <c r="H26" s="24">
        <v>16.48</v>
      </c>
      <c r="I26" s="31">
        <v>6.0133999999999999</v>
      </c>
      <c r="J26" s="35"/>
    </row>
    <row r="27" spans="1:10" x14ac:dyDescent="0.25">
      <c r="B27" s="8" t="s">
        <v>652</v>
      </c>
      <c r="C27" s="56" t="s">
        <v>653</v>
      </c>
      <c r="D27" s="53" t="s">
        <v>654</v>
      </c>
      <c r="E27" s="6" t="s">
        <v>655</v>
      </c>
      <c r="F27" s="19">
        <v>1000000</v>
      </c>
      <c r="G27" s="24">
        <v>981.76</v>
      </c>
      <c r="H27" s="24">
        <v>1.32</v>
      </c>
      <c r="I27" s="31">
        <v>6.3890000000000002</v>
      </c>
      <c r="J27" s="35"/>
    </row>
    <row r="28" spans="1:10" x14ac:dyDescent="0.25">
      <c r="B28" s="8" t="s">
        <v>665</v>
      </c>
      <c r="C28" s="56" t="s">
        <v>666</v>
      </c>
      <c r="D28" s="53" t="s">
        <v>667</v>
      </c>
      <c r="E28" s="6" t="s">
        <v>655</v>
      </c>
      <c r="F28" s="19">
        <v>500000</v>
      </c>
      <c r="G28" s="24">
        <v>510.92</v>
      </c>
      <c r="H28" s="24">
        <v>0.69</v>
      </c>
      <c r="I28" s="31">
        <v>6.1308999999999996</v>
      </c>
      <c r="J28" s="35"/>
    </row>
    <row r="29" spans="1:10" x14ac:dyDescent="0.25">
      <c r="C29" s="57" t="s">
        <v>35</v>
      </c>
      <c r="D29" s="53"/>
      <c r="E29" s="6"/>
      <c r="F29" s="19"/>
      <c r="G29" s="25">
        <v>72984.479999999996</v>
      </c>
      <c r="H29" s="25">
        <v>98</v>
      </c>
      <c r="I29" s="31"/>
      <c r="J29" s="35"/>
    </row>
    <row r="30" spans="1:10" x14ac:dyDescent="0.25">
      <c r="C30" s="56"/>
      <c r="D30" s="53"/>
      <c r="E30" s="6"/>
      <c r="F30" s="19"/>
      <c r="G30" s="24"/>
      <c r="H30" s="24"/>
      <c r="I30" s="31"/>
      <c r="J30" s="35"/>
    </row>
    <row r="31" spans="1:10" x14ac:dyDescent="0.25">
      <c r="C31" s="57" t="s">
        <v>10</v>
      </c>
      <c r="D31" s="53"/>
      <c r="E31" s="6"/>
      <c r="F31" s="19"/>
      <c r="G31" s="24" t="s">
        <v>2</v>
      </c>
      <c r="H31" s="24" t="s">
        <v>2</v>
      </c>
      <c r="I31" s="31"/>
      <c r="J31" s="35"/>
    </row>
    <row r="32" spans="1:10" x14ac:dyDescent="0.25">
      <c r="C32" s="56"/>
      <c r="D32" s="53"/>
      <c r="E32" s="6"/>
      <c r="F32" s="19"/>
      <c r="G32" s="24"/>
      <c r="H32" s="24"/>
      <c r="I32" s="31"/>
      <c r="J32" s="35"/>
    </row>
    <row r="33" spans="1:10" x14ac:dyDescent="0.25">
      <c r="C33" s="57" t="s">
        <v>11</v>
      </c>
      <c r="D33" s="53"/>
      <c r="E33" s="6"/>
      <c r="F33" s="19"/>
      <c r="G33" s="24"/>
      <c r="H33" s="24"/>
      <c r="I33" s="31"/>
      <c r="J33" s="35"/>
    </row>
    <row r="34" spans="1:10" x14ac:dyDescent="0.25">
      <c r="C34" s="56"/>
      <c r="D34" s="53"/>
      <c r="E34" s="6"/>
      <c r="F34" s="19"/>
      <c r="G34" s="24"/>
      <c r="H34" s="24"/>
      <c r="I34" s="31"/>
      <c r="J34" s="35"/>
    </row>
    <row r="35" spans="1:10" x14ac:dyDescent="0.25">
      <c r="C35" s="57" t="s">
        <v>13</v>
      </c>
      <c r="D35" s="53"/>
      <c r="E35" s="6"/>
      <c r="F35" s="19"/>
      <c r="G35" s="24" t="s">
        <v>2</v>
      </c>
      <c r="H35" s="24" t="s">
        <v>2</v>
      </c>
      <c r="I35" s="31"/>
      <c r="J35" s="35"/>
    </row>
    <row r="36" spans="1:10" x14ac:dyDescent="0.25">
      <c r="C36" s="56"/>
      <c r="D36" s="53"/>
      <c r="E36" s="6"/>
      <c r="F36" s="19"/>
      <c r="G36" s="24"/>
      <c r="H36" s="24"/>
      <c r="I36" s="31"/>
      <c r="J36" s="35"/>
    </row>
    <row r="37" spans="1:10" x14ac:dyDescent="0.25">
      <c r="C37" s="57" t="s">
        <v>14</v>
      </c>
      <c r="D37" s="53"/>
      <c r="E37" s="6"/>
      <c r="F37" s="19"/>
      <c r="G37" s="24" t="s">
        <v>2</v>
      </c>
      <c r="H37" s="24" t="s">
        <v>2</v>
      </c>
      <c r="I37" s="31"/>
      <c r="J37" s="35"/>
    </row>
    <row r="38" spans="1:10" x14ac:dyDescent="0.25">
      <c r="C38" s="56"/>
      <c r="D38" s="53"/>
      <c r="E38" s="6"/>
      <c r="F38" s="19"/>
      <c r="G38" s="24"/>
      <c r="H38" s="24"/>
      <c r="I38" s="31"/>
      <c r="J38" s="35"/>
    </row>
    <row r="39" spans="1:10" x14ac:dyDescent="0.25">
      <c r="C39" s="57" t="s">
        <v>15</v>
      </c>
      <c r="D39" s="53"/>
      <c r="E39" s="6"/>
      <c r="F39" s="19"/>
      <c r="G39" s="24" t="s">
        <v>2</v>
      </c>
      <c r="H39" s="24" t="s">
        <v>2</v>
      </c>
      <c r="I39" s="31"/>
      <c r="J39" s="35"/>
    </row>
    <row r="40" spans="1:10" x14ac:dyDescent="0.25">
      <c r="C40" s="56"/>
      <c r="D40" s="53"/>
      <c r="E40" s="6"/>
      <c r="F40" s="19"/>
      <c r="G40" s="24"/>
      <c r="H40" s="24"/>
      <c r="I40" s="31"/>
      <c r="J40" s="35"/>
    </row>
    <row r="41" spans="1:10" x14ac:dyDescent="0.25">
      <c r="C41" s="57" t="s">
        <v>16</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17</v>
      </c>
      <c r="D43" s="53"/>
      <c r="E43" s="6"/>
      <c r="F43" s="19"/>
      <c r="G43" s="24"/>
      <c r="H43" s="24"/>
      <c r="I43" s="31"/>
      <c r="J43" s="35"/>
    </row>
    <row r="44" spans="1:10" x14ac:dyDescent="0.25">
      <c r="A44" s="28"/>
      <c r="B44" s="28"/>
      <c r="C44" s="58" t="s">
        <v>18</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A46" s="28"/>
      <c r="B46" s="28"/>
      <c r="C46" s="58" t="s">
        <v>19</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A48" s="28"/>
      <c r="B48" s="28"/>
      <c r="C48" s="58" t="s">
        <v>20</v>
      </c>
      <c r="D48" s="53"/>
      <c r="E48" s="6"/>
      <c r="F48" s="19"/>
      <c r="G48" s="24" t="s">
        <v>2</v>
      </c>
      <c r="H48" s="24" t="s">
        <v>2</v>
      </c>
      <c r="I48" s="31"/>
      <c r="J48" s="35"/>
    </row>
    <row r="49" spans="1:10" x14ac:dyDescent="0.25">
      <c r="A49" s="28"/>
      <c r="B49" s="28"/>
      <c r="C49" s="58"/>
      <c r="D49" s="53"/>
      <c r="E49" s="6"/>
      <c r="F49" s="19"/>
      <c r="G49" s="24"/>
      <c r="H49" s="24"/>
      <c r="I49" s="31"/>
      <c r="J49" s="35"/>
    </row>
    <row r="50" spans="1:10" x14ac:dyDescent="0.25">
      <c r="A50" s="28"/>
      <c r="B50" s="28"/>
      <c r="C50" s="58" t="s">
        <v>21</v>
      </c>
      <c r="D50" s="53"/>
      <c r="E50" s="6"/>
      <c r="F50" s="19"/>
      <c r="G50" s="24" t="s">
        <v>2</v>
      </c>
      <c r="H50" s="24" t="s">
        <v>2</v>
      </c>
      <c r="I50" s="31"/>
      <c r="J50" s="35"/>
    </row>
    <row r="51" spans="1:10" x14ac:dyDescent="0.25">
      <c r="A51" s="28"/>
      <c r="B51" s="28"/>
      <c r="C51" s="58"/>
      <c r="D51" s="53"/>
      <c r="E51" s="6"/>
      <c r="F51" s="19"/>
      <c r="G51" s="24"/>
      <c r="H51" s="24"/>
      <c r="I51" s="31"/>
      <c r="J51" s="35"/>
    </row>
    <row r="52" spans="1:10" x14ac:dyDescent="0.25">
      <c r="C52" s="59" t="s">
        <v>22</v>
      </c>
      <c r="D52" s="53"/>
      <c r="E52" s="6"/>
      <c r="F52" s="19"/>
      <c r="G52" s="24"/>
      <c r="H52" s="24"/>
      <c r="I52" s="31"/>
      <c r="J52" s="35"/>
    </row>
    <row r="53" spans="1:10" x14ac:dyDescent="0.25">
      <c r="B53" s="8" t="s">
        <v>33</v>
      </c>
      <c r="C53" s="56" t="s">
        <v>34</v>
      </c>
      <c r="D53" s="53"/>
      <c r="E53" s="6"/>
      <c r="F53" s="19"/>
      <c r="G53" s="24">
        <v>438.07</v>
      </c>
      <c r="H53" s="24">
        <v>0.59</v>
      </c>
      <c r="I53" s="31"/>
      <c r="J53" s="35"/>
    </row>
    <row r="54" spans="1:10" x14ac:dyDescent="0.25">
      <c r="C54" s="57" t="s">
        <v>35</v>
      </c>
      <c r="D54" s="53"/>
      <c r="E54" s="6"/>
      <c r="F54" s="19"/>
      <c r="G54" s="25">
        <v>438.07</v>
      </c>
      <c r="H54" s="25">
        <v>0.59</v>
      </c>
      <c r="I54" s="31"/>
      <c r="J54" s="35"/>
    </row>
    <row r="55" spans="1:10" x14ac:dyDescent="0.25">
      <c r="C55" s="56"/>
      <c r="D55" s="53"/>
      <c r="E55" s="6"/>
      <c r="F55" s="19"/>
      <c r="G55" s="24"/>
      <c r="H55" s="24"/>
      <c r="I55" s="31"/>
      <c r="J55" s="35"/>
    </row>
    <row r="56" spans="1:10" x14ac:dyDescent="0.25">
      <c r="A56" s="10"/>
      <c r="B56" s="28"/>
      <c r="C56" s="58" t="s">
        <v>23</v>
      </c>
      <c r="D56" s="53"/>
      <c r="E56" s="6"/>
      <c r="F56" s="19"/>
      <c r="G56" s="24"/>
      <c r="H56" s="24"/>
      <c r="I56" s="31"/>
      <c r="J56" s="35"/>
    </row>
    <row r="57" spans="1:10" x14ac:dyDescent="0.25">
      <c r="A57" s="28"/>
      <c r="B57" s="28"/>
      <c r="C57" s="60" t="s">
        <v>3398</v>
      </c>
      <c r="D57" s="53"/>
      <c r="E57" s="6"/>
      <c r="F57" s="19"/>
      <c r="G57" s="24" t="s">
        <v>2</v>
      </c>
      <c r="H57" s="24" t="s">
        <v>2</v>
      </c>
      <c r="I57" s="31"/>
      <c r="J57" s="35"/>
    </row>
    <row r="58" spans="1:10" x14ac:dyDescent="0.25">
      <c r="B58" s="8"/>
      <c r="C58" s="56" t="s">
        <v>36</v>
      </c>
      <c r="D58" s="53"/>
      <c r="E58" s="6"/>
      <c r="F58" s="19"/>
      <c r="G58" s="24">
        <v>1055.27</v>
      </c>
      <c r="H58" s="24">
        <v>1.41</v>
      </c>
      <c r="I58" s="31"/>
      <c r="J58" s="35"/>
    </row>
    <row r="59" spans="1:10" x14ac:dyDescent="0.25">
      <c r="C59" s="57" t="s">
        <v>35</v>
      </c>
      <c r="D59" s="53"/>
      <c r="E59" s="6"/>
      <c r="F59" s="19"/>
      <c r="G59" s="25">
        <v>1055.27</v>
      </c>
      <c r="H59" s="25">
        <v>1.41</v>
      </c>
      <c r="I59" s="31"/>
      <c r="J59" s="35"/>
    </row>
    <row r="60" spans="1:10" x14ac:dyDescent="0.25">
      <c r="C60" s="56"/>
      <c r="D60" s="53"/>
      <c r="E60" s="6"/>
      <c r="F60" s="19"/>
      <c r="G60" s="24"/>
      <c r="H60" s="24"/>
      <c r="I60" s="31"/>
      <c r="J60" s="35"/>
    </row>
    <row r="61" spans="1:10" x14ac:dyDescent="0.25">
      <c r="C61" s="61" t="s">
        <v>37</v>
      </c>
      <c r="D61" s="54"/>
      <c r="E61" s="5"/>
      <c r="F61" s="20"/>
      <c r="G61" s="26">
        <v>74477.820000000007</v>
      </c>
      <c r="H61" s="26">
        <f>SUMIFS(H:H,C:C,"Total")</f>
        <v>100</v>
      </c>
      <c r="I61" s="32"/>
      <c r="J61" s="36"/>
    </row>
    <row r="64" spans="1:10" x14ac:dyDescent="0.25">
      <c r="C64" s="1" t="s">
        <v>38</v>
      </c>
    </row>
    <row r="65" spans="3:3" x14ac:dyDescent="0.25">
      <c r="C65" s="2" t="s">
        <v>39</v>
      </c>
    </row>
    <row r="66" spans="3:3" x14ac:dyDescent="0.25">
      <c r="C66" s="2" t="s">
        <v>40</v>
      </c>
    </row>
    <row r="67" spans="3:3" x14ac:dyDescent="0.25">
      <c r="C67" s="2" t="s">
        <v>3430</v>
      </c>
    </row>
  </sheetData>
  <hyperlinks>
    <hyperlink ref="J2" location="'Index'!A1" display="'Index'!A1"/>
  </hyperlinks>
  <pageMargins left="0.7" right="0.7" top="0.75" bottom="0.75" header="0.3" footer="0.3"/>
  <pageSetup orientation="portrait" horizontalDpi="4294967293"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3"/>
  <dimension ref="A1:J8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1535</v>
      </c>
      <c r="J2" s="37" t="s">
        <v>3307</v>
      </c>
    </row>
    <row r="3" spans="1:10" ht="16.5" x14ac:dyDescent="0.3">
      <c r="C3" s="1" t="s">
        <v>24</v>
      </c>
      <c r="D3" s="21" t="s">
        <v>1536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98500</v>
      </c>
      <c r="G10" s="24">
        <v>2200.83</v>
      </c>
      <c r="H10" s="24">
        <v>8.6199999999999992</v>
      </c>
      <c r="I10" s="31"/>
      <c r="J10" s="35"/>
    </row>
    <row r="11" spans="1:10" x14ac:dyDescent="0.25">
      <c r="B11" s="8" t="s">
        <v>171</v>
      </c>
      <c r="C11" s="56" t="s">
        <v>172</v>
      </c>
      <c r="D11" s="53" t="s">
        <v>173</v>
      </c>
      <c r="E11" s="6" t="s">
        <v>55</v>
      </c>
      <c r="F11" s="19">
        <v>443000</v>
      </c>
      <c r="G11" s="24">
        <v>1564.01</v>
      </c>
      <c r="H11" s="24">
        <v>6.13</v>
      </c>
      <c r="I11" s="31"/>
      <c r="J11" s="35"/>
    </row>
    <row r="12" spans="1:10" x14ac:dyDescent="0.25">
      <c r="B12" s="8" t="s">
        <v>136</v>
      </c>
      <c r="C12" s="56" t="s">
        <v>137</v>
      </c>
      <c r="D12" s="53" t="s">
        <v>138</v>
      </c>
      <c r="E12" s="6" t="s">
        <v>41</v>
      </c>
      <c r="F12" s="19">
        <v>38000</v>
      </c>
      <c r="G12" s="24">
        <v>1538.83</v>
      </c>
      <c r="H12" s="24">
        <v>6.03</v>
      </c>
      <c r="I12" s="31"/>
      <c r="J12" s="35"/>
    </row>
    <row r="13" spans="1:10" x14ac:dyDescent="0.25">
      <c r="B13" s="8" t="s">
        <v>1537</v>
      </c>
      <c r="C13" s="56" t="s">
        <v>1538</v>
      </c>
      <c r="D13" s="53" t="s">
        <v>1539</v>
      </c>
      <c r="E13" s="6" t="s">
        <v>195</v>
      </c>
      <c r="F13" s="19">
        <v>1205628</v>
      </c>
      <c r="G13" s="24">
        <v>1383.46</v>
      </c>
      <c r="H13" s="24">
        <v>5.42</v>
      </c>
      <c r="I13" s="31"/>
      <c r="J13" s="35"/>
    </row>
    <row r="14" spans="1:10" x14ac:dyDescent="0.25">
      <c r="B14" s="8" t="s">
        <v>150</v>
      </c>
      <c r="C14" s="56" t="s">
        <v>151</v>
      </c>
      <c r="D14" s="53" t="s">
        <v>152</v>
      </c>
      <c r="E14" s="6" t="s">
        <v>153</v>
      </c>
      <c r="F14" s="19">
        <v>352600</v>
      </c>
      <c r="G14" s="24">
        <v>1268.48</v>
      </c>
      <c r="H14" s="24">
        <v>4.97</v>
      </c>
      <c r="I14" s="31"/>
      <c r="J14" s="35"/>
    </row>
    <row r="15" spans="1:10" x14ac:dyDescent="0.25">
      <c r="B15" s="8" t="s">
        <v>84</v>
      </c>
      <c r="C15" s="56" t="s">
        <v>85</v>
      </c>
      <c r="D15" s="53" t="s">
        <v>86</v>
      </c>
      <c r="E15" s="6" t="s">
        <v>41</v>
      </c>
      <c r="F15" s="19">
        <v>6000</v>
      </c>
      <c r="G15" s="24">
        <v>1215.42</v>
      </c>
      <c r="H15" s="24">
        <v>4.76</v>
      </c>
      <c r="I15" s="31"/>
      <c r="J15" s="35"/>
    </row>
    <row r="16" spans="1:10" x14ac:dyDescent="0.25">
      <c r="B16" s="8" t="s">
        <v>1530</v>
      </c>
      <c r="C16" s="56" t="s">
        <v>1531</v>
      </c>
      <c r="D16" s="53" t="s">
        <v>1532</v>
      </c>
      <c r="E16" s="6" t="s">
        <v>195</v>
      </c>
      <c r="F16" s="19">
        <v>150570</v>
      </c>
      <c r="G16" s="24">
        <v>1200.49</v>
      </c>
      <c r="H16" s="24">
        <v>4.7</v>
      </c>
      <c r="I16" s="31"/>
      <c r="J16" s="35"/>
    </row>
    <row r="17" spans="2:10" x14ac:dyDescent="0.25">
      <c r="B17" s="8" t="s">
        <v>1540</v>
      </c>
      <c r="C17" s="56" t="s">
        <v>1541</v>
      </c>
      <c r="D17" s="53" t="s">
        <v>1542</v>
      </c>
      <c r="E17" s="6" t="s">
        <v>90</v>
      </c>
      <c r="F17" s="19">
        <v>425000</v>
      </c>
      <c r="G17" s="24">
        <v>1128.8</v>
      </c>
      <c r="H17" s="24">
        <v>4.42</v>
      </c>
      <c r="I17" s="31"/>
      <c r="J17" s="35"/>
    </row>
    <row r="18" spans="2:10" x14ac:dyDescent="0.25">
      <c r="B18" s="8" t="s">
        <v>802</v>
      </c>
      <c r="C18" s="56" t="s">
        <v>803</v>
      </c>
      <c r="D18" s="53" t="s">
        <v>804</v>
      </c>
      <c r="E18" s="6" t="s">
        <v>195</v>
      </c>
      <c r="F18" s="19">
        <v>163131</v>
      </c>
      <c r="G18" s="24">
        <v>1094.53</v>
      </c>
      <c r="H18" s="24">
        <v>4.29</v>
      </c>
      <c r="I18" s="31"/>
      <c r="J18" s="35"/>
    </row>
    <row r="19" spans="2:10" x14ac:dyDescent="0.25">
      <c r="B19" s="8" t="s">
        <v>1351</v>
      </c>
      <c r="C19" s="56" t="s">
        <v>1352</v>
      </c>
      <c r="D19" s="53" t="s">
        <v>1353</v>
      </c>
      <c r="E19" s="6" t="s">
        <v>195</v>
      </c>
      <c r="F19" s="19">
        <v>40000</v>
      </c>
      <c r="G19" s="24">
        <v>1069.08</v>
      </c>
      <c r="H19" s="24">
        <v>4.1900000000000004</v>
      </c>
      <c r="I19" s="31"/>
      <c r="J19" s="35"/>
    </row>
    <row r="20" spans="2:10" x14ac:dyDescent="0.25">
      <c r="B20" s="8" t="s">
        <v>225</v>
      </c>
      <c r="C20" s="56" t="s">
        <v>226</v>
      </c>
      <c r="D20" s="53" t="s">
        <v>227</v>
      </c>
      <c r="E20" s="6" t="s">
        <v>228</v>
      </c>
      <c r="F20" s="19">
        <v>54000</v>
      </c>
      <c r="G20" s="24">
        <v>1064.6099999999999</v>
      </c>
      <c r="H20" s="24">
        <v>4.17</v>
      </c>
      <c r="I20" s="31"/>
      <c r="J20" s="35"/>
    </row>
    <row r="21" spans="2:10" x14ac:dyDescent="0.25">
      <c r="B21" s="8" t="s">
        <v>1543</v>
      </c>
      <c r="C21" s="56" t="s">
        <v>1544</v>
      </c>
      <c r="D21" s="53" t="s">
        <v>1545</v>
      </c>
      <c r="E21" s="6" t="s">
        <v>195</v>
      </c>
      <c r="F21" s="19">
        <v>125500</v>
      </c>
      <c r="G21" s="24">
        <v>1030.6099999999999</v>
      </c>
      <c r="H21" s="24">
        <v>4.04</v>
      </c>
      <c r="I21" s="31"/>
      <c r="J21" s="35"/>
    </row>
    <row r="22" spans="2:10" x14ac:dyDescent="0.25">
      <c r="B22" s="8" t="s">
        <v>839</v>
      </c>
      <c r="C22" s="56" t="s">
        <v>840</v>
      </c>
      <c r="D22" s="53" t="s">
        <v>841</v>
      </c>
      <c r="E22" s="6" t="s">
        <v>842</v>
      </c>
      <c r="F22" s="19">
        <v>1250000</v>
      </c>
      <c r="G22" s="24">
        <v>865.63</v>
      </c>
      <c r="H22" s="24">
        <v>3.39</v>
      </c>
      <c r="I22" s="31"/>
      <c r="J22" s="35"/>
    </row>
    <row r="23" spans="2:10" x14ac:dyDescent="0.25">
      <c r="B23" s="8" t="s">
        <v>1546</v>
      </c>
      <c r="C23" s="56" t="s">
        <v>1547</v>
      </c>
      <c r="D23" s="53" t="s">
        <v>1548</v>
      </c>
      <c r="E23" s="6" t="s">
        <v>153</v>
      </c>
      <c r="F23" s="19">
        <v>950000</v>
      </c>
      <c r="G23" s="24">
        <v>857.38</v>
      </c>
      <c r="H23" s="24">
        <v>3.36</v>
      </c>
      <c r="I23" s="31"/>
      <c r="J23" s="35"/>
    </row>
    <row r="24" spans="2:10" x14ac:dyDescent="0.25">
      <c r="B24" s="8" t="s">
        <v>877</v>
      </c>
      <c r="C24" s="56" t="s">
        <v>878</v>
      </c>
      <c r="D24" s="53" t="s">
        <v>879</v>
      </c>
      <c r="E24" s="6" t="s">
        <v>228</v>
      </c>
      <c r="F24" s="19">
        <v>162000</v>
      </c>
      <c r="G24" s="24">
        <v>814.7</v>
      </c>
      <c r="H24" s="24">
        <v>3.19</v>
      </c>
      <c r="I24" s="31"/>
      <c r="J24" s="35"/>
    </row>
    <row r="25" spans="2:10" x14ac:dyDescent="0.25">
      <c r="B25" s="8" t="s">
        <v>1549</v>
      </c>
      <c r="C25" s="56" t="s">
        <v>1550</v>
      </c>
      <c r="D25" s="53" t="s">
        <v>1551</v>
      </c>
      <c r="E25" s="6" t="s">
        <v>90</v>
      </c>
      <c r="F25" s="19">
        <v>515000</v>
      </c>
      <c r="G25" s="24">
        <v>799.28</v>
      </c>
      <c r="H25" s="24">
        <v>3.13</v>
      </c>
      <c r="I25" s="31"/>
      <c r="J25" s="35"/>
    </row>
    <row r="26" spans="2:10" x14ac:dyDescent="0.25">
      <c r="B26" s="8" t="s">
        <v>1552</v>
      </c>
      <c r="C26" s="56" t="s">
        <v>1553</v>
      </c>
      <c r="D26" s="53" t="s">
        <v>1554</v>
      </c>
      <c r="E26" s="6" t="s">
        <v>41</v>
      </c>
      <c r="F26" s="19">
        <v>146381</v>
      </c>
      <c r="G26" s="24">
        <v>755.33</v>
      </c>
      <c r="H26" s="24">
        <v>2.96</v>
      </c>
      <c r="I26" s="31"/>
      <c r="J26" s="35"/>
    </row>
    <row r="27" spans="2:10" x14ac:dyDescent="0.25">
      <c r="B27" s="8" t="s">
        <v>805</v>
      </c>
      <c r="C27" s="56" t="s">
        <v>806</v>
      </c>
      <c r="D27" s="53" t="s">
        <v>807</v>
      </c>
      <c r="E27" s="6" t="s">
        <v>55</v>
      </c>
      <c r="F27" s="19">
        <v>405000</v>
      </c>
      <c r="G27" s="24">
        <v>731.63</v>
      </c>
      <c r="H27" s="24">
        <v>2.87</v>
      </c>
      <c r="I27" s="31"/>
      <c r="J27" s="35"/>
    </row>
    <row r="28" spans="2:10" x14ac:dyDescent="0.25">
      <c r="B28" s="8" t="s">
        <v>379</v>
      </c>
      <c r="C28" s="56" t="s">
        <v>380</v>
      </c>
      <c r="D28" s="53" t="s">
        <v>381</v>
      </c>
      <c r="E28" s="6" t="s">
        <v>55</v>
      </c>
      <c r="F28" s="19">
        <v>877847</v>
      </c>
      <c r="G28" s="24">
        <v>648.73</v>
      </c>
      <c r="H28" s="24">
        <v>2.54</v>
      </c>
      <c r="I28" s="31"/>
      <c r="J28" s="35"/>
    </row>
    <row r="29" spans="2:10" x14ac:dyDescent="0.25">
      <c r="B29" s="8" t="s">
        <v>856</v>
      </c>
      <c r="C29" s="56" t="s">
        <v>857</v>
      </c>
      <c r="D29" s="53" t="s">
        <v>858</v>
      </c>
      <c r="E29" s="6" t="s">
        <v>261</v>
      </c>
      <c r="F29" s="19">
        <v>650000</v>
      </c>
      <c r="G29" s="24">
        <v>553.15</v>
      </c>
      <c r="H29" s="24">
        <v>2.17</v>
      </c>
      <c r="I29" s="31"/>
      <c r="J29" s="35"/>
    </row>
    <row r="30" spans="2:10" x14ac:dyDescent="0.25">
      <c r="B30" s="8" t="s">
        <v>167</v>
      </c>
      <c r="C30" s="56" t="s">
        <v>168</v>
      </c>
      <c r="D30" s="53" t="s">
        <v>169</v>
      </c>
      <c r="E30" s="6" t="s">
        <v>170</v>
      </c>
      <c r="F30" s="19">
        <v>310000</v>
      </c>
      <c r="G30" s="24">
        <v>543.28</v>
      </c>
      <c r="H30" s="24">
        <v>2.13</v>
      </c>
      <c r="I30" s="31"/>
      <c r="J30" s="35"/>
    </row>
    <row r="31" spans="2:10" x14ac:dyDescent="0.25">
      <c r="B31" s="8" t="s">
        <v>300</v>
      </c>
      <c r="C31" s="56" t="s">
        <v>301</v>
      </c>
      <c r="D31" s="53" t="s">
        <v>302</v>
      </c>
      <c r="E31" s="6" t="s">
        <v>153</v>
      </c>
      <c r="F31" s="19">
        <v>100000</v>
      </c>
      <c r="G31" s="24">
        <v>520.5</v>
      </c>
      <c r="H31" s="24">
        <v>2.04</v>
      </c>
      <c r="I31" s="31"/>
      <c r="J31" s="35"/>
    </row>
    <row r="32" spans="2:10" x14ac:dyDescent="0.25">
      <c r="B32" s="8" t="s">
        <v>1509</v>
      </c>
      <c r="C32" s="56" t="s">
        <v>1510</v>
      </c>
      <c r="D32" s="53" t="s">
        <v>1511</v>
      </c>
      <c r="E32" s="6" t="s">
        <v>170</v>
      </c>
      <c r="F32" s="19">
        <v>1601089</v>
      </c>
      <c r="G32" s="24">
        <v>516.35</v>
      </c>
      <c r="H32" s="24">
        <v>2.02</v>
      </c>
      <c r="I32" s="31"/>
      <c r="J32" s="35"/>
    </row>
    <row r="33" spans="2:10" x14ac:dyDescent="0.25">
      <c r="B33" s="8" t="s">
        <v>1555</v>
      </c>
      <c r="C33" s="56" t="s">
        <v>1556</v>
      </c>
      <c r="D33" s="53" t="s">
        <v>1557</v>
      </c>
      <c r="E33" s="6" t="s">
        <v>41</v>
      </c>
      <c r="F33" s="19">
        <v>350000</v>
      </c>
      <c r="G33" s="24">
        <v>409.68</v>
      </c>
      <c r="H33" s="24">
        <v>1.61</v>
      </c>
      <c r="I33" s="31"/>
      <c r="J33" s="35"/>
    </row>
    <row r="34" spans="2:10" x14ac:dyDescent="0.25">
      <c r="B34" s="8" t="s">
        <v>180</v>
      </c>
      <c r="C34" s="56" t="s">
        <v>53</v>
      </c>
      <c r="D34" s="53" t="s">
        <v>181</v>
      </c>
      <c r="E34" s="6" t="s">
        <v>55</v>
      </c>
      <c r="F34" s="19">
        <v>9366</v>
      </c>
      <c r="G34" s="24">
        <v>125.83</v>
      </c>
      <c r="H34" s="24">
        <v>0.49</v>
      </c>
      <c r="I34" s="31"/>
      <c r="J34" s="35" t="s">
        <v>182</v>
      </c>
    </row>
    <row r="35" spans="2:10" x14ac:dyDescent="0.25">
      <c r="B35" s="8" t="s">
        <v>1558</v>
      </c>
      <c r="C35" s="56" t="s">
        <v>1559</v>
      </c>
      <c r="D35" s="53" t="s">
        <v>1560</v>
      </c>
      <c r="E35" s="6" t="s">
        <v>842</v>
      </c>
      <c r="F35" s="19">
        <v>113988</v>
      </c>
      <c r="G35" s="24">
        <v>101.79</v>
      </c>
      <c r="H35" s="24">
        <v>0.4</v>
      </c>
      <c r="I35" s="31"/>
      <c r="J35" s="35"/>
    </row>
    <row r="36" spans="2:10" x14ac:dyDescent="0.25">
      <c r="C36" s="57" t="s">
        <v>35</v>
      </c>
      <c r="D36" s="53"/>
      <c r="E36" s="6"/>
      <c r="F36" s="19"/>
      <c r="G36" s="25">
        <v>24002.41</v>
      </c>
      <c r="H36" s="25">
        <v>94.04</v>
      </c>
      <c r="I36" s="31"/>
      <c r="J36" s="35"/>
    </row>
    <row r="37" spans="2:10" x14ac:dyDescent="0.25">
      <c r="C37" s="56"/>
      <c r="D37" s="53"/>
      <c r="E37" s="6"/>
      <c r="F37" s="19"/>
      <c r="G37" s="24"/>
      <c r="H37" s="24"/>
      <c r="I37" s="31"/>
      <c r="J37" s="35"/>
    </row>
    <row r="38" spans="2:10" x14ac:dyDescent="0.25">
      <c r="C38" s="57" t="s">
        <v>3</v>
      </c>
      <c r="D38" s="53"/>
      <c r="E38" s="6"/>
      <c r="F38" s="19"/>
      <c r="G38" s="24" t="s">
        <v>2</v>
      </c>
      <c r="H38" s="24" t="s">
        <v>2</v>
      </c>
      <c r="I38" s="31"/>
      <c r="J38" s="35"/>
    </row>
    <row r="39" spans="2:10" x14ac:dyDescent="0.25">
      <c r="C39" s="56"/>
      <c r="D39" s="53"/>
      <c r="E39" s="6"/>
      <c r="F39" s="19"/>
      <c r="G39" s="24"/>
      <c r="H39" s="24"/>
      <c r="I39" s="31"/>
      <c r="J39" s="35"/>
    </row>
    <row r="40" spans="2:10" x14ac:dyDescent="0.25">
      <c r="C40" s="57" t="s">
        <v>4</v>
      </c>
      <c r="D40" s="53"/>
      <c r="E40" s="6"/>
      <c r="F40" s="19"/>
      <c r="G40" s="24" t="s">
        <v>2</v>
      </c>
      <c r="H40" s="24" t="s">
        <v>2</v>
      </c>
      <c r="I40" s="31"/>
      <c r="J40" s="35"/>
    </row>
    <row r="41" spans="2:10" x14ac:dyDescent="0.25">
      <c r="C41" s="56"/>
      <c r="D41" s="53"/>
      <c r="E41" s="6"/>
      <c r="F41" s="19"/>
      <c r="G41" s="24"/>
      <c r="H41" s="24"/>
      <c r="I41" s="31"/>
      <c r="J41" s="35"/>
    </row>
    <row r="42" spans="2:10" x14ac:dyDescent="0.25">
      <c r="C42" s="57" t="s">
        <v>5</v>
      </c>
      <c r="D42" s="53"/>
      <c r="E42" s="6"/>
      <c r="F42" s="19"/>
      <c r="G42" s="24"/>
      <c r="H42" s="24"/>
      <c r="I42" s="31"/>
      <c r="J42" s="35"/>
    </row>
    <row r="43" spans="2:10" x14ac:dyDescent="0.25">
      <c r="C43" s="56"/>
      <c r="D43" s="53"/>
      <c r="E43" s="6"/>
      <c r="F43" s="19"/>
      <c r="G43" s="24"/>
      <c r="H43" s="24"/>
      <c r="I43" s="31"/>
      <c r="J43" s="35"/>
    </row>
    <row r="44" spans="2:10" x14ac:dyDescent="0.25">
      <c r="C44" s="57" t="s">
        <v>6</v>
      </c>
      <c r="D44" s="53"/>
      <c r="E44" s="6"/>
      <c r="F44" s="19"/>
      <c r="G44" s="24" t="s">
        <v>2</v>
      </c>
      <c r="H44" s="24" t="s">
        <v>2</v>
      </c>
      <c r="I44" s="31"/>
      <c r="J44" s="35"/>
    </row>
    <row r="45" spans="2:10" x14ac:dyDescent="0.25">
      <c r="C45" s="56"/>
      <c r="D45" s="53"/>
      <c r="E45" s="6"/>
      <c r="F45" s="19"/>
      <c r="G45" s="24"/>
      <c r="H45" s="24"/>
      <c r="I45" s="31"/>
      <c r="J45" s="35"/>
    </row>
    <row r="46" spans="2:10" x14ac:dyDescent="0.25">
      <c r="C46" s="57" t="s">
        <v>7</v>
      </c>
      <c r="D46" s="53"/>
      <c r="E46" s="6"/>
      <c r="F46" s="19"/>
      <c r="G46" s="24" t="s">
        <v>2</v>
      </c>
      <c r="H46" s="24" t="s">
        <v>2</v>
      </c>
      <c r="I46" s="31"/>
      <c r="J46" s="35"/>
    </row>
    <row r="47" spans="2:10" x14ac:dyDescent="0.25">
      <c r="C47" s="56"/>
      <c r="D47" s="53"/>
      <c r="E47" s="6"/>
      <c r="F47" s="19"/>
      <c r="G47" s="24"/>
      <c r="H47" s="24"/>
      <c r="I47" s="31"/>
      <c r="J47" s="35"/>
    </row>
    <row r="48" spans="2:10" x14ac:dyDescent="0.25">
      <c r="C48" s="57" t="s">
        <v>8</v>
      </c>
      <c r="D48" s="53"/>
      <c r="E48" s="6"/>
      <c r="F48" s="19"/>
      <c r="G48" s="24" t="s">
        <v>2</v>
      </c>
      <c r="H48" s="24" t="s">
        <v>2</v>
      </c>
      <c r="I48" s="31"/>
      <c r="J48" s="35"/>
    </row>
    <row r="49" spans="1:10" x14ac:dyDescent="0.25">
      <c r="C49" s="56"/>
      <c r="D49" s="53"/>
      <c r="E49" s="6"/>
      <c r="F49" s="19"/>
      <c r="G49" s="24"/>
      <c r="H49" s="24"/>
      <c r="I49" s="31"/>
      <c r="J49" s="35"/>
    </row>
    <row r="50" spans="1:10" x14ac:dyDescent="0.25">
      <c r="C50" s="57" t="s">
        <v>9</v>
      </c>
      <c r="D50" s="53"/>
      <c r="E50" s="6"/>
      <c r="F50" s="19"/>
      <c r="G50" s="24" t="s">
        <v>2</v>
      </c>
      <c r="H50" s="24" t="s">
        <v>2</v>
      </c>
      <c r="I50" s="31"/>
      <c r="J50" s="35"/>
    </row>
    <row r="51" spans="1:10" x14ac:dyDescent="0.25">
      <c r="C51" s="56"/>
      <c r="D51" s="53"/>
      <c r="E51" s="6"/>
      <c r="F51" s="19"/>
      <c r="G51" s="24"/>
      <c r="H51" s="24"/>
      <c r="I51" s="31"/>
      <c r="J51" s="35"/>
    </row>
    <row r="52" spans="1:10" x14ac:dyDescent="0.25">
      <c r="C52" s="57" t="s">
        <v>10</v>
      </c>
      <c r="D52" s="53"/>
      <c r="E52" s="6"/>
      <c r="F52" s="19"/>
      <c r="G52" s="24" t="s">
        <v>2</v>
      </c>
      <c r="H52" s="24" t="s">
        <v>2</v>
      </c>
      <c r="I52" s="31"/>
      <c r="J52" s="35"/>
    </row>
    <row r="53" spans="1:10" x14ac:dyDescent="0.25">
      <c r="C53" s="56"/>
      <c r="D53" s="53"/>
      <c r="E53" s="6"/>
      <c r="F53" s="19"/>
      <c r="G53" s="24"/>
      <c r="H53" s="24"/>
      <c r="I53" s="31"/>
      <c r="J53" s="35"/>
    </row>
    <row r="54" spans="1:10" x14ac:dyDescent="0.25">
      <c r="C54" s="57" t="s">
        <v>11</v>
      </c>
      <c r="D54" s="53"/>
      <c r="E54" s="6"/>
      <c r="F54" s="19"/>
      <c r="G54" s="24"/>
      <c r="H54" s="24"/>
      <c r="I54" s="31"/>
      <c r="J54" s="35"/>
    </row>
    <row r="55" spans="1:10" x14ac:dyDescent="0.25">
      <c r="C55" s="56"/>
      <c r="D55" s="53"/>
      <c r="E55" s="6"/>
      <c r="F55" s="19"/>
      <c r="G55" s="24"/>
      <c r="H55" s="24"/>
      <c r="I55" s="31"/>
      <c r="J55" s="35"/>
    </row>
    <row r="56" spans="1:10" x14ac:dyDescent="0.25">
      <c r="C56" s="57" t="s">
        <v>13</v>
      </c>
      <c r="D56" s="53"/>
      <c r="E56" s="6"/>
      <c r="F56" s="19"/>
      <c r="G56" s="24" t="s">
        <v>2</v>
      </c>
      <c r="H56" s="24" t="s">
        <v>2</v>
      </c>
      <c r="I56" s="31"/>
      <c r="J56" s="35"/>
    </row>
    <row r="57" spans="1:10" x14ac:dyDescent="0.25">
      <c r="C57" s="56"/>
      <c r="D57" s="53"/>
      <c r="E57" s="6"/>
      <c r="F57" s="19"/>
      <c r="G57" s="24"/>
      <c r="H57" s="24"/>
      <c r="I57" s="31"/>
      <c r="J57" s="35"/>
    </row>
    <row r="58" spans="1:10" x14ac:dyDescent="0.25">
      <c r="C58" s="57" t="s">
        <v>14</v>
      </c>
      <c r="D58" s="53"/>
      <c r="E58" s="6"/>
      <c r="F58" s="19"/>
      <c r="G58" s="24" t="s">
        <v>2</v>
      </c>
      <c r="H58" s="24" t="s">
        <v>2</v>
      </c>
      <c r="I58" s="31"/>
      <c r="J58" s="35"/>
    </row>
    <row r="59" spans="1:10" x14ac:dyDescent="0.25">
      <c r="C59" s="56"/>
      <c r="D59" s="53"/>
      <c r="E59" s="6"/>
      <c r="F59" s="19"/>
      <c r="G59" s="24"/>
      <c r="H59" s="24"/>
      <c r="I59" s="31"/>
      <c r="J59" s="35"/>
    </row>
    <row r="60" spans="1:10" x14ac:dyDescent="0.25">
      <c r="C60" s="57" t="s">
        <v>15</v>
      </c>
      <c r="D60" s="53"/>
      <c r="E60" s="6"/>
      <c r="F60" s="19"/>
      <c r="G60" s="24" t="s">
        <v>2</v>
      </c>
      <c r="H60" s="24" t="s">
        <v>2</v>
      </c>
      <c r="I60" s="31"/>
      <c r="J60" s="35"/>
    </row>
    <row r="61" spans="1:10" x14ac:dyDescent="0.25">
      <c r="C61" s="56"/>
      <c r="D61" s="53"/>
      <c r="E61" s="6"/>
      <c r="F61" s="19"/>
      <c r="G61" s="24"/>
      <c r="H61" s="24"/>
      <c r="I61" s="31"/>
      <c r="J61" s="35"/>
    </row>
    <row r="62" spans="1:10" x14ac:dyDescent="0.25">
      <c r="C62" s="57" t="s">
        <v>16</v>
      </c>
      <c r="D62" s="53"/>
      <c r="E62" s="6"/>
      <c r="F62" s="19"/>
      <c r="G62" s="24" t="s">
        <v>2</v>
      </c>
      <c r="H62" s="24" t="s">
        <v>2</v>
      </c>
      <c r="I62" s="31"/>
      <c r="J62" s="35"/>
    </row>
    <row r="63" spans="1:10" x14ac:dyDescent="0.25">
      <c r="C63" s="56"/>
      <c r="D63" s="53"/>
      <c r="E63" s="6"/>
      <c r="F63" s="19"/>
      <c r="G63" s="24"/>
      <c r="H63" s="24"/>
      <c r="I63" s="31"/>
      <c r="J63" s="35"/>
    </row>
    <row r="64" spans="1:10" x14ac:dyDescent="0.25">
      <c r="A64" s="10"/>
      <c r="B64" s="28"/>
      <c r="C64" s="58" t="s">
        <v>17</v>
      </c>
      <c r="D64" s="53"/>
      <c r="E64" s="6"/>
      <c r="F64" s="19"/>
      <c r="G64" s="24"/>
      <c r="H64" s="24"/>
      <c r="I64" s="31"/>
      <c r="J64" s="35"/>
    </row>
    <row r="65" spans="1:10" x14ac:dyDescent="0.25">
      <c r="A65" s="28"/>
      <c r="B65" s="28"/>
      <c r="C65" s="58" t="s">
        <v>18</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A67" s="28"/>
      <c r="B67" s="28"/>
      <c r="C67" s="58" t="s">
        <v>19</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20</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21</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C73" s="59" t="s">
        <v>22</v>
      </c>
      <c r="D73" s="53"/>
      <c r="E73" s="6"/>
      <c r="F73" s="19"/>
      <c r="G73" s="24"/>
      <c r="H73" s="24"/>
      <c r="I73" s="31"/>
      <c r="J73" s="35"/>
    </row>
    <row r="74" spans="1:10" x14ac:dyDescent="0.25">
      <c r="B74" s="8" t="s">
        <v>33</v>
      </c>
      <c r="C74" s="56" t="s">
        <v>34</v>
      </c>
      <c r="D74" s="53"/>
      <c r="E74" s="6"/>
      <c r="F74" s="19"/>
      <c r="G74" s="24">
        <v>1360.5</v>
      </c>
      <c r="H74" s="24">
        <v>5.33</v>
      </c>
      <c r="I74" s="31"/>
      <c r="J74" s="35"/>
    </row>
    <row r="75" spans="1:10" x14ac:dyDescent="0.25">
      <c r="C75" s="57" t="s">
        <v>35</v>
      </c>
      <c r="D75" s="53"/>
      <c r="E75" s="6"/>
      <c r="F75" s="19"/>
      <c r="G75" s="25">
        <v>1360.5</v>
      </c>
      <c r="H75" s="25">
        <v>5.33</v>
      </c>
      <c r="I75" s="31"/>
      <c r="J75" s="35"/>
    </row>
    <row r="76" spans="1:10" x14ac:dyDescent="0.25">
      <c r="C76" s="56"/>
      <c r="D76" s="53"/>
      <c r="E76" s="6"/>
      <c r="F76" s="19"/>
      <c r="G76" s="24"/>
      <c r="H76" s="24"/>
      <c r="I76" s="31"/>
      <c r="J76" s="35"/>
    </row>
    <row r="77" spans="1:10" x14ac:dyDescent="0.25">
      <c r="A77" s="10"/>
      <c r="B77" s="28"/>
      <c r="C77" s="58" t="s">
        <v>23</v>
      </c>
      <c r="D77" s="53"/>
      <c r="E77" s="6"/>
      <c r="F77" s="19"/>
      <c r="G77" s="24"/>
      <c r="H77" s="24"/>
      <c r="I77" s="31"/>
      <c r="J77" s="35"/>
    </row>
    <row r="78" spans="1:10" x14ac:dyDescent="0.25">
      <c r="A78" s="28"/>
      <c r="B78" s="28"/>
      <c r="C78" s="60" t="s">
        <v>3398</v>
      </c>
      <c r="D78" s="53"/>
      <c r="E78" s="6"/>
      <c r="F78" s="19"/>
      <c r="G78" s="24" t="s">
        <v>2</v>
      </c>
      <c r="H78" s="24" t="s">
        <v>2</v>
      </c>
      <c r="I78" s="31"/>
      <c r="J78" s="35"/>
    </row>
    <row r="79" spans="1:10" x14ac:dyDescent="0.25">
      <c r="B79" s="8"/>
      <c r="C79" s="56" t="s">
        <v>36</v>
      </c>
      <c r="D79" s="53"/>
      <c r="E79" s="6"/>
      <c r="F79" s="19"/>
      <c r="G79" s="24">
        <v>155.55000000000001</v>
      </c>
      <c r="H79" s="24">
        <v>0.63</v>
      </c>
      <c r="I79" s="31"/>
      <c r="J79" s="35"/>
    </row>
    <row r="80" spans="1:10" x14ac:dyDescent="0.25">
      <c r="C80" s="57" t="s">
        <v>35</v>
      </c>
      <c r="D80" s="53"/>
      <c r="E80" s="6"/>
      <c r="F80" s="19"/>
      <c r="G80" s="25">
        <v>155.55000000000001</v>
      </c>
      <c r="H80" s="25">
        <v>0.63</v>
      </c>
      <c r="I80" s="31"/>
      <c r="J80" s="35"/>
    </row>
    <row r="81" spans="3:10" x14ac:dyDescent="0.25">
      <c r="C81" s="56"/>
      <c r="D81" s="53"/>
      <c r="E81" s="6"/>
      <c r="F81" s="19"/>
      <c r="G81" s="24"/>
      <c r="H81" s="24"/>
      <c r="I81" s="31"/>
      <c r="J81" s="35"/>
    </row>
    <row r="82" spans="3:10" x14ac:dyDescent="0.25">
      <c r="C82" s="61" t="s">
        <v>37</v>
      </c>
      <c r="D82" s="54"/>
      <c r="E82" s="5"/>
      <c r="F82" s="20"/>
      <c r="G82" s="26">
        <v>25518.46</v>
      </c>
      <c r="H82" s="26">
        <f>SUMIFS(H:H,C:C,"Total")</f>
        <v>100</v>
      </c>
      <c r="I82" s="32"/>
      <c r="J82" s="36"/>
    </row>
    <row r="85" spans="3:10" x14ac:dyDescent="0.25">
      <c r="C85" s="1" t="s">
        <v>38</v>
      </c>
    </row>
    <row r="86" spans="3:10" x14ac:dyDescent="0.25">
      <c r="C86" s="2" t="s">
        <v>39</v>
      </c>
    </row>
    <row r="87" spans="3:10" x14ac:dyDescent="0.25">
      <c r="C87" s="2" t="s">
        <v>40</v>
      </c>
    </row>
    <row r="88" spans="3:10" x14ac:dyDescent="0.25">
      <c r="C88" s="2" t="s">
        <v>3430</v>
      </c>
    </row>
  </sheetData>
  <hyperlinks>
    <hyperlink ref="J2" location="'Index'!A1" display="'Index'!A1"/>
  </hyperlinks>
  <pageMargins left="0.7" right="0.7" top="0.75" bottom="0.75" header="0.3" footer="0.3"/>
  <pageSetup orientation="portrait" horizontalDpi="4294967293"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4"/>
  <dimension ref="A1:J6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1561</v>
      </c>
      <c r="J2" s="37" t="s">
        <v>3307</v>
      </c>
    </row>
    <row r="3" spans="1:10" ht="16.5" x14ac:dyDescent="0.3">
      <c r="C3" s="1" t="s">
        <v>24</v>
      </c>
      <c r="D3" s="21" t="s">
        <v>1562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C23" s="59" t="s">
        <v>9</v>
      </c>
      <c r="D23" s="53"/>
      <c r="E23" s="6"/>
      <c r="F23" s="19"/>
      <c r="G23" s="24"/>
      <c r="H23" s="24"/>
      <c r="I23" s="31"/>
      <c r="J23" s="35"/>
    </row>
    <row r="24" spans="1:10" x14ac:dyDescent="0.25">
      <c r="B24" s="8" t="s">
        <v>652</v>
      </c>
      <c r="C24" s="56" t="s">
        <v>653</v>
      </c>
      <c r="D24" s="53" t="s">
        <v>654</v>
      </c>
      <c r="E24" s="6" t="s">
        <v>655</v>
      </c>
      <c r="F24" s="19">
        <v>222000000</v>
      </c>
      <c r="G24" s="24">
        <v>217951.16</v>
      </c>
      <c r="H24" s="24">
        <v>59.02</v>
      </c>
      <c r="I24" s="31">
        <v>6.3890000000000002</v>
      </c>
      <c r="J24" s="35"/>
    </row>
    <row r="25" spans="1:10" x14ac:dyDescent="0.25">
      <c r="B25" s="8" t="s">
        <v>656</v>
      </c>
      <c r="C25" s="56" t="s">
        <v>657</v>
      </c>
      <c r="D25" s="53" t="s">
        <v>658</v>
      </c>
      <c r="E25" s="6" t="s">
        <v>655</v>
      </c>
      <c r="F25" s="19">
        <v>61500000</v>
      </c>
      <c r="G25" s="24">
        <v>67307.88</v>
      </c>
      <c r="H25" s="24">
        <v>18.23</v>
      </c>
      <c r="I25" s="31">
        <v>6.4672999999999998</v>
      </c>
      <c r="J25" s="35"/>
    </row>
    <row r="26" spans="1:10" x14ac:dyDescent="0.25">
      <c r="B26" s="8" t="s">
        <v>665</v>
      </c>
      <c r="C26" s="56" t="s">
        <v>666</v>
      </c>
      <c r="D26" s="53" t="s">
        <v>667</v>
      </c>
      <c r="E26" s="6" t="s">
        <v>655</v>
      </c>
      <c r="F26" s="19">
        <v>46000000</v>
      </c>
      <c r="G26" s="24">
        <v>47004.46</v>
      </c>
      <c r="H26" s="24">
        <v>12.73</v>
      </c>
      <c r="I26" s="31">
        <v>6.1308999999999996</v>
      </c>
      <c r="J26" s="35"/>
    </row>
    <row r="27" spans="1:10" x14ac:dyDescent="0.25">
      <c r="B27" s="8" t="s">
        <v>1097</v>
      </c>
      <c r="C27" s="56" t="s">
        <v>1098</v>
      </c>
      <c r="D27" s="53" t="s">
        <v>1099</v>
      </c>
      <c r="E27" s="6" t="s">
        <v>655</v>
      </c>
      <c r="F27" s="19">
        <v>24200000</v>
      </c>
      <c r="G27" s="24">
        <v>25446.42</v>
      </c>
      <c r="H27" s="24">
        <v>6.89</v>
      </c>
      <c r="I27" s="31">
        <v>6.7567000000000004</v>
      </c>
      <c r="J27" s="35"/>
    </row>
    <row r="28" spans="1:10" x14ac:dyDescent="0.25">
      <c r="B28" s="8" t="s">
        <v>671</v>
      </c>
      <c r="C28" s="56" t="s">
        <v>672</v>
      </c>
      <c r="D28" s="53" t="s">
        <v>673</v>
      </c>
      <c r="E28" s="6" t="s">
        <v>655</v>
      </c>
      <c r="F28" s="19">
        <v>6000000</v>
      </c>
      <c r="G28" s="24">
        <v>5892.15</v>
      </c>
      <c r="H28" s="24">
        <v>1.6</v>
      </c>
      <c r="I28" s="31">
        <v>6.0133999999999999</v>
      </c>
      <c r="J28" s="35"/>
    </row>
    <row r="29" spans="1:10" x14ac:dyDescent="0.25">
      <c r="C29" s="57" t="s">
        <v>35</v>
      </c>
      <c r="D29" s="53"/>
      <c r="E29" s="6"/>
      <c r="F29" s="19"/>
      <c r="G29" s="25">
        <v>363602.07</v>
      </c>
      <c r="H29" s="25">
        <v>98.47</v>
      </c>
      <c r="I29" s="31"/>
      <c r="J29" s="35"/>
    </row>
    <row r="30" spans="1:10" x14ac:dyDescent="0.25">
      <c r="C30" s="56"/>
      <c r="D30" s="53"/>
      <c r="E30" s="6"/>
      <c r="F30" s="19"/>
      <c r="G30" s="24"/>
      <c r="H30" s="24"/>
      <c r="I30" s="31"/>
      <c r="J30" s="35"/>
    </row>
    <row r="31" spans="1:10" x14ac:dyDescent="0.25">
      <c r="C31" s="57" t="s">
        <v>10</v>
      </c>
      <c r="D31" s="53"/>
      <c r="E31" s="6"/>
      <c r="F31" s="19"/>
      <c r="G31" s="24" t="s">
        <v>2</v>
      </c>
      <c r="H31" s="24" t="s">
        <v>2</v>
      </c>
      <c r="I31" s="31"/>
      <c r="J31" s="35"/>
    </row>
    <row r="32" spans="1:10" x14ac:dyDescent="0.25">
      <c r="C32" s="56"/>
      <c r="D32" s="53"/>
      <c r="E32" s="6"/>
      <c r="F32" s="19"/>
      <c r="G32" s="24"/>
      <c r="H32" s="24"/>
      <c r="I32" s="31"/>
      <c r="J32" s="35"/>
    </row>
    <row r="33" spans="1:10" x14ac:dyDescent="0.25">
      <c r="C33" s="57" t="s">
        <v>11</v>
      </c>
      <c r="D33" s="53"/>
      <c r="E33" s="6"/>
      <c r="F33" s="19"/>
      <c r="G33" s="24"/>
      <c r="H33" s="24"/>
      <c r="I33" s="31"/>
      <c r="J33" s="35"/>
    </row>
    <row r="34" spans="1:10" x14ac:dyDescent="0.25">
      <c r="C34" s="56"/>
      <c r="D34" s="53"/>
      <c r="E34" s="6"/>
      <c r="F34" s="19"/>
      <c r="G34" s="24"/>
      <c r="H34" s="24"/>
      <c r="I34" s="31"/>
      <c r="J34" s="35"/>
    </row>
    <row r="35" spans="1:10" x14ac:dyDescent="0.25">
      <c r="C35" s="57" t="s">
        <v>13</v>
      </c>
      <c r="D35" s="53"/>
      <c r="E35" s="6"/>
      <c r="F35" s="19"/>
      <c r="G35" s="24" t="s">
        <v>2</v>
      </c>
      <c r="H35" s="24" t="s">
        <v>2</v>
      </c>
      <c r="I35" s="31"/>
      <c r="J35" s="35"/>
    </row>
    <row r="36" spans="1:10" x14ac:dyDescent="0.25">
      <c r="C36" s="56"/>
      <c r="D36" s="53"/>
      <c r="E36" s="6"/>
      <c r="F36" s="19"/>
      <c r="G36" s="24"/>
      <c r="H36" s="24"/>
      <c r="I36" s="31"/>
      <c r="J36" s="35"/>
    </row>
    <row r="37" spans="1:10" x14ac:dyDescent="0.25">
      <c r="C37" s="57" t="s">
        <v>14</v>
      </c>
      <c r="D37" s="53"/>
      <c r="E37" s="6"/>
      <c r="F37" s="19"/>
      <c r="G37" s="24" t="s">
        <v>2</v>
      </c>
      <c r="H37" s="24" t="s">
        <v>2</v>
      </c>
      <c r="I37" s="31"/>
      <c r="J37" s="35"/>
    </row>
    <row r="38" spans="1:10" x14ac:dyDescent="0.25">
      <c r="C38" s="56"/>
      <c r="D38" s="53"/>
      <c r="E38" s="6"/>
      <c r="F38" s="19"/>
      <c r="G38" s="24"/>
      <c r="H38" s="24"/>
      <c r="I38" s="31"/>
      <c r="J38" s="35"/>
    </row>
    <row r="39" spans="1:10" x14ac:dyDescent="0.25">
      <c r="C39" s="57" t="s">
        <v>15</v>
      </c>
      <c r="D39" s="53"/>
      <c r="E39" s="6"/>
      <c r="F39" s="19"/>
      <c r="G39" s="24" t="s">
        <v>2</v>
      </c>
      <c r="H39" s="24" t="s">
        <v>2</v>
      </c>
      <c r="I39" s="31"/>
      <c r="J39" s="35"/>
    </row>
    <row r="40" spans="1:10" x14ac:dyDescent="0.25">
      <c r="C40" s="56"/>
      <c r="D40" s="53"/>
      <c r="E40" s="6"/>
      <c r="F40" s="19"/>
      <c r="G40" s="24"/>
      <c r="H40" s="24"/>
      <c r="I40" s="31"/>
      <c r="J40" s="35"/>
    </row>
    <row r="41" spans="1:10" x14ac:dyDescent="0.25">
      <c r="C41" s="57" t="s">
        <v>16</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17</v>
      </c>
      <c r="D43" s="53"/>
      <c r="E43" s="6"/>
      <c r="F43" s="19"/>
      <c r="G43" s="24"/>
      <c r="H43" s="24"/>
      <c r="I43" s="31"/>
      <c r="J43" s="35"/>
    </row>
    <row r="44" spans="1:10" x14ac:dyDescent="0.25">
      <c r="A44" s="28"/>
      <c r="B44" s="28"/>
      <c r="C44" s="58" t="s">
        <v>18</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A46" s="28"/>
      <c r="B46" s="28"/>
      <c r="C46" s="58" t="s">
        <v>19</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A48" s="28"/>
      <c r="B48" s="28"/>
      <c r="C48" s="58" t="s">
        <v>20</v>
      </c>
      <c r="D48" s="53"/>
      <c r="E48" s="6"/>
      <c r="F48" s="19"/>
      <c r="G48" s="24" t="s">
        <v>2</v>
      </c>
      <c r="H48" s="24" t="s">
        <v>2</v>
      </c>
      <c r="I48" s="31"/>
      <c r="J48" s="35"/>
    </row>
    <row r="49" spans="1:10" x14ac:dyDescent="0.25">
      <c r="A49" s="28"/>
      <c r="B49" s="28"/>
      <c r="C49" s="58"/>
      <c r="D49" s="53"/>
      <c r="E49" s="6"/>
      <c r="F49" s="19"/>
      <c r="G49" s="24"/>
      <c r="H49" s="24"/>
      <c r="I49" s="31"/>
      <c r="J49" s="35"/>
    </row>
    <row r="50" spans="1:10" x14ac:dyDescent="0.25">
      <c r="A50" s="28"/>
      <c r="B50" s="28"/>
      <c r="C50" s="58" t="s">
        <v>21</v>
      </c>
      <c r="D50" s="53"/>
      <c r="E50" s="6"/>
      <c r="F50" s="19"/>
      <c r="G50" s="24" t="s">
        <v>2</v>
      </c>
      <c r="H50" s="24" t="s">
        <v>2</v>
      </c>
      <c r="I50" s="31"/>
      <c r="J50" s="35"/>
    </row>
    <row r="51" spans="1:10" x14ac:dyDescent="0.25">
      <c r="A51" s="28"/>
      <c r="B51" s="28"/>
      <c r="C51" s="58"/>
      <c r="D51" s="53"/>
      <c r="E51" s="6"/>
      <c r="F51" s="19"/>
      <c r="G51" s="24"/>
      <c r="H51" s="24"/>
      <c r="I51" s="31"/>
      <c r="J51" s="35"/>
    </row>
    <row r="52" spans="1:10" x14ac:dyDescent="0.25">
      <c r="C52" s="59" t="s">
        <v>22</v>
      </c>
      <c r="D52" s="53"/>
      <c r="E52" s="6"/>
      <c r="F52" s="19"/>
      <c r="G52" s="24"/>
      <c r="H52" s="24"/>
      <c r="I52" s="31"/>
      <c r="J52" s="35"/>
    </row>
    <row r="53" spans="1:10" x14ac:dyDescent="0.25">
      <c r="B53" s="8" t="s">
        <v>33</v>
      </c>
      <c r="C53" s="56" t="s">
        <v>34</v>
      </c>
      <c r="D53" s="53"/>
      <c r="E53" s="6"/>
      <c r="F53" s="19"/>
      <c r="G53" s="24">
        <v>2352.79</v>
      </c>
      <c r="H53" s="24">
        <v>0.64</v>
      </c>
      <c r="I53" s="31"/>
      <c r="J53" s="35"/>
    </row>
    <row r="54" spans="1:10" x14ac:dyDescent="0.25">
      <c r="C54" s="57" t="s">
        <v>35</v>
      </c>
      <c r="D54" s="53"/>
      <c r="E54" s="6"/>
      <c r="F54" s="19"/>
      <c r="G54" s="25">
        <v>2352.79</v>
      </c>
      <c r="H54" s="25">
        <v>0.64</v>
      </c>
      <c r="I54" s="31"/>
      <c r="J54" s="35"/>
    </row>
    <row r="55" spans="1:10" x14ac:dyDescent="0.25">
      <c r="C55" s="56"/>
      <c r="D55" s="53"/>
      <c r="E55" s="6"/>
      <c r="F55" s="19"/>
      <c r="G55" s="24"/>
      <c r="H55" s="24"/>
      <c r="I55" s="31"/>
      <c r="J55" s="35"/>
    </row>
    <row r="56" spans="1:10" x14ac:dyDescent="0.25">
      <c r="A56" s="10"/>
      <c r="B56" s="28"/>
      <c r="C56" s="58" t="s">
        <v>23</v>
      </c>
      <c r="D56" s="53"/>
      <c r="E56" s="6"/>
      <c r="F56" s="19"/>
      <c r="G56" s="24"/>
      <c r="H56" s="24"/>
      <c r="I56" s="31"/>
      <c r="J56" s="35"/>
    </row>
    <row r="57" spans="1:10" x14ac:dyDescent="0.25">
      <c r="A57" s="28"/>
      <c r="B57" s="28"/>
      <c r="C57" s="60" t="s">
        <v>3398</v>
      </c>
      <c r="D57" s="53"/>
      <c r="E57" s="6"/>
      <c r="F57" s="19"/>
      <c r="G57" s="24" t="s">
        <v>2</v>
      </c>
      <c r="H57" s="24" t="s">
        <v>2</v>
      </c>
      <c r="I57" s="31"/>
      <c r="J57" s="35"/>
    </row>
    <row r="58" spans="1:10" x14ac:dyDescent="0.25">
      <c r="B58" s="8"/>
      <c r="C58" s="56" t="s">
        <v>36</v>
      </c>
      <c r="D58" s="53"/>
      <c r="E58" s="6"/>
      <c r="F58" s="19"/>
      <c r="G58" s="24">
        <v>3308.19</v>
      </c>
      <c r="H58" s="24">
        <v>0.89</v>
      </c>
      <c r="I58" s="31"/>
      <c r="J58" s="35"/>
    </row>
    <row r="59" spans="1:10" x14ac:dyDescent="0.25">
      <c r="C59" s="57" t="s">
        <v>35</v>
      </c>
      <c r="D59" s="53"/>
      <c r="E59" s="6"/>
      <c r="F59" s="19"/>
      <c r="G59" s="25">
        <v>3308.19</v>
      </c>
      <c r="H59" s="25">
        <v>0.89</v>
      </c>
      <c r="I59" s="31"/>
      <c r="J59" s="35"/>
    </row>
    <row r="60" spans="1:10" x14ac:dyDescent="0.25">
      <c r="C60" s="56"/>
      <c r="D60" s="53"/>
      <c r="E60" s="6"/>
      <c r="F60" s="19"/>
      <c r="G60" s="24"/>
      <c r="H60" s="24"/>
      <c r="I60" s="31"/>
      <c r="J60" s="35"/>
    </row>
    <row r="61" spans="1:10" x14ac:dyDescent="0.25">
      <c r="C61" s="61" t="s">
        <v>37</v>
      </c>
      <c r="D61" s="54"/>
      <c r="E61" s="5"/>
      <c r="F61" s="20"/>
      <c r="G61" s="26">
        <v>369263.05</v>
      </c>
      <c r="H61" s="26">
        <f>SUMIFS(H:H,C:C,"Total")</f>
        <v>100</v>
      </c>
      <c r="I61" s="32"/>
      <c r="J61" s="36"/>
    </row>
    <row r="64" spans="1:10" x14ac:dyDescent="0.25">
      <c r="C64" s="1" t="s">
        <v>38</v>
      </c>
    </row>
    <row r="65" spans="3:3" x14ac:dyDescent="0.25">
      <c r="C65" s="2" t="s">
        <v>39</v>
      </c>
    </row>
    <row r="66" spans="3:3" x14ac:dyDescent="0.25">
      <c r="C66" s="2" t="s">
        <v>40</v>
      </c>
    </row>
    <row r="67" spans="3:3" x14ac:dyDescent="0.25">
      <c r="C67" s="2" t="s">
        <v>3430</v>
      </c>
    </row>
  </sheetData>
  <hyperlinks>
    <hyperlink ref="J2" location="'Index'!A1" display="'Index'!A1"/>
  </hyperlinks>
  <pageMargins left="0.7" right="0.7" top="0.75" bottom="0.75" header="0.3" footer="0.3"/>
  <pageSetup orientation="portrait" horizontalDpi="4294967293"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5"/>
  <dimension ref="A1:J109"/>
  <sheetViews>
    <sheetView showGridLines="0" zoomScale="90" zoomScaleNormal="90" workbookViewId="0">
      <pane ySplit="6" topLeftCell="A93" activePane="bottomLeft" state="frozen"/>
      <selection pane="bottomLeft" activeCell="C109" sqref="C109"/>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1563</v>
      </c>
      <c r="J2" s="37" t="s">
        <v>3307</v>
      </c>
    </row>
    <row r="3" spans="1:10" ht="16.5" x14ac:dyDescent="0.3">
      <c r="C3" s="1" t="s">
        <v>24</v>
      </c>
      <c r="D3" s="21" t="s">
        <v>1564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6469442</v>
      </c>
      <c r="G10" s="24">
        <v>69779.399999999994</v>
      </c>
      <c r="H10" s="24">
        <v>7.87</v>
      </c>
      <c r="I10" s="31"/>
      <c r="J10" s="35"/>
    </row>
    <row r="11" spans="1:10" x14ac:dyDescent="0.25">
      <c r="B11" s="8" t="s">
        <v>133</v>
      </c>
      <c r="C11" s="56" t="s">
        <v>134</v>
      </c>
      <c r="D11" s="53" t="s">
        <v>135</v>
      </c>
      <c r="E11" s="6" t="s">
        <v>47</v>
      </c>
      <c r="F11" s="19">
        <v>6273981</v>
      </c>
      <c r="G11" s="24">
        <v>50919.63</v>
      </c>
      <c r="H11" s="24">
        <v>5.74</v>
      </c>
      <c r="I11" s="31"/>
      <c r="J11" s="35"/>
    </row>
    <row r="12" spans="1:10" x14ac:dyDescent="0.25">
      <c r="B12" s="8" t="s">
        <v>62</v>
      </c>
      <c r="C12" s="56" t="s">
        <v>63</v>
      </c>
      <c r="D12" s="53" t="s">
        <v>64</v>
      </c>
      <c r="E12" s="6" t="s">
        <v>51</v>
      </c>
      <c r="F12" s="19">
        <v>14135935</v>
      </c>
      <c r="G12" s="24">
        <v>50147.23</v>
      </c>
      <c r="H12" s="24">
        <v>5.65</v>
      </c>
      <c r="I12" s="31"/>
      <c r="J12" s="35"/>
    </row>
    <row r="13" spans="1:10" x14ac:dyDescent="0.25">
      <c r="B13" s="8" t="s">
        <v>52</v>
      </c>
      <c r="C13" s="56" t="s">
        <v>53</v>
      </c>
      <c r="D13" s="53" t="s">
        <v>54</v>
      </c>
      <c r="E13" s="6" t="s">
        <v>55</v>
      </c>
      <c r="F13" s="19">
        <v>2015400</v>
      </c>
      <c r="G13" s="24">
        <v>45031.09</v>
      </c>
      <c r="H13" s="24">
        <v>5.08</v>
      </c>
      <c r="I13" s="31"/>
      <c r="J13" s="35"/>
    </row>
    <row r="14" spans="1:10" x14ac:dyDescent="0.25">
      <c r="B14" s="8" t="s">
        <v>327</v>
      </c>
      <c r="C14" s="56" t="s">
        <v>328</v>
      </c>
      <c r="D14" s="53" t="s">
        <v>329</v>
      </c>
      <c r="E14" s="6" t="s">
        <v>47</v>
      </c>
      <c r="F14" s="19">
        <v>4570500</v>
      </c>
      <c r="G14" s="24">
        <v>36186.93</v>
      </c>
      <c r="H14" s="24">
        <v>4.08</v>
      </c>
      <c r="I14" s="31"/>
      <c r="J14" s="35"/>
    </row>
    <row r="15" spans="1:10" x14ac:dyDescent="0.25">
      <c r="B15" s="8" t="s">
        <v>354</v>
      </c>
      <c r="C15" s="56" t="s">
        <v>355</v>
      </c>
      <c r="D15" s="53" t="s">
        <v>356</v>
      </c>
      <c r="E15" s="6" t="s">
        <v>90</v>
      </c>
      <c r="F15" s="19">
        <v>17749717</v>
      </c>
      <c r="G15" s="24">
        <v>30476.26</v>
      </c>
      <c r="H15" s="24">
        <v>3.44</v>
      </c>
      <c r="I15" s="31"/>
      <c r="J15" s="35"/>
    </row>
    <row r="16" spans="1:10" x14ac:dyDescent="0.25">
      <c r="B16" s="8" t="s">
        <v>206</v>
      </c>
      <c r="C16" s="56" t="s">
        <v>207</v>
      </c>
      <c r="D16" s="53" t="s">
        <v>208</v>
      </c>
      <c r="E16" s="6" t="s">
        <v>41</v>
      </c>
      <c r="F16" s="19">
        <v>1886813</v>
      </c>
      <c r="G16" s="24">
        <v>28431.439999999999</v>
      </c>
      <c r="H16" s="24">
        <v>3.21</v>
      </c>
      <c r="I16" s="31"/>
      <c r="J16" s="35"/>
    </row>
    <row r="17" spans="2:10" x14ac:dyDescent="0.25">
      <c r="B17" s="8" t="s">
        <v>73</v>
      </c>
      <c r="C17" s="56" t="s">
        <v>74</v>
      </c>
      <c r="D17" s="53" t="s">
        <v>75</v>
      </c>
      <c r="E17" s="6" t="s">
        <v>51</v>
      </c>
      <c r="F17" s="19">
        <v>6674049</v>
      </c>
      <c r="G17" s="24">
        <v>28341.35</v>
      </c>
      <c r="H17" s="24">
        <v>3.2</v>
      </c>
      <c r="I17" s="31"/>
      <c r="J17" s="35"/>
    </row>
    <row r="18" spans="2:10" x14ac:dyDescent="0.25">
      <c r="B18" s="8" t="s">
        <v>59</v>
      </c>
      <c r="C18" s="56" t="s">
        <v>60</v>
      </c>
      <c r="D18" s="53" t="s">
        <v>61</v>
      </c>
      <c r="E18" s="6" t="s">
        <v>51</v>
      </c>
      <c r="F18" s="19">
        <v>2222074</v>
      </c>
      <c r="G18" s="24">
        <v>28180.34</v>
      </c>
      <c r="H18" s="24">
        <v>3.18</v>
      </c>
      <c r="I18" s="31"/>
      <c r="J18" s="35"/>
    </row>
    <row r="19" spans="2:10" x14ac:dyDescent="0.25">
      <c r="B19" s="8" t="s">
        <v>330</v>
      </c>
      <c r="C19" s="56" t="s">
        <v>331</v>
      </c>
      <c r="D19" s="53" t="s">
        <v>332</v>
      </c>
      <c r="E19" s="6" t="s">
        <v>83</v>
      </c>
      <c r="F19" s="19">
        <v>9530000</v>
      </c>
      <c r="G19" s="24">
        <v>27860.959999999999</v>
      </c>
      <c r="H19" s="24">
        <v>3.14</v>
      </c>
      <c r="I19" s="31"/>
      <c r="J19" s="35"/>
    </row>
    <row r="20" spans="2:10" x14ac:dyDescent="0.25">
      <c r="B20" s="8" t="s">
        <v>76</v>
      </c>
      <c r="C20" s="56" t="s">
        <v>77</v>
      </c>
      <c r="D20" s="53" t="s">
        <v>78</v>
      </c>
      <c r="E20" s="6" t="s">
        <v>79</v>
      </c>
      <c r="F20" s="19">
        <v>2875000</v>
      </c>
      <c r="G20" s="24">
        <v>25921</v>
      </c>
      <c r="H20" s="24">
        <v>2.92</v>
      </c>
      <c r="I20" s="31"/>
      <c r="J20" s="35"/>
    </row>
    <row r="21" spans="2:10" x14ac:dyDescent="0.25">
      <c r="B21" s="8" t="s">
        <v>409</v>
      </c>
      <c r="C21" s="56" t="s">
        <v>410</v>
      </c>
      <c r="D21" s="53" t="s">
        <v>411</v>
      </c>
      <c r="E21" s="6" t="s">
        <v>98</v>
      </c>
      <c r="F21" s="19">
        <v>382200</v>
      </c>
      <c r="G21" s="24">
        <v>25773.47</v>
      </c>
      <c r="H21" s="24">
        <v>2.91</v>
      </c>
      <c r="I21" s="31"/>
      <c r="J21" s="35"/>
    </row>
    <row r="22" spans="2:10" x14ac:dyDescent="0.25">
      <c r="B22" s="8" t="s">
        <v>56</v>
      </c>
      <c r="C22" s="56" t="s">
        <v>57</v>
      </c>
      <c r="D22" s="53" t="s">
        <v>58</v>
      </c>
      <c r="E22" s="6" t="s">
        <v>47</v>
      </c>
      <c r="F22" s="19">
        <v>991300</v>
      </c>
      <c r="G22" s="24">
        <v>24706.17</v>
      </c>
      <c r="H22" s="24">
        <v>2.79</v>
      </c>
      <c r="I22" s="31"/>
      <c r="J22" s="35"/>
    </row>
    <row r="23" spans="2:10" x14ac:dyDescent="0.25">
      <c r="B23" s="8" t="s">
        <v>108</v>
      </c>
      <c r="C23" s="56" t="s">
        <v>109</v>
      </c>
      <c r="D23" s="53" t="s">
        <v>110</v>
      </c>
      <c r="E23" s="6" t="s">
        <v>111</v>
      </c>
      <c r="F23" s="19">
        <v>3170000</v>
      </c>
      <c r="G23" s="24">
        <v>24557.99</v>
      </c>
      <c r="H23" s="24">
        <v>2.77</v>
      </c>
      <c r="I23" s="31"/>
      <c r="J23" s="35"/>
    </row>
    <row r="24" spans="2:10" x14ac:dyDescent="0.25">
      <c r="B24" s="8" t="s">
        <v>171</v>
      </c>
      <c r="C24" s="56" t="s">
        <v>172</v>
      </c>
      <c r="D24" s="53" t="s">
        <v>173</v>
      </c>
      <c r="E24" s="6" t="s">
        <v>55</v>
      </c>
      <c r="F24" s="19">
        <v>6866765</v>
      </c>
      <c r="G24" s="24">
        <v>24243.11</v>
      </c>
      <c r="H24" s="24">
        <v>2.73</v>
      </c>
      <c r="I24" s="31"/>
      <c r="J24" s="35"/>
    </row>
    <row r="25" spans="2:10" x14ac:dyDescent="0.25">
      <c r="B25" s="8" t="s">
        <v>65</v>
      </c>
      <c r="C25" s="56" t="s">
        <v>66</v>
      </c>
      <c r="D25" s="53" t="s">
        <v>67</v>
      </c>
      <c r="E25" s="6" t="s">
        <v>68</v>
      </c>
      <c r="F25" s="19">
        <v>5611176</v>
      </c>
      <c r="G25" s="24">
        <v>23620.25</v>
      </c>
      <c r="H25" s="24">
        <v>2.66</v>
      </c>
      <c r="I25" s="31"/>
      <c r="J25" s="35"/>
    </row>
    <row r="26" spans="2:10" x14ac:dyDescent="0.25">
      <c r="B26" s="8" t="s">
        <v>1491</v>
      </c>
      <c r="C26" s="56" t="s">
        <v>691</v>
      </c>
      <c r="D26" s="53" t="s">
        <v>1492</v>
      </c>
      <c r="E26" s="6" t="s">
        <v>94</v>
      </c>
      <c r="F26" s="19">
        <v>9323475</v>
      </c>
      <c r="G26" s="24">
        <v>23229.439999999999</v>
      </c>
      <c r="H26" s="24">
        <v>2.62</v>
      </c>
      <c r="I26" s="31"/>
      <c r="J26" s="35"/>
    </row>
    <row r="27" spans="2:10" x14ac:dyDescent="0.25">
      <c r="B27" s="8" t="s">
        <v>167</v>
      </c>
      <c r="C27" s="56" t="s">
        <v>168</v>
      </c>
      <c r="D27" s="53" t="s">
        <v>169</v>
      </c>
      <c r="E27" s="6" t="s">
        <v>170</v>
      </c>
      <c r="F27" s="19">
        <v>13105324</v>
      </c>
      <c r="G27" s="24">
        <v>22967.08</v>
      </c>
      <c r="H27" s="24">
        <v>2.59</v>
      </c>
      <c r="I27" s="31"/>
      <c r="J27" s="35"/>
    </row>
    <row r="28" spans="2:10" x14ac:dyDescent="0.25">
      <c r="B28" s="8" t="s">
        <v>161</v>
      </c>
      <c r="C28" s="56" t="s">
        <v>162</v>
      </c>
      <c r="D28" s="53" t="s">
        <v>163</v>
      </c>
      <c r="E28" s="6" t="s">
        <v>94</v>
      </c>
      <c r="F28" s="19">
        <v>4842792</v>
      </c>
      <c r="G28" s="24">
        <v>20383.310000000001</v>
      </c>
      <c r="H28" s="24">
        <v>2.2999999999999998</v>
      </c>
      <c r="I28" s="31"/>
      <c r="J28" s="35"/>
    </row>
    <row r="29" spans="2:10" x14ac:dyDescent="0.25">
      <c r="B29" s="8" t="s">
        <v>232</v>
      </c>
      <c r="C29" s="56" t="s">
        <v>233</v>
      </c>
      <c r="D29" s="53" t="s">
        <v>234</v>
      </c>
      <c r="E29" s="6" t="s">
        <v>90</v>
      </c>
      <c r="F29" s="19">
        <v>5287488</v>
      </c>
      <c r="G29" s="24">
        <v>18574.95</v>
      </c>
      <c r="H29" s="24">
        <v>2.09</v>
      </c>
      <c r="I29" s="31"/>
      <c r="J29" s="35"/>
    </row>
    <row r="30" spans="2:10" x14ac:dyDescent="0.25">
      <c r="B30" s="8" t="s">
        <v>112</v>
      </c>
      <c r="C30" s="56" t="s">
        <v>113</v>
      </c>
      <c r="D30" s="53" t="s">
        <v>114</v>
      </c>
      <c r="E30" s="6" t="s">
        <v>111</v>
      </c>
      <c r="F30" s="19">
        <v>598700</v>
      </c>
      <c r="G30" s="24">
        <v>18248.080000000002</v>
      </c>
      <c r="H30" s="24">
        <v>2.06</v>
      </c>
      <c r="I30" s="31"/>
      <c r="J30" s="35"/>
    </row>
    <row r="31" spans="2:10" x14ac:dyDescent="0.25">
      <c r="B31" s="8" t="s">
        <v>215</v>
      </c>
      <c r="C31" s="56" t="s">
        <v>216</v>
      </c>
      <c r="D31" s="53" t="s">
        <v>217</v>
      </c>
      <c r="E31" s="6" t="s">
        <v>218</v>
      </c>
      <c r="F31" s="19">
        <v>18270027</v>
      </c>
      <c r="G31" s="24">
        <v>17356.53</v>
      </c>
      <c r="H31" s="24">
        <v>1.96</v>
      </c>
      <c r="I31" s="31"/>
      <c r="J31" s="35"/>
    </row>
    <row r="32" spans="2:10" x14ac:dyDescent="0.25">
      <c r="B32" s="8" t="s">
        <v>174</v>
      </c>
      <c r="C32" s="56" t="s">
        <v>175</v>
      </c>
      <c r="D32" s="53" t="s">
        <v>176</v>
      </c>
      <c r="E32" s="6" t="s">
        <v>157</v>
      </c>
      <c r="F32" s="19">
        <v>3720000</v>
      </c>
      <c r="G32" s="24">
        <v>16648.86</v>
      </c>
      <c r="H32" s="24">
        <v>1.88</v>
      </c>
      <c r="I32" s="31"/>
      <c r="J32" s="35"/>
    </row>
    <row r="33" spans="2:10" x14ac:dyDescent="0.25">
      <c r="B33" s="8" t="s">
        <v>1543</v>
      </c>
      <c r="C33" s="56" t="s">
        <v>1544</v>
      </c>
      <c r="D33" s="53" t="s">
        <v>1545</v>
      </c>
      <c r="E33" s="6" t="s">
        <v>195</v>
      </c>
      <c r="F33" s="19">
        <v>2010266</v>
      </c>
      <c r="G33" s="24">
        <v>16508.3</v>
      </c>
      <c r="H33" s="24">
        <v>1.86</v>
      </c>
      <c r="I33" s="31"/>
      <c r="J33" s="35"/>
    </row>
    <row r="34" spans="2:10" x14ac:dyDescent="0.25">
      <c r="B34" s="8" t="s">
        <v>823</v>
      </c>
      <c r="C34" s="56" t="s">
        <v>824</v>
      </c>
      <c r="D34" s="53" t="s">
        <v>825</v>
      </c>
      <c r="E34" s="6" t="s">
        <v>826</v>
      </c>
      <c r="F34" s="19">
        <v>14792015</v>
      </c>
      <c r="G34" s="24">
        <v>12839.47</v>
      </c>
      <c r="H34" s="24">
        <v>1.45</v>
      </c>
      <c r="I34" s="31"/>
      <c r="J34" s="35"/>
    </row>
    <row r="35" spans="2:10" x14ac:dyDescent="0.25">
      <c r="B35" s="8" t="s">
        <v>69</v>
      </c>
      <c r="C35" s="56" t="s">
        <v>70</v>
      </c>
      <c r="D35" s="53" t="s">
        <v>71</v>
      </c>
      <c r="E35" s="6" t="s">
        <v>72</v>
      </c>
      <c r="F35" s="19">
        <v>55907</v>
      </c>
      <c r="G35" s="24">
        <v>11928.29</v>
      </c>
      <c r="H35" s="24">
        <v>1.34</v>
      </c>
      <c r="I35" s="31"/>
      <c r="J35" s="35"/>
    </row>
    <row r="36" spans="2:10" x14ac:dyDescent="0.25">
      <c r="B36" s="8" t="s">
        <v>105</v>
      </c>
      <c r="C36" s="56" t="s">
        <v>106</v>
      </c>
      <c r="D36" s="53" t="s">
        <v>107</v>
      </c>
      <c r="E36" s="6" t="s">
        <v>98</v>
      </c>
      <c r="F36" s="19">
        <v>2476000</v>
      </c>
      <c r="G36" s="24">
        <v>11595.11</v>
      </c>
      <c r="H36" s="24">
        <v>1.31</v>
      </c>
      <c r="I36" s="31"/>
      <c r="J36" s="35"/>
    </row>
    <row r="37" spans="2:10" x14ac:dyDescent="0.25">
      <c r="B37" s="8" t="s">
        <v>769</v>
      </c>
      <c r="C37" s="56" t="s">
        <v>770</v>
      </c>
      <c r="D37" s="53" t="s">
        <v>771</v>
      </c>
      <c r="E37" s="6" t="s">
        <v>111</v>
      </c>
      <c r="F37" s="19">
        <v>1431900</v>
      </c>
      <c r="G37" s="24">
        <v>11405.08</v>
      </c>
      <c r="H37" s="24">
        <v>1.29</v>
      </c>
      <c r="I37" s="31"/>
      <c r="J37" s="35"/>
    </row>
    <row r="38" spans="2:10" x14ac:dyDescent="0.25">
      <c r="B38" s="8" t="s">
        <v>87</v>
      </c>
      <c r="C38" s="56" t="s">
        <v>88</v>
      </c>
      <c r="D38" s="53" t="s">
        <v>89</v>
      </c>
      <c r="E38" s="6" t="s">
        <v>90</v>
      </c>
      <c r="F38" s="19">
        <v>785776</v>
      </c>
      <c r="G38" s="24">
        <v>11264.1</v>
      </c>
      <c r="H38" s="24">
        <v>1.27</v>
      </c>
      <c r="I38" s="31"/>
      <c r="J38" s="35"/>
    </row>
    <row r="39" spans="2:10" x14ac:dyDescent="0.25">
      <c r="B39" s="8" t="s">
        <v>726</v>
      </c>
      <c r="C39" s="56" t="s">
        <v>727</v>
      </c>
      <c r="D39" s="53" t="s">
        <v>728</v>
      </c>
      <c r="E39" s="6" t="s">
        <v>722</v>
      </c>
      <c r="F39" s="19">
        <v>903150</v>
      </c>
      <c r="G39" s="24">
        <v>10957.02</v>
      </c>
      <c r="H39" s="24">
        <v>1.24</v>
      </c>
      <c r="I39" s="31"/>
      <c r="J39" s="35"/>
    </row>
    <row r="40" spans="2:10" x14ac:dyDescent="0.25">
      <c r="B40" s="8" t="s">
        <v>154</v>
      </c>
      <c r="C40" s="56" t="s">
        <v>155</v>
      </c>
      <c r="D40" s="53" t="s">
        <v>156</v>
      </c>
      <c r="E40" s="6" t="s">
        <v>157</v>
      </c>
      <c r="F40" s="19">
        <v>2422000</v>
      </c>
      <c r="G40" s="24">
        <v>10782.74</v>
      </c>
      <c r="H40" s="24">
        <v>1.22</v>
      </c>
      <c r="I40" s="31"/>
      <c r="J40" s="35"/>
    </row>
    <row r="41" spans="2:10" x14ac:dyDescent="0.25">
      <c r="B41" s="8" t="s">
        <v>1565</v>
      </c>
      <c r="C41" s="56" t="s">
        <v>1566</v>
      </c>
      <c r="D41" s="53" t="s">
        <v>1567</v>
      </c>
      <c r="E41" s="6" t="s">
        <v>41</v>
      </c>
      <c r="F41" s="19">
        <v>12392095</v>
      </c>
      <c r="G41" s="24">
        <v>10403.16</v>
      </c>
      <c r="H41" s="24">
        <v>1.17</v>
      </c>
      <c r="I41" s="31"/>
      <c r="J41" s="35"/>
    </row>
    <row r="42" spans="2:10" x14ac:dyDescent="0.25">
      <c r="B42" s="8" t="s">
        <v>1537</v>
      </c>
      <c r="C42" s="56" t="s">
        <v>1538</v>
      </c>
      <c r="D42" s="53" t="s">
        <v>1539</v>
      </c>
      <c r="E42" s="6" t="s">
        <v>195</v>
      </c>
      <c r="F42" s="19">
        <v>8554216</v>
      </c>
      <c r="G42" s="24">
        <v>9815.9599999999991</v>
      </c>
      <c r="H42" s="24">
        <v>1.1100000000000001</v>
      </c>
      <c r="I42" s="31"/>
      <c r="J42" s="35"/>
    </row>
    <row r="43" spans="2:10" x14ac:dyDescent="0.25">
      <c r="B43" s="8" t="s">
        <v>363</v>
      </c>
      <c r="C43" s="56" t="s">
        <v>364</v>
      </c>
      <c r="D43" s="53" t="s">
        <v>365</v>
      </c>
      <c r="E43" s="6" t="s">
        <v>366</v>
      </c>
      <c r="F43" s="19">
        <v>2707235</v>
      </c>
      <c r="G43" s="24">
        <v>9691.9</v>
      </c>
      <c r="H43" s="24">
        <v>1.0900000000000001</v>
      </c>
      <c r="I43" s="31"/>
      <c r="J43" s="35"/>
    </row>
    <row r="44" spans="2:10" x14ac:dyDescent="0.25">
      <c r="B44" s="8" t="s">
        <v>379</v>
      </c>
      <c r="C44" s="56" t="s">
        <v>380</v>
      </c>
      <c r="D44" s="53" t="s">
        <v>381</v>
      </c>
      <c r="E44" s="6" t="s">
        <v>55</v>
      </c>
      <c r="F44" s="19">
        <v>12494347</v>
      </c>
      <c r="G44" s="24">
        <v>9233.32</v>
      </c>
      <c r="H44" s="24">
        <v>1.04</v>
      </c>
      <c r="I44" s="31"/>
      <c r="J44" s="35"/>
    </row>
    <row r="45" spans="2:10" x14ac:dyDescent="0.25">
      <c r="B45" s="8" t="s">
        <v>1530</v>
      </c>
      <c r="C45" s="56" t="s">
        <v>1531</v>
      </c>
      <c r="D45" s="53" t="s">
        <v>1532</v>
      </c>
      <c r="E45" s="6" t="s">
        <v>195</v>
      </c>
      <c r="F45" s="19">
        <v>1146000</v>
      </c>
      <c r="G45" s="24">
        <v>9137.06</v>
      </c>
      <c r="H45" s="24">
        <v>1.03</v>
      </c>
      <c r="I45" s="31"/>
      <c r="J45" s="35"/>
    </row>
    <row r="46" spans="2:10" x14ac:dyDescent="0.25">
      <c r="B46" s="8" t="s">
        <v>222</v>
      </c>
      <c r="C46" s="56" t="s">
        <v>223</v>
      </c>
      <c r="D46" s="53" t="s">
        <v>224</v>
      </c>
      <c r="E46" s="6" t="s">
        <v>83</v>
      </c>
      <c r="F46" s="19">
        <v>680018</v>
      </c>
      <c r="G46" s="24">
        <v>9021.7999999999993</v>
      </c>
      <c r="H46" s="24">
        <v>1.02</v>
      </c>
      <c r="I46" s="31"/>
      <c r="J46" s="35"/>
    </row>
    <row r="47" spans="2:10" x14ac:dyDescent="0.25">
      <c r="B47" s="8" t="s">
        <v>1568</v>
      </c>
      <c r="C47" s="56" t="s">
        <v>1569</v>
      </c>
      <c r="D47" s="53" t="s">
        <v>1570</v>
      </c>
      <c r="E47" s="6" t="s">
        <v>83</v>
      </c>
      <c r="F47" s="19">
        <v>142334</v>
      </c>
      <c r="G47" s="24">
        <v>8689.1299999999992</v>
      </c>
      <c r="H47" s="24">
        <v>0.98</v>
      </c>
      <c r="I47" s="31"/>
      <c r="J47" s="35"/>
    </row>
    <row r="48" spans="2:10" x14ac:dyDescent="0.25">
      <c r="B48" s="8" t="s">
        <v>339</v>
      </c>
      <c r="C48" s="56" t="s">
        <v>340</v>
      </c>
      <c r="D48" s="53" t="s">
        <v>341</v>
      </c>
      <c r="E48" s="6" t="s">
        <v>261</v>
      </c>
      <c r="F48" s="19">
        <v>2683000</v>
      </c>
      <c r="G48" s="24">
        <v>8407.18</v>
      </c>
      <c r="H48" s="24">
        <v>0.95</v>
      </c>
      <c r="I48" s="31"/>
      <c r="J48" s="35"/>
    </row>
    <row r="49" spans="2:10" x14ac:dyDescent="0.25">
      <c r="B49" s="8" t="s">
        <v>811</v>
      </c>
      <c r="C49" s="56" t="s">
        <v>812</v>
      </c>
      <c r="D49" s="53" t="s">
        <v>813</v>
      </c>
      <c r="E49" s="6" t="s">
        <v>157</v>
      </c>
      <c r="F49" s="19">
        <v>3120000</v>
      </c>
      <c r="G49" s="24">
        <v>8400.6</v>
      </c>
      <c r="H49" s="24">
        <v>0.95</v>
      </c>
      <c r="I49" s="31"/>
      <c r="J49" s="35"/>
    </row>
    <row r="50" spans="2:10" x14ac:dyDescent="0.25">
      <c r="B50" s="8" t="s">
        <v>282</v>
      </c>
      <c r="C50" s="56" t="s">
        <v>283</v>
      </c>
      <c r="D50" s="53" t="s">
        <v>284</v>
      </c>
      <c r="E50" s="6" t="s">
        <v>254</v>
      </c>
      <c r="F50" s="19">
        <v>912300</v>
      </c>
      <c r="G50" s="24">
        <v>7841.22</v>
      </c>
      <c r="H50" s="24">
        <v>0.88</v>
      </c>
      <c r="I50" s="31"/>
      <c r="J50" s="35"/>
    </row>
    <row r="51" spans="2:10" x14ac:dyDescent="0.25">
      <c r="B51" s="8" t="s">
        <v>316</v>
      </c>
      <c r="C51" s="56" t="s">
        <v>317</v>
      </c>
      <c r="D51" s="53" t="s">
        <v>318</v>
      </c>
      <c r="E51" s="6" t="s">
        <v>94</v>
      </c>
      <c r="F51" s="19">
        <v>373984</v>
      </c>
      <c r="G51" s="24">
        <v>4600</v>
      </c>
      <c r="H51" s="24">
        <v>0.52</v>
      </c>
      <c r="I51" s="31"/>
      <c r="J51" s="35" t="s">
        <v>3431</v>
      </c>
    </row>
    <row r="52" spans="2:10" x14ac:dyDescent="0.25">
      <c r="B52" s="8" t="s">
        <v>1512</v>
      </c>
      <c r="C52" s="56" t="s">
        <v>1513</v>
      </c>
      <c r="D52" s="53" t="s">
        <v>1514</v>
      </c>
      <c r="E52" s="6" t="s">
        <v>51</v>
      </c>
      <c r="F52" s="19">
        <v>3250000</v>
      </c>
      <c r="G52" s="24">
        <v>4541.88</v>
      </c>
      <c r="H52" s="24">
        <v>0.51</v>
      </c>
      <c r="I52" s="31"/>
      <c r="J52" s="35"/>
    </row>
    <row r="53" spans="2:10" x14ac:dyDescent="0.25">
      <c r="B53" s="8" t="s">
        <v>180</v>
      </c>
      <c r="C53" s="56" t="s">
        <v>53</v>
      </c>
      <c r="D53" s="53" t="s">
        <v>181</v>
      </c>
      <c r="E53" s="6" t="s">
        <v>55</v>
      </c>
      <c r="F53" s="19">
        <v>59526</v>
      </c>
      <c r="G53" s="24">
        <v>799.73</v>
      </c>
      <c r="H53" s="24">
        <v>0.09</v>
      </c>
      <c r="I53" s="31"/>
      <c r="J53" s="35" t="s">
        <v>182</v>
      </c>
    </row>
    <row r="54" spans="2:10" x14ac:dyDescent="0.25">
      <c r="B54" s="8" t="s">
        <v>1368</v>
      </c>
      <c r="C54" s="56" t="s">
        <v>1369</v>
      </c>
      <c r="D54" s="53" t="s">
        <v>1370</v>
      </c>
      <c r="E54" s="6" t="s">
        <v>196</v>
      </c>
      <c r="F54" s="19">
        <v>46720</v>
      </c>
      <c r="G54" s="24">
        <v>538.35</v>
      </c>
      <c r="H54" s="24">
        <v>0.06</v>
      </c>
      <c r="I54" s="31"/>
      <c r="J54" s="35"/>
    </row>
    <row r="55" spans="2:10" x14ac:dyDescent="0.25">
      <c r="B55" s="8" t="s">
        <v>164</v>
      </c>
      <c r="C55" s="56" t="s">
        <v>165</v>
      </c>
      <c r="D55" s="53" t="s">
        <v>166</v>
      </c>
      <c r="E55" s="6" t="s">
        <v>51</v>
      </c>
      <c r="F55" s="19">
        <v>600</v>
      </c>
      <c r="G55" s="24">
        <v>1.1100000000000001</v>
      </c>
      <c r="H55" s="24" t="s">
        <v>3399</v>
      </c>
      <c r="I55" s="31"/>
      <c r="J55" s="35"/>
    </row>
    <row r="56" spans="2:10" x14ac:dyDescent="0.25">
      <c r="C56" s="57" t="s">
        <v>35</v>
      </c>
      <c r="D56" s="53"/>
      <c r="E56" s="6"/>
      <c r="F56" s="19"/>
      <c r="G56" s="25">
        <f>SUM(XDO_?FINAL_MV?174?)</f>
        <v>879987.37999999977</v>
      </c>
      <c r="H56" s="25">
        <f>SUM(XDO_?FINAL_PER_NET?174?)</f>
        <v>99.250000000000014</v>
      </c>
      <c r="I56" s="31"/>
      <c r="J56" s="35"/>
    </row>
    <row r="57" spans="2:10" x14ac:dyDescent="0.25">
      <c r="C57" s="56"/>
      <c r="D57" s="53"/>
      <c r="E57" s="6"/>
      <c r="F57" s="19"/>
      <c r="G57" s="24"/>
      <c r="H57" s="24"/>
      <c r="I57" s="31"/>
      <c r="J57" s="35"/>
    </row>
    <row r="58" spans="2:10" x14ac:dyDescent="0.25">
      <c r="C58" s="59" t="s">
        <v>3</v>
      </c>
      <c r="D58" s="53"/>
      <c r="E58" s="6"/>
      <c r="F58" s="19"/>
      <c r="G58" s="24" t="s">
        <v>2</v>
      </c>
      <c r="H58" s="24" t="s">
        <v>2</v>
      </c>
      <c r="I58" s="31"/>
      <c r="J58" s="35"/>
    </row>
    <row r="59" spans="2:10" x14ac:dyDescent="0.25">
      <c r="C59" s="56"/>
      <c r="D59" s="53"/>
      <c r="E59" s="6"/>
      <c r="F59" s="19"/>
      <c r="G59" s="24"/>
      <c r="H59" s="24"/>
      <c r="I59" s="31"/>
      <c r="J59" s="35"/>
    </row>
    <row r="60" spans="2:10" x14ac:dyDescent="0.25">
      <c r="C60" s="57" t="s">
        <v>4</v>
      </c>
      <c r="D60" s="53"/>
      <c r="E60" s="6"/>
      <c r="F60" s="19"/>
      <c r="G60" s="24" t="s">
        <v>2</v>
      </c>
      <c r="H60" s="24" t="s">
        <v>2</v>
      </c>
      <c r="I60" s="31"/>
      <c r="J60" s="35"/>
    </row>
    <row r="61" spans="2:10" x14ac:dyDescent="0.25">
      <c r="C61" s="56"/>
      <c r="D61" s="53"/>
      <c r="E61" s="6"/>
      <c r="F61" s="19"/>
      <c r="G61" s="24"/>
      <c r="H61" s="24"/>
      <c r="I61" s="31"/>
      <c r="J61" s="35"/>
    </row>
    <row r="62" spans="2:10" x14ac:dyDescent="0.25">
      <c r="C62" s="57" t="s">
        <v>5</v>
      </c>
      <c r="D62" s="53"/>
      <c r="E62" s="6"/>
      <c r="F62" s="19"/>
      <c r="G62" s="24"/>
      <c r="H62" s="24"/>
      <c r="I62" s="31"/>
      <c r="J62" s="35"/>
    </row>
    <row r="63" spans="2:10" x14ac:dyDescent="0.25">
      <c r="C63" s="56"/>
      <c r="D63" s="53"/>
      <c r="E63" s="6"/>
      <c r="F63" s="19"/>
      <c r="G63" s="24"/>
      <c r="H63" s="24"/>
      <c r="I63" s="31"/>
      <c r="J63" s="35"/>
    </row>
    <row r="64" spans="2:10" x14ac:dyDescent="0.25">
      <c r="C64" s="57" t="s">
        <v>6</v>
      </c>
      <c r="D64" s="53"/>
      <c r="E64" s="6"/>
      <c r="F64" s="19"/>
      <c r="G64" s="24" t="s">
        <v>2</v>
      </c>
      <c r="H64" s="24" t="s">
        <v>2</v>
      </c>
      <c r="I64" s="31"/>
      <c r="J64" s="35"/>
    </row>
    <row r="65" spans="3:10" x14ac:dyDescent="0.25">
      <c r="C65" s="56"/>
      <c r="D65" s="53"/>
      <c r="E65" s="6"/>
      <c r="F65" s="19"/>
      <c r="G65" s="24"/>
      <c r="H65" s="24"/>
      <c r="I65" s="31"/>
      <c r="J65" s="35"/>
    </row>
    <row r="66" spans="3:10" x14ac:dyDescent="0.25">
      <c r="C66" s="57" t="s">
        <v>7</v>
      </c>
      <c r="D66" s="53"/>
      <c r="E66" s="6"/>
      <c r="F66" s="19"/>
      <c r="G66" s="24" t="s">
        <v>2</v>
      </c>
      <c r="H66" s="24" t="s">
        <v>2</v>
      </c>
      <c r="I66" s="31"/>
      <c r="J66" s="35"/>
    </row>
    <row r="67" spans="3:10" x14ac:dyDescent="0.25">
      <c r="C67" s="56"/>
      <c r="D67" s="53"/>
      <c r="E67" s="6"/>
      <c r="F67" s="19"/>
      <c r="G67" s="24"/>
      <c r="H67" s="24"/>
      <c r="I67" s="31"/>
      <c r="J67" s="35"/>
    </row>
    <row r="68" spans="3:10" x14ac:dyDescent="0.25">
      <c r="C68" s="57" t="s">
        <v>8</v>
      </c>
      <c r="D68" s="53"/>
      <c r="E68" s="6"/>
      <c r="F68" s="19"/>
      <c r="G68" s="24" t="s">
        <v>2</v>
      </c>
      <c r="H68" s="24" t="s">
        <v>2</v>
      </c>
      <c r="I68" s="31"/>
      <c r="J68" s="35"/>
    </row>
    <row r="69" spans="3:10" x14ac:dyDescent="0.25">
      <c r="C69" s="56"/>
      <c r="D69" s="53"/>
      <c r="E69" s="6"/>
      <c r="F69" s="19"/>
      <c r="G69" s="24"/>
      <c r="H69" s="24"/>
      <c r="I69" s="31"/>
      <c r="J69" s="35"/>
    </row>
    <row r="70" spans="3:10" x14ac:dyDescent="0.25">
      <c r="C70" s="57" t="s">
        <v>9</v>
      </c>
      <c r="D70" s="53"/>
      <c r="E70" s="6"/>
      <c r="F70" s="19"/>
      <c r="G70" s="24" t="s">
        <v>2</v>
      </c>
      <c r="H70" s="24" t="s">
        <v>2</v>
      </c>
      <c r="I70" s="31"/>
      <c r="J70" s="35"/>
    </row>
    <row r="71" spans="3:10" x14ac:dyDescent="0.25">
      <c r="C71" s="56"/>
      <c r="D71" s="53"/>
      <c r="E71" s="6"/>
      <c r="F71" s="19"/>
      <c r="G71" s="24"/>
      <c r="H71" s="24"/>
      <c r="I71" s="31"/>
      <c r="J71" s="35"/>
    </row>
    <row r="72" spans="3:10" x14ac:dyDescent="0.25">
      <c r="C72" s="57" t="s">
        <v>10</v>
      </c>
      <c r="D72" s="53"/>
      <c r="E72" s="6"/>
      <c r="F72" s="19"/>
      <c r="G72" s="24" t="s">
        <v>2</v>
      </c>
      <c r="H72" s="24" t="s">
        <v>2</v>
      </c>
      <c r="I72" s="31"/>
      <c r="J72" s="35"/>
    </row>
    <row r="73" spans="3:10" x14ac:dyDescent="0.25">
      <c r="C73" s="56"/>
      <c r="D73" s="53"/>
      <c r="E73" s="6"/>
      <c r="F73" s="19"/>
      <c r="G73" s="24"/>
      <c r="H73" s="24"/>
      <c r="I73" s="31"/>
      <c r="J73" s="35"/>
    </row>
    <row r="74" spans="3:10" x14ac:dyDescent="0.25">
      <c r="C74" s="57" t="s">
        <v>11</v>
      </c>
      <c r="D74" s="53"/>
      <c r="E74" s="6"/>
      <c r="F74" s="19"/>
      <c r="G74" s="24"/>
      <c r="H74" s="24"/>
      <c r="I74" s="31"/>
      <c r="J74" s="35"/>
    </row>
    <row r="75" spans="3:10" x14ac:dyDescent="0.25">
      <c r="C75" s="56"/>
      <c r="D75" s="53"/>
      <c r="E75" s="6"/>
      <c r="F75" s="19"/>
      <c r="G75" s="24"/>
      <c r="H75" s="24"/>
      <c r="I75" s="31"/>
      <c r="J75" s="35"/>
    </row>
    <row r="76" spans="3:10" x14ac:dyDescent="0.25">
      <c r="C76" s="57" t="s">
        <v>13</v>
      </c>
      <c r="D76" s="53"/>
      <c r="E76" s="6"/>
      <c r="F76" s="19"/>
      <c r="G76" s="24" t="s">
        <v>2</v>
      </c>
      <c r="H76" s="24" t="s">
        <v>2</v>
      </c>
      <c r="I76" s="31"/>
      <c r="J76" s="35"/>
    </row>
    <row r="77" spans="3:10" x14ac:dyDescent="0.25">
      <c r="C77" s="56"/>
      <c r="D77" s="53"/>
      <c r="E77" s="6"/>
      <c r="F77" s="19"/>
      <c r="G77" s="24"/>
      <c r="H77" s="24"/>
      <c r="I77" s="31"/>
      <c r="J77" s="35"/>
    </row>
    <row r="78" spans="3:10" x14ac:dyDescent="0.25">
      <c r="C78" s="57" t="s">
        <v>14</v>
      </c>
      <c r="D78" s="53"/>
      <c r="E78" s="6"/>
      <c r="F78" s="19"/>
      <c r="G78" s="24" t="s">
        <v>2</v>
      </c>
      <c r="H78" s="24" t="s">
        <v>2</v>
      </c>
      <c r="I78" s="31"/>
      <c r="J78" s="35"/>
    </row>
    <row r="79" spans="3:10" x14ac:dyDescent="0.25">
      <c r="C79" s="56"/>
      <c r="D79" s="53"/>
      <c r="E79" s="6"/>
      <c r="F79" s="19"/>
      <c r="G79" s="24"/>
      <c r="H79" s="24"/>
      <c r="I79" s="31"/>
      <c r="J79" s="35"/>
    </row>
    <row r="80" spans="3:10" x14ac:dyDescent="0.25">
      <c r="C80" s="57" t="s">
        <v>15</v>
      </c>
      <c r="D80" s="53"/>
      <c r="E80" s="6"/>
      <c r="F80" s="19"/>
      <c r="G80" s="24" t="s">
        <v>2</v>
      </c>
      <c r="H80" s="24" t="s">
        <v>2</v>
      </c>
      <c r="I80" s="31"/>
      <c r="J80" s="35"/>
    </row>
    <row r="81" spans="1:10" x14ac:dyDescent="0.25">
      <c r="C81" s="56"/>
      <c r="D81" s="53"/>
      <c r="E81" s="6"/>
      <c r="F81" s="19"/>
      <c r="G81" s="24"/>
      <c r="H81" s="24"/>
      <c r="I81" s="31"/>
      <c r="J81" s="35"/>
    </row>
    <row r="82" spans="1:10" x14ac:dyDescent="0.25">
      <c r="C82" s="57" t="s">
        <v>16</v>
      </c>
      <c r="D82" s="53"/>
      <c r="E82" s="6"/>
      <c r="F82" s="19"/>
      <c r="G82" s="24" t="s">
        <v>2</v>
      </c>
      <c r="H82" s="24" t="s">
        <v>2</v>
      </c>
      <c r="I82" s="31"/>
      <c r="J82" s="35"/>
    </row>
    <row r="83" spans="1:10" x14ac:dyDescent="0.25">
      <c r="C83" s="56"/>
      <c r="D83" s="53"/>
      <c r="E83" s="6"/>
      <c r="F83" s="19"/>
      <c r="G83" s="24"/>
      <c r="H83" s="24"/>
      <c r="I83" s="31"/>
      <c r="J83" s="35"/>
    </row>
    <row r="84" spans="1:10" x14ac:dyDescent="0.25">
      <c r="A84" s="10"/>
      <c r="B84" s="28"/>
      <c r="C84" s="58" t="s">
        <v>17</v>
      </c>
      <c r="D84" s="53"/>
      <c r="E84" s="6"/>
      <c r="F84" s="19"/>
      <c r="G84" s="24"/>
      <c r="H84" s="24"/>
      <c r="I84" s="31"/>
      <c r="J84" s="35"/>
    </row>
    <row r="85" spans="1:10" x14ac:dyDescent="0.25">
      <c r="A85" s="28"/>
      <c r="B85" s="28"/>
      <c r="C85" s="58" t="s">
        <v>18</v>
      </c>
      <c r="D85" s="53"/>
      <c r="E85" s="6"/>
      <c r="F85" s="19"/>
      <c r="G85" s="24" t="s">
        <v>2</v>
      </c>
      <c r="H85" s="24" t="s">
        <v>2</v>
      </c>
      <c r="I85" s="31"/>
      <c r="J85" s="35"/>
    </row>
    <row r="86" spans="1:10" x14ac:dyDescent="0.25">
      <c r="A86" s="28"/>
      <c r="B86" s="28"/>
      <c r="C86" s="58"/>
      <c r="D86" s="53"/>
      <c r="E86" s="6"/>
      <c r="F86" s="19"/>
      <c r="G86" s="24"/>
      <c r="H86" s="24"/>
      <c r="I86" s="31"/>
      <c r="J86" s="35"/>
    </row>
    <row r="87" spans="1:10" x14ac:dyDescent="0.25">
      <c r="A87" s="28"/>
      <c r="B87" s="28"/>
      <c r="C87" s="58" t="s">
        <v>19</v>
      </c>
      <c r="D87" s="53"/>
      <c r="E87" s="6"/>
      <c r="F87" s="19"/>
      <c r="G87" s="24" t="s">
        <v>2</v>
      </c>
      <c r="H87" s="24" t="s">
        <v>2</v>
      </c>
      <c r="I87" s="31"/>
      <c r="J87" s="35"/>
    </row>
    <row r="88" spans="1:10" x14ac:dyDescent="0.25">
      <c r="A88" s="28"/>
      <c r="B88" s="28"/>
      <c r="C88" s="58"/>
      <c r="D88" s="53"/>
      <c r="E88" s="6"/>
      <c r="F88" s="19"/>
      <c r="G88" s="24"/>
      <c r="H88" s="24"/>
      <c r="I88" s="31"/>
      <c r="J88" s="35"/>
    </row>
    <row r="89" spans="1:10" x14ac:dyDescent="0.25">
      <c r="A89" s="28"/>
      <c r="B89" s="28"/>
      <c r="C89" s="58" t="s">
        <v>20</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21</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C93" s="59" t="s">
        <v>22</v>
      </c>
      <c r="D93" s="53"/>
      <c r="E93" s="6"/>
      <c r="F93" s="19"/>
      <c r="G93" s="24"/>
      <c r="H93" s="24"/>
      <c r="I93" s="31"/>
      <c r="J93" s="35"/>
    </row>
    <row r="94" spans="1:10" x14ac:dyDescent="0.25">
      <c r="B94" s="8" t="s">
        <v>33</v>
      </c>
      <c r="C94" s="56" t="s">
        <v>34</v>
      </c>
      <c r="D94" s="53"/>
      <c r="E94" s="6"/>
      <c r="F94" s="19"/>
      <c r="G94" s="24">
        <v>14362.47</v>
      </c>
      <c r="H94" s="24">
        <v>1.62</v>
      </c>
      <c r="I94" s="31"/>
      <c r="J94" s="35"/>
    </row>
    <row r="95" spans="1:10" x14ac:dyDescent="0.25">
      <c r="C95" s="57" t="s">
        <v>35</v>
      </c>
      <c r="D95" s="53"/>
      <c r="E95" s="6"/>
      <c r="F95" s="19"/>
      <c r="G95" s="25">
        <v>14362.47</v>
      </c>
      <c r="H95" s="25">
        <v>1.62</v>
      </c>
      <c r="I95" s="31"/>
      <c r="J95" s="35"/>
    </row>
    <row r="96" spans="1:10" x14ac:dyDescent="0.25">
      <c r="C96" s="56"/>
      <c r="D96" s="53"/>
      <c r="E96" s="6"/>
      <c r="F96" s="19"/>
      <c r="G96" s="24"/>
      <c r="H96" s="24"/>
      <c r="I96" s="31"/>
      <c r="J96" s="35"/>
    </row>
    <row r="97" spans="1:10" x14ac:dyDescent="0.25">
      <c r="A97" s="10"/>
      <c r="B97" s="28"/>
      <c r="C97" s="58" t="s">
        <v>23</v>
      </c>
      <c r="D97" s="53"/>
      <c r="E97" s="6"/>
      <c r="F97" s="19"/>
      <c r="G97" s="24"/>
      <c r="H97" s="24"/>
      <c r="I97" s="31"/>
      <c r="J97" s="35"/>
    </row>
    <row r="98" spans="1:10" x14ac:dyDescent="0.25">
      <c r="A98" s="28"/>
      <c r="B98" s="28"/>
      <c r="C98" s="60" t="s">
        <v>3398</v>
      </c>
      <c r="D98" s="53"/>
      <c r="E98" s="6"/>
      <c r="F98" s="19"/>
      <c r="G98" s="24">
        <v>4000</v>
      </c>
      <c r="H98" s="24">
        <v>0.45</v>
      </c>
      <c r="I98" s="31"/>
      <c r="J98" s="35"/>
    </row>
    <row r="99" spans="1:10" x14ac:dyDescent="0.25">
      <c r="B99" s="8"/>
      <c r="C99" s="56" t="s">
        <v>36</v>
      </c>
      <c r="D99" s="53"/>
      <c r="E99" s="6"/>
      <c r="F99" s="19"/>
      <c r="G99" s="24">
        <v>-11301.279999999999</v>
      </c>
      <c r="H99" s="24">
        <v>-1.32</v>
      </c>
      <c r="I99" s="31"/>
      <c r="J99" s="35"/>
    </row>
    <row r="100" spans="1:10" x14ac:dyDescent="0.25">
      <c r="C100" s="57" t="s">
        <v>35</v>
      </c>
      <c r="D100" s="53"/>
      <c r="E100" s="6"/>
      <c r="F100" s="19"/>
      <c r="G100" s="25">
        <v>-7301.28</v>
      </c>
      <c r="H100" s="25">
        <v>-0.87</v>
      </c>
      <c r="I100" s="31"/>
      <c r="J100" s="35"/>
    </row>
    <row r="101" spans="1:10" x14ac:dyDescent="0.25">
      <c r="C101" s="56"/>
      <c r="D101" s="53"/>
      <c r="E101" s="6"/>
      <c r="F101" s="19"/>
      <c r="G101" s="24"/>
      <c r="H101" s="24"/>
      <c r="I101" s="31"/>
      <c r="J101" s="35"/>
    </row>
    <row r="102" spans="1:10" x14ac:dyDescent="0.25">
      <c r="C102" s="61" t="s">
        <v>37</v>
      </c>
      <c r="D102" s="54"/>
      <c r="E102" s="5"/>
      <c r="F102" s="20"/>
      <c r="G102" s="26">
        <v>887048.57</v>
      </c>
      <c r="H102" s="26">
        <f>SUMIFS(H:H,C:C,"Total")</f>
        <v>100.00000000000001</v>
      </c>
      <c r="I102" s="32"/>
      <c r="J102" s="36"/>
    </row>
    <row r="105" spans="1:10" x14ac:dyDescent="0.25">
      <c r="C105" s="1" t="s">
        <v>38</v>
      </c>
    </row>
    <row r="106" spans="1:10" x14ac:dyDescent="0.25">
      <c r="C106" s="2" t="s">
        <v>39</v>
      </c>
    </row>
    <row r="107" spans="1:10" x14ac:dyDescent="0.25">
      <c r="C107" s="2" t="s">
        <v>40</v>
      </c>
    </row>
    <row r="108" spans="1:10" x14ac:dyDescent="0.25">
      <c r="C108" s="2" t="s">
        <v>3430</v>
      </c>
    </row>
    <row r="109" spans="1:10" x14ac:dyDescent="0.25">
      <c r="C109" s="2" t="s">
        <v>3434</v>
      </c>
    </row>
  </sheetData>
  <hyperlinks>
    <hyperlink ref="J2" location="'Index'!A1" display="'Index'!A1"/>
  </hyperlinks>
  <pageMargins left="0.7" right="0.7" top="0.75" bottom="0.75" header="0.3" footer="0.3"/>
  <pageSetup orientation="portrait" horizontalDpi="4294967293"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6"/>
  <dimension ref="A1:J122"/>
  <sheetViews>
    <sheetView showGridLines="0" zoomScale="90" zoomScaleNormal="90" workbookViewId="0">
      <pane ySplit="6" topLeftCell="A112" activePane="bottomLeft" state="frozen"/>
      <selection pane="bottomLeft" activeCell="C134" sqref="C134"/>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1571</v>
      </c>
      <c r="J2" s="37" t="s">
        <v>3307</v>
      </c>
    </row>
    <row r="3" spans="1:10" ht="16.5" x14ac:dyDescent="0.3">
      <c r="C3" s="1" t="s">
        <v>24</v>
      </c>
      <c r="D3" s="21" t="s">
        <v>1572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143</v>
      </c>
      <c r="C10" s="56" t="s">
        <v>144</v>
      </c>
      <c r="D10" s="53" t="s">
        <v>145</v>
      </c>
      <c r="E10" s="6" t="s">
        <v>146</v>
      </c>
      <c r="F10" s="19">
        <v>21936</v>
      </c>
      <c r="G10" s="24">
        <v>483.28</v>
      </c>
      <c r="H10" s="24">
        <v>1.84</v>
      </c>
      <c r="I10" s="31"/>
      <c r="J10" s="35"/>
    </row>
    <row r="11" spans="1:10" x14ac:dyDescent="0.25">
      <c r="B11" s="8" t="s">
        <v>1573</v>
      </c>
      <c r="C11" s="56" t="s">
        <v>1574</v>
      </c>
      <c r="D11" s="53" t="s">
        <v>1575</v>
      </c>
      <c r="E11" s="6" t="s">
        <v>90</v>
      </c>
      <c r="F11" s="19">
        <v>89010</v>
      </c>
      <c r="G11" s="24">
        <v>445.01</v>
      </c>
      <c r="H11" s="24">
        <v>1.7</v>
      </c>
      <c r="I11" s="31"/>
      <c r="J11" s="35"/>
    </row>
    <row r="12" spans="1:10" x14ac:dyDescent="0.25">
      <c r="B12" s="8" t="s">
        <v>1576</v>
      </c>
      <c r="C12" s="56" t="s">
        <v>1577</v>
      </c>
      <c r="D12" s="53" t="s">
        <v>1578</v>
      </c>
      <c r="E12" s="6" t="s">
        <v>90</v>
      </c>
      <c r="F12" s="19">
        <v>83257</v>
      </c>
      <c r="G12" s="24">
        <v>425.07</v>
      </c>
      <c r="H12" s="24">
        <v>1.62</v>
      </c>
      <c r="I12" s="31"/>
      <c r="J12" s="35"/>
    </row>
    <row r="13" spans="1:10" x14ac:dyDescent="0.25">
      <c r="B13" s="8" t="s">
        <v>1579</v>
      </c>
      <c r="C13" s="56" t="s">
        <v>1580</v>
      </c>
      <c r="D13" s="53" t="s">
        <v>1581</v>
      </c>
      <c r="E13" s="6" t="s">
        <v>90</v>
      </c>
      <c r="F13" s="19">
        <v>55692</v>
      </c>
      <c r="G13" s="24">
        <v>403.74</v>
      </c>
      <c r="H13" s="24">
        <v>1.54</v>
      </c>
      <c r="I13" s="31"/>
      <c r="J13" s="35"/>
    </row>
    <row r="14" spans="1:10" x14ac:dyDescent="0.25">
      <c r="B14" s="8" t="s">
        <v>115</v>
      </c>
      <c r="C14" s="56" t="s">
        <v>116</v>
      </c>
      <c r="D14" s="53" t="s">
        <v>117</v>
      </c>
      <c r="E14" s="6" t="s">
        <v>94</v>
      </c>
      <c r="F14" s="19">
        <v>29518</v>
      </c>
      <c r="G14" s="24">
        <v>383.59</v>
      </c>
      <c r="H14" s="24">
        <v>1.46</v>
      </c>
      <c r="I14" s="31"/>
      <c r="J14" s="35"/>
    </row>
    <row r="15" spans="1:10" x14ac:dyDescent="0.25">
      <c r="B15" s="8" t="s">
        <v>130</v>
      </c>
      <c r="C15" s="56" t="s">
        <v>131</v>
      </c>
      <c r="D15" s="53" t="s">
        <v>132</v>
      </c>
      <c r="E15" s="6" t="s">
        <v>47</v>
      </c>
      <c r="F15" s="19">
        <v>10307</v>
      </c>
      <c r="G15" s="24">
        <v>374.63</v>
      </c>
      <c r="H15" s="24">
        <v>1.43</v>
      </c>
      <c r="I15" s="31"/>
      <c r="J15" s="35"/>
    </row>
    <row r="16" spans="1:10" x14ac:dyDescent="0.25">
      <c r="B16" s="8" t="s">
        <v>158</v>
      </c>
      <c r="C16" s="56" t="s">
        <v>159</v>
      </c>
      <c r="D16" s="53" t="s">
        <v>160</v>
      </c>
      <c r="E16" s="6" t="s">
        <v>111</v>
      </c>
      <c r="F16" s="19">
        <v>35355</v>
      </c>
      <c r="G16" s="24">
        <v>356.17</v>
      </c>
      <c r="H16" s="24">
        <v>1.36</v>
      </c>
      <c r="I16" s="31"/>
      <c r="J16" s="35"/>
    </row>
    <row r="17" spans="2:10" x14ac:dyDescent="0.25">
      <c r="B17" s="8" t="s">
        <v>769</v>
      </c>
      <c r="C17" s="56" t="s">
        <v>770</v>
      </c>
      <c r="D17" s="53" t="s">
        <v>771</v>
      </c>
      <c r="E17" s="6" t="s">
        <v>111</v>
      </c>
      <c r="F17" s="19">
        <v>41410</v>
      </c>
      <c r="G17" s="24">
        <v>329.83</v>
      </c>
      <c r="H17" s="24">
        <v>1.26</v>
      </c>
      <c r="I17" s="31"/>
      <c r="J17" s="35"/>
    </row>
    <row r="18" spans="2:10" x14ac:dyDescent="0.25">
      <c r="B18" s="8" t="s">
        <v>1582</v>
      </c>
      <c r="C18" s="56" t="s">
        <v>1583</v>
      </c>
      <c r="D18" s="53" t="s">
        <v>1584</v>
      </c>
      <c r="E18" s="6" t="s">
        <v>195</v>
      </c>
      <c r="F18" s="19">
        <v>22444</v>
      </c>
      <c r="G18" s="24">
        <v>321.89999999999998</v>
      </c>
      <c r="H18" s="24">
        <v>1.23</v>
      </c>
      <c r="I18" s="31"/>
      <c r="J18" s="35"/>
    </row>
    <row r="19" spans="2:10" x14ac:dyDescent="0.25">
      <c r="B19" s="8" t="s">
        <v>439</v>
      </c>
      <c r="C19" s="56" t="s">
        <v>440</v>
      </c>
      <c r="D19" s="53" t="s">
        <v>441</v>
      </c>
      <c r="E19" s="6" t="s">
        <v>111</v>
      </c>
      <c r="F19" s="19">
        <v>65373</v>
      </c>
      <c r="G19" s="24">
        <v>292.67</v>
      </c>
      <c r="H19" s="24">
        <v>1.1200000000000001</v>
      </c>
      <c r="I19" s="31"/>
      <c r="J19" s="35"/>
    </row>
    <row r="20" spans="2:10" x14ac:dyDescent="0.25">
      <c r="B20" s="8" t="s">
        <v>87</v>
      </c>
      <c r="C20" s="56" t="s">
        <v>88</v>
      </c>
      <c r="D20" s="53" t="s">
        <v>89</v>
      </c>
      <c r="E20" s="6" t="s">
        <v>90</v>
      </c>
      <c r="F20" s="19">
        <v>19623</v>
      </c>
      <c r="G20" s="24">
        <v>281.3</v>
      </c>
      <c r="H20" s="24">
        <v>1.07</v>
      </c>
      <c r="I20" s="31"/>
      <c r="J20" s="35"/>
    </row>
    <row r="21" spans="2:10" x14ac:dyDescent="0.25">
      <c r="B21" s="8" t="s">
        <v>398</v>
      </c>
      <c r="C21" s="56" t="s">
        <v>399</v>
      </c>
      <c r="D21" s="53" t="s">
        <v>400</v>
      </c>
      <c r="E21" s="6" t="s">
        <v>90</v>
      </c>
      <c r="F21" s="19">
        <v>76035</v>
      </c>
      <c r="G21" s="24">
        <v>276.01</v>
      </c>
      <c r="H21" s="24">
        <v>1.05</v>
      </c>
      <c r="I21" s="31"/>
      <c r="J21" s="35"/>
    </row>
    <row r="22" spans="2:10" x14ac:dyDescent="0.25">
      <c r="B22" s="8" t="s">
        <v>1585</v>
      </c>
      <c r="C22" s="56" t="s">
        <v>1586</v>
      </c>
      <c r="D22" s="53" t="s">
        <v>1587</v>
      </c>
      <c r="E22" s="6" t="s">
        <v>83</v>
      </c>
      <c r="F22" s="19">
        <v>36868</v>
      </c>
      <c r="G22" s="24">
        <v>249.91</v>
      </c>
      <c r="H22" s="24">
        <v>0.95</v>
      </c>
      <c r="I22" s="31"/>
      <c r="J22" s="35"/>
    </row>
    <row r="23" spans="2:10" x14ac:dyDescent="0.25">
      <c r="B23" s="8" t="s">
        <v>1354</v>
      </c>
      <c r="C23" s="56" t="s">
        <v>1355</v>
      </c>
      <c r="D23" s="53" t="s">
        <v>1356</v>
      </c>
      <c r="E23" s="6" t="s">
        <v>826</v>
      </c>
      <c r="F23" s="19">
        <v>110426</v>
      </c>
      <c r="G23" s="24">
        <v>243.65</v>
      </c>
      <c r="H23" s="24">
        <v>0.93</v>
      </c>
      <c r="I23" s="31"/>
      <c r="J23" s="35"/>
    </row>
    <row r="24" spans="2:10" x14ac:dyDescent="0.25">
      <c r="B24" s="8" t="s">
        <v>324</v>
      </c>
      <c r="C24" s="56" t="s">
        <v>325</v>
      </c>
      <c r="D24" s="53" t="s">
        <v>326</v>
      </c>
      <c r="E24" s="6" t="s">
        <v>41</v>
      </c>
      <c r="F24" s="19">
        <v>108172</v>
      </c>
      <c r="G24" s="24">
        <v>234.73</v>
      </c>
      <c r="H24" s="24">
        <v>0.9</v>
      </c>
      <c r="I24" s="31"/>
      <c r="J24" s="35"/>
    </row>
    <row r="25" spans="2:10" x14ac:dyDescent="0.25">
      <c r="B25" s="8" t="s">
        <v>442</v>
      </c>
      <c r="C25" s="56" t="s">
        <v>443</v>
      </c>
      <c r="D25" s="53" t="s">
        <v>444</v>
      </c>
      <c r="E25" s="6" t="s">
        <v>90</v>
      </c>
      <c r="F25" s="19">
        <v>43865</v>
      </c>
      <c r="G25" s="24">
        <v>226.28</v>
      </c>
      <c r="H25" s="24">
        <v>0.86</v>
      </c>
      <c r="I25" s="31"/>
      <c r="J25" s="35"/>
    </row>
    <row r="26" spans="2:10" x14ac:dyDescent="0.25">
      <c r="B26" s="8" t="s">
        <v>161</v>
      </c>
      <c r="C26" s="56" t="s">
        <v>162</v>
      </c>
      <c r="D26" s="53" t="s">
        <v>163</v>
      </c>
      <c r="E26" s="6" t="s">
        <v>94</v>
      </c>
      <c r="F26" s="19">
        <v>52971</v>
      </c>
      <c r="G26" s="24">
        <v>222.95</v>
      </c>
      <c r="H26" s="24">
        <v>0.85</v>
      </c>
      <c r="I26" s="31"/>
      <c r="J26" s="35"/>
    </row>
    <row r="27" spans="2:10" x14ac:dyDescent="0.25">
      <c r="B27" s="8" t="s">
        <v>1588</v>
      </c>
      <c r="C27" s="56" t="s">
        <v>1589</v>
      </c>
      <c r="D27" s="53" t="s">
        <v>1590</v>
      </c>
      <c r="E27" s="6" t="s">
        <v>1591</v>
      </c>
      <c r="F27" s="19">
        <v>120263</v>
      </c>
      <c r="G27" s="24">
        <v>210.82</v>
      </c>
      <c r="H27" s="24">
        <v>0.8</v>
      </c>
      <c r="I27" s="31"/>
      <c r="J27" s="35"/>
    </row>
    <row r="28" spans="2:10" x14ac:dyDescent="0.25">
      <c r="B28" s="8" t="s">
        <v>1592</v>
      </c>
      <c r="C28" s="56" t="s">
        <v>1593</v>
      </c>
      <c r="D28" s="53" t="s">
        <v>1594</v>
      </c>
      <c r="E28" s="6" t="s">
        <v>90</v>
      </c>
      <c r="F28" s="19">
        <v>35749</v>
      </c>
      <c r="G28" s="24">
        <v>208.67</v>
      </c>
      <c r="H28" s="24">
        <v>0.8</v>
      </c>
      <c r="I28" s="31"/>
      <c r="J28" s="35"/>
    </row>
    <row r="29" spans="2:10" x14ac:dyDescent="0.25">
      <c r="B29" s="8" t="s">
        <v>1595</v>
      </c>
      <c r="C29" s="56" t="s">
        <v>1596</v>
      </c>
      <c r="D29" s="53" t="s">
        <v>1597</v>
      </c>
      <c r="E29" s="6" t="s">
        <v>94</v>
      </c>
      <c r="F29" s="19">
        <v>16603</v>
      </c>
      <c r="G29" s="24">
        <v>208.12</v>
      </c>
      <c r="H29" s="24">
        <v>0.79</v>
      </c>
      <c r="I29" s="31"/>
      <c r="J29" s="35"/>
    </row>
    <row r="30" spans="2:10" x14ac:dyDescent="0.25">
      <c r="B30" s="8" t="s">
        <v>1598</v>
      </c>
      <c r="C30" s="56" t="s">
        <v>1599</v>
      </c>
      <c r="D30" s="53" t="s">
        <v>1600</v>
      </c>
      <c r="E30" s="6" t="s">
        <v>196</v>
      </c>
      <c r="F30" s="19">
        <v>176684</v>
      </c>
      <c r="G30" s="24">
        <v>202.92</v>
      </c>
      <c r="H30" s="24">
        <v>0.77</v>
      </c>
      <c r="I30" s="31"/>
      <c r="J30" s="35"/>
    </row>
    <row r="31" spans="2:10" x14ac:dyDescent="0.25">
      <c r="B31" s="8" t="s">
        <v>177</v>
      </c>
      <c r="C31" s="56" t="s">
        <v>178</v>
      </c>
      <c r="D31" s="53" t="s">
        <v>179</v>
      </c>
      <c r="E31" s="6" t="s">
        <v>111</v>
      </c>
      <c r="F31" s="19">
        <v>7225</v>
      </c>
      <c r="G31" s="24">
        <v>202.3</v>
      </c>
      <c r="H31" s="24">
        <v>0.77</v>
      </c>
      <c r="I31" s="31"/>
      <c r="J31" s="35"/>
    </row>
    <row r="32" spans="2:10" x14ac:dyDescent="0.25">
      <c r="B32" s="8" t="s">
        <v>1601</v>
      </c>
      <c r="C32" s="56" t="s">
        <v>1602</v>
      </c>
      <c r="D32" s="53" t="s">
        <v>1603</v>
      </c>
      <c r="E32" s="6" t="s">
        <v>826</v>
      </c>
      <c r="F32" s="19">
        <v>51532</v>
      </c>
      <c r="G32" s="24">
        <v>199.33</v>
      </c>
      <c r="H32" s="24">
        <v>0.76</v>
      </c>
      <c r="I32" s="31"/>
      <c r="J32" s="35"/>
    </row>
    <row r="33" spans="2:10" x14ac:dyDescent="0.25">
      <c r="B33" s="8" t="s">
        <v>805</v>
      </c>
      <c r="C33" s="56" t="s">
        <v>806</v>
      </c>
      <c r="D33" s="53" t="s">
        <v>807</v>
      </c>
      <c r="E33" s="6" t="s">
        <v>55</v>
      </c>
      <c r="F33" s="19">
        <v>109936</v>
      </c>
      <c r="G33" s="24">
        <v>198.6</v>
      </c>
      <c r="H33" s="24">
        <v>0.76</v>
      </c>
      <c r="I33" s="31"/>
      <c r="J33" s="35"/>
    </row>
    <row r="34" spans="2:10" x14ac:dyDescent="0.25">
      <c r="B34" s="8" t="s">
        <v>1604</v>
      </c>
      <c r="C34" s="56" t="s">
        <v>1605</v>
      </c>
      <c r="D34" s="53" t="s">
        <v>1606</v>
      </c>
      <c r="E34" s="6" t="s">
        <v>94</v>
      </c>
      <c r="F34" s="19">
        <v>8139</v>
      </c>
      <c r="G34" s="24">
        <v>184.74</v>
      </c>
      <c r="H34" s="24">
        <v>0.7</v>
      </c>
      <c r="I34" s="31"/>
      <c r="J34" s="35"/>
    </row>
    <row r="35" spans="2:10" x14ac:dyDescent="0.25">
      <c r="B35" s="8" t="s">
        <v>229</v>
      </c>
      <c r="C35" s="56" t="s">
        <v>230</v>
      </c>
      <c r="D35" s="53" t="s">
        <v>231</v>
      </c>
      <c r="E35" s="6" t="s">
        <v>94</v>
      </c>
      <c r="F35" s="19">
        <v>15942</v>
      </c>
      <c r="G35" s="24">
        <v>180.48</v>
      </c>
      <c r="H35" s="24">
        <v>0.69</v>
      </c>
      <c r="I35" s="31"/>
      <c r="J35" s="35"/>
    </row>
    <row r="36" spans="2:10" x14ac:dyDescent="0.25">
      <c r="B36" s="8" t="s">
        <v>1607</v>
      </c>
      <c r="C36" s="56" t="s">
        <v>1608</v>
      </c>
      <c r="D36" s="53" t="s">
        <v>1609</v>
      </c>
      <c r="E36" s="6" t="s">
        <v>94</v>
      </c>
      <c r="F36" s="19">
        <v>7374</v>
      </c>
      <c r="G36" s="24">
        <v>178</v>
      </c>
      <c r="H36" s="24">
        <v>0.68</v>
      </c>
      <c r="I36" s="31"/>
      <c r="J36" s="35"/>
    </row>
    <row r="37" spans="2:10" x14ac:dyDescent="0.25">
      <c r="B37" s="8" t="s">
        <v>69</v>
      </c>
      <c r="C37" s="56" t="s">
        <v>70</v>
      </c>
      <c r="D37" s="53" t="s">
        <v>71</v>
      </c>
      <c r="E37" s="6" t="s">
        <v>72</v>
      </c>
      <c r="F37" s="19">
        <v>830</v>
      </c>
      <c r="G37" s="24">
        <v>177.09</v>
      </c>
      <c r="H37" s="24">
        <v>0.68</v>
      </c>
      <c r="I37" s="31"/>
      <c r="J37" s="35"/>
    </row>
    <row r="38" spans="2:10" x14ac:dyDescent="0.25">
      <c r="B38" s="8" t="s">
        <v>139</v>
      </c>
      <c r="C38" s="56" t="s">
        <v>140</v>
      </c>
      <c r="D38" s="53" t="s">
        <v>141</v>
      </c>
      <c r="E38" s="6" t="s">
        <v>142</v>
      </c>
      <c r="F38" s="19">
        <v>14164</v>
      </c>
      <c r="G38" s="24">
        <v>176.92</v>
      </c>
      <c r="H38" s="24">
        <v>0.67</v>
      </c>
      <c r="I38" s="31"/>
      <c r="J38" s="35"/>
    </row>
    <row r="39" spans="2:10" x14ac:dyDescent="0.25">
      <c r="B39" s="8" t="s">
        <v>370</v>
      </c>
      <c r="C39" s="56" t="s">
        <v>371</v>
      </c>
      <c r="D39" s="53" t="s">
        <v>372</v>
      </c>
      <c r="E39" s="6" t="s">
        <v>41</v>
      </c>
      <c r="F39" s="19">
        <v>12441</v>
      </c>
      <c r="G39" s="24">
        <v>173.36</v>
      </c>
      <c r="H39" s="24">
        <v>0.66</v>
      </c>
      <c r="I39" s="31"/>
      <c r="J39" s="35"/>
    </row>
    <row r="40" spans="2:10" x14ac:dyDescent="0.25">
      <c r="B40" s="8" t="s">
        <v>899</v>
      </c>
      <c r="C40" s="56" t="s">
        <v>900</v>
      </c>
      <c r="D40" s="53" t="s">
        <v>901</v>
      </c>
      <c r="E40" s="6" t="s">
        <v>196</v>
      </c>
      <c r="F40" s="19">
        <v>1259</v>
      </c>
      <c r="G40" s="24">
        <v>172.86</v>
      </c>
      <c r="H40" s="24">
        <v>0.66</v>
      </c>
      <c r="I40" s="31"/>
      <c r="J40" s="35"/>
    </row>
    <row r="41" spans="2:10" x14ac:dyDescent="0.25">
      <c r="B41" s="8" t="s">
        <v>342</v>
      </c>
      <c r="C41" s="56" t="s">
        <v>343</v>
      </c>
      <c r="D41" s="53" t="s">
        <v>344</v>
      </c>
      <c r="E41" s="6" t="s">
        <v>111</v>
      </c>
      <c r="F41" s="19">
        <v>6026</v>
      </c>
      <c r="G41" s="24">
        <v>167.4</v>
      </c>
      <c r="H41" s="24">
        <v>0.64</v>
      </c>
      <c r="I41" s="31"/>
      <c r="J41" s="35"/>
    </row>
    <row r="42" spans="2:10" x14ac:dyDescent="0.25">
      <c r="B42" s="8" t="s">
        <v>1610</v>
      </c>
      <c r="C42" s="56" t="s">
        <v>1611</v>
      </c>
      <c r="D42" s="53" t="s">
        <v>1612</v>
      </c>
      <c r="E42" s="6" t="s">
        <v>254</v>
      </c>
      <c r="F42" s="19">
        <v>13109</v>
      </c>
      <c r="G42" s="24">
        <v>165.76</v>
      </c>
      <c r="H42" s="24">
        <v>0.63</v>
      </c>
      <c r="I42" s="31"/>
      <c r="J42" s="35"/>
    </row>
    <row r="43" spans="2:10" x14ac:dyDescent="0.25">
      <c r="B43" s="8" t="s">
        <v>255</v>
      </c>
      <c r="C43" s="56" t="s">
        <v>256</v>
      </c>
      <c r="D43" s="53" t="s">
        <v>257</v>
      </c>
      <c r="E43" s="6" t="s">
        <v>51</v>
      </c>
      <c r="F43" s="19">
        <v>60404</v>
      </c>
      <c r="G43" s="24">
        <v>164.9</v>
      </c>
      <c r="H43" s="24">
        <v>0.63</v>
      </c>
      <c r="I43" s="31"/>
      <c r="J43" s="35"/>
    </row>
    <row r="44" spans="2:10" x14ac:dyDescent="0.25">
      <c r="B44" s="8" t="s">
        <v>749</v>
      </c>
      <c r="C44" s="56" t="s">
        <v>750</v>
      </c>
      <c r="D44" s="53" t="s">
        <v>751</v>
      </c>
      <c r="E44" s="6" t="s">
        <v>47</v>
      </c>
      <c r="F44" s="19">
        <v>6224</v>
      </c>
      <c r="G44" s="24">
        <v>158.31</v>
      </c>
      <c r="H44" s="24">
        <v>0.6</v>
      </c>
      <c r="I44" s="31"/>
      <c r="J44" s="35"/>
    </row>
    <row r="45" spans="2:10" x14ac:dyDescent="0.25">
      <c r="B45" s="8" t="s">
        <v>469</v>
      </c>
      <c r="C45" s="56" t="s">
        <v>470</v>
      </c>
      <c r="D45" s="53" t="s">
        <v>471</v>
      </c>
      <c r="E45" s="6" t="s">
        <v>90</v>
      </c>
      <c r="F45" s="19">
        <v>16350</v>
      </c>
      <c r="G45" s="24">
        <v>156.36000000000001</v>
      </c>
      <c r="H45" s="24">
        <v>0.6</v>
      </c>
      <c r="I45" s="31"/>
      <c r="J45" s="35"/>
    </row>
    <row r="46" spans="2:10" x14ac:dyDescent="0.25">
      <c r="B46" s="8" t="s">
        <v>1613</v>
      </c>
      <c r="C46" s="56" t="s">
        <v>1614</v>
      </c>
      <c r="D46" s="53" t="s">
        <v>1615</v>
      </c>
      <c r="E46" s="6" t="s">
        <v>111</v>
      </c>
      <c r="F46" s="19">
        <v>37682</v>
      </c>
      <c r="G46" s="24">
        <v>148.86000000000001</v>
      </c>
      <c r="H46" s="24">
        <v>0.56999999999999995</v>
      </c>
      <c r="I46" s="31"/>
      <c r="J46" s="35"/>
    </row>
    <row r="47" spans="2:10" x14ac:dyDescent="0.25">
      <c r="B47" s="8" t="s">
        <v>1616</v>
      </c>
      <c r="C47" s="56" t="s">
        <v>601</v>
      </c>
      <c r="D47" s="53" t="s">
        <v>1617</v>
      </c>
      <c r="E47" s="6" t="s">
        <v>94</v>
      </c>
      <c r="F47" s="19">
        <v>171034</v>
      </c>
      <c r="G47" s="24">
        <v>147.43</v>
      </c>
      <c r="H47" s="24">
        <v>0.56000000000000005</v>
      </c>
      <c r="I47" s="31"/>
      <c r="J47" s="35"/>
    </row>
    <row r="48" spans="2:10" x14ac:dyDescent="0.25">
      <c r="B48" s="8" t="s">
        <v>1618</v>
      </c>
      <c r="C48" s="56" t="s">
        <v>1619</v>
      </c>
      <c r="D48" s="53" t="s">
        <v>1620</v>
      </c>
      <c r="E48" s="6" t="s">
        <v>142</v>
      </c>
      <c r="F48" s="19">
        <v>40369</v>
      </c>
      <c r="G48" s="24">
        <v>147.33000000000001</v>
      </c>
      <c r="H48" s="24">
        <v>0.56000000000000005</v>
      </c>
      <c r="I48" s="31"/>
      <c r="J48" s="35"/>
    </row>
    <row r="49" spans="2:10" x14ac:dyDescent="0.25">
      <c r="B49" s="8" t="s">
        <v>294</v>
      </c>
      <c r="C49" s="56" t="s">
        <v>295</v>
      </c>
      <c r="D49" s="53" t="s">
        <v>296</v>
      </c>
      <c r="E49" s="6" t="s">
        <v>274</v>
      </c>
      <c r="F49" s="19">
        <v>91113</v>
      </c>
      <c r="G49" s="24">
        <v>139.08000000000001</v>
      </c>
      <c r="H49" s="24">
        <v>0.53</v>
      </c>
      <c r="I49" s="31"/>
      <c r="J49" s="35"/>
    </row>
    <row r="50" spans="2:10" x14ac:dyDescent="0.25">
      <c r="B50" s="8" t="s">
        <v>415</v>
      </c>
      <c r="C50" s="56" t="s">
        <v>416</v>
      </c>
      <c r="D50" s="53" t="s">
        <v>417</v>
      </c>
      <c r="E50" s="6" t="s">
        <v>90</v>
      </c>
      <c r="F50" s="19">
        <v>1386</v>
      </c>
      <c r="G50" s="24">
        <v>137.86000000000001</v>
      </c>
      <c r="H50" s="24">
        <v>0.53</v>
      </c>
      <c r="I50" s="31"/>
      <c r="J50" s="35"/>
    </row>
    <row r="51" spans="2:10" x14ac:dyDescent="0.25">
      <c r="B51" s="8" t="s">
        <v>1621</v>
      </c>
      <c r="C51" s="56" t="s">
        <v>1622</v>
      </c>
      <c r="D51" s="53" t="s">
        <v>1623</v>
      </c>
      <c r="E51" s="6" t="s">
        <v>94</v>
      </c>
      <c r="F51" s="19">
        <v>15362</v>
      </c>
      <c r="G51" s="24">
        <v>130.21</v>
      </c>
      <c r="H51" s="24">
        <v>0.5</v>
      </c>
      <c r="I51" s="31"/>
      <c r="J51" s="35"/>
    </row>
    <row r="52" spans="2:10" x14ac:dyDescent="0.25">
      <c r="B52" s="8" t="s">
        <v>454</v>
      </c>
      <c r="C52" s="56" t="s">
        <v>455</v>
      </c>
      <c r="D52" s="53" t="s">
        <v>456</v>
      </c>
      <c r="E52" s="6" t="s">
        <v>111</v>
      </c>
      <c r="F52" s="19">
        <v>782</v>
      </c>
      <c r="G52" s="24">
        <v>128.93</v>
      </c>
      <c r="H52" s="24">
        <v>0.49</v>
      </c>
      <c r="I52" s="31"/>
      <c r="J52" s="35"/>
    </row>
    <row r="53" spans="2:10" x14ac:dyDescent="0.25">
      <c r="B53" s="8" t="s">
        <v>1624</v>
      </c>
      <c r="C53" s="56" t="s">
        <v>1625</v>
      </c>
      <c r="D53" s="53" t="s">
        <v>1626</v>
      </c>
      <c r="E53" s="6" t="s">
        <v>886</v>
      </c>
      <c r="F53" s="19">
        <v>135243</v>
      </c>
      <c r="G53" s="24">
        <v>111.24</v>
      </c>
      <c r="H53" s="24">
        <v>0.42</v>
      </c>
      <c r="I53" s="31"/>
      <c r="J53" s="35"/>
    </row>
    <row r="54" spans="2:10" x14ac:dyDescent="0.25">
      <c r="B54" s="8" t="s">
        <v>463</v>
      </c>
      <c r="C54" s="56" t="s">
        <v>464</v>
      </c>
      <c r="D54" s="53" t="s">
        <v>465</v>
      </c>
      <c r="E54" s="6" t="s">
        <v>47</v>
      </c>
      <c r="F54" s="19">
        <v>3417</v>
      </c>
      <c r="G54" s="24">
        <v>104.99</v>
      </c>
      <c r="H54" s="24">
        <v>0.4</v>
      </c>
      <c r="I54" s="31"/>
      <c r="J54" s="35"/>
    </row>
    <row r="55" spans="2:10" x14ac:dyDescent="0.25">
      <c r="B55" s="8" t="s">
        <v>1627</v>
      </c>
      <c r="C55" s="56" t="s">
        <v>1628</v>
      </c>
      <c r="D55" s="53" t="s">
        <v>1629</v>
      </c>
      <c r="E55" s="6" t="s">
        <v>261</v>
      </c>
      <c r="F55" s="19">
        <v>40482</v>
      </c>
      <c r="G55" s="24">
        <v>97.89</v>
      </c>
      <c r="H55" s="24">
        <v>0.37</v>
      </c>
      <c r="I55" s="31"/>
      <c r="J55" s="35"/>
    </row>
    <row r="56" spans="2:10" x14ac:dyDescent="0.25">
      <c r="B56" s="8" t="s">
        <v>1630</v>
      </c>
      <c r="C56" s="56" t="s">
        <v>1631</v>
      </c>
      <c r="D56" s="53" t="s">
        <v>1632</v>
      </c>
      <c r="E56" s="6" t="s">
        <v>170</v>
      </c>
      <c r="F56" s="19">
        <v>37327</v>
      </c>
      <c r="G56" s="24">
        <v>78.37</v>
      </c>
      <c r="H56" s="24">
        <v>0.3</v>
      </c>
      <c r="I56" s="31"/>
      <c r="J56" s="35"/>
    </row>
    <row r="57" spans="2:10" x14ac:dyDescent="0.25">
      <c r="B57" s="8" t="s">
        <v>817</v>
      </c>
      <c r="C57" s="56" t="s">
        <v>818</v>
      </c>
      <c r="D57" s="53" t="s">
        <v>819</v>
      </c>
      <c r="E57" s="6" t="s">
        <v>51</v>
      </c>
      <c r="F57" s="19">
        <v>176881</v>
      </c>
      <c r="G57" s="24">
        <v>72.61</v>
      </c>
      <c r="H57" s="24">
        <v>0.28000000000000003</v>
      </c>
      <c r="I57" s="31"/>
      <c r="J57" s="35"/>
    </row>
    <row r="58" spans="2:10" x14ac:dyDescent="0.25">
      <c r="B58" s="8" t="s">
        <v>401</v>
      </c>
      <c r="C58" s="56" t="s">
        <v>402</v>
      </c>
      <c r="D58" s="53" t="s">
        <v>403</v>
      </c>
      <c r="E58" s="6" t="s">
        <v>51</v>
      </c>
      <c r="F58" s="19">
        <v>193980</v>
      </c>
      <c r="G58" s="24">
        <v>55.38</v>
      </c>
      <c r="H58" s="24">
        <v>0.21</v>
      </c>
      <c r="I58" s="31"/>
      <c r="J58" s="35"/>
    </row>
    <row r="59" spans="2:10" x14ac:dyDescent="0.25">
      <c r="B59" s="8" t="s">
        <v>1633</v>
      </c>
      <c r="C59" s="56" t="s">
        <v>1634</v>
      </c>
      <c r="D59" s="53" t="s">
        <v>1635</v>
      </c>
      <c r="E59" s="6" t="s">
        <v>94</v>
      </c>
      <c r="F59" s="19">
        <v>36164</v>
      </c>
      <c r="G59" s="24">
        <v>43.72</v>
      </c>
      <c r="H59" s="24">
        <v>0.17</v>
      </c>
      <c r="I59" s="31"/>
      <c r="J59" s="35"/>
    </row>
    <row r="60" spans="2:10" x14ac:dyDescent="0.25">
      <c r="C60" s="57" t="s">
        <v>35</v>
      </c>
      <c r="D60" s="53"/>
      <c r="E60" s="6"/>
      <c r="F60" s="19"/>
      <c r="G60" s="25">
        <v>10581.56</v>
      </c>
      <c r="H60" s="25">
        <v>40.35</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A67" s="28"/>
      <c r="B67" s="28"/>
      <c r="C67" s="58" t="s">
        <v>6</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7</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8</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C73" s="59" t="s">
        <v>9</v>
      </c>
      <c r="D73" s="53"/>
      <c r="E73" s="6"/>
      <c r="F73" s="19"/>
      <c r="G73" s="24"/>
      <c r="H73" s="24"/>
      <c r="I73" s="31"/>
      <c r="J73" s="35"/>
    </row>
    <row r="74" spans="1:10" x14ac:dyDescent="0.25">
      <c r="B74" s="8" t="s">
        <v>674</v>
      </c>
      <c r="C74" s="56" t="s">
        <v>675</v>
      </c>
      <c r="D74" s="53" t="s">
        <v>676</v>
      </c>
      <c r="E74" s="6" t="s">
        <v>655</v>
      </c>
      <c r="F74" s="19">
        <v>6650000</v>
      </c>
      <c r="G74" s="24">
        <v>6901.32</v>
      </c>
      <c r="H74" s="24">
        <v>26.32</v>
      </c>
      <c r="I74" s="31">
        <v>6.2435</v>
      </c>
      <c r="J74" s="35"/>
    </row>
    <row r="75" spans="1:10" x14ac:dyDescent="0.25">
      <c r="B75" s="8" t="s">
        <v>668</v>
      </c>
      <c r="C75" s="56" t="s">
        <v>669</v>
      </c>
      <c r="D75" s="53" t="s">
        <v>670</v>
      </c>
      <c r="E75" s="6" t="s">
        <v>655</v>
      </c>
      <c r="F75" s="19">
        <v>830000</v>
      </c>
      <c r="G75" s="24">
        <v>886.75</v>
      </c>
      <c r="H75" s="24">
        <v>3.38</v>
      </c>
      <c r="I75" s="31">
        <v>6.1906999999999996</v>
      </c>
      <c r="J75" s="35"/>
    </row>
    <row r="76" spans="1:10" x14ac:dyDescent="0.25">
      <c r="B76" s="8" t="s">
        <v>671</v>
      </c>
      <c r="C76" s="56" t="s">
        <v>672</v>
      </c>
      <c r="D76" s="53" t="s">
        <v>673</v>
      </c>
      <c r="E76" s="6" t="s">
        <v>655</v>
      </c>
      <c r="F76" s="19">
        <v>900000</v>
      </c>
      <c r="G76" s="24">
        <v>883.82</v>
      </c>
      <c r="H76" s="24">
        <v>3.37</v>
      </c>
      <c r="I76" s="31">
        <v>6.0133999999999999</v>
      </c>
      <c r="J76" s="35"/>
    </row>
    <row r="77" spans="1:10" x14ac:dyDescent="0.25">
      <c r="C77" s="57" t="s">
        <v>35</v>
      </c>
      <c r="D77" s="53"/>
      <c r="E77" s="6"/>
      <c r="F77" s="19"/>
      <c r="G77" s="25">
        <v>8671.89</v>
      </c>
      <c r="H77" s="25">
        <v>33.07</v>
      </c>
      <c r="I77" s="31"/>
      <c r="J77" s="35"/>
    </row>
    <row r="78" spans="1:10" x14ac:dyDescent="0.25">
      <c r="C78" s="56"/>
      <c r="D78" s="53"/>
      <c r="E78" s="6"/>
      <c r="F78" s="19"/>
      <c r="G78" s="24"/>
      <c r="H78" s="24"/>
      <c r="I78" s="31"/>
      <c r="J78" s="35"/>
    </row>
    <row r="79" spans="1:10" x14ac:dyDescent="0.25">
      <c r="C79" s="57" t="s">
        <v>10</v>
      </c>
      <c r="D79" s="53"/>
      <c r="E79" s="6"/>
      <c r="F79" s="19"/>
      <c r="G79" s="24" t="s">
        <v>2</v>
      </c>
      <c r="H79" s="24" t="s">
        <v>2</v>
      </c>
      <c r="I79" s="31"/>
      <c r="J79" s="35"/>
    </row>
    <row r="80" spans="1:10" x14ac:dyDescent="0.25">
      <c r="C80" s="56"/>
      <c r="D80" s="53"/>
      <c r="E80" s="6"/>
      <c r="F80" s="19"/>
      <c r="G80" s="24"/>
      <c r="H80" s="24"/>
      <c r="I80" s="31"/>
      <c r="J80" s="35"/>
    </row>
    <row r="81" spans="1:10" x14ac:dyDescent="0.25">
      <c r="C81" s="57" t="s">
        <v>11</v>
      </c>
      <c r="D81" s="53"/>
      <c r="E81" s="6"/>
      <c r="F81" s="19"/>
      <c r="G81" s="24"/>
      <c r="H81" s="24"/>
      <c r="I81" s="31"/>
      <c r="J81" s="35"/>
    </row>
    <row r="82" spans="1:10" x14ac:dyDescent="0.25">
      <c r="C82" s="56"/>
      <c r="D82" s="53"/>
      <c r="E82" s="6"/>
      <c r="F82" s="19"/>
      <c r="G82" s="24"/>
      <c r="H82" s="24"/>
      <c r="I82" s="31"/>
      <c r="J82" s="35"/>
    </row>
    <row r="83" spans="1:10" x14ac:dyDescent="0.25">
      <c r="C83" s="57" t="s">
        <v>13</v>
      </c>
      <c r="D83" s="53"/>
      <c r="E83" s="6"/>
      <c r="F83" s="19"/>
      <c r="G83" s="24" t="s">
        <v>2</v>
      </c>
      <c r="H83" s="24" t="s">
        <v>2</v>
      </c>
      <c r="I83" s="31"/>
      <c r="J83" s="35"/>
    </row>
    <row r="84" spans="1:10" x14ac:dyDescent="0.25">
      <c r="C84" s="56"/>
      <c r="D84" s="53"/>
      <c r="E84" s="6"/>
      <c r="F84" s="19"/>
      <c r="G84" s="24"/>
      <c r="H84" s="24"/>
      <c r="I84" s="31"/>
      <c r="J84" s="35"/>
    </row>
    <row r="85" spans="1:10" x14ac:dyDescent="0.25">
      <c r="C85" s="57" t="s">
        <v>14</v>
      </c>
      <c r="D85" s="53"/>
      <c r="E85" s="6"/>
      <c r="F85" s="19"/>
      <c r="G85" s="24" t="s">
        <v>2</v>
      </c>
      <c r="H85" s="24" t="s">
        <v>2</v>
      </c>
      <c r="I85" s="31"/>
      <c r="J85" s="35"/>
    </row>
    <row r="86" spans="1:10" x14ac:dyDescent="0.25">
      <c r="C86" s="56"/>
      <c r="D86" s="53"/>
      <c r="E86" s="6"/>
      <c r="F86" s="19"/>
      <c r="G86" s="24"/>
      <c r="H86" s="24"/>
      <c r="I86" s="31"/>
      <c r="J86" s="35"/>
    </row>
    <row r="87" spans="1:10" x14ac:dyDescent="0.25">
      <c r="C87" s="57" t="s">
        <v>15</v>
      </c>
      <c r="D87" s="53"/>
      <c r="E87" s="6"/>
      <c r="F87" s="19"/>
      <c r="G87" s="24" t="s">
        <v>2</v>
      </c>
      <c r="H87" s="24" t="s">
        <v>2</v>
      </c>
      <c r="I87" s="31"/>
      <c r="J87" s="35"/>
    </row>
    <row r="88" spans="1:10" x14ac:dyDescent="0.25">
      <c r="C88" s="56"/>
      <c r="D88" s="53"/>
      <c r="E88" s="6"/>
      <c r="F88" s="19"/>
      <c r="G88" s="24"/>
      <c r="H88" s="24"/>
      <c r="I88" s="31"/>
      <c r="J88" s="35"/>
    </row>
    <row r="89" spans="1:10" x14ac:dyDescent="0.25">
      <c r="C89" s="57" t="s">
        <v>16</v>
      </c>
      <c r="D89" s="53"/>
      <c r="E89" s="6"/>
      <c r="F89" s="19"/>
      <c r="G89" s="24" t="s">
        <v>2</v>
      </c>
      <c r="H89" s="24" t="s">
        <v>2</v>
      </c>
      <c r="I89" s="31"/>
      <c r="J89" s="35"/>
    </row>
    <row r="90" spans="1:10" x14ac:dyDescent="0.25">
      <c r="C90" s="56"/>
      <c r="D90" s="53"/>
      <c r="E90" s="6"/>
      <c r="F90" s="19"/>
      <c r="G90" s="24"/>
      <c r="H90" s="24"/>
      <c r="I90" s="31"/>
      <c r="J90" s="35"/>
    </row>
    <row r="91" spans="1:10" x14ac:dyDescent="0.25">
      <c r="A91" s="10"/>
      <c r="B91" s="28"/>
      <c r="C91" s="58" t="s">
        <v>17</v>
      </c>
      <c r="D91" s="53"/>
      <c r="E91" s="6"/>
      <c r="F91" s="19"/>
      <c r="G91" s="24"/>
      <c r="H91" s="24"/>
      <c r="I91" s="31"/>
      <c r="J91" s="35"/>
    </row>
    <row r="92" spans="1:10" x14ac:dyDescent="0.25">
      <c r="C92" s="59" t="s">
        <v>18</v>
      </c>
      <c r="D92" s="53"/>
      <c r="E92" s="6"/>
      <c r="F92" s="19"/>
      <c r="G92" s="24"/>
      <c r="H92" s="24"/>
      <c r="I92" s="31"/>
      <c r="J92" s="35"/>
    </row>
    <row r="93" spans="1:10" x14ac:dyDescent="0.25">
      <c r="B93" s="8" t="s">
        <v>1636</v>
      </c>
      <c r="C93" s="56" t="s">
        <v>1637</v>
      </c>
      <c r="D93" s="53" t="s">
        <v>1638</v>
      </c>
      <c r="E93" s="6" t="s">
        <v>191</v>
      </c>
      <c r="F93" s="19">
        <v>110340</v>
      </c>
      <c r="G93" s="24">
        <v>4974.7299999999996</v>
      </c>
      <c r="H93" s="24">
        <v>18.97</v>
      </c>
      <c r="I93" s="31"/>
      <c r="J93" s="35"/>
    </row>
    <row r="94" spans="1:10" x14ac:dyDescent="0.25">
      <c r="C94" s="57" t="s">
        <v>35</v>
      </c>
      <c r="D94" s="53"/>
      <c r="E94" s="6"/>
      <c r="F94" s="19"/>
      <c r="G94" s="25">
        <v>4974.7299999999996</v>
      </c>
      <c r="H94" s="25">
        <v>18.97</v>
      </c>
      <c r="I94" s="31"/>
      <c r="J94" s="35"/>
    </row>
    <row r="95" spans="1:10" x14ac:dyDescent="0.25">
      <c r="C95" s="56"/>
      <c r="D95" s="53"/>
      <c r="E95" s="6"/>
      <c r="F95" s="19"/>
      <c r="G95" s="24"/>
      <c r="H95" s="24"/>
      <c r="I95" s="31"/>
      <c r="J95" s="35"/>
    </row>
    <row r="96" spans="1:10" x14ac:dyDescent="0.25">
      <c r="C96" s="57" t="s">
        <v>19</v>
      </c>
      <c r="D96" s="53"/>
      <c r="E96" s="6"/>
      <c r="F96" s="19"/>
      <c r="G96" s="24" t="s">
        <v>2</v>
      </c>
      <c r="H96" s="24" t="s">
        <v>2</v>
      </c>
      <c r="I96" s="31"/>
      <c r="J96" s="35"/>
    </row>
    <row r="97" spans="1:10" x14ac:dyDescent="0.25">
      <c r="C97" s="56"/>
      <c r="D97" s="53"/>
      <c r="E97" s="6"/>
      <c r="F97" s="19"/>
      <c r="G97" s="24"/>
      <c r="H97" s="24"/>
      <c r="I97" s="31"/>
      <c r="J97" s="35"/>
    </row>
    <row r="98" spans="1:10" x14ac:dyDescent="0.25">
      <c r="C98" s="57" t="s">
        <v>20</v>
      </c>
      <c r="D98" s="53"/>
      <c r="E98" s="6"/>
      <c r="F98" s="19"/>
      <c r="G98" s="24" t="s">
        <v>2</v>
      </c>
      <c r="H98" s="24" t="s">
        <v>2</v>
      </c>
      <c r="I98" s="31"/>
      <c r="J98" s="35"/>
    </row>
    <row r="99" spans="1:10" x14ac:dyDescent="0.25">
      <c r="C99" s="56"/>
      <c r="D99" s="53"/>
      <c r="E99" s="6"/>
      <c r="F99" s="19"/>
      <c r="G99" s="24"/>
      <c r="H99" s="24"/>
      <c r="I99" s="31"/>
      <c r="J99" s="35"/>
    </row>
    <row r="100" spans="1:10" x14ac:dyDescent="0.25">
      <c r="C100" s="57" t="s">
        <v>21</v>
      </c>
      <c r="D100" s="53"/>
      <c r="E100" s="6"/>
      <c r="F100" s="19"/>
      <c r="G100" s="24" t="s">
        <v>2</v>
      </c>
      <c r="H100" s="24" t="s">
        <v>2</v>
      </c>
      <c r="I100" s="31"/>
      <c r="J100" s="35"/>
    </row>
    <row r="101" spans="1:10" x14ac:dyDescent="0.25">
      <c r="C101" s="56"/>
      <c r="D101" s="53"/>
      <c r="E101" s="6"/>
      <c r="F101" s="19"/>
      <c r="G101" s="24"/>
      <c r="H101" s="24"/>
      <c r="I101" s="31"/>
      <c r="J101" s="35"/>
    </row>
    <row r="102" spans="1:10" x14ac:dyDescent="0.25">
      <c r="C102" s="59" t="s">
        <v>22</v>
      </c>
      <c r="D102" s="53"/>
      <c r="E102" s="6"/>
      <c r="F102" s="19"/>
      <c r="G102" s="24"/>
      <c r="H102" s="24"/>
      <c r="I102" s="31"/>
      <c r="J102" s="35"/>
    </row>
    <row r="103" spans="1:10" x14ac:dyDescent="0.25">
      <c r="B103" s="8" t="s">
        <v>33</v>
      </c>
      <c r="C103" s="56" t="s">
        <v>34</v>
      </c>
      <c r="D103" s="53"/>
      <c r="E103" s="6"/>
      <c r="F103" s="19"/>
      <c r="G103" s="24">
        <v>1757.32</v>
      </c>
      <c r="H103" s="24">
        <v>6.7</v>
      </c>
      <c r="I103" s="31"/>
      <c r="J103" s="35"/>
    </row>
    <row r="104" spans="1:10" x14ac:dyDescent="0.25">
      <c r="C104" s="57" t="s">
        <v>35</v>
      </c>
      <c r="D104" s="53"/>
      <c r="E104" s="6"/>
      <c r="F104" s="19"/>
      <c r="G104" s="25">
        <v>1757.32</v>
      </c>
      <c r="H104" s="25">
        <v>6.7</v>
      </c>
      <c r="I104" s="31"/>
      <c r="J104" s="35"/>
    </row>
    <row r="105" spans="1:10" x14ac:dyDescent="0.25">
      <c r="C105" s="56"/>
      <c r="D105" s="53"/>
      <c r="E105" s="6"/>
      <c r="F105" s="19"/>
      <c r="G105" s="24"/>
      <c r="H105" s="24"/>
      <c r="I105" s="31"/>
      <c r="J105" s="35"/>
    </row>
    <row r="106" spans="1:10" x14ac:dyDescent="0.25">
      <c r="A106" s="10"/>
      <c r="B106" s="28"/>
      <c r="C106" s="58" t="s">
        <v>23</v>
      </c>
      <c r="D106" s="53"/>
      <c r="E106" s="6"/>
      <c r="F106" s="19"/>
      <c r="G106" s="24"/>
      <c r="H106" s="24"/>
      <c r="I106" s="31"/>
      <c r="J106" s="35"/>
    </row>
    <row r="107" spans="1:10" x14ac:dyDescent="0.25">
      <c r="A107" s="28"/>
      <c r="B107" s="28"/>
      <c r="C107" s="60" t="s">
        <v>3398</v>
      </c>
      <c r="D107" s="53"/>
      <c r="E107" s="6"/>
      <c r="F107" s="19"/>
      <c r="G107" s="24">
        <v>135</v>
      </c>
      <c r="H107" s="24">
        <v>0.51</v>
      </c>
      <c r="I107" s="31"/>
      <c r="J107" s="35"/>
    </row>
    <row r="108" spans="1:10" x14ac:dyDescent="0.25">
      <c r="B108" s="8"/>
      <c r="C108" s="56" t="s">
        <v>36</v>
      </c>
      <c r="D108" s="53"/>
      <c r="E108" s="6"/>
      <c r="F108" s="19"/>
      <c r="G108" s="24">
        <v>99.860000000000014</v>
      </c>
      <c r="H108" s="24">
        <v>0.4</v>
      </c>
      <c r="I108" s="31"/>
      <c r="J108" s="35"/>
    </row>
    <row r="109" spans="1:10" x14ac:dyDescent="0.25">
      <c r="C109" s="57" t="s">
        <v>35</v>
      </c>
      <c r="D109" s="53"/>
      <c r="E109" s="6"/>
      <c r="F109" s="19"/>
      <c r="G109" s="25">
        <v>234.86</v>
      </c>
      <c r="H109" s="25">
        <v>0.91</v>
      </c>
      <c r="I109" s="31"/>
      <c r="J109" s="35"/>
    </row>
    <row r="110" spans="1:10" x14ac:dyDescent="0.25">
      <c r="C110" s="56"/>
      <c r="D110" s="53"/>
      <c r="E110" s="6"/>
      <c r="F110" s="19"/>
      <c r="G110" s="24"/>
      <c r="H110" s="24"/>
      <c r="I110" s="31"/>
      <c r="J110" s="35"/>
    </row>
    <row r="111" spans="1:10" x14ac:dyDescent="0.25">
      <c r="C111" s="61" t="s">
        <v>37</v>
      </c>
      <c r="D111" s="54"/>
      <c r="E111" s="5"/>
      <c r="F111" s="20"/>
      <c r="G111" s="26">
        <v>26220.36</v>
      </c>
      <c r="H111" s="26">
        <f>SUMIFS(H:H,C:C,"Total")</f>
        <v>100</v>
      </c>
      <c r="I111" s="32"/>
      <c r="J111" s="36"/>
    </row>
    <row r="113" spans="2:10" s="49" customFormat="1" ht="15.75" x14ac:dyDescent="0.3">
      <c r="C113" s="49" t="s">
        <v>3323</v>
      </c>
      <c r="F113" s="50"/>
      <c r="G113" s="50"/>
      <c r="H113" s="50"/>
    </row>
    <row r="114" spans="2:10" s="41" customFormat="1" ht="27" x14ac:dyDescent="0.25">
      <c r="B114" s="42"/>
      <c r="C114" s="42" t="s">
        <v>3318</v>
      </c>
      <c r="D114" s="42" t="s">
        <v>3319</v>
      </c>
      <c r="E114" s="42" t="s">
        <v>3320</v>
      </c>
      <c r="F114" s="43" t="s">
        <v>28</v>
      </c>
      <c r="G114" s="44" t="s">
        <v>3321</v>
      </c>
      <c r="H114" s="43" t="s">
        <v>30</v>
      </c>
      <c r="I114" s="42" t="s">
        <v>32</v>
      </c>
    </row>
    <row r="115" spans="2:10" s="41" customFormat="1" x14ac:dyDescent="0.25">
      <c r="B115" s="42"/>
      <c r="C115" s="42" t="s">
        <v>3329</v>
      </c>
      <c r="D115" s="42"/>
      <c r="E115" s="42"/>
      <c r="F115" s="43"/>
      <c r="G115" s="44"/>
      <c r="H115" s="43"/>
      <c r="I115" s="42"/>
    </row>
    <row r="116" spans="2:10" x14ac:dyDescent="0.25">
      <c r="B116" s="45">
        <v>3700052</v>
      </c>
      <c r="C116" s="45" t="s">
        <v>3328</v>
      </c>
      <c r="D116" s="45" t="s">
        <v>3312</v>
      </c>
      <c r="E116" s="45" t="s">
        <v>12</v>
      </c>
      <c r="F116" s="46">
        <v>-4950</v>
      </c>
      <c r="G116" s="46">
        <v>-557.21407499999998</v>
      </c>
      <c r="H116" s="46">
        <v>-2.13</v>
      </c>
      <c r="I116" s="45"/>
      <c r="J116" s="2"/>
    </row>
    <row r="117" spans="2:10" s="1" customFormat="1" x14ac:dyDescent="0.25">
      <c r="B117" s="47"/>
      <c r="C117" s="47" t="s">
        <v>3322</v>
      </c>
      <c r="D117" s="47"/>
      <c r="E117" s="47"/>
      <c r="F117" s="48"/>
      <c r="G117" s="48">
        <f>SUM(G115:G116)</f>
        <v>-557.21407499999998</v>
      </c>
      <c r="H117" s="48">
        <f>SUM(H115:H116)</f>
        <v>-2.13</v>
      </c>
      <c r="I117" s="47"/>
    </row>
    <row r="119" spans="2:10" x14ac:dyDescent="0.25">
      <c r="C119" s="1" t="s">
        <v>38</v>
      </c>
    </row>
    <row r="120" spans="2:10" x14ac:dyDescent="0.25">
      <c r="C120" s="2" t="s">
        <v>39</v>
      </c>
    </row>
    <row r="121" spans="2:10" x14ac:dyDescent="0.25">
      <c r="C121" s="2" t="s">
        <v>40</v>
      </c>
    </row>
    <row r="122" spans="2:10" x14ac:dyDescent="0.25">
      <c r="C122" s="2" t="s">
        <v>3430</v>
      </c>
    </row>
  </sheetData>
  <hyperlinks>
    <hyperlink ref="J2" location="'Index'!A1" display="'Index'!A1"/>
  </hyperlinks>
  <pageMargins left="0.7" right="0.7" top="0.75" bottom="0.75" header="0.3" footer="0.3"/>
  <pageSetup orientation="portrait" horizontalDpi="4294967293"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7"/>
  <dimension ref="A1:J12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1639</v>
      </c>
      <c r="J2" s="37" t="s">
        <v>3307</v>
      </c>
    </row>
    <row r="3" spans="1:10" ht="16.5" x14ac:dyDescent="0.3">
      <c r="C3" s="1" t="s">
        <v>24</v>
      </c>
      <c r="D3" s="21" t="s">
        <v>1640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19462739</v>
      </c>
      <c r="G10" s="24">
        <v>209925.1</v>
      </c>
      <c r="H10" s="24">
        <v>9.52</v>
      </c>
      <c r="I10" s="31"/>
      <c r="J10" s="35"/>
    </row>
    <row r="11" spans="1:10" x14ac:dyDescent="0.25">
      <c r="B11" s="8" t="s">
        <v>62</v>
      </c>
      <c r="C11" s="56" t="s">
        <v>63</v>
      </c>
      <c r="D11" s="53" t="s">
        <v>64</v>
      </c>
      <c r="E11" s="6" t="s">
        <v>51</v>
      </c>
      <c r="F11" s="19">
        <v>31643104</v>
      </c>
      <c r="G11" s="24">
        <v>112253.91</v>
      </c>
      <c r="H11" s="24">
        <v>5.09</v>
      </c>
      <c r="I11" s="31"/>
      <c r="J11" s="35"/>
    </row>
    <row r="12" spans="1:10" x14ac:dyDescent="0.25">
      <c r="B12" s="8" t="s">
        <v>52</v>
      </c>
      <c r="C12" s="56" t="s">
        <v>53</v>
      </c>
      <c r="D12" s="53" t="s">
        <v>54</v>
      </c>
      <c r="E12" s="6" t="s">
        <v>55</v>
      </c>
      <c r="F12" s="19">
        <v>4890981</v>
      </c>
      <c r="G12" s="24">
        <v>109281.63</v>
      </c>
      <c r="H12" s="24">
        <v>4.95</v>
      </c>
      <c r="I12" s="31"/>
      <c r="J12" s="35"/>
    </row>
    <row r="13" spans="1:10" x14ac:dyDescent="0.25">
      <c r="B13" s="8" t="s">
        <v>112</v>
      </c>
      <c r="C13" s="56" t="s">
        <v>113</v>
      </c>
      <c r="D13" s="53" t="s">
        <v>114</v>
      </c>
      <c r="E13" s="6" t="s">
        <v>111</v>
      </c>
      <c r="F13" s="19">
        <v>3528298</v>
      </c>
      <c r="G13" s="24">
        <v>107540.76</v>
      </c>
      <c r="H13" s="24">
        <v>4.88</v>
      </c>
      <c r="I13" s="31"/>
      <c r="J13" s="35"/>
    </row>
    <row r="14" spans="1:10" x14ac:dyDescent="0.25">
      <c r="B14" s="8" t="s">
        <v>133</v>
      </c>
      <c r="C14" s="56" t="s">
        <v>134</v>
      </c>
      <c r="D14" s="53" t="s">
        <v>135</v>
      </c>
      <c r="E14" s="6" t="s">
        <v>47</v>
      </c>
      <c r="F14" s="19">
        <v>13148030</v>
      </c>
      <c r="G14" s="24">
        <v>106709.41</v>
      </c>
      <c r="H14" s="24">
        <v>4.84</v>
      </c>
      <c r="I14" s="31"/>
      <c r="J14" s="35"/>
    </row>
    <row r="15" spans="1:10" x14ac:dyDescent="0.25">
      <c r="B15" s="8" t="s">
        <v>44</v>
      </c>
      <c r="C15" s="56" t="s">
        <v>45</v>
      </c>
      <c r="D15" s="53" t="s">
        <v>46</v>
      </c>
      <c r="E15" s="6" t="s">
        <v>47</v>
      </c>
      <c r="F15" s="19">
        <v>9835178</v>
      </c>
      <c r="G15" s="24">
        <v>99163.18</v>
      </c>
      <c r="H15" s="24">
        <v>4.5</v>
      </c>
      <c r="I15" s="31"/>
      <c r="J15" s="35"/>
    </row>
    <row r="16" spans="1:10" x14ac:dyDescent="0.25">
      <c r="B16" s="8" t="s">
        <v>124</v>
      </c>
      <c r="C16" s="56" t="s">
        <v>125</v>
      </c>
      <c r="D16" s="53" t="s">
        <v>126</v>
      </c>
      <c r="E16" s="6" t="s">
        <v>94</v>
      </c>
      <c r="F16" s="19">
        <v>4582989</v>
      </c>
      <c r="G16" s="24">
        <v>79746.3</v>
      </c>
      <c r="H16" s="24">
        <v>3.62</v>
      </c>
      <c r="I16" s="31"/>
      <c r="J16" s="35"/>
    </row>
    <row r="17" spans="2:10" x14ac:dyDescent="0.25">
      <c r="B17" s="8" t="s">
        <v>354</v>
      </c>
      <c r="C17" s="56" t="s">
        <v>355</v>
      </c>
      <c r="D17" s="53" t="s">
        <v>356</v>
      </c>
      <c r="E17" s="6" t="s">
        <v>90</v>
      </c>
      <c r="F17" s="19">
        <v>45713904</v>
      </c>
      <c r="G17" s="24">
        <v>78490.77</v>
      </c>
      <c r="H17" s="24">
        <v>3.56</v>
      </c>
      <c r="I17" s="31"/>
      <c r="J17" s="35"/>
    </row>
    <row r="18" spans="2:10" x14ac:dyDescent="0.25">
      <c r="B18" s="8" t="s">
        <v>76</v>
      </c>
      <c r="C18" s="56" t="s">
        <v>77</v>
      </c>
      <c r="D18" s="53" t="s">
        <v>78</v>
      </c>
      <c r="E18" s="6" t="s">
        <v>79</v>
      </c>
      <c r="F18" s="19">
        <v>7562209</v>
      </c>
      <c r="G18" s="24">
        <v>68180.88</v>
      </c>
      <c r="H18" s="24">
        <v>3.09</v>
      </c>
      <c r="I18" s="31"/>
      <c r="J18" s="35"/>
    </row>
    <row r="19" spans="2:10" x14ac:dyDescent="0.25">
      <c r="B19" s="8" t="s">
        <v>84</v>
      </c>
      <c r="C19" s="56" t="s">
        <v>85</v>
      </c>
      <c r="D19" s="53" t="s">
        <v>86</v>
      </c>
      <c r="E19" s="6" t="s">
        <v>41</v>
      </c>
      <c r="F19" s="19">
        <v>299413</v>
      </c>
      <c r="G19" s="24">
        <v>60651.94</v>
      </c>
      <c r="H19" s="24">
        <v>2.75</v>
      </c>
      <c r="I19" s="31"/>
      <c r="J19" s="35"/>
    </row>
    <row r="20" spans="2:10" x14ac:dyDescent="0.25">
      <c r="B20" s="8" t="s">
        <v>59</v>
      </c>
      <c r="C20" s="56" t="s">
        <v>60</v>
      </c>
      <c r="D20" s="53" t="s">
        <v>61</v>
      </c>
      <c r="E20" s="6" t="s">
        <v>51</v>
      </c>
      <c r="F20" s="19">
        <v>4290470</v>
      </c>
      <c r="G20" s="24">
        <v>54411.74</v>
      </c>
      <c r="H20" s="24">
        <v>2.4700000000000002</v>
      </c>
      <c r="I20" s="31"/>
      <c r="J20" s="35"/>
    </row>
    <row r="21" spans="2:10" x14ac:dyDescent="0.25">
      <c r="B21" s="8" t="s">
        <v>406</v>
      </c>
      <c r="C21" s="56" t="s">
        <v>407</v>
      </c>
      <c r="D21" s="53" t="s">
        <v>408</v>
      </c>
      <c r="E21" s="6" t="s">
        <v>90</v>
      </c>
      <c r="F21" s="19">
        <v>334722</v>
      </c>
      <c r="G21" s="24">
        <v>53283.22</v>
      </c>
      <c r="H21" s="24">
        <v>2.42</v>
      </c>
      <c r="I21" s="31"/>
      <c r="J21" s="35"/>
    </row>
    <row r="22" spans="2:10" x14ac:dyDescent="0.25">
      <c r="B22" s="8" t="s">
        <v>102</v>
      </c>
      <c r="C22" s="56" t="s">
        <v>103</v>
      </c>
      <c r="D22" s="53" t="s">
        <v>104</v>
      </c>
      <c r="E22" s="6" t="s">
        <v>94</v>
      </c>
      <c r="F22" s="19">
        <v>8930876</v>
      </c>
      <c r="G22" s="24">
        <v>49959.32</v>
      </c>
      <c r="H22" s="24">
        <v>2.2599999999999998</v>
      </c>
      <c r="I22" s="31"/>
      <c r="J22" s="35"/>
    </row>
    <row r="23" spans="2:10" x14ac:dyDescent="0.25">
      <c r="B23" s="8" t="s">
        <v>95</v>
      </c>
      <c r="C23" s="56" t="s">
        <v>96</v>
      </c>
      <c r="D23" s="53" t="s">
        <v>97</v>
      </c>
      <c r="E23" s="6" t="s">
        <v>98</v>
      </c>
      <c r="F23" s="19">
        <v>8051909</v>
      </c>
      <c r="G23" s="24">
        <v>48947.55</v>
      </c>
      <c r="H23" s="24">
        <v>2.2200000000000002</v>
      </c>
      <c r="I23" s="31"/>
      <c r="J23" s="35"/>
    </row>
    <row r="24" spans="2:10" x14ac:dyDescent="0.25">
      <c r="B24" s="8" t="s">
        <v>161</v>
      </c>
      <c r="C24" s="56" t="s">
        <v>162</v>
      </c>
      <c r="D24" s="53" t="s">
        <v>163</v>
      </c>
      <c r="E24" s="6" t="s">
        <v>94</v>
      </c>
      <c r="F24" s="19">
        <v>11055407</v>
      </c>
      <c r="G24" s="24">
        <v>46532.21</v>
      </c>
      <c r="H24" s="24">
        <v>2.11</v>
      </c>
      <c r="I24" s="31"/>
      <c r="J24" s="35"/>
    </row>
    <row r="25" spans="2:10" x14ac:dyDescent="0.25">
      <c r="B25" s="8" t="s">
        <v>147</v>
      </c>
      <c r="C25" s="56" t="s">
        <v>148</v>
      </c>
      <c r="D25" s="53" t="s">
        <v>149</v>
      </c>
      <c r="E25" s="6" t="s">
        <v>98</v>
      </c>
      <c r="F25" s="19">
        <v>2110540</v>
      </c>
      <c r="G25" s="24">
        <v>46490.98</v>
      </c>
      <c r="H25" s="24">
        <v>2.11</v>
      </c>
      <c r="I25" s="31"/>
      <c r="J25" s="35"/>
    </row>
    <row r="26" spans="2:10" x14ac:dyDescent="0.25">
      <c r="B26" s="8" t="s">
        <v>65</v>
      </c>
      <c r="C26" s="56" t="s">
        <v>66</v>
      </c>
      <c r="D26" s="53" t="s">
        <v>67</v>
      </c>
      <c r="E26" s="6" t="s">
        <v>68</v>
      </c>
      <c r="F26" s="19">
        <v>10022538</v>
      </c>
      <c r="G26" s="24">
        <v>42189.87</v>
      </c>
      <c r="H26" s="24">
        <v>1.91</v>
      </c>
      <c r="I26" s="31"/>
      <c r="J26" s="35"/>
    </row>
    <row r="27" spans="2:10" x14ac:dyDescent="0.25">
      <c r="B27" s="8" t="s">
        <v>115</v>
      </c>
      <c r="C27" s="56" t="s">
        <v>116</v>
      </c>
      <c r="D27" s="53" t="s">
        <v>117</v>
      </c>
      <c r="E27" s="6" t="s">
        <v>94</v>
      </c>
      <c r="F27" s="19">
        <v>3030000</v>
      </c>
      <c r="G27" s="24">
        <v>39374.85</v>
      </c>
      <c r="H27" s="24">
        <v>1.79</v>
      </c>
      <c r="I27" s="31"/>
      <c r="J27" s="35"/>
    </row>
    <row r="28" spans="2:10" x14ac:dyDescent="0.25">
      <c r="B28" s="8" t="s">
        <v>1598</v>
      </c>
      <c r="C28" s="56" t="s">
        <v>1599</v>
      </c>
      <c r="D28" s="53" t="s">
        <v>1600</v>
      </c>
      <c r="E28" s="6" t="s">
        <v>196</v>
      </c>
      <c r="F28" s="19">
        <v>34274449</v>
      </c>
      <c r="G28" s="24">
        <v>39364.199999999997</v>
      </c>
      <c r="H28" s="24">
        <v>1.78</v>
      </c>
      <c r="I28" s="31"/>
      <c r="J28" s="35"/>
    </row>
    <row r="29" spans="2:10" x14ac:dyDescent="0.25">
      <c r="B29" s="8" t="s">
        <v>1491</v>
      </c>
      <c r="C29" s="56" t="s">
        <v>691</v>
      </c>
      <c r="D29" s="53" t="s">
        <v>1492</v>
      </c>
      <c r="E29" s="6" t="s">
        <v>94</v>
      </c>
      <c r="F29" s="19">
        <v>15765046</v>
      </c>
      <c r="G29" s="24">
        <v>39278.61</v>
      </c>
      <c r="H29" s="24">
        <v>1.78</v>
      </c>
      <c r="I29" s="31"/>
      <c r="J29" s="35"/>
    </row>
    <row r="30" spans="2:10" x14ac:dyDescent="0.25">
      <c r="B30" s="8" t="s">
        <v>859</v>
      </c>
      <c r="C30" s="56" t="s">
        <v>860</v>
      </c>
      <c r="D30" s="53" t="s">
        <v>861</v>
      </c>
      <c r="E30" s="6" t="s">
        <v>98</v>
      </c>
      <c r="F30" s="19">
        <v>1231758</v>
      </c>
      <c r="G30" s="24">
        <v>38767.120000000003</v>
      </c>
      <c r="H30" s="24">
        <v>1.76</v>
      </c>
      <c r="I30" s="31"/>
      <c r="J30" s="35"/>
    </row>
    <row r="31" spans="2:10" x14ac:dyDescent="0.25">
      <c r="B31" s="8" t="s">
        <v>73</v>
      </c>
      <c r="C31" s="56" t="s">
        <v>74</v>
      </c>
      <c r="D31" s="53" t="s">
        <v>75</v>
      </c>
      <c r="E31" s="6" t="s">
        <v>51</v>
      </c>
      <c r="F31" s="19">
        <v>9101751</v>
      </c>
      <c r="G31" s="24">
        <v>38650.589999999997</v>
      </c>
      <c r="H31" s="24">
        <v>1.75</v>
      </c>
      <c r="I31" s="31"/>
      <c r="J31" s="35"/>
    </row>
    <row r="32" spans="2:10" x14ac:dyDescent="0.25">
      <c r="B32" s="8" t="s">
        <v>164</v>
      </c>
      <c r="C32" s="56" t="s">
        <v>165</v>
      </c>
      <c r="D32" s="53" t="s">
        <v>166</v>
      </c>
      <c r="E32" s="6" t="s">
        <v>51</v>
      </c>
      <c r="F32" s="19">
        <v>19849243</v>
      </c>
      <c r="G32" s="24">
        <v>36800.5</v>
      </c>
      <c r="H32" s="24">
        <v>1.67</v>
      </c>
      <c r="I32" s="31"/>
      <c r="J32" s="35"/>
    </row>
    <row r="33" spans="2:10" x14ac:dyDescent="0.25">
      <c r="B33" s="8" t="s">
        <v>108</v>
      </c>
      <c r="C33" s="56" t="s">
        <v>109</v>
      </c>
      <c r="D33" s="53" t="s">
        <v>110</v>
      </c>
      <c r="E33" s="6" t="s">
        <v>111</v>
      </c>
      <c r="F33" s="19">
        <v>4697000</v>
      </c>
      <c r="G33" s="24">
        <v>36387.660000000003</v>
      </c>
      <c r="H33" s="24">
        <v>1.65</v>
      </c>
      <c r="I33" s="31"/>
      <c r="J33" s="35"/>
    </row>
    <row r="34" spans="2:10" x14ac:dyDescent="0.25">
      <c r="B34" s="8" t="s">
        <v>225</v>
      </c>
      <c r="C34" s="56" t="s">
        <v>226</v>
      </c>
      <c r="D34" s="53" t="s">
        <v>227</v>
      </c>
      <c r="E34" s="6" t="s">
        <v>228</v>
      </c>
      <c r="F34" s="19">
        <v>1721268</v>
      </c>
      <c r="G34" s="24">
        <v>33934.800000000003</v>
      </c>
      <c r="H34" s="24">
        <v>1.54</v>
      </c>
      <c r="I34" s="31"/>
      <c r="J34" s="35"/>
    </row>
    <row r="35" spans="2:10" x14ac:dyDescent="0.25">
      <c r="B35" s="8" t="s">
        <v>180</v>
      </c>
      <c r="C35" s="56" t="s">
        <v>53</v>
      </c>
      <c r="D35" s="53" t="s">
        <v>181</v>
      </c>
      <c r="E35" s="6" t="s">
        <v>55</v>
      </c>
      <c r="F35" s="19">
        <v>2246065</v>
      </c>
      <c r="G35" s="24">
        <v>30175.88</v>
      </c>
      <c r="H35" s="24">
        <v>1.37</v>
      </c>
      <c r="I35" s="31"/>
      <c r="J35" s="35" t="s">
        <v>182</v>
      </c>
    </row>
    <row r="36" spans="2:10" x14ac:dyDescent="0.25">
      <c r="B36" s="8" t="s">
        <v>1488</v>
      </c>
      <c r="C36" s="56" t="s">
        <v>1489</v>
      </c>
      <c r="D36" s="53" t="s">
        <v>1490</v>
      </c>
      <c r="E36" s="6" t="s">
        <v>274</v>
      </c>
      <c r="F36" s="19">
        <v>3246600</v>
      </c>
      <c r="G36" s="24">
        <v>27935.37</v>
      </c>
      <c r="H36" s="24">
        <v>1.27</v>
      </c>
      <c r="I36" s="31"/>
      <c r="J36" s="35"/>
    </row>
    <row r="37" spans="2:10" x14ac:dyDescent="0.25">
      <c r="B37" s="8" t="s">
        <v>330</v>
      </c>
      <c r="C37" s="56" t="s">
        <v>331</v>
      </c>
      <c r="D37" s="53" t="s">
        <v>332</v>
      </c>
      <c r="E37" s="6" t="s">
        <v>83</v>
      </c>
      <c r="F37" s="19">
        <v>9030000</v>
      </c>
      <c r="G37" s="24">
        <v>26399.21</v>
      </c>
      <c r="H37" s="24">
        <v>1.2</v>
      </c>
      <c r="I37" s="31"/>
      <c r="J37" s="35"/>
    </row>
    <row r="38" spans="2:10" x14ac:dyDescent="0.25">
      <c r="B38" s="8" t="s">
        <v>136</v>
      </c>
      <c r="C38" s="56" t="s">
        <v>137</v>
      </c>
      <c r="D38" s="53" t="s">
        <v>138</v>
      </c>
      <c r="E38" s="6" t="s">
        <v>41</v>
      </c>
      <c r="F38" s="19">
        <v>641261</v>
      </c>
      <c r="G38" s="24">
        <v>25968.18</v>
      </c>
      <c r="H38" s="24">
        <v>1.18</v>
      </c>
      <c r="I38" s="31"/>
      <c r="J38" s="35"/>
    </row>
    <row r="39" spans="2:10" x14ac:dyDescent="0.25">
      <c r="B39" s="8" t="s">
        <v>862</v>
      </c>
      <c r="C39" s="56" t="s">
        <v>863</v>
      </c>
      <c r="D39" s="53" t="s">
        <v>864</v>
      </c>
      <c r="E39" s="6" t="s">
        <v>98</v>
      </c>
      <c r="F39" s="19">
        <v>895769</v>
      </c>
      <c r="G39" s="24">
        <v>25808</v>
      </c>
      <c r="H39" s="24">
        <v>1.17</v>
      </c>
      <c r="I39" s="31"/>
      <c r="J39" s="35"/>
    </row>
    <row r="40" spans="2:10" x14ac:dyDescent="0.25">
      <c r="B40" s="8" t="s">
        <v>167</v>
      </c>
      <c r="C40" s="56" t="s">
        <v>168</v>
      </c>
      <c r="D40" s="53" t="s">
        <v>169</v>
      </c>
      <c r="E40" s="6" t="s">
        <v>170</v>
      </c>
      <c r="F40" s="19">
        <v>14324526</v>
      </c>
      <c r="G40" s="24">
        <v>25103.73</v>
      </c>
      <c r="H40" s="24">
        <v>1.1399999999999999</v>
      </c>
      <c r="I40" s="31"/>
      <c r="J40" s="35"/>
    </row>
    <row r="41" spans="2:10" x14ac:dyDescent="0.25">
      <c r="B41" s="8" t="s">
        <v>805</v>
      </c>
      <c r="C41" s="56" t="s">
        <v>806</v>
      </c>
      <c r="D41" s="53" t="s">
        <v>807</v>
      </c>
      <c r="E41" s="6" t="s">
        <v>55</v>
      </c>
      <c r="F41" s="19">
        <v>12688665</v>
      </c>
      <c r="G41" s="24">
        <v>22922.07</v>
      </c>
      <c r="H41" s="24">
        <v>1.04</v>
      </c>
      <c r="I41" s="31"/>
      <c r="J41" s="35"/>
    </row>
    <row r="42" spans="2:10" x14ac:dyDescent="0.25">
      <c r="B42" s="8" t="s">
        <v>498</v>
      </c>
      <c r="C42" s="56" t="s">
        <v>499</v>
      </c>
      <c r="D42" s="53" t="s">
        <v>500</v>
      </c>
      <c r="E42" s="6" t="s">
        <v>254</v>
      </c>
      <c r="F42" s="19">
        <v>23084595</v>
      </c>
      <c r="G42" s="24">
        <v>22103.5</v>
      </c>
      <c r="H42" s="24">
        <v>1</v>
      </c>
      <c r="I42" s="31"/>
      <c r="J42" s="35"/>
    </row>
    <row r="43" spans="2:10" x14ac:dyDescent="0.25">
      <c r="B43" s="8" t="s">
        <v>255</v>
      </c>
      <c r="C43" s="56" t="s">
        <v>256</v>
      </c>
      <c r="D43" s="53" t="s">
        <v>257</v>
      </c>
      <c r="E43" s="6" t="s">
        <v>51</v>
      </c>
      <c r="F43" s="19">
        <v>8000000</v>
      </c>
      <c r="G43" s="24">
        <v>21840</v>
      </c>
      <c r="H43" s="24">
        <v>0.99</v>
      </c>
      <c r="I43" s="31"/>
      <c r="J43" s="35"/>
    </row>
    <row r="44" spans="2:10" x14ac:dyDescent="0.25">
      <c r="B44" s="8" t="s">
        <v>294</v>
      </c>
      <c r="C44" s="56" t="s">
        <v>295</v>
      </c>
      <c r="D44" s="53" t="s">
        <v>296</v>
      </c>
      <c r="E44" s="6" t="s">
        <v>274</v>
      </c>
      <c r="F44" s="19">
        <v>13581553</v>
      </c>
      <c r="G44" s="24">
        <v>20732.240000000002</v>
      </c>
      <c r="H44" s="24">
        <v>0.94</v>
      </c>
      <c r="I44" s="31"/>
      <c r="J44" s="35"/>
    </row>
    <row r="45" spans="2:10" x14ac:dyDescent="0.25">
      <c r="B45" s="8" t="s">
        <v>409</v>
      </c>
      <c r="C45" s="56" t="s">
        <v>410</v>
      </c>
      <c r="D45" s="53" t="s">
        <v>411</v>
      </c>
      <c r="E45" s="6" t="s">
        <v>98</v>
      </c>
      <c r="F45" s="19">
        <v>300000</v>
      </c>
      <c r="G45" s="24">
        <v>20230.349999999999</v>
      </c>
      <c r="H45" s="24">
        <v>0.92</v>
      </c>
      <c r="I45" s="31"/>
      <c r="J45" s="35"/>
    </row>
    <row r="46" spans="2:10" x14ac:dyDescent="0.25">
      <c r="B46" s="8" t="s">
        <v>154</v>
      </c>
      <c r="C46" s="56" t="s">
        <v>155</v>
      </c>
      <c r="D46" s="53" t="s">
        <v>156</v>
      </c>
      <c r="E46" s="6" t="s">
        <v>157</v>
      </c>
      <c r="F46" s="19">
        <v>4409438</v>
      </c>
      <c r="G46" s="24">
        <v>19630.82</v>
      </c>
      <c r="H46" s="24">
        <v>0.89</v>
      </c>
      <c r="I46" s="31"/>
      <c r="J46" s="35"/>
    </row>
    <row r="47" spans="2:10" x14ac:dyDescent="0.25">
      <c r="B47" s="8" t="s">
        <v>327</v>
      </c>
      <c r="C47" s="56" t="s">
        <v>328</v>
      </c>
      <c r="D47" s="53" t="s">
        <v>329</v>
      </c>
      <c r="E47" s="6" t="s">
        <v>47</v>
      </c>
      <c r="F47" s="19">
        <v>2260837</v>
      </c>
      <c r="G47" s="24">
        <v>17900.18</v>
      </c>
      <c r="H47" s="24">
        <v>0.81</v>
      </c>
      <c r="I47" s="31"/>
      <c r="J47" s="35"/>
    </row>
    <row r="48" spans="2:10" x14ac:dyDescent="0.25">
      <c r="B48" s="8" t="s">
        <v>99</v>
      </c>
      <c r="C48" s="56" t="s">
        <v>100</v>
      </c>
      <c r="D48" s="53" t="s">
        <v>101</v>
      </c>
      <c r="E48" s="6" t="s">
        <v>90</v>
      </c>
      <c r="F48" s="19">
        <v>420620</v>
      </c>
      <c r="G48" s="24">
        <v>15975.78</v>
      </c>
      <c r="H48" s="24">
        <v>0.72</v>
      </c>
      <c r="I48" s="31"/>
      <c r="J48" s="35"/>
    </row>
    <row r="49" spans="2:10" x14ac:dyDescent="0.25">
      <c r="B49" s="8" t="s">
        <v>171</v>
      </c>
      <c r="C49" s="56" t="s">
        <v>172</v>
      </c>
      <c r="D49" s="53" t="s">
        <v>173</v>
      </c>
      <c r="E49" s="6" t="s">
        <v>55</v>
      </c>
      <c r="F49" s="19">
        <v>4500000</v>
      </c>
      <c r="G49" s="24">
        <v>15887.25</v>
      </c>
      <c r="H49" s="24">
        <v>0.72</v>
      </c>
      <c r="I49" s="31"/>
      <c r="J49" s="35"/>
    </row>
    <row r="50" spans="2:10" x14ac:dyDescent="0.25">
      <c r="B50" s="8" t="s">
        <v>345</v>
      </c>
      <c r="C50" s="56" t="s">
        <v>346</v>
      </c>
      <c r="D50" s="53" t="s">
        <v>347</v>
      </c>
      <c r="E50" s="6" t="s">
        <v>111</v>
      </c>
      <c r="F50" s="19">
        <v>2069863</v>
      </c>
      <c r="G50" s="24">
        <v>14893.7</v>
      </c>
      <c r="H50" s="24">
        <v>0.68</v>
      </c>
      <c r="I50" s="31"/>
      <c r="J50" s="35"/>
    </row>
    <row r="51" spans="2:10" x14ac:dyDescent="0.25">
      <c r="B51" s="8" t="s">
        <v>1499</v>
      </c>
      <c r="C51" s="56" t="s">
        <v>1381</v>
      </c>
      <c r="D51" s="53" t="s">
        <v>1500</v>
      </c>
      <c r="E51" s="6" t="s">
        <v>94</v>
      </c>
      <c r="F51" s="19">
        <v>11721496</v>
      </c>
      <c r="G51" s="24">
        <v>14429.16</v>
      </c>
      <c r="H51" s="24">
        <v>0.65</v>
      </c>
      <c r="I51" s="31"/>
      <c r="J51" s="35"/>
    </row>
    <row r="52" spans="2:10" x14ac:dyDescent="0.25">
      <c r="B52" s="8" t="s">
        <v>1515</v>
      </c>
      <c r="C52" s="56" t="s">
        <v>1516</v>
      </c>
      <c r="D52" s="53" t="s">
        <v>1517</v>
      </c>
      <c r="E52" s="6" t="s">
        <v>111</v>
      </c>
      <c r="F52" s="19">
        <v>904621</v>
      </c>
      <c r="G52" s="24">
        <v>14249.14</v>
      </c>
      <c r="H52" s="24">
        <v>0.65</v>
      </c>
      <c r="I52" s="31"/>
      <c r="J52" s="35"/>
    </row>
    <row r="53" spans="2:10" x14ac:dyDescent="0.25">
      <c r="B53" s="8" t="s">
        <v>379</v>
      </c>
      <c r="C53" s="56" t="s">
        <v>380</v>
      </c>
      <c r="D53" s="53" t="s">
        <v>381</v>
      </c>
      <c r="E53" s="6" t="s">
        <v>55</v>
      </c>
      <c r="F53" s="19">
        <v>17575620</v>
      </c>
      <c r="G53" s="24">
        <v>12988.38</v>
      </c>
      <c r="H53" s="24">
        <v>0.59</v>
      </c>
      <c r="I53" s="31"/>
      <c r="J53" s="35"/>
    </row>
    <row r="54" spans="2:10" x14ac:dyDescent="0.25">
      <c r="B54" s="8" t="s">
        <v>158</v>
      </c>
      <c r="C54" s="56" t="s">
        <v>159</v>
      </c>
      <c r="D54" s="53" t="s">
        <v>160</v>
      </c>
      <c r="E54" s="6" t="s">
        <v>111</v>
      </c>
      <c r="F54" s="19">
        <v>1241749</v>
      </c>
      <c r="G54" s="24">
        <v>12509.38</v>
      </c>
      <c r="H54" s="24">
        <v>0.56999999999999995</v>
      </c>
      <c r="I54" s="31"/>
      <c r="J54" s="35"/>
    </row>
    <row r="55" spans="2:10" x14ac:dyDescent="0.25">
      <c r="B55" s="8" t="s">
        <v>769</v>
      </c>
      <c r="C55" s="56" t="s">
        <v>770</v>
      </c>
      <c r="D55" s="53" t="s">
        <v>771</v>
      </c>
      <c r="E55" s="6" t="s">
        <v>111</v>
      </c>
      <c r="F55" s="19">
        <v>1500000</v>
      </c>
      <c r="G55" s="24">
        <v>11947.5</v>
      </c>
      <c r="H55" s="24">
        <v>0.54</v>
      </c>
      <c r="I55" s="31"/>
      <c r="J55" s="35"/>
    </row>
    <row r="56" spans="2:10" x14ac:dyDescent="0.25">
      <c r="B56" s="8" t="s">
        <v>245</v>
      </c>
      <c r="C56" s="56" t="s">
        <v>246</v>
      </c>
      <c r="D56" s="53" t="s">
        <v>247</v>
      </c>
      <c r="E56" s="6" t="s">
        <v>111</v>
      </c>
      <c r="F56" s="19">
        <v>2294857</v>
      </c>
      <c r="G56" s="24">
        <v>11484.61</v>
      </c>
      <c r="H56" s="24">
        <v>0.52</v>
      </c>
      <c r="I56" s="31"/>
      <c r="J56" s="35"/>
    </row>
    <row r="57" spans="2:10" x14ac:dyDescent="0.25">
      <c r="B57" s="8" t="s">
        <v>1496</v>
      </c>
      <c r="C57" s="56" t="s">
        <v>1497</v>
      </c>
      <c r="D57" s="53" t="s">
        <v>1498</v>
      </c>
      <c r="E57" s="6" t="s">
        <v>254</v>
      </c>
      <c r="F57" s="19">
        <v>1419500</v>
      </c>
      <c r="G57" s="24">
        <v>10199.82</v>
      </c>
      <c r="H57" s="24">
        <v>0.46</v>
      </c>
      <c r="I57" s="31"/>
      <c r="J57" s="35"/>
    </row>
    <row r="58" spans="2:10" x14ac:dyDescent="0.25">
      <c r="B58" s="8" t="s">
        <v>883</v>
      </c>
      <c r="C58" s="56" t="s">
        <v>884</v>
      </c>
      <c r="D58" s="53" t="s">
        <v>885</v>
      </c>
      <c r="E58" s="6" t="s">
        <v>886</v>
      </c>
      <c r="F58" s="19">
        <v>8760000</v>
      </c>
      <c r="G58" s="24">
        <v>10161.6</v>
      </c>
      <c r="H58" s="24">
        <v>0.46</v>
      </c>
      <c r="I58" s="31"/>
      <c r="J58" s="35"/>
    </row>
    <row r="59" spans="2:10" x14ac:dyDescent="0.25">
      <c r="B59" s="8" t="s">
        <v>1518</v>
      </c>
      <c r="C59" s="56" t="s">
        <v>1519</v>
      </c>
      <c r="D59" s="53" t="s">
        <v>1520</v>
      </c>
      <c r="E59" s="6" t="s">
        <v>83</v>
      </c>
      <c r="F59" s="19">
        <v>1491491</v>
      </c>
      <c r="G59" s="24">
        <v>10147.36</v>
      </c>
      <c r="H59" s="24">
        <v>0.46</v>
      </c>
      <c r="I59" s="31"/>
      <c r="J59" s="35"/>
    </row>
    <row r="60" spans="2:10" x14ac:dyDescent="0.25">
      <c r="B60" s="8" t="s">
        <v>265</v>
      </c>
      <c r="C60" s="56" t="s">
        <v>266</v>
      </c>
      <c r="D60" s="53" t="s">
        <v>267</v>
      </c>
      <c r="E60" s="6" t="s">
        <v>157</v>
      </c>
      <c r="F60" s="19">
        <v>693347</v>
      </c>
      <c r="G60" s="24">
        <v>10133.27</v>
      </c>
      <c r="H60" s="24">
        <v>0.46</v>
      </c>
      <c r="I60" s="31"/>
      <c r="J60" s="35"/>
    </row>
    <row r="61" spans="2:10" x14ac:dyDescent="0.25">
      <c r="B61" s="8" t="s">
        <v>853</v>
      </c>
      <c r="C61" s="56" t="s">
        <v>854</v>
      </c>
      <c r="D61" s="53" t="s">
        <v>855</v>
      </c>
      <c r="E61" s="6" t="s">
        <v>261</v>
      </c>
      <c r="F61" s="19">
        <v>6139583</v>
      </c>
      <c r="G61" s="24">
        <v>9973.75</v>
      </c>
      <c r="H61" s="24">
        <v>0.45</v>
      </c>
      <c r="I61" s="31"/>
      <c r="J61" s="35"/>
    </row>
    <row r="62" spans="2:10" x14ac:dyDescent="0.25">
      <c r="B62" s="8" t="s">
        <v>856</v>
      </c>
      <c r="C62" s="56" t="s">
        <v>857</v>
      </c>
      <c r="D62" s="53" t="s">
        <v>858</v>
      </c>
      <c r="E62" s="6" t="s">
        <v>261</v>
      </c>
      <c r="F62" s="19">
        <v>9586800</v>
      </c>
      <c r="G62" s="24">
        <v>8158.37</v>
      </c>
      <c r="H62" s="24">
        <v>0.37</v>
      </c>
      <c r="I62" s="31"/>
      <c r="J62" s="35"/>
    </row>
    <row r="63" spans="2:10" x14ac:dyDescent="0.25">
      <c r="B63" s="8" t="s">
        <v>433</v>
      </c>
      <c r="C63" s="56" t="s">
        <v>434</v>
      </c>
      <c r="D63" s="53" t="s">
        <v>435</v>
      </c>
      <c r="E63" s="6" t="s">
        <v>157</v>
      </c>
      <c r="F63" s="19">
        <v>197974</v>
      </c>
      <c r="G63" s="24">
        <v>7010.85</v>
      </c>
      <c r="H63" s="24">
        <v>0.32</v>
      </c>
      <c r="I63" s="31"/>
      <c r="J63" s="35"/>
    </row>
    <row r="64" spans="2:10" x14ac:dyDescent="0.25">
      <c r="B64" s="8" t="s">
        <v>143</v>
      </c>
      <c r="C64" s="56" t="s">
        <v>144</v>
      </c>
      <c r="D64" s="53" t="s">
        <v>145</v>
      </c>
      <c r="E64" s="6" t="s">
        <v>146</v>
      </c>
      <c r="F64" s="19">
        <v>318110</v>
      </c>
      <c r="G64" s="24">
        <v>7008.44</v>
      </c>
      <c r="H64" s="24">
        <v>0.32</v>
      </c>
      <c r="I64" s="31"/>
      <c r="J64" s="35"/>
    </row>
    <row r="65" spans="2:10" x14ac:dyDescent="0.25">
      <c r="B65" s="8" t="s">
        <v>1641</v>
      </c>
      <c r="C65" s="56" t="s">
        <v>125</v>
      </c>
      <c r="D65" s="53" t="s">
        <v>1642</v>
      </c>
      <c r="E65" s="6" t="s">
        <v>94</v>
      </c>
      <c r="F65" s="19">
        <v>1570200</v>
      </c>
      <c r="G65" s="24">
        <v>4687.05</v>
      </c>
      <c r="H65" s="24">
        <v>0.21</v>
      </c>
      <c r="I65" s="31"/>
      <c r="J65" s="35" t="s">
        <v>1643</v>
      </c>
    </row>
    <row r="66" spans="2:10" x14ac:dyDescent="0.25">
      <c r="B66" s="8" t="s">
        <v>1503</v>
      </c>
      <c r="C66" s="56" t="s">
        <v>1504</v>
      </c>
      <c r="D66" s="53" t="s">
        <v>1505</v>
      </c>
      <c r="E66" s="6" t="s">
        <v>94</v>
      </c>
      <c r="F66" s="19">
        <v>458888</v>
      </c>
      <c r="G66" s="24">
        <v>4353.7</v>
      </c>
      <c r="H66" s="24">
        <v>0.2</v>
      </c>
      <c r="I66" s="31"/>
      <c r="J66" s="35"/>
    </row>
    <row r="67" spans="2:10" x14ac:dyDescent="0.25">
      <c r="B67" s="8" t="s">
        <v>836</v>
      </c>
      <c r="C67" s="56" t="s">
        <v>837</v>
      </c>
      <c r="D67" s="53" t="s">
        <v>838</v>
      </c>
      <c r="E67" s="6" t="s">
        <v>79</v>
      </c>
      <c r="F67" s="19">
        <v>2778832</v>
      </c>
      <c r="G67" s="24">
        <v>1339.4</v>
      </c>
      <c r="H67" s="24">
        <v>0.06</v>
      </c>
      <c r="I67" s="31"/>
      <c r="J67" s="35"/>
    </row>
    <row r="68" spans="2:10" x14ac:dyDescent="0.25">
      <c r="C68" s="57" t="s">
        <v>35</v>
      </c>
      <c r="D68" s="53"/>
      <c r="E68" s="6"/>
      <c r="F68" s="19"/>
      <c r="G68" s="25">
        <v>2190605.14</v>
      </c>
      <c r="H68" s="25">
        <v>99.35</v>
      </c>
      <c r="I68" s="31"/>
      <c r="J68" s="35"/>
    </row>
    <row r="69" spans="2:10" x14ac:dyDescent="0.25">
      <c r="C69" s="56"/>
      <c r="D69" s="53"/>
      <c r="E69" s="6"/>
      <c r="F69" s="19"/>
      <c r="G69" s="24"/>
      <c r="H69" s="24"/>
      <c r="I69" s="31"/>
      <c r="J69" s="35"/>
    </row>
    <row r="70" spans="2:10" x14ac:dyDescent="0.25">
      <c r="C70" s="57" t="s">
        <v>3</v>
      </c>
      <c r="D70" s="53"/>
      <c r="E70" s="6"/>
      <c r="F70" s="19"/>
      <c r="G70" s="24" t="s">
        <v>2</v>
      </c>
      <c r="H70" s="24" t="s">
        <v>2</v>
      </c>
      <c r="I70" s="31"/>
      <c r="J70" s="35"/>
    </row>
    <row r="71" spans="2:10" x14ac:dyDescent="0.25">
      <c r="C71" s="56"/>
      <c r="D71" s="53"/>
      <c r="E71" s="6"/>
      <c r="F71" s="19"/>
      <c r="G71" s="24"/>
      <c r="H71" s="24"/>
      <c r="I71" s="31"/>
      <c r="J71" s="35"/>
    </row>
    <row r="72" spans="2:10" x14ac:dyDescent="0.25">
      <c r="C72" s="57" t="s">
        <v>4</v>
      </c>
      <c r="D72" s="53"/>
      <c r="E72" s="6"/>
      <c r="F72" s="19"/>
      <c r="G72" s="24" t="s">
        <v>2</v>
      </c>
      <c r="H72" s="24" t="s">
        <v>2</v>
      </c>
      <c r="I72" s="31"/>
      <c r="J72" s="35"/>
    </row>
    <row r="73" spans="2:10" x14ac:dyDescent="0.25">
      <c r="C73" s="56"/>
      <c r="D73" s="53"/>
      <c r="E73" s="6"/>
      <c r="F73" s="19"/>
      <c r="G73" s="24"/>
      <c r="H73" s="24"/>
      <c r="I73" s="31"/>
      <c r="J73" s="35"/>
    </row>
    <row r="74" spans="2:10" x14ac:dyDescent="0.25">
      <c r="C74" s="57" t="s">
        <v>5</v>
      </c>
      <c r="D74" s="53"/>
      <c r="E74" s="6"/>
      <c r="F74" s="19"/>
      <c r="G74" s="24"/>
      <c r="H74" s="24"/>
      <c r="I74" s="31"/>
      <c r="J74" s="35"/>
    </row>
    <row r="75" spans="2:10" x14ac:dyDescent="0.25">
      <c r="C75" s="56"/>
      <c r="D75" s="53"/>
      <c r="E75" s="6"/>
      <c r="F75" s="19"/>
      <c r="G75" s="24"/>
      <c r="H75" s="24"/>
      <c r="I75" s="31"/>
      <c r="J75" s="35"/>
    </row>
    <row r="76" spans="2:10" x14ac:dyDescent="0.25">
      <c r="C76" s="57" t="s">
        <v>6</v>
      </c>
      <c r="D76" s="53"/>
      <c r="E76" s="6"/>
      <c r="F76" s="19"/>
      <c r="G76" s="24" t="s">
        <v>2</v>
      </c>
      <c r="H76" s="24" t="s">
        <v>2</v>
      </c>
      <c r="I76" s="31"/>
      <c r="J76" s="35"/>
    </row>
    <row r="77" spans="2:10" x14ac:dyDescent="0.25">
      <c r="C77" s="56"/>
      <c r="D77" s="53"/>
      <c r="E77" s="6"/>
      <c r="F77" s="19"/>
      <c r="G77" s="24"/>
      <c r="H77" s="24"/>
      <c r="I77" s="31"/>
      <c r="J77" s="35"/>
    </row>
    <row r="78" spans="2:10" x14ac:dyDescent="0.25">
      <c r="C78" s="57" t="s">
        <v>7</v>
      </c>
      <c r="D78" s="53"/>
      <c r="E78" s="6"/>
      <c r="F78" s="19"/>
      <c r="G78" s="24" t="s">
        <v>2</v>
      </c>
      <c r="H78" s="24" t="s">
        <v>2</v>
      </c>
      <c r="I78" s="31"/>
      <c r="J78" s="35"/>
    </row>
    <row r="79" spans="2:10" x14ac:dyDescent="0.25">
      <c r="C79" s="56"/>
      <c r="D79" s="53"/>
      <c r="E79" s="6"/>
      <c r="F79" s="19"/>
      <c r="G79" s="24"/>
      <c r="H79" s="24"/>
      <c r="I79" s="31"/>
      <c r="J79" s="35"/>
    </row>
    <row r="80" spans="2:10" x14ac:dyDescent="0.25">
      <c r="C80" s="57" t="s">
        <v>8</v>
      </c>
      <c r="D80" s="53"/>
      <c r="E80" s="6"/>
      <c r="F80" s="19"/>
      <c r="G80" s="24" t="s">
        <v>2</v>
      </c>
      <c r="H80" s="24" t="s">
        <v>2</v>
      </c>
      <c r="I80" s="31"/>
      <c r="J80" s="35"/>
    </row>
    <row r="81" spans="1:10" x14ac:dyDescent="0.25">
      <c r="C81" s="56"/>
      <c r="D81" s="53"/>
      <c r="E81" s="6"/>
      <c r="F81" s="19"/>
      <c r="G81" s="24"/>
      <c r="H81" s="24"/>
      <c r="I81" s="31"/>
      <c r="J81" s="35"/>
    </row>
    <row r="82" spans="1:10" x14ac:dyDescent="0.25">
      <c r="C82" s="57" t="s">
        <v>9</v>
      </c>
      <c r="D82" s="53"/>
      <c r="E82" s="6"/>
      <c r="F82" s="19"/>
      <c r="G82" s="24" t="s">
        <v>2</v>
      </c>
      <c r="H82" s="24" t="s">
        <v>2</v>
      </c>
      <c r="I82" s="31"/>
      <c r="J82" s="35"/>
    </row>
    <row r="83" spans="1:10" x14ac:dyDescent="0.25">
      <c r="C83" s="56"/>
      <c r="D83" s="53"/>
      <c r="E83" s="6"/>
      <c r="F83" s="19"/>
      <c r="G83" s="24"/>
      <c r="H83" s="24"/>
      <c r="I83" s="31"/>
      <c r="J83" s="35"/>
    </row>
    <row r="84" spans="1:10" x14ac:dyDescent="0.25">
      <c r="C84" s="57" t="s">
        <v>10</v>
      </c>
      <c r="D84" s="53"/>
      <c r="E84" s="6"/>
      <c r="F84" s="19"/>
      <c r="G84" s="24" t="s">
        <v>2</v>
      </c>
      <c r="H84" s="24" t="s">
        <v>2</v>
      </c>
      <c r="I84" s="31"/>
      <c r="J84" s="35"/>
    </row>
    <row r="85" spans="1:10" x14ac:dyDescent="0.25">
      <c r="C85" s="56"/>
      <c r="D85" s="53"/>
      <c r="E85" s="6"/>
      <c r="F85" s="19"/>
      <c r="G85" s="24"/>
      <c r="H85" s="24"/>
      <c r="I85" s="31"/>
      <c r="J85" s="35"/>
    </row>
    <row r="86" spans="1:10" x14ac:dyDescent="0.25">
      <c r="C86" s="57" t="s">
        <v>11</v>
      </c>
      <c r="D86" s="53"/>
      <c r="E86" s="6"/>
      <c r="F86" s="19"/>
      <c r="G86" s="24"/>
      <c r="H86" s="24"/>
      <c r="I86" s="31"/>
      <c r="J86" s="35"/>
    </row>
    <row r="87" spans="1:10" x14ac:dyDescent="0.25">
      <c r="C87" s="56"/>
      <c r="D87" s="53"/>
      <c r="E87" s="6"/>
      <c r="F87" s="19"/>
      <c r="G87" s="24"/>
      <c r="H87" s="24"/>
      <c r="I87" s="31"/>
      <c r="J87" s="35"/>
    </row>
    <row r="88" spans="1:10" x14ac:dyDescent="0.25">
      <c r="C88" s="57" t="s">
        <v>13</v>
      </c>
      <c r="D88" s="53"/>
      <c r="E88" s="6"/>
      <c r="F88" s="19"/>
      <c r="G88" s="24" t="s">
        <v>2</v>
      </c>
      <c r="H88" s="24" t="s">
        <v>2</v>
      </c>
      <c r="I88" s="31"/>
      <c r="J88" s="35"/>
    </row>
    <row r="89" spans="1:10" x14ac:dyDescent="0.25">
      <c r="C89" s="56"/>
      <c r="D89" s="53"/>
      <c r="E89" s="6"/>
      <c r="F89" s="19"/>
      <c r="G89" s="24"/>
      <c r="H89" s="24"/>
      <c r="I89" s="31"/>
      <c r="J89" s="35"/>
    </row>
    <row r="90" spans="1:10" x14ac:dyDescent="0.25">
      <c r="C90" s="57" t="s">
        <v>14</v>
      </c>
      <c r="D90" s="53"/>
      <c r="E90" s="6"/>
      <c r="F90" s="19"/>
      <c r="G90" s="24" t="s">
        <v>2</v>
      </c>
      <c r="H90" s="24" t="s">
        <v>2</v>
      </c>
      <c r="I90" s="31"/>
      <c r="J90" s="35"/>
    </row>
    <row r="91" spans="1:10" x14ac:dyDescent="0.25">
      <c r="C91" s="56"/>
      <c r="D91" s="53"/>
      <c r="E91" s="6"/>
      <c r="F91" s="19"/>
      <c r="G91" s="24"/>
      <c r="H91" s="24"/>
      <c r="I91" s="31"/>
      <c r="J91" s="35"/>
    </row>
    <row r="92" spans="1:10" x14ac:dyDescent="0.25">
      <c r="C92" s="57" t="s">
        <v>15</v>
      </c>
      <c r="D92" s="53"/>
      <c r="E92" s="6"/>
      <c r="F92" s="19"/>
      <c r="G92" s="24" t="s">
        <v>2</v>
      </c>
      <c r="H92" s="24" t="s">
        <v>2</v>
      </c>
      <c r="I92" s="31"/>
      <c r="J92" s="35"/>
    </row>
    <row r="93" spans="1:10" x14ac:dyDescent="0.25">
      <c r="C93" s="56"/>
      <c r="D93" s="53"/>
      <c r="E93" s="6"/>
      <c r="F93" s="19"/>
      <c r="G93" s="24"/>
      <c r="H93" s="24"/>
      <c r="I93" s="31"/>
      <c r="J93" s="35"/>
    </row>
    <row r="94" spans="1:10" x14ac:dyDescent="0.25">
      <c r="C94" s="57" t="s">
        <v>16</v>
      </c>
      <c r="D94" s="53"/>
      <c r="E94" s="6"/>
      <c r="F94" s="19"/>
      <c r="G94" s="24" t="s">
        <v>2</v>
      </c>
      <c r="H94" s="24" t="s">
        <v>2</v>
      </c>
      <c r="I94" s="31"/>
      <c r="J94" s="35"/>
    </row>
    <row r="95" spans="1:10" x14ac:dyDescent="0.25">
      <c r="C95" s="56"/>
      <c r="D95" s="53"/>
      <c r="E95" s="6"/>
      <c r="F95" s="19"/>
      <c r="G95" s="24"/>
      <c r="H95" s="24"/>
      <c r="I95" s="31"/>
      <c r="J95" s="35"/>
    </row>
    <row r="96" spans="1:10" x14ac:dyDescent="0.25">
      <c r="A96" s="10"/>
      <c r="B96" s="28"/>
      <c r="C96" s="58" t="s">
        <v>17</v>
      </c>
      <c r="D96" s="53"/>
      <c r="E96" s="6"/>
      <c r="F96" s="19"/>
      <c r="G96" s="24"/>
      <c r="H96" s="24"/>
      <c r="I96" s="31"/>
      <c r="J96" s="35"/>
    </row>
    <row r="97" spans="1:10" x14ac:dyDescent="0.25">
      <c r="A97" s="28"/>
      <c r="B97" s="28"/>
      <c r="C97" s="58" t="s">
        <v>18</v>
      </c>
      <c r="D97" s="53"/>
      <c r="E97" s="6"/>
      <c r="F97" s="19"/>
      <c r="G97" s="24" t="s">
        <v>2</v>
      </c>
      <c r="H97" s="24" t="s">
        <v>2</v>
      </c>
      <c r="I97" s="31"/>
      <c r="J97" s="35"/>
    </row>
    <row r="98" spans="1:10" x14ac:dyDescent="0.25">
      <c r="A98" s="28"/>
      <c r="B98" s="28"/>
      <c r="C98" s="58"/>
      <c r="D98" s="53"/>
      <c r="E98" s="6"/>
      <c r="F98" s="19"/>
      <c r="G98" s="24"/>
      <c r="H98" s="24"/>
      <c r="I98" s="31"/>
      <c r="J98" s="35"/>
    </row>
    <row r="99" spans="1:10" x14ac:dyDescent="0.25">
      <c r="A99" s="28"/>
      <c r="B99" s="28"/>
      <c r="C99" s="58" t="s">
        <v>19</v>
      </c>
      <c r="D99" s="53"/>
      <c r="E99" s="6"/>
      <c r="F99" s="19"/>
      <c r="G99" s="24" t="s">
        <v>2</v>
      </c>
      <c r="H99" s="24" t="s">
        <v>2</v>
      </c>
      <c r="I99" s="31"/>
      <c r="J99" s="35"/>
    </row>
    <row r="100" spans="1:10" x14ac:dyDescent="0.25">
      <c r="A100" s="28"/>
      <c r="B100" s="28"/>
      <c r="C100" s="58"/>
      <c r="D100" s="53"/>
      <c r="E100" s="6"/>
      <c r="F100" s="19"/>
      <c r="G100" s="24"/>
      <c r="H100" s="24"/>
      <c r="I100" s="31"/>
      <c r="J100" s="35"/>
    </row>
    <row r="101" spans="1:10" x14ac:dyDescent="0.25">
      <c r="A101" s="28"/>
      <c r="B101" s="28"/>
      <c r="C101" s="58" t="s">
        <v>20</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21</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C105" s="59" t="s">
        <v>22</v>
      </c>
      <c r="D105" s="53"/>
      <c r="E105" s="6"/>
      <c r="F105" s="19"/>
      <c r="G105" s="24"/>
      <c r="H105" s="24"/>
      <c r="I105" s="31"/>
      <c r="J105" s="35"/>
    </row>
    <row r="106" spans="1:10" x14ac:dyDescent="0.25">
      <c r="B106" s="8" t="s">
        <v>33</v>
      </c>
      <c r="C106" s="56" t="s">
        <v>34</v>
      </c>
      <c r="D106" s="53"/>
      <c r="E106" s="6"/>
      <c r="F106" s="19"/>
      <c r="G106" s="24">
        <v>14758.1</v>
      </c>
      <c r="H106" s="24">
        <v>0.67</v>
      </c>
      <c r="I106" s="31"/>
      <c r="J106" s="35"/>
    </row>
    <row r="107" spans="1:10" x14ac:dyDescent="0.25">
      <c r="C107" s="57" t="s">
        <v>35</v>
      </c>
      <c r="D107" s="53"/>
      <c r="E107" s="6"/>
      <c r="F107" s="19"/>
      <c r="G107" s="25">
        <v>14758.1</v>
      </c>
      <c r="H107" s="25">
        <v>0.67</v>
      </c>
      <c r="I107" s="31"/>
      <c r="J107" s="35"/>
    </row>
    <row r="108" spans="1:10" x14ac:dyDescent="0.25">
      <c r="C108" s="56"/>
      <c r="D108" s="53"/>
      <c r="E108" s="6"/>
      <c r="F108" s="19"/>
      <c r="G108" s="24"/>
      <c r="H108" s="24"/>
      <c r="I108" s="31"/>
      <c r="J108" s="35"/>
    </row>
    <row r="109" spans="1:10" x14ac:dyDescent="0.25">
      <c r="A109" s="10"/>
      <c r="B109" s="28"/>
      <c r="C109" s="58" t="s">
        <v>23</v>
      </c>
      <c r="D109" s="53"/>
      <c r="E109" s="6"/>
      <c r="F109" s="19"/>
      <c r="G109" s="24"/>
      <c r="H109" s="24"/>
      <c r="I109" s="31"/>
      <c r="J109" s="35"/>
    </row>
    <row r="110" spans="1:10" x14ac:dyDescent="0.25">
      <c r="A110" s="28"/>
      <c r="B110" s="28"/>
      <c r="C110" s="60" t="s">
        <v>3398</v>
      </c>
      <c r="D110" s="53"/>
      <c r="E110" s="6"/>
      <c r="F110" s="19"/>
      <c r="G110" s="24">
        <v>5895</v>
      </c>
      <c r="H110" s="24">
        <v>0.27</v>
      </c>
      <c r="I110" s="31"/>
      <c r="J110" s="35"/>
    </row>
    <row r="111" spans="1:10" x14ac:dyDescent="0.25">
      <c r="B111" s="8"/>
      <c r="C111" s="56" t="s">
        <v>36</v>
      </c>
      <c r="D111" s="53"/>
      <c r="E111" s="6"/>
      <c r="F111" s="19"/>
      <c r="G111" s="24">
        <v>-5495.24</v>
      </c>
      <c r="H111" s="24">
        <v>-0.28999999999999998</v>
      </c>
      <c r="I111" s="31"/>
      <c r="J111" s="35"/>
    </row>
    <row r="112" spans="1:10" x14ac:dyDescent="0.25">
      <c r="C112" s="57" t="s">
        <v>35</v>
      </c>
      <c r="D112" s="53"/>
      <c r="E112" s="6"/>
      <c r="F112" s="19"/>
      <c r="G112" s="25">
        <v>399.76</v>
      </c>
      <c r="H112" s="25">
        <v>-0.02</v>
      </c>
      <c r="I112" s="31"/>
      <c r="J112" s="35"/>
    </row>
    <row r="113" spans="3:10" x14ac:dyDescent="0.25">
      <c r="C113" s="56"/>
      <c r="D113" s="53"/>
      <c r="E113" s="6"/>
      <c r="F113" s="19"/>
      <c r="G113" s="24"/>
      <c r="H113" s="24"/>
      <c r="I113" s="31"/>
      <c r="J113" s="35"/>
    </row>
    <row r="114" spans="3:10" x14ac:dyDescent="0.25">
      <c r="C114" s="61" t="s">
        <v>37</v>
      </c>
      <c r="D114" s="54"/>
      <c r="E114" s="5"/>
      <c r="F114" s="20"/>
      <c r="G114" s="26">
        <v>2205763</v>
      </c>
      <c r="H114" s="26">
        <f>SUMIFS(H:H,C:C,"Total")</f>
        <v>100</v>
      </c>
      <c r="I114" s="32"/>
      <c r="J114" s="36"/>
    </row>
    <row r="117" spans="3:10" x14ac:dyDescent="0.25">
      <c r="C117" s="1" t="s">
        <v>38</v>
      </c>
    </row>
    <row r="118" spans="3:10" x14ac:dyDescent="0.25">
      <c r="C118" s="2" t="s">
        <v>39</v>
      </c>
    </row>
    <row r="119" spans="3:10" x14ac:dyDescent="0.25">
      <c r="C119" s="2" t="s">
        <v>40</v>
      </c>
    </row>
    <row r="120" spans="3:10" x14ac:dyDescent="0.25">
      <c r="C120" s="2" t="s">
        <v>3430</v>
      </c>
    </row>
  </sheetData>
  <hyperlinks>
    <hyperlink ref="J2" location="'Index'!A1" display="'Index'!A1"/>
  </hyperlinks>
  <pageMargins left="0.7" right="0.7" top="0.75" bottom="0.75" header="0.3" footer="0.3"/>
  <pageSetup orientation="portrait" horizontalDpi="4294967293"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8"/>
  <dimension ref="A1:J212"/>
  <sheetViews>
    <sheetView showGridLines="0" zoomScale="90" zoomScaleNormal="90" workbookViewId="0">
      <pane ySplit="6" topLeftCell="A141" activePane="bottomLeft" state="frozen"/>
      <selection pane="bottomLeft" activeCell="G145" sqref="G145"/>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1644</v>
      </c>
      <c r="J2" s="37" t="s">
        <v>3307</v>
      </c>
    </row>
    <row r="3" spans="1:10" ht="16.5" x14ac:dyDescent="0.3">
      <c r="C3" s="1" t="s">
        <v>24</v>
      </c>
      <c r="D3" s="21" t="s">
        <v>1645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1620040</v>
      </c>
      <c r="G10" s="24">
        <v>36197.360000000001</v>
      </c>
      <c r="H10" s="24">
        <v>10.42</v>
      </c>
      <c r="I10" s="31"/>
      <c r="J10" s="35"/>
    </row>
    <row r="11" spans="1:10" x14ac:dyDescent="0.25">
      <c r="B11" s="8" t="s">
        <v>65</v>
      </c>
      <c r="C11" s="56" t="s">
        <v>66</v>
      </c>
      <c r="D11" s="53" t="s">
        <v>67</v>
      </c>
      <c r="E11" s="6" t="s">
        <v>68</v>
      </c>
      <c r="F11" s="19">
        <v>6637686</v>
      </c>
      <c r="G11" s="24">
        <v>27941.34</v>
      </c>
      <c r="H11" s="24">
        <v>8.0399999999999991</v>
      </c>
      <c r="I11" s="31"/>
      <c r="J11" s="35"/>
    </row>
    <row r="12" spans="1:10" x14ac:dyDescent="0.25">
      <c r="B12" s="8" t="s">
        <v>412</v>
      </c>
      <c r="C12" s="56" t="s">
        <v>413</v>
      </c>
      <c r="D12" s="53" t="s">
        <v>414</v>
      </c>
      <c r="E12" s="6" t="s">
        <v>111</v>
      </c>
      <c r="F12" s="19">
        <v>408250</v>
      </c>
      <c r="G12" s="24">
        <v>21179.19</v>
      </c>
      <c r="H12" s="24">
        <v>6.09</v>
      </c>
      <c r="I12" s="31"/>
      <c r="J12" s="35"/>
    </row>
    <row r="13" spans="1:10" x14ac:dyDescent="0.25">
      <c r="B13" s="8" t="s">
        <v>164</v>
      </c>
      <c r="C13" s="56" t="s">
        <v>165</v>
      </c>
      <c r="D13" s="53" t="s">
        <v>166</v>
      </c>
      <c r="E13" s="6" t="s">
        <v>51</v>
      </c>
      <c r="F13" s="19">
        <v>9915000</v>
      </c>
      <c r="G13" s="24">
        <v>18382.41</v>
      </c>
      <c r="H13" s="24">
        <v>5.29</v>
      </c>
      <c r="I13" s="31"/>
      <c r="J13" s="35"/>
    </row>
    <row r="14" spans="1:10" x14ac:dyDescent="0.25">
      <c r="B14" s="8" t="s">
        <v>62</v>
      </c>
      <c r="C14" s="56" t="s">
        <v>63</v>
      </c>
      <c r="D14" s="53" t="s">
        <v>64</v>
      </c>
      <c r="E14" s="6" t="s">
        <v>51</v>
      </c>
      <c r="F14" s="19">
        <v>3213375</v>
      </c>
      <c r="G14" s="24">
        <v>11399.45</v>
      </c>
      <c r="H14" s="24">
        <v>3.28</v>
      </c>
      <c r="I14" s="31"/>
      <c r="J14" s="35"/>
    </row>
    <row r="15" spans="1:10" x14ac:dyDescent="0.25">
      <c r="B15" s="8" t="s">
        <v>73</v>
      </c>
      <c r="C15" s="56" t="s">
        <v>74</v>
      </c>
      <c r="D15" s="53" t="s">
        <v>75</v>
      </c>
      <c r="E15" s="6" t="s">
        <v>51</v>
      </c>
      <c r="F15" s="19">
        <v>2619600</v>
      </c>
      <c r="G15" s="24">
        <v>11124.13</v>
      </c>
      <c r="H15" s="24">
        <v>3.2</v>
      </c>
      <c r="I15" s="31"/>
      <c r="J15" s="35"/>
    </row>
    <row r="16" spans="1:10" x14ac:dyDescent="0.25">
      <c r="B16" s="8" t="s">
        <v>354</v>
      </c>
      <c r="C16" s="56" t="s">
        <v>355</v>
      </c>
      <c r="D16" s="53" t="s">
        <v>356</v>
      </c>
      <c r="E16" s="6" t="s">
        <v>90</v>
      </c>
      <c r="F16" s="19">
        <v>5456000</v>
      </c>
      <c r="G16" s="24">
        <v>9367.9500000000007</v>
      </c>
      <c r="H16" s="24">
        <v>2.7</v>
      </c>
      <c r="I16" s="31"/>
      <c r="J16" s="35"/>
    </row>
    <row r="17" spans="2:10" x14ac:dyDescent="0.25">
      <c r="B17" s="8" t="s">
        <v>874</v>
      </c>
      <c r="C17" s="56" t="s">
        <v>875</v>
      </c>
      <c r="D17" s="53" t="s">
        <v>876</v>
      </c>
      <c r="E17" s="6" t="s">
        <v>41</v>
      </c>
      <c r="F17" s="19">
        <v>1235000</v>
      </c>
      <c r="G17" s="24">
        <v>9190.8700000000008</v>
      </c>
      <c r="H17" s="24">
        <v>2.64</v>
      </c>
      <c r="I17" s="31"/>
      <c r="J17" s="35"/>
    </row>
    <row r="18" spans="2:10" x14ac:dyDescent="0.25">
      <c r="B18" s="8" t="s">
        <v>245</v>
      </c>
      <c r="C18" s="56" t="s">
        <v>246</v>
      </c>
      <c r="D18" s="53" t="s">
        <v>247</v>
      </c>
      <c r="E18" s="6" t="s">
        <v>111</v>
      </c>
      <c r="F18" s="19">
        <v>1729000</v>
      </c>
      <c r="G18" s="24">
        <v>8652.7800000000007</v>
      </c>
      <c r="H18" s="24">
        <v>2.4900000000000002</v>
      </c>
      <c r="I18" s="31"/>
      <c r="J18" s="35"/>
    </row>
    <row r="19" spans="2:10" x14ac:dyDescent="0.25">
      <c r="B19" s="8" t="s">
        <v>124</v>
      </c>
      <c r="C19" s="56" t="s">
        <v>125</v>
      </c>
      <c r="D19" s="53" t="s">
        <v>126</v>
      </c>
      <c r="E19" s="6" t="s">
        <v>94</v>
      </c>
      <c r="F19" s="19">
        <v>414600</v>
      </c>
      <c r="G19" s="24">
        <v>7214.25</v>
      </c>
      <c r="H19" s="24">
        <v>2.08</v>
      </c>
      <c r="I19" s="31"/>
      <c r="J19" s="35"/>
    </row>
    <row r="20" spans="2:10" x14ac:dyDescent="0.25">
      <c r="B20" s="8" t="s">
        <v>880</v>
      </c>
      <c r="C20" s="56" t="s">
        <v>881</v>
      </c>
      <c r="D20" s="53" t="s">
        <v>882</v>
      </c>
      <c r="E20" s="6" t="s">
        <v>153</v>
      </c>
      <c r="F20" s="19">
        <v>2370600</v>
      </c>
      <c r="G20" s="24">
        <v>6584.34</v>
      </c>
      <c r="H20" s="24">
        <v>1.89</v>
      </c>
      <c r="I20" s="31"/>
      <c r="J20" s="35"/>
    </row>
    <row r="21" spans="2:10" x14ac:dyDescent="0.25">
      <c r="B21" s="8" t="s">
        <v>719</v>
      </c>
      <c r="C21" s="56" t="s">
        <v>720</v>
      </c>
      <c r="D21" s="53" t="s">
        <v>721</v>
      </c>
      <c r="E21" s="6" t="s">
        <v>722</v>
      </c>
      <c r="F21" s="19">
        <v>2667000</v>
      </c>
      <c r="G21" s="24">
        <v>5571.36</v>
      </c>
      <c r="H21" s="24">
        <v>1.6</v>
      </c>
      <c r="I21" s="31"/>
      <c r="J21" s="35"/>
    </row>
    <row r="22" spans="2:10" x14ac:dyDescent="0.25">
      <c r="B22" s="8" t="s">
        <v>324</v>
      </c>
      <c r="C22" s="56" t="s">
        <v>325</v>
      </c>
      <c r="D22" s="53" t="s">
        <v>326</v>
      </c>
      <c r="E22" s="6" t="s">
        <v>41</v>
      </c>
      <c r="F22" s="19">
        <v>2415000</v>
      </c>
      <c r="G22" s="24">
        <v>5240.55</v>
      </c>
      <c r="H22" s="24">
        <v>1.51</v>
      </c>
      <c r="I22" s="31"/>
      <c r="J22" s="35"/>
    </row>
    <row r="23" spans="2:10" x14ac:dyDescent="0.25">
      <c r="B23" s="8" t="s">
        <v>480</v>
      </c>
      <c r="C23" s="56" t="s">
        <v>481</v>
      </c>
      <c r="D23" s="53" t="s">
        <v>482</v>
      </c>
      <c r="E23" s="6" t="s">
        <v>142</v>
      </c>
      <c r="F23" s="19">
        <v>1440000</v>
      </c>
      <c r="G23" s="24">
        <v>4921.2</v>
      </c>
      <c r="H23" s="24">
        <v>1.42</v>
      </c>
      <c r="I23" s="31"/>
      <c r="J23" s="35"/>
    </row>
    <row r="24" spans="2:10" x14ac:dyDescent="0.25">
      <c r="B24" s="8" t="s">
        <v>229</v>
      </c>
      <c r="C24" s="56" t="s">
        <v>230</v>
      </c>
      <c r="D24" s="53" t="s">
        <v>231</v>
      </c>
      <c r="E24" s="6" t="s">
        <v>94</v>
      </c>
      <c r="F24" s="19">
        <v>333000</v>
      </c>
      <c r="G24" s="24">
        <v>3769.89</v>
      </c>
      <c r="H24" s="24">
        <v>1.08</v>
      </c>
      <c r="I24" s="31"/>
      <c r="J24" s="35"/>
    </row>
    <row r="25" spans="2:10" x14ac:dyDescent="0.25">
      <c r="B25" s="8" t="s">
        <v>136</v>
      </c>
      <c r="C25" s="56" t="s">
        <v>137</v>
      </c>
      <c r="D25" s="53" t="s">
        <v>138</v>
      </c>
      <c r="E25" s="6" t="s">
        <v>41</v>
      </c>
      <c r="F25" s="19">
        <v>90800</v>
      </c>
      <c r="G25" s="24">
        <v>3676.99</v>
      </c>
      <c r="H25" s="24">
        <v>1.06</v>
      </c>
      <c r="I25" s="31"/>
      <c r="J25" s="35"/>
    </row>
    <row r="26" spans="2:10" x14ac:dyDescent="0.25">
      <c r="B26" s="8" t="s">
        <v>1576</v>
      </c>
      <c r="C26" s="56" t="s">
        <v>1577</v>
      </c>
      <c r="D26" s="53" t="s">
        <v>1578</v>
      </c>
      <c r="E26" s="6" t="s">
        <v>90</v>
      </c>
      <c r="F26" s="19">
        <v>677500</v>
      </c>
      <c r="G26" s="24">
        <v>3458.98</v>
      </c>
      <c r="H26" s="24">
        <v>1</v>
      </c>
      <c r="I26" s="31"/>
      <c r="J26" s="35"/>
    </row>
    <row r="27" spans="2:10" x14ac:dyDescent="0.25">
      <c r="B27" s="8" t="s">
        <v>150</v>
      </c>
      <c r="C27" s="56" t="s">
        <v>151</v>
      </c>
      <c r="D27" s="53" t="s">
        <v>152</v>
      </c>
      <c r="E27" s="6" t="s">
        <v>153</v>
      </c>
      <c r="F27" s="19">
        <v>933300</v>
      </c>
      <c r="G27" s="24">
        <v>3357.55</v>
      </c>
      <c r="H27" s="24">
        <v>0.97</v>
      </c>
      <c r="I27" s="31"/>
      <c r="J27" s="35"/>
    </row>
    <row r="28" spans="2:10" x14ac:dyDescent="0.25">
      <c r="B28" s="8" t="s">
        <v>769</v>
      </c>
      <c r="C28" s="56" t="s">
        <v>770</v>
      </c>
      <c r="D28" s="53" t="s">
        <v>771</v>
      </c>
      <c r="E28" s="6" t="s">
        <v>111</v>
      </c>
      <c r="F28" s="19">
        <v>414700</v>
      </c>
      <c r="G28" s="24">
        <v>3303.09</v>
      </c>
      <c r="H28" s="24">
        <v>0.95</v>
      </c>
      <c r="I28" s="31"/>
      <c r="J28" s="35"/>
    </row>
    <row r="29" spans="2:10" x14ac:dyDescent="0.25">
      <c r="B29" s="8" t="s">
        <v>1582</v>
      </c>
      <c r="C29" s="56" t="s">
        <v>1583</v>
      </c>
      <c r="D29" s="53" t="s">
        <v>1584</v>
      </c>
      <c r="E29" s="6" t="s">
        <v>195</v>
      </c>
      <c r="F29" s="19">
        <v>204500</v>
      </c>
      <c r="G29" s="24">
        <v>2933.04</v>
      </c>
      <c r="H29" s="24">
        <v>0.84</v>
      </c>
      <c r="I29" s="31"/>
      <c r="J29" s="35"/>
    </row>
    <row r="30" spans="2:10" x14ac:dyDescent="0.25">
      <c r="B30" s="8" t="s">
        <v>112</v>
      </c>
      <c r="C30" s="56" t="s">
        <v>113</v>
      </c>
      <c r="D30" s="53" t="s">
        <v>114</v>
      </c>
      <c r="E30" s="6" t="s">
        <v>111</v>
      </c>
      <c r="F30" s="19">
        <v>95600</v>
      </c>
      <c r="G30" s="24">
        <v>2913.84</v>
      </c>
      <c r="H30" s="24">
        <v>0.84</v>
      </c>
      <c r="I30" s="31"/>
      <c r="J30" s="35"/>
    </row>
    <row r="31" spans="2:10" x14ac:dyDescent="0.25">
      <c r="B31" s="8" t="s">
        <v>871</v>
      </c>
      <c r="C31" s="56" t="s">
        <v>872</v>
      </c>
      <c r="D31" s="53" t="s">
        <v>873</v>
      </c>
      <c r="E31" s="6" t="s">
        <v>51</v>
      </c>
      <c r="F31" s="19">
        <v>494400</v>
      </c>
      <c r="G31" s="24">
        <v>2607.4699999999998</v>
      </c>
      <c r="H31" s="24">
        <v>0.75</v>
      </c>
      <c r="I31" s="31"/>
      <c r="J31" s="35"/>
    </row>
    <row r="32" spans="2:10" x14ac:dyDescent="0.25">
      <c r="B32" s="8" t="s">
        <v>1354</v>
      </c>
      <c r="C32" s="56" t="s">
        <v>1355</v>
      </c>
      <c r="D32" s="53" t="s">
        <v>1356</v>
      </c>
      <c r="E32" s="6" t="s">
        <v>826</v>
      </c>
      <c r="F32" s="19">
        <v>939000</v>
      </c>
      <c r="G32" s="24">
        <v>2071.9</v>
      </c>
      <c r="H32" s="24">
        <v>0.6</v>
      </c>
      <c r="I32" s="31"/>
      <c r="J32" s="35"/>
    </row>
    <row r="33" spans="2:10" x14ac:dyDescent="0.25">
      <c r="B33" s="8" t="s">
        <v>294</v>
      </c>
      <c r="C33" s="56" t="s">
        <v>295</v>
      </c>
      <c r="D33" s="53" t="s">
        <v>296</v>
      </c>
      <c r="E33" s="6" t="s">
        <v>274</v>
      </c>
      <c r="F33" s="19">
        <v>1356300</v>
      </c>
      <c r="G33" s="24">
        <v>2070.39</v>
      </c>
      <c r="H33" s="24">
        <v>0.6</v>
      </c>
      <c r="I33" s="31"/>
      <c r="J33" s="35"/>
    </row>
    <row r="34" spans="2:10" x14ac:dyDescent="0.25">
      <c r="B34" s="8" t="s">
        <v>442</v>
      </c>
      <c r="C34" s="56" t="s">
        <v>443</v>
      </c>
      <c r="D34" s="53" t="s">
        <v>444</v>
      </c>
      <c r="E34" s="6" t="s">
        <v>90</v>
      </c>
      <c r="F34" s="19">
        <v>393750</v>
      </c>
      <c r="G34" s="24">
        <v>2031.16</v>
      </c>
      <c r="H34" s="24">
        <v>0.57999999999999996</v>
      </c>
      <c r="I34" s="31"/>
      <c r="J34" s="35"/>
    </row>
    <row r="35" spans="2:10" x14ac:dyDescent="0.25">
      <c r="B35" s="8" t="s">
        <v>357</v>
      </c>
      <c r="C35" s="56" t="s">
        <v>358</v>
      </c>
      <c r="D35" s="53" t="s">
        <v>359</v>
      </c>
      <c r="E35" s="6" t="s">
        <v>170</v>
      </c>
      <c r="F35" s="19">
        <v>1364000</v>
      </c>
      <c r="G35" s="24">
        <v>1867.32</v>
      </c>
      <c r="H35" s="24">
        <v>0.54</v>
      </c>
      <c r="I35" s="31"/>
      <c r="J35" s="35"/>
    </row>
    <row r="36" spans="2:10" x14ac:dyDescent="0.25">
      <c r="B36" s="8" t="s">
        <v>1613</v>
      </c>
      <c r="C36" s="56" t="s">
        <v>1614</v>
      </c>
      <c r="D36" s="53" t="s">
        <v>1615</v>
      </c>
      <c r="E36" s="6" t="s">
        <v>111</v>
      </c>
      <c r="F36" s="19">
        <v>426800</v>
      </c>
      <c r="G36" s="24">
        <v>1686.07</v>
      </c>
      <c r="H36" s="24">
        <v>0.49</v>
      </c>
      <c r="I36" s="31"/>
      <c r="J36" s="35"/>
    </row>
    <row r="37" spans="2:10" x14ac:dyDescent="0.25">
      <c r="B37" s="8" t="s">
        <v>95</v>
      </c>
      <c r="C37" s="56" t="s">
        <v>96</v>
      </c>
      <c r="D37" s="53" t="s">
        <v>97</v>
      </c>
      <c r="E37" s="6" t="s">
        <v>98</v>
      </c>
      <c r="F37" s="19">
        <v>246400</v>
      </c>
      <c r="G37" s="24">
        <v>1497.87</v>
      </c>
      <c r="H37" s="24">
        <v>0.43</v>
      </c>
      <c r="I37" s="31"/>
      <c r="J37" s="35"/>
    </row>
    <row r="38" spans="2:10" x14ac:dyDescent="0.25">
      <c r="B38" s="8" t="s">
        <v>1573</v>
      </c>
      <c r="C38" s="56" t="s">
        <v>1574</v>
      </c>
      <c r="D38" s="53" t="s">
        <v>1575</v>
      </c>
      <c r="E38" s="6" t="s">
        <v>90</v>
      </c>
      <c r="F38" s="19">
        <v>291600</v>
      </c>
      <c r="G38" s="24">
        <v>1457.85</v>
      </c>
      <c r="H38" s="24">
        <v>0.42</v>
      </c>
      <c r="I38" s="31"/>
      <c r="J38" s="35"/>
    </row>
    <row r="39" spans="2:10" x14ac:dyDescent="0.25">
      <c r="B39" s="8" t="s">
        <v>118</v>
      </c>
      <c r="C39" s="56" t="s">
        <v>119</v>
      </c>
      <c r="D39" s="53" t="s">
        <v>120</v>
      </c>
      <c r="E39" s="6" t="s">
        <v>98</v>
      </c>
      <c r="F39" s="19">
        <v>963300</v>
      </c>
      <c r="G39" s="24">
        <v>1284.08</v>
      </c>
      <c r="H39" s="24">
        <v>0.37</v>
      </c>
      <c r="I39" s="31"/>
      <c r="J39" s="35"/>
    </row>
    <row r="40" spans="2:10" x14ac:dyDescent="0.25">
      <c r="B40" s="8" t="s">
        <v>1646</v>
      </c>
      <c r="C40" s="56" t="s">
        <v>1647</v>
      </c>
      <c r="D40" s="53" t="s">
        <v>1648</v>
      </c>
      <c r="E40" s="6" t="s">
        <v>111</v>
      </c>
      <c r="F40" s="19">
        <v>262200</v>
      </c>
      <c r="G40" s="24">
        <v>1265.51</v>
      </c>
      <c r="H40" s="24">
        <v>0.36</v>
      </c>
      <c r="I40" s="31"/>
      <c r="J40" s="35"/>
    </row>
    <row r="41" spans="2:10" x14ac:dyDescent="0.25">
      <c r="B41" s="8" t="s">
        <v>108</v>
      </c>
      <c r="C41" s="56" t="s">
        <v>109</v>
      </c>
      <c r="D41" s="53" t="s">
        <v>110</v>
      </c>
      <c r="E41" s="6" t="s">
        <v>111</v>
      </c>
      <c r="F41" s="19">
        <v>162500</v>
      </c>
      <c r="G41" s="24">
        <v>1258.8900000000001</v>
      </c>
      <c r="H41" s="24">
        <v>0.36</v>
      </c>
      <c r="I41" s="31"/>
      <c r="J41" s="35"/>
    </row>
    <row r="42" spans="2:10" x14ac:dyDescent="0.25">
      <c r="B42" s="8" t="s">
        <v>158</v>
      </c>
      <c r="C42" s="56" t="s">
        <v>159</v>
      </c>
      <c r="D42" s="53" t="s">
        <v>160</v>
      </c>
      <c r="E42" s="6" t="s">
        <v>111</v>
      </c>
      <c r="F42" s="19">
        <v>119850</v>
      </c>
      <c r="G42" s="24">
        <v>1207.3699999999999</v>
      </c>
      <c r="H42" s="24">
        <v>0.35</v>
      </c>
      <c r="I42" s="31"/>
      <c r="J42" s="35"/>
    </row>
    <row r="43" spans="2:10" x14ac:dyDescent="0.25">
      <c r="B43" s="8" t="s">
        <v>102</v>
      </c>
      <c r="C43" s="56" t="s">
        <v>103</v>
      </c>
      <c r="D43" s="53" t="s">
        <v>104</v>
      </c>
      <c r="E43" s="6" t="s">
        <v>94</v>
      </c>
      <c r="F43" s="19">
        <v>211200</v>
      </c>
      <c r="G43" s="24">
        <v>1181.45</v>
      </c>
      <c r="H43" s="24">
        <v>0.34</v>
      </c>
      <c r="I43" s="31"/>
      <c r="J43" s="35"/>
    </row>
    <row r="44" spans="2:10" x14ac:dyDescent="0.25">
      <c r="B44" s="8" t="s">
        <v>856</v>
      </c>
      <c r="C44" s="56" t="s">
        <v>857</v>
      </c>
      <c r="D44" s="53" t="s">
        <v>858</v>
      </c>
      <c r="E44" s="6" t="s">
        <v>261</v>
      </c>
      <c r="F44" s="19">
        <v>1322400</v>
      </c>
      <c r="G44" s="24">
        <v>1125.3599999999999</v>
      </c>
      <c r="H44" s="24">
        <v>0.32</v>
      </c>
      <c r="I44" s="31"/>
      <c r="J44" s="35"/>
    </row>
    <row r="45" spans="2:10" x14ac:dyDescent="0.25">
      <c r="B45" s="8" t="s">
        <v>370</v>
      </c>
      <c r="C45" s="56" t="s">
        <v>371</v>
      </c>
      <c r="D45" s="53" t="s">
        <v>372</v>
      </c>
      <c r="E45" s="6" t="s">
        <v>41</v>
      </c>
      <c r="F45" s="19">
        <v>64500</v>
      </c>
      <c r="G45" s="24">
        <v>898.78</v>
      </c>
      <c r="H45" s="24">
        <v>0.26</v>
      </c>
      <c r="I45" s="31"/>
      <c r="J45" s="35"/>
    </row>
    <row r="46" spans="2:10" x14ac:dyDescent="0.25">
      <c r="B46" s="8" t="s">
        <v>76</v>
      </c>
      <c r="C46" s="56" t="s">
        <v>77</v>
      </c>
      <c r="D46" s="53" t="s">
        <v>78</v>
      </c>
      <c r="E46" s="6" t="s">
        <v>79</v>
      </c>
      <c r="F46" s="19">
        <v>95150</v>
      </c>
      <c r="G46" s="24">
        <v>857.87</v>
      </c>
      <c r="H46" s="24">
        <v>0.25</v>
      </c>
      <c r="I46" s="31"/>
      <c r="J46" s="35"/>
    </row>
    <row r="47" spans="2:10" x14ac:dyDescent="0.25">
      <c r="B47" s="8" t="s">
        <v>817</v>
      </c>
      <c r="C47" s="56" t="s">
        <v>818</v>
      </c>
      <c r="D47" s="53" t="s">
        <v>819</v>
      </c>
      <c r="E47" s="6" t="s">
        <v>51</v>
      </c>
      <c r="F47" s="19">
        <v>1935200</v>
      </c>
      <c r="G47" s="24">
        <v>794.4</v>
      </c>
      <c r="H47" s="24">
        <v>0.23</v>
      </c>
      <c r="I47" s="31"/>
      <c r="J47" s="35"/>
    </row>
    <row r="48" spans="2:10" x14ac:dyDescent="0.25">
      <c r="B48" s="8" t="s">
        <v>167</v>
      </c>
      <c r="C48" s="56" t="s">
        <v>168</v>
      </c>
      <c r="D48" s="53" t="s">
        <v>169</v>
      </c>
      <c r="E48" s="6" t="s">
        <v>170</v>
      </c>
      <c r="F48" s="19">
        <v>395600</v>
      </c>
      <c r="G48" s="24">
        <v>693.29</v>
      </c>
      <c r="H48" s="24">
        <v>0.2</v>
      </c>
      <c r="I48" s="31"/>
      <c r="J48" s="35"/>
    </row>
    <row r="49" spans="2:10" x14ac:dyDescent="0.25">
      <c r="B49" s="8" t="s">
        <v>862</v>
      </c>
      <c r="C49" s="56" t="s">
        <v>863</v>
      </c>
      <c r="D49" s="53" t="s">
        <v>864</v>
      </c>
      <c r="E49" s="6" t="s">
        <v>98</v>
      </c>
      <c r="F49" s="19">
        <v>22750</v>
      </c>
      <c r="G49" s="24">
        <v>655.45</v>
      </c>
      <c r="H49" s="24">
        <v>0.19</v>
      </c>
      <c r="I49" s="31"/>
      <c r="J49" s="35"/>
    </row>
    <row r="50" spans="2:10" x14ac:dyDescent="0.25">
      <c r="B50" s="8" t="s">
        <v>99</v>
      </c>
      <c r="C50" s="56" t="s">
        <v>100</v>
      </c>
      <c r="D50" s="53" t="s">
        <v>101</v>
      </c>
      <c r="E50" s="6" t="s">
        <v>90</v>
      </c>
      <c r="F50" s="19">
        <v>15400</v>
      </c>
      <c r="G50" s="24">
        <v>584.91999999999996</v>
      </c>
      <c r="H50" s="24">
        <v>0.17</v>
      </c>
      <c r="I50" s="31"/>
      <c r="J50" s="35"/>
    </row>
    <row r="51" spans="2:10" x14ac:dyDescent="0.25">
      <c r="B51" s="8" t="s">
        <v>133</v>
      </c>
      <c r="C51" s="56" t="s">
        <v>134</v>
      </c>
      <c r="D51" s="53" t="s">
        <v>135</v>
      </c>
      <c r="E51" s="6" t="s">
        <v>47</v>
      </c>
      <c r="F51" s="19">
        <v>68600</v>
      </c>
      <c r="G51" s="24">
        <v>556.76</v>
      </c>
      <c r="H51" s="24">
        <v>0.16</v>
      </c>
      <c r="I51" s="31"/>
      <c r="J51" s="35"/>
    </row>
    <row r="52" spans="2:10" x14ac:dyDescent="0.25">
      <c r="B52" s="8" t="s">
        <v>859</v>
      </c>
      <c r="C52" s="56" t="s">
        <v>860</v>
      </c>
      <c r="D52" s="53" t="s">
        <v>861</v>
      </c>
      <c r="E52" s="6" t="s">
        <v>98</v>
      </c>
      <c r="F52" s="19">
        <v>17400</v>
      </c>
      <c r="G52" s="24">
        <v>547.63</v>
      </c>
      <c r="H52" s="24">
        <v>0.16</v>
      </c>
      <c r="I52" s="31"/>
      <c r="J52" s="35"/>
    </row>
    <row r="53" spans="2:10" x14ac:dyDescent="0.25">
      <c r="B53" s="8" t="s">
        <v>327</v>
      </c>
      <c r="C53" s="56" t="s">
        <v>328</v>
      </c>
      <c r="D53" s="53" t="s">
        <v>329</v>
      </c>
      <c r="E53" s="6" t="s">
        <v>47</v>
      </c>
      <c r="F53" s="19">
        <v>64800</v>
      </c>
      <c r="G53" s="24">
        <v>513.04999999999995</v>
      </c>
      <c r="H53" s="24">
        <v>0.15</v>
      </c>
      <c r="I53" s="31"/>
      <c r="J53" s="35"/>
    </row>
    <row r="54" spans="2:10" x14ac:dyDescent="0.25">
      <c r="B54" s="8" t="s">
        <v>868</v>
      </c>
      <c r="C54" s="56" t="s">
        <v>869</v>
      </c>
      <c r="D54" s="53" t="s">
        <v>870</v>
      </c>
      <c r="E54" s="6" t="s">
        <v>94</v>
      </c>
      <c r="F54" s="19">
        <v>60000</v>
      </c>
      <c r="G54" s="24">
        <v>486.87</v>
      </c>
      <c r="H54" s="24">
        <v>0.14000000000000001</v>
      </c>
      <c r="I54" s="31"/>
      <c r="J54" s="35"/>
    </row>
    <row r="55" spans="2:10" x14ac:dyDescent="0.25">
      <c r="B55" s="8" t="s">
        <v>398</v>
      </c>
      <c r="C55" s="56" t="s">
        <v>399</v>
      </c>
      <c r="D55" s="53" t="s">
        <v>400</v>
      </c>
      <c r="E55" s="6" t="s">
        <v>90</v>
      </c>
      <c r="F55" s="19">
        <v>132000</v>
      </c>
      <c r="G55" s="24">
        <v>479.16</v>
      </c>
      <c r="H55" s="24">
        <v>0.14000000000000001</v>
      </c>
      <c r="I55" s="31"/>
      <c r="J55" s="35"/>
    </row>
    <row r="56" spans="2:10" x14ac:dyDescent="0.25">
      <c r="B56" s="8" t="s">
        <v>439</v>
      </c>
      <c r="C56" s="56" t="s">
        <v>440</v>
      </c>
      <c r="D56" s="53" t="s">
        <v>441</v>
      </c>
      <c r="E56" s="6" t="s">
        <v>111</v>
      </c>
      <c r="F56" s="19">
        <v>103500</v>
      </c>
      <c r="G56" s="24">
        <v>463.37</v>
      </c>
      <c r="H56" s="24">
        <v>0.13</v>
      </c>
      <c r="I56" s="31"/>
      <c r="J56" s="35"/>
    </row>
    <row r="57" spans="2:10" x14ac:dyDescent="0.25">
      <c r="B57" s="8" t="s">
        <v>1649</v>
      </c>
      <c r="C57" s="56" t="s">
        <v>1127</v>
      </c>
      <c r="D57" s="53" t="s">
        <v>1650</v>
      </c>
      <c r="E57" s="6" t="s">
        <v>94</v>
      </c>
      <c r="F57" s="19">
        <v>164000</v>
      </c>
      <c r="G57" s="24">
        <v>452.31</v>
      </c>
      <c r="H57" s="24">
        <v>0.13</v>
      </c>
      <c r="I57" s="31"/>
      <c r="J57" s="35"/>
    </row>
    <row r="58" spans="2:10" x14ac:dyDescent="0.25">
      <c r="B58" s="8" t="s">
        <v>704</v>
      </c>
      <c r="C58" s="56" t="s">
        <v>705</v>
      </c>
      <c r="D58" s="53" t="s">
        <v>706</v>
      </c>
      <c r="E58" s="6" t="s">
        <v>90</v>
      </c>
      <c r="F58" s="19">
        <v>21000</v>
      </c>
      <c r="G58" s="24">
        <v>417.14</v>
      </c>
      <c r="H58" s="24">
        <v>0.12</v>
      </c>
      <c r="I58" s="31"/>
      <c r="J58" s="35"/>
    </row>
    <row r="59" spans="2:10" x14ac:dyDescent="0.25">
      <c r="B59" s="8" t="s">
        <v>1651</v>
      </c>
      <c r="C59" s="56" t="s">
        <v>1652</v>
      </c>
      <c r="D59" s="53" t="s">
        <v>1653</v>
      </c>
      <c r="E59" s="6" t="s">
        <v>157</v>
      </c>
      <c r="F59" s="19">
        <v>8000</v>
      </c>
      <c r="G59" s="24">
        <v>330.41</v>
      </c>
      <c r="H59" s="24">
        <v>0.1</v>
      </c>
      <c r="I59" s="31"/>
      <c r="J59" s="35"/>
    </row>
    <row r="60" spans="2:10" x14ac:dyDescent="0.25">
      <c r="B60" s="8" t="s">
        <v>212</v>
      </c>
      <c r="C60" s="56" t="s">
        <v>213</v>
      </c>
      <c r="D60" s="53" t="s">
        <v>214</v>
      </c>
      <c r="E60" s="6" t="s">
        <v>196</v>
      </c>
      <c r="F60" s="19">
        <v>198000</v>
      </c>
      <c r="G60" s="24">
        <v>326.5</v>
      </c>
      <c r="H60" s="24">
        <v>0.09</v>
      </c>
      <c r="I60" s="31"/>
      <c r="J60" s="35"/>
    </row>
    <row r="61" spans="2:10" x14ac:dyDescent="0.25">
      <c r="B61" s="8" t="s">
        <v>200</v>
      </c>
      <c r="C61" s="56" t="s">
        <v>201</v>
      </c>
      <c r="D61" s="53" t="s">
        <v>202</v>
      </c>
      <c r="E61" s="6" t="s">
        <v>196</v>
      </c>
      <c r="F61" s="19">
        <v>21600</v>
      </c>
      <c r="G61" s="24">
        <v>319.02999999999997</v>
      </c>
      <c r="H61" s="24">
        <v>0.09</v>
      </c>
      <c r="I61" s="31"/>
      <c r="J61" s="35"/>
    </row>
    <row r="62" spans="2:10" x14ac:dyDescent="0.25">
      <c r="B62" s="8" t="s">
        <v>80</v>
      </c>
      <c r="C62" s="56" t="s">
        <v>81</v>
      </c>
      <c r="D62" s="53" t="s">
        <v>82</v>
      </c>
      <c r="E62" s="6" t="s">
        <v>83</v>
      </c>
      <c r="F62" s="19">
        <v>18750</v>
      </c>
      <c r="G62" s="24">
        <v>225.25</v>
      </c>
      <c r="H62" s="24">
        <v>0.06</v>
      </c>
      <c r="I62" s="31"/>
      <c r="J62" s="35"/>
    </row>
    <row r="63" spans="2:10" x14ac:dyDescent="0.25">
      <c r="B63" s="8" t="s">
        <v>171</v>
      </c>
      <c r="C63" s="56" t="s">
        <v>172</v>
      </c>
      <c r="D63" s="53" t="s">
        <v>173</v>
      </c>
      <c r="E63" s="6" t="s">
        <v>55</v>
      </c>
      <c r="F63" s="19">
        <v>57600</v>
      </c>
      <c r="G63" s="24">
        <v>203.36</v>
      </c>
      <c r="H63" s="24">
        <v>0.06</v>
      </c>
      <c r="I63" s="31"/>
      <c r="J63" s="35"/>
    </row>
    <row r="64" spans="2:10" x14ac:dyDescent="0.25">
      <c r="B64" s="8" t="s">
        <v>1654</v>
      </c>
      <c r="C64" s="56" t="s">
        <v>1655</v>
      </c>
      <c r="D64" s="53" t="s">
        <v>1656</v>
      </c>
      <c r="E64" s="6" t="s">
        <v>83</v>
      </c>
      <c r="F64" s="19">
        <v>14300</v>
      </c>
      <c r="G64" s="24">
        <v>188.52</v>
      </c>
      <c r="H64" s="24">
        <v>0.05</v>
      </c>
      <c r="I64" s="31"/>
      <c r="J64" s="35"/>
    </row>
    <row r="65" spans="1:10" x14ac:dyDescent="0.25">
      <c r="B65" s="8" t="s">
        <v>1657</v>
      </c>
      <c r="C65" s="56" t="s">
        <v>1114</v>
      </c>
      <c r="D65" s="53" t="s">
        <v>1658</v>
      </c>
      <c r="E65" s="6" t="s">
        <v>153</v>
      </c>
      <c r="F65" s="19">
        <v>475000</v>
      </c>
      <c r="G65" s="24">
        <v>160.31</v>
      </c>
      <c r="H65" s="24">
        <v>0.05</v>
      </c>
      <c r="I65" s="31"/>
      <c r="J65" s="35"/>
    </row>
    <row r="66" spans="1:10" x14ac:dyDescent="0.25">
      <c r="B66" s="8" t="s">
        <v>409</v>
      </c>
      <c r="C66" s="56" t="s">
        <v>410</v>
      </c>
      <c r="D66" s="53" t="s">
        <v>411</v>
      </c>
      <c r="E66" s="6" t="s">
        <v>98</v>
      </c>
      <c r="F66" s="19">
        <v>2200</v>
      </c>
      <c r="G66" s="24">
        <v>148.36000000000001</v>
      </c>
      <c r="H66" s="24">
        <v>0.04</v>
      </c>
      <c r="I66" s="31"/>
      <c r="J66" s="35"/>
    </row>
    <row r="67" spans="1:10" x14ac:dyDescent="0.25">
      <c r="B67" s="8" t="s">
        <v>174</v>
      </c>
      <c r="C67" s="56" t="s">
        <v>175</v>
      </c>
      <c r="D67" s="53" t="s">
        <v>176</v>
      </c>
      <c r="E67" s="6" t="s">
        <v>157</v>
      </c>
      <c r="F67" s="19">
        <v>33000</v>
      </c>
      <c r="G67" s="24">
        <v>147.69</v>
      </c>
      <c r="H67" s="24">
        <v>0.04</v>
      </c>
      <c r="I67" s="31"/>
      <c r="J67" s="35"/>
    </row>
    <row r="68" spans="1:10" x14ac:dyDescent="0.25">
      <c r="B68" s="8" t="s">
        <v>147</v>
      </c>
      <c r="C68" s="56" t="s">
        <v>148</v>
      </c>
      <c r="D68" s="53" t="s">
        <v>149</v>
      </c>
      <c r="E68" s="6" t="s">
        <v>98</v>
      </c>
      <c r="F68" s="19">
        <v>6650</v>
      </c>
      <c r="G68" s="24">
        <v>146.49</v>
      </c>
      <c r="H68" s="24">
        <v>0.04</v>
      </c>
      <c r="I68" s="31"/>
      <c r="J68" s="35"/>
    </row>
    <row r="69" spans="1:10" x14ac:dyDescent="0.25">
      <c r="B69" s="8" t="s">
        <v>130</v>
      </c>
      <c r="C69" s="56" t="s">
        <v>131</v>
      </c>
      <c r="D69" s="53" t="s">
        <v>132</v>
      </c>
      <c r="E69" s="6" t="s">
        <v>47</v>
      </c>
      <c r="F69" s="19">
        <v>3750</v>
      </c>
      <c r="G69" s="24">
        <v>136.30000000000001</v>
      </c>
      <c r="H69" s="24">
        <v>0.04</v>
      </c>
      <c r="I69" s="31"/>
      <c r="J69" s="35"/>
    </row>
    <row r="70" spans="1:10" x14ac:dyDescent="0.25">
      <c r="B70" s="8" t="s">
        <v>1616</v>
      </c>
      <c r="C70" s="56" t="s">
        <v>601</v>
      </c>
      <c r="D70" s="53" t="s">
        <v>1617</v>
      </c>
      <c r="E70" s="6" t="s">
        <v>94</v>
      </c>
      <c r="F70" s="19">
        <v>124000</v>
      </c>
      <c r="G70" s="24">
        <v>106.89</v>
      </c>
      <c r="H70" s="24">
        <v>0.03</v>
      </c>
      <c r="I70" s="31"/>
      <c r="J70" s="35"/>
    </row>
    <row r="71" spans="1:10" x14ac:dyDescent="0.25">
      <c r="B71" s="8" t="s">
        <v>1579</v>
      </c>
      <c r="C71" s="56" t="s">
        <v>1580</v>
      </c>
      <c r="D71" s="53" t="s">
        <v>1581</v>
      </c>
      <c r="E71" s="6" t="s">
        <v>90</v>
      </c>
      <c r="F71" s="19">
        <v>12000</v>
      </c>
      <c r="G71" s="24">
        <v>86.99</v>
      </c>
      <c r="H71" s="24">
        <v>0.03</v>
      </c>
      <c r="I71" s="31"/>
      <c r="J71" s="35"/>
    </row>
    <row r="72" spans="1:10" x14ac:dyDescent="0.25">
      <c r="B72" s="8" t="s">
        <v>87</v>
      </c>
      <c r="C72" s="56" t="s">
        <v>88</v>
      </c>
      <c r="D72" s="53" t="s">
        <v>89</v>
      </c>
      <c r="E72" s="6" t="s">
        <v>90</v>
      </c>
      <c r="F72" s="19">
        <v>4900</v>
      </c>
      <c r="G72" s="24">
        <v>70.239999999999995</v>
      </c>
      <c r="H72" s="24">
        <v>0.02</v>
      </c>
      <c r="I72" s="31"/>
      <c r="J72" s="35"/>
    </row>
    <row r="73" spans="1:10" x14ac:dyDescent="0.25">
      <c r="B73" s="8" t="s">
        <v>1659</v>
      </c>
      <c r="C73" s="56" t="s">
        <v>1660</v>
      </c>
      <c r="D73" s="53" t="s">
        <v>1661</v>
      </c>
      <c r="E73" s="6" t="s">
        <v>722</v>
      </c>
      <c r="F73" s="19">
        <v>12000</v>
      </c>
      <c r="G73" s="24">
        <v>55.88</v>
      </c>
      <c r="H73" s="24">
        <v>0.02</v>
      </c>
      <c r="I73" s="31"/>
      <c r="J73" s="35"/>
    </row>
    <row r="74" spans="1:10" x14ac:dyDescent="0.25">
      <c r="C74" s="57" t="s">
        <v>35</v>
      </c>
      <c r="D74" s="53"/>
      <c r="E74" s="6"/>
      <c r="F74" s="19"/>
      <c r="G74" s="25">
        <v>240046.47</v>
      </c>
      <c r="H74" s="25">
        <v>69.09</v>
      </c>
      <c r="I74" s="31"/>
      <c r="J74" s="35"/>
    </row>
    <row r="75" spans="1:10" x14ac:dyDescent="0.25">
      <c r="C75" s="56"/>
      <c r="D75" s="53"/>
      <c r="E75" s="6"/>
      <c r="F75" s="19"/>
      <c r="G75" s="24"/>
      <c r="H75" s="24"/>
      <c r="I75" s="31"/>
      <c r="J75" s="35"/>
    </row>
    <row r="76" spans="1:10" x14ac:dyDescent="0.25">
      <c r="C76" s="57" t="s">
        <v>3</v>
      </c>
      <c r="D76" s="53"/>
      <c r="E76" s="6"/>
      <c r="F76" s="19"/>
      <c r="G76" s="24" t="s">
        <v>2</v>
      </c>
      <c r="H76" s="24" t="s">
        <v>2</v>
      </c>
      <c r="I76" s="31"/>
      <c r="J76" s="35"/>
    </row>
    <row r="77" spans="1:10" x14ac:dyDescent="0.25">
      <c r="C77" s="56"/>
      <c r="D77" s="53"/>
      <c r="E77" s="6"/>
      <c r="F77" s="19"/>
      <c r="G77" s="24"/>
      <c r="H77" s="24"/>
      <c r="I77" s="31"/>
      <c r="J77" s="35"/>
    </row>
    <row r="78" spans="1:10" x14ac:dyDescent="0.25">
      <c r="C78" s="57" t="s">
        <v>4</v>
      </c>
      <c r="D78" s="53"/>
      <c r="E78" s="6"/>
      <c r="F78" s="19"/>
      <c r="G78" s="24" t="s">
        <v>2</v>
      </c>
      <c r="H78" s="24" t="s">
        <v>2</v>
      </c>
      <c r="I78" s="31"/>
      <c r="J78" s="35"/>
    </row>
    <row r="79" spans="1:10" x14ac:dyDescent="0.25">
      <c r="C79" s="56"/>
      <c r="D79" s="53"/>
      <c r="E79" s="6"/>
      <c r="F79" s="19"/>
      <c r="G79" s="24"/>
      <c r="H79" s="24"/>
      <c r="I79" s="31"/>
      <c r="J79" s="35"/>
    </row>
    <row r="80" spans="1:10" x14ac:dyDescent="0.25">
      <c r="A80" s="10"/>
      <c r="B80" s="28"/>
      <c r="C80" s="58" t="s">
        <v>5</v>
      </c>
      <c r="D80" s="53"/>
      <c r="E80" s="6"/>
      <c r="F80" s="19"/>
      <c r="G80" s="24"/>
      <c r="H80" s="24"/>
      <c r="I80" s="31"/>
      <c r="J80" s="35"/>
    </row>
    <row r="81" spans="1:10" x14ac:dyDescent="0.25">
      <c r="A81" s="28"/>
      <c r="B81" s="28"/>
      <c r="C81" s="58" t="s">
        <v>6</v>
      </c>
      <c r="D81" s="53"/>
      <c r="E81" s="6"/>
      <c r="F81" s="19"/>
      <c r="G81" s="24" t="s">
        <v>2</v>
      </c>
      <c r="H81" s="24" t="s">
        <v>2</v>
      </c>
      <c r="I81" s="31"/>
      <c r="J81" s="35"/>
    </row>
    <row r="82" spans="1:10" x14ac:dyDescent="0.25">
      <c r="A82" s="28"/>
      <c r="B82" s="28"/>
      <c r="C82" s="58"/>
      <c r="D82" s="53"/>
      <c r="E82" s="6"/>
      <c r="F82" s="19"/>
      <c r="G82" s="24"/>
      <c r="H82" s="24"/>
      <c r="I82" s="31"/>
      <c r="J82" s="35"/>
    </row>
    <row r="83" spans="1:10" x14ac:dyDescent="0.25">
      <c r="A83" s="28"/>
      <c r="B83" s="28"/>
      <c r="C83" s="58" t="s">
        <v>7</v>
      </c>
      <c r="D83" s="53"/>
      <c r="E83" s="6"/>
      <c r="F83" s="19"/>
      <c r="G83" s="24" t="s">
        <v>2</v>
      </c>
      <c r="H83" s="24" t="s">
        <v>2</v>
      </c>
      <c r="I83" s="31"/>
      <c r="J83" s="35"/>
    </row>
    <row r="84" spans="1:10" x14ac:dyDescent="0.25">
      <c r="A84" s="28"/>
      <c r="B84" s="28"/>
      <c r="C84" s="58"/>
      <c r="D84" s="53"/>
      <c r="E84" s="6"/>
      <c r="F84" s="19"/>
      <c r="G84" s="24"/>
      <c r="H84" s="24"/>
      <c r="I84" s="31"/>
      <c r="J84" s="35"/>
    </row>
    <row r="85" spans="1:10" x14ac:dyDescent="0.25">
      <c r="A85" s="28"/>
      <c r="B85" s="28"/>
      <c r="C85" s="58" t="s">
        <v>8</v>
      </c>
      <c r="D85" s="53"/>
      <c r="E85" s="6"/>
      <c r="F85" s="19"/>
      <c r="G85" s="24" t="s">
        <v>2</v>
      </c>
      <c r="H85" s="24" t="s">
        <v>2</v>
      </c>
      <c r="I85" s="31"/>
      <c r="J85" s="35"/>
    </row>
    <row r="86" spans="1:10" x14ac:dyDescent="0.25">
      <c r="A86" s="28"/>
      <c r="B86" s="28"/>
      <c r="C86" s="58"/>
      <c r="D86" s="53"/>
      <c r="E86" s="6"/>
      <c r="F86" s="19"/>
      <c r="G86" s="24"/>
      <c r="H86" s="24"/>
      <c r="I86" s="31"/>
      <c r="J86" s="35"/>
    </row>
    <row r="87" spans="1:10" x14ac:dyDescent="0.25">
      <c r="C87" s="59" t="s">
        <v>9</v>
      </c>
      <c r="D87" s="53"/>
      <c r="E87" s="6"/>
      <c r="F87" s="19"/>
      <c r="G87" s="24"/>
      <c r="H87" s="24"/>
      <c r="I87" s="31"/>
      <c r="J87" s="35"/>
    </row>
    <row r="88" spans="1:10" x14ac:dyDescent="0.25">
      <c r="B88" s="8" t="s">
        <v>1102</v>
      </c>
      <c r="C88" s="56" t="s">
        <v>1103</v>
      </c>
      <c r="D88" s="53" t="s">
        <v>1104</v>
      </c>
      <c r="E88" s="6" t="s">
        <v>655</v>
      </c>
      <c r="F88" s="19">
        <v>41500000</v>
      </c>
      <c r="G88" s="24">
        <v>41944.05</v>
      </c>
      <c r="H88" s="24">
        <v>12.07</v>
      </c>
      <c r="I88" s="31">
        <v>3.4007999999999998</v>
      </c>
      <c r="J88" s="35"/>
    </row>
    <row r="89" spans="1:10" x14ac:dyDescent="0.25">
      <c r="C89" s="57" t="s">
        <v>35</v>
      </c>
      <c r="D89" s="53"/>
      <c r="E89" s="6"/>
      <c r="F89" s="19"/>
      <c r="G89" s="25">
        <v>41944.05</v>
      </c>
      <c r="H89" s="25">
        <v>12.07</v>
      </c>
      <c r="I89" s="31"/>
      <c r="J89" s="35"/>
    </row>
    <row r="90" spans="1:10" x14ac:dyDescent="0.25">
      <c r="C90" s="56"/>
      <c r="D90" s="53"/>
      <c r="E90" s="6"/>
      <c r="F90" s="19"/>
      <c r="G90" s="24"/>
      <c r="H90" s="24"/>
      <c r="I90" s="31"/>
      <c r="J90" s="35"/>
    </row>
    <row r="91" spans="1:10" x14ac:dyDescent="0.25">
      <c r="C91" s="57" t="s">
        <v>10</v>
      </c>
      <c r="D91" s="53"/>
      <c r="E91" s="6"/>
      <c r="F91" s="19"/>
      <c r="G91" s="24" t="s">
        <v>2</v>
      </c>
      <c r="H91" s="24" t="s">
        <v>2</v>
      </c>
      <c r="I91" s="31"/>
      <c r="J91" s="35"/>
    </row>
    <row r="92" spans="1:10" x14ac:dyDescent="0.25">
      <c r="C92" s="56"/>
      <c r="D92" s="53"/>
      <c r="E92" s="6"/>
      <c r="F92" s="19"/>
      <c r="G92" s="24"/>
      <c r="H92" s="24"/>
      <c r="I92" s="31"/>
      <c r="J92" s="35"/>
    </row>
    <row r="93" spans="1:10" x14ac:dyDescent="0.25">
      <c r="A93" s="10"/>
      <c r="B93" s="28"/>
      <c r="C93" s="58" t="s">
        <v>11</v>
      </c>
      <c r="D93" s="53"/>
      <c r="E93" s="6"/>
      <c r="F93" s="19"/>
      <c r="G93" s="24"/>
      <c r="H93" s="24"/>
      <c r="I93" s="31"/>
      <c r="J93" s="35"/>
    </row>
    <row r="94" spans="1:10" x14ac:dyDescent="0.25">
      <c r="C94" s="59" t="s">
        <v>13</v>
      </c>
      <c r="D94" s="53"/>
      <c r="E94" s="6"/>
      <c r="F94" s="19"/>
      <c r="G94" s="24"/>
      <c r="H94" s="24"/>
      <c r="I94" s="31"/>
      <c r="J94" s="35"/>
    </row>
    <row r="95" spans="1:10" x14ac:dyDescent="0.25">
      <c r="B95" s="8" t="s">
        <v>1442</v>
      </c>
      <c r="C95" s="56" t="s">
        <v>1030</v>
      </c>
      <c r="D95" s="53" t="s">
        <v>1443</v>
      </c>
      <c r="E95" s="6" t="s">
        <v>992</v>
      </c>
      <c r="F95" s="19">
        <v>2000</v>
      </c>
      <c r="G95" s="24">
        <v>9986.73</v>
      </c>
      <c r="H95" s="24">
        <v>2.87</v>
      </c>
      <c r="I95" s="31">
        <v>3.7322000000000002</v>
      </c>
      <c r="J95" s="35"/>
    </row>
    <row r="96" spans="1:10" x14ac:dyDescent="0.25">
      <c r="C96" s="57" t="s">
        <v>35</v>
      </c>
      <c r="D96" s="53"/>
      <c r="E96" s="6"/>
      <c r="F96" s="19"/>
      <c r="G96" s="25">
        <v>9986.73</v>
      </c>
      <c r="H96" s="25">
        <v>2.87</v>
      </c>
      <c r="I96" s="31"/>
      <c r="J96" s="35"/>
    </row>
    <row r="97" spans="1:10" x14ac:dyDescent="0.25">
      <c r="C97" s="56"/>
      <c r="D97" s="53"/>
      <c r="E97" s="6"/>
      <c r="F97" s="19"/>
      <c r="G97" s="24"/>
      <c r="H97" s="24"/>
      <c r="I97" s="31"/>
      <c r="J97" s="35"/>
    </row>
    <row r="98" spans="1:10" x14ac:dyDescent="0.25">
      <c r="C98" s="57" t="s">
        <v>14</v>
      </c>
      <c r="D98" s="53"/>
      <c r="E98" s="6"/>
      <c r="F98" s="19"/>
      <c r="G98" s="24" t="s">
        <v>2</v>
      </c>
      <c r="H98" s="24" t="s">
        <v>2</v>
      </c>
      <c r="I98" s="31"/>
      <c r="J98" s="35"/>
    </row>
    <row r="99" spans="1:10" x14ac:dyDescent="0.25">
      <c r="C99" s="56"/>
      <c r="D99" s="53"/>
      <c r="E99" s="6"/>
      <c r="F99" s="19"/>
      <c r="G99" s="24"/>
      <c r="H99" s="24"/>
      <c r="I99" s="31"/>
      <c r="J99" s="35"/>
    </row>
    <row r="100" spans="1:10" x14ac:dyDescent="0.25">
      <c r="C100" s="57" t="s">
        <v>15</v>
      </c>
      <c r="D100" s="53"/>
      <c r="E100" s="6"/>
      <c r="F100" s="19"/>
      <c r="G100" s="24" t="s">
        <v>2</v>
      </c>
      <c r="H100" s="24" t="s">
        <v>2</v>
      </c>
      <c r="I100" s="31"/>
      <c r="J100" s="35"/>
    </row>
    <row r="101" spans="1:10" x14ac:dyDescent="0.25">
      <c r="C101" s="56"/>
      <c r="D101" s="53"/>
      <c r="E101" s="6"/>
      <c r="F101" s="19"/>
      <c r="G101" s="24"/>
      <c r="H101" s="24"/>
      <c r="I101" s="31"/>
      <c r="J101" s="35"/>
    </row>
    <row r="102" spans="1:10" x14ac:dyDescent="0.25">
      <c r="C102" s="57" t="s">
        <v>16</v>
      </c>
      <c r="D102" s="53"/>
      <c r="E102" s="6"/>
      <c r="F102" s="19"/>
      <c r="G102" s="24" t="s">
        <v>2</v>
      </c>
      <c r="H102" s="24" t="s">
        <v>2</v>
      </c>
      <c r="I102" s="31"/>
      <c r="J102" s="35"/>
    </row>
    <row r="103" spans="1:10" x14ac:dyDescent="0.25">
      <c r="C103" s="56"/>
      <c r="D103" s="53"/>
      <c r="E103" s="6"/>
      <c r="F103" s="19"/>
      <c r="G103" s="24"/>
      <c r="H103" s="24"/>
      <c r="I103" s="31"/>
      <c r="J103" s="35"/>
    </row>
    <row r="104" spans="1:10" x14ac:dyDescent="0.25">
      <c r="A104" s="10"/>
      <c r="B104" s="28"/>
      <c r="C104" s="58" t="s">
        <v>17</v>
      </c>
      <c r="D104" s="53"/>
      <c r="E104" s="6"/>
      <c r="F104" s="19"/>
      <c r="G104" s="24"/>
      <c r="H104" s="24"/>
      <c r="I104" s="31"/>
      <c r="J104" s="35"/>
    </row>
    <row r="105" spans="1:10" x14ac:dyDescent="0.25">
      <c r="A105" s="28"/>
      <c r="B105" s="28"/>
      <c r="C105" s="58" t="s">
        <v>18</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A107" s="28"/>
      <c r="B107" s="28"/>
      <c r="C107" s="58" t="s">
        <v>19</v>
      </c>
      <c r="D107" s="53"/>
      <c r="E107" s="6"/>
      <c r="F107" s="19"/>
      <c r="G107" s="24" t="s">
        <v>2</v>
      </c>
      <c r="H107" s="24" t="s">
        <v>2</v>
      </c>
      <c r="I107" s="31"/>
      <c r="J107" s="35"/>
    </row>
    <row r="108" spans="1:10" x14ac:dyDescent="0.25">
      <c r="A108" s="28"/>
      <c r="B108" s="28"/>
      <c r="C108" s="58"/>
      <c r="D108" s="53"/>
      <c r="E108" s="6"/>
      <c r="F108" s="19"/>
      <c r="G108" s="24"/>
      <c r="H108" s="24"/>
      <c r="I108" s="31"/>
      <c r="J108" s="35"/>
    </row>
    <row r="109" spans="1:10" x14ac:dyDescent="0.25">
      <c r="A109" s="28"/>
      <c r="B109" s="28"/>
      <c r="C109" s="58" t="s">
        <v>20</v>
      </c>
      <c r="D109" s="53"/>
      <c r="E109" s="6"/>
      <c r="F109" s="19"/>
      <c r="G109" s="24" t="s">
        <v>2</v>
      </c>
      <c r="H109" s="24" t="s">
        <v>2</v>
      </c>
      <c r="I109" s="31"/>
      <c r="J109" s="35"/>
    </row>
    <row r="110" spans="1:10" x14ac:dyDescent="0.25">
      <c r="A110" s="28"/>
      <c r="B110" s="28"/>
      <c r="C110" s="58"/>
      <c r="D110" s="53"/>
      <c r="E110" s="6"/>
      <c r="F110" s="19"/>
      <c r="G110" s="24"/>
      <c r="H110" s="24"/>
      <c r="I110" s="31"/>
      <c r="J110" s="35"/>
    </row>
    <row r="111" spans="1:10" x14ac:dyDescent="0.25">
      <c r="C111" s="59" t="s">
        <v>21</v>
      </c>
      <c r="D111" s="53"/>
      <c r="E111" s="6"/>
      <c r="F111" s="19"/>
      <c r="G111" s="24"/>
      <c r="H111" s="24"/>
      <c r="I111" s="31"/>
      <c r="J111" s="35"/>
    </row>
    <row r="112" spans="1:10" x14ac:dyDescent="0.25">
      <c r="B112" s="8" t="s">
        <v>1662</v>
      </c>
      <c r="C112" s="56" t="s">
        <v>1663</v>
      </c>
      <c r="D112" s="53"/>
      <c r="E112" s="6"/>
      <c r="F112" s="19"/>
      <c r="G112" s="24">
        <v>5000</v>
      </c>
      <c r="H112" s="24">
        <v>1.44</v>
      </c>
      <c r="I112" s="31"/>
      <c r="J112" s="35"/>
    </row>
    <row r="113" spans="2:10" x14ac:dyDescent="0.25">
      <c r="B113" s="8" t="s">
        <v>1664</v>
      </c>
      <c r="C113" s="56" t="s">
        <v>1665</v>
      </c>
      <c r="D113" s="53"/>
      <c r="E113" s="6"/>
      <c r="F113" s="19"/>
      <c r="G113" s="24">
        <v>5000</v>
      </c>
      <c r="H113" s="24">
        <v>1.44</v>
      </c>
      <c r="I113" s="31"/>
      <c r="J113" s="35"/>
    </row>
    <row r="114" spans="2:10" x14ac:dyDescent="0.25">
      <c r="B114" s="8" t="s">
        <v>1666</v>
      </c>
      <c r="C114" s="56" t="s">
        <v>1667</v>
      </c>
      <c r="D114" s="53"/>
      <c r="E114" s="6"/>
      <c r="F114" s="19"/>
      <c r="G114" s="24">
        <v>3000</v>
      </c>
      <c r="H114" s="24">
        <v>0.86</v>
      </c>
      <c r="I114" s="31"/>
      <c r="J114" s="35"/>
    </row>
    <row r="115" spans="2:10" x14ac:dyDescent="0.25">
      <c r="B115" s="8" t="s">
        <v>1668</v>
      </c>
      <c r="C115" s="56" t="s">
        <v>1669</v>
      </c>
      <c r="D115" s="53"/>
      <c r="E115" s="6"/>
      <c r="F115" s="19"/>
      <c r="G115" s="24">
        <v>2500</v>
      </c>
      <c r="H115" s="24">
        <v>0.72</v>
      </c>
      <c r="I115" s="31"/>
      <c r="J115" s="35"/>
    </row>
    <row r="116" spans="2:10" x14ac:dyDescent="0.25">
      <c r="B116" s="8" t="s">
        <v>1670</v>
      </c>
      <c r="C116" s="56" t="s">
        <v>1671</v>
      </c>
      <c r="D116" s="53"/>
      <c r="E116" s="6"/>
      <c r="F116" s="19"/>
      <c r="G116" s="24">
        <v>2500</v>
      </c>
      <c r="H116" s="24">
        <v>0.72</v>
      </c>
      <c r="I116" s="31"/>
      <c r="J116" s="35"/>
    </row>
    <row r="117" spans="2:10" x14ac:dyDescent="0.25">
      <c r="B117" s="8" t="s">
        <v>1672</v>
      </c>
      <c r="C117" s="56" t="s">
        <v>1671</v>
      </c>
      <c r="D117" s="53"/>
      <c r="E117" s="6"/>
      <c r="F117" s="19"/>
      <c r="G117" s="24">
        <v>2500</v>
      </c>
      <c r="H117" s="24">
        <v>0.72</v>
      </c>
      <c r="I117" s="31"/>
      <c r="J117" s="35"/>
    </row>
    <row r="118" spans="2:10" x14ac:dyDescent="0.25">
      <c r="B118" s="8" t="s">
        <v>1673</v>
      </c>
      <c r="C118" s="56" t="s">
        <v>1674</v>
      </c>
      <c r="D118" s="53"/>
      <c r="E118" s="6"/>
      <c r="F118" s="19"/>
      <c r="G118" s="24">
        <v>2500</v>
      </c>
      <c r="H118" s="24">
        <v>0.72</v>
      </c>
      <c r="I118" s="31"/>
      <c r="J118" s="35"/>
    </row>
    <row r="119" spans="2:10" x14ac:dyDescent="0.25">
      <c r="B119" s="8" t="s">
        <v>1675</v>
      </c>
      <c r="C119" s="56" t="s">
        <v>1676</v>
      </c>
      <c r="D119" s="53"/>
      <c r="E119" s="6"/>
      <c r="F119" s="19"/>
      <c r="G119" s="24">
        <v>2499</v>
      </c>
      <c r="H119" s="24">
        <v>0.72</v>
      </c>
      <c r="I119" s="31"/>
      <c r="J119" s="35"/>
    </row>
    <row r="120" spans="2:10" x14ac:dyDescent="0.25">
      <c r="B120" s="8" t="s">
        <v>1677</v>
      </c>
      <c r="C120" s="56" t="s">
        <v>1678</v>
      </c>
      <c r="D120" s="53"/>
      <c r="E120" s="6"/>
      <c r="F120" s="19"/>
      <c r="G120" s="24">
        <v>2495</v>
      </c>
      <c r="H120" s="24">
        <v>0.72</v>
      </c>
      <c r="I120" s="31"/>
      <c r="J120" s="35"/>
    </row>
    <row r="121" spans="2:10" x14ac:dyDescent="0.25">
      <c r="B121" s="8" t="s">
        <v>1679</v>
      </c>
      <c r="C121" s="56" t="s">
        <v>1680</v>
      </c>
      <c r="D121" s="53"/>
      <c r="E121" s="6"/>
      <c r="F121" s="19"/>
      <c r="G121" s="24">
        <v>2490</v>
      </c>
      <c r="H121" s="24">
        <v>0.72</v>
      </c>
      <c r="I121" s="31"/>
      <c r="J121" s="35"/>
    </row>
    <row r="122" spans="2:10" x14ac:dyDescent="0.25">
      <c r="B122" s="8" t="s">
        <v>1681</v>
      </c>
      <c r="C122" s="56" t="s">
        <v>1682</v>
      </c>
      <c r="D122" s="53"/>
      <c r="E122" s="6"/>
      <c r="F122" s="19"/>
      <c r="G122" s="24">
        <v>2490</v>
      </c>
      <c r="H122" s="24">
        <v>0.72</v>
      </c>
      <c r="I122" s="31"/>
      <c r="J122" s="35"/>
    </row>
    <row r="123" spans="2:10" x14ac:dyDescent="0.25">
      <c r="B123" s="8" t="s">
        <v>1683</v>
      </c>
      <c r="C123" s="56" t="s">
        <v>1684</v>
      </c>
      <c r="D123" s="53"/>
      <c r="E123" s="6"/>
      <c r="F123" s="19"/>
      <c r="G123" s="24">
        <v>2000</v>
      </c>
      <c r="H123" s="24">
        <v>0.57999999999999996</v>
      </c>
      <c r="I123" s="31"/>
      <c r="J123" s="35"/>
    </row>
    <row r="124" spans="2:10" x14ac:dyDescent="0.25">
      <c r="B124" s="8" t="s">
        <v>1685</v>
      </c>
      <c r="C124" s="56" t="s">
        <v>1686</v>
      </c>
      <c r="D124" s="53"/>
      <c r="E124" s="6"/>
      <c r="F124" s="19"/>
      <c r="G124" s="24">
        <v>2000</v>
      </c>
      <c r="H124" s="24">
        <v>0.57999999999999996</v>
      </c>
      <c r="I124" s="31"/>
      <c r="J124" s="35"/>
    </row>
    <row r="125" spans="2:10" x14ac:dyDescent="0.25">
      <c r="B125" s="8" t="s">
        <v>1687</v>
      </c>
      <c r="C125" s="56" t="s">
        <v>1688</v>
      </c>
      <c r="D125" s="53"/>
      <c r="E125" s="6"/>
      <c r="F125" s="19"/>
      <c r="G125" s="24">
        <v>2000</v>
      </c>
      <c r="H125" s="24">
        <v>0.57999999999999996</v>
      </c>
      <c r="I125" s="31"/>
      <c r="J125" s="35"/>
    </row>
    <row r="126" spans="2:10" x14ac:dyDescent="0.25">
      <c r="B126" s="8" t="s">
        <v>1689</v>
      </c>
      <c r="C126" s="56" t="s">
        <v>1688</v>
      </c>
      <c r="D126" s="53"/>
      <c r="E126" s="6"/>
      <c r="F126" s="19"/>
      <c r="G126" s="24">
        <v>2000</v>
      </c>
      <c r="H126" s="24">
        <v>0.57999999999999996</v>
      </c>
      <c r="I126" s="31"/>
      <c r="J126" s="35"/>
    </row>
    <row r="127" spans="2:10" x14ac:dyDescent="0.25">
      <c r="C127" s="57" t="s">
        <v>35</v>
      </c>
      <c r="D127" s="53"/>
      <c r="E127" s="6"/>
      <c r="F127" s="19"/>
      <c r="G127" s="25">
        <v>40974</v>
      </c>
      <c r="H127" s="25">
        <v>11.82</v>
      </c>
      <c r="I127" s="31"/>
      <c r="J127" s="35"/>
    </row>
    <row r="128" spans="2:10" x14ac:dyDescent="0.25">
      <c r="C128" s="56"/>
      <c r="D128" s="53"/>
      <c r="E128" s="6"/>
      <c r="F128" s="19"/>
      <c r="G128" s="24"/>
      <c r="H128" s="24"/>
      <c r="I128" s="31"/>
      <c r="J128" s="35"/>
    </row>
    <row r="129" spans="1:10" x14ac:dyDescent="0.25">
      <c r="C129" s="59" t="s">
        <v>22</v>
      </c>
      <c r="D129" s="53"/>
      <c r="E129" s="6"/>
      <c r="F129" s="19"/>
      <c r="G129" s="24"/>
      <c r="H129" s="24"/>
      <c r="I129" s="31"/>
      <c r="J129" s="35"/>
    </row>
    <row r="130" spans="1:10" x14ac:dyDescent="0.25">
      <c r="B130" s="8" t="s">
        <v>33</v>
      </c>
      <c r="C130" s="56" t="s">
        <v>34</v>
      </c>
      <c r="D130" s="53"/>
      <c r="E130" s="6"/>
      <c r="F130" s="19"/>
      <c r="G130" s="24">
        <v>13838.83</v>
      </c>
      <c r="H130" s="24">
        <v>3.98</v>
      </c>
      <c r="I130" s="31"/>
      <c r="J130" s="35"/>
    </row>
    <row r="131" spans="1:10" x14ac:dyDescent="0.25">
      <c r="C131" s="57" t="s">
        <v>35</v>
      </c>
      <c r="D131" s="53"/>
      <c r="E131" s="6"/>
      <c r="F131" s="19"/>
      <c r="G131" s="25">
        <v>13838.83</v>
      </c>
      <c r="H131" s="25">
        <v>3.98</v>
      </c>
      <c r="I131" s="31"/>
      <c r="J131" s="35"/>
    </row>
    <row r="132" spans="1:10" x14ac:dyDescent="0.25">
      <c r="C132" s="56"/>
      <c r="D132" s="53"/>
      <c r="E132" s="6"/>
      <c r="F132" s="19"/>
      <c r="G132" s="24"/>
      <c r="H132" s="24"/>
      <c r="I132" s="31"/>
      <c r="J132" s="35"/>
    </row>
    <row r="133" spans="1:10" x14ac:dyDescent="0.25">
      <c r="A133" s="10"/>
      <c r="B133" s="28"/>
      <c r="C133" s="58" t="s">
        <v>23</v>
      </c>
      <c r="D133" s="53"/>
      <c r="E133" s="6"/>
      <c r="F133" s="19"/>
      <c r="G133" s="24"/>
      <c r="H133" s="24"/>
      <c r="I133" s="31"/>
      <c r="J133" s="35"/>
    </row>
    <row r="134" spans="1:10" x14ac:dyDescent="0.25">
      <c r="A134" s="28"/>
      <c r="B134" s="28"/>
      <c r="C134" s="60" t="s">
        <v>3398</v>
      </c>
      <c r="D134" s="53"/>
      <c r="E134" s="6"/>
      <c r="F134" s="19"/>
      <c r="G134" s="24">
        <v>9000</v>
      </c>
      <c r="H134" s="24">
        <v>2.59</v>
      </c>
      <c r="I134" s="31"/>
      <c r="J134" s="35"/>
    </row>
    <row r="135" spans="1:10" x14ac:dyDescent="0.25">
      <c r="B135" s="8"/>
      <c r="C135" s="56" t="s">
        <v>36</v>
      </c>
      <c r="D135" s="53"/>
      <c r="E135" s="6"/>
      <c r="F135" s="19"/>
      <c r="G135" s="24">
        <v>-8291.89</v>
      </c>
      <c r="H135" s="24">
        <v>-2.4199999999999995</v>
      </c>
      <c r="I135" s="31"/>
      <c r="J135" s="35"/>
    </row>
    <row r="136" spans="1:10" x14ac:dyDescent="0.25">
      <c r="C136" s="57" t="s">
        <v>35</v>
      </c>
      <c r="D136" s="53"/>
      <c r="E136" s="6"/>
      <c r="F136" s="19"/>
      <c r="G136" s="25">
        <v>708.11</v>
      </c>
      <c r="H136" s="25">
        <v>0.17</v>
      </c>
      <c r="I136" s="31"/>
      <c r="J136" s="35"/>
    </row>
    <row r="137" spans="1:10" x14ac:dyDescent="0.25">
      <c r="C137" s="56"/>
      <c r="D137" s="53"/>
      <c r="E137" s="6"/>
      <c r="F137" s="19"/>
      <c r="G137" s="24"/>
      <c r="H137" s="24"/>
      <c r="I137" s="31"/>
      <c r="J137" s="35"/>
    </row>
    <row r="138" spans="1:10" x14ac:dyDescent="0.25">
      <c r="C138" s="61" t="s">
        <v>37</v>
      </c>
      <c r="D138" s="54"/>
      <c r="E138" s="5"/>
      <c r="F138" s="20"/>
      <c r="G138" s="26">
        <v>347498.19</v>
      </c>
      <c r="H138" s="26">
        <f>SUMIFS(H:H,C:C,"Total")</f>
        <v>100</v>
      </c>
      <c r="I138" s="32"/>
      <c r="J138" s="36"/>
    </row>
    <row r="140" spans="1:10" s="49" customFormat="1" ht="15.75" x14ac:dyDescent="0.3">
      <c r="C140" s="49" t="s">
        <v>3323</v>
      </c>
      <c r="F140" s="50"/>
      <c r="G140" s="50"/>
      <c r="H140" s="50"/>
    </row>
    <row r="141" spans="1:10" s="41" customFormat="1" ht="27" x14ac:dyDescent="0.25">
      <c r="B141" s="42"/>
      <c r="C141" s="42" t="s">
        <v>3318</v>
      </c>
      <c r="D141" s="42" t="s">
        <v>3319</v>
      </c>
      <c r="E141" s="42" t="s">
        <v>3320</v>
      </c>
      <c r="F141" s="43" t="s">
        <v>28</v>
      </c>
      <c r="G141" s="44" t="s">
        <v>3321</v>
      </c>
      <c r="H141" s="43" t="s">
        <v>30</v>
      </c>
      <c r="I141" s="42" t="s">
        <v>32</v>
      </c>
    </row>
    <row r="142" spans="1:10" s="41" customFormat="1" x14ac:dyDescent="0.25">
      <c r="B142" s="42"/>
      <c r="C142" s="42" t="s">
        <v>3313</v>
      </c>
      <c r="D142" s="42"/>
      <c r="E142" s="42"/>
      <c r="F142" s="43"/>
      <c r="G142" s="44"/>
      <c r="H142" s="43"/>
      <c r="I142" s="42"/>
    </row>
    <row r="143" spans="1:10" s="41" customFormat="1" x14ac:dyDescent="0.25">
      <c r="B143" s="42"/>
      <c r="C143" s="45" t="s">
        <v>3391</v>
      </c>
      <c r="D143" s="45" t="s">
        <v>3312</v>
      </c>
      <c r="E143" s="45" t="s">
        <v>722</v>
      </c>
      <c r="F143" s="46">
        <v>-12000</v>
      </c>
      <c r="G143" s="46">
        <v>-56.165999999999997</v>
      </c>
      <c r="H143" s="46">
        <v>-0.02</v>
      </c>
      <c r="I143" s="45"/>
    </row>
    <row r="144" spans="1:10" x14ac:dyDescent="0.25">
      <c r="B144" s="45">
        <v>2209327</v>
      </c>
      <c r="C144" s="45" t="s">
        <v>3392</v>
      </c>
      <c r="D144" s="45" t="s">
        <v>3312</v>
      </c>
      <c r="E144" s="45" t="s">
        <v>90</v>
      </c>
      <c r="F144" s="46">
        <v>-4900</v>
      </c>
      <c r="G144" s="46">
        <v>-70.523250000000004</v>
      </c>
      <c r="H144" s="46">
        <v>-0.02</v>
      </c>
      <c r="I144" s="45"/>
      <c r="J144" s="2"/>
    </row>
    <row r="145" spans="2:10" x14ac:dyDescent="0.25">
      <c r="B145" s="45">
        <v>2209246</v>
      </c>
      <c r="C145" s="45" t="s">
        <v>3390</v>
      </c>
      <c r="D145" s="45" t="s">
        <v>3312</v>
      </c>
      <c r="E145" s="45" t="s">
        <v>90</v>
      </c>
      <c r="F145" s="46">
        <v>-12000</v>
      </c>
      <c r="G145" s="46">
        <v>-87.378</v>
      </c>
      <c r="H145" s="46">
        <v>-0.03</v>
      </c>
      <c r="I145" s="45"/>
      <c r="J145" s="2"/>
    </row>
    <row r="146" spans="2:10" x14ac:dyDescent="0.25">
      <c r="B146" s="45">
        <v>2209311</v>
      </c>
      <c r="C146" s="45" t="s">
        <v>3389</v>
      </c>
      <c r="D146" s="45" t="s">
        <v>3312</v>
      </c>
      <c r="E146" s="45" t="s">
        <v>94</v>
      </c>
      <c r="F146" s="46">
        <v>-124000</v>
      </c>
      <c r="G146" s="46">
        <v>-107.384</v>
      </c>
      <c r="H146" s="46">
        <v>-0.03</v>
      </c>
      <c r="I146" s="45"/>
      <c r="J146" s="2"/>
    </row>
    <row r="147" spans="2:10" x14ac:dyDescent="0.25">
      <c r="B147" s="45">
        <v>2209260</v>
      </c>
      <c r="C147" s="45" t="s">
        <v>3386</v>
      </c>
      <c r="D147" s="45" t="s">
        <v>3312</v>
      </c>
      <c r="E147" s="45" t="s">
        <v>47</v>
      </c>
      <c r="F147" s="46">
        <v>-3750</v>
      </c>
      <c r="G147" s="46">
        <v>-136.41187500000001</v>
      </c>
      <c r="H147" s="46">
        <v>-0.04</v>
      </c>
      <c r="I147" s="45"/>
      <c r="J147" s="2"/>
    </row>
    <row r="148" spans="2:10" x14ac:dyDescent="0.25">
      <c r="B148" s="45">
        <v>2209294</v>
      </c>
      <c r="C148" s="45" t="s">
        <v>3388</v>
      </c>
      <c r="D148" s="45" t="s">
        <v>3312</v>
      </c>
      <c r="E148" s="45" t="s">
        <v>98</v>
      </c>
      <c r="F148" s="46">
        <v>-6650</v>
      </c>
      <c r="G148" s="46">
        <v>-146.46625</v>
      </c>
      <c r="H148" s="46">
        <v>-0.04</v>
      </c>
      <c r="I148" s="45"/>
      <c r="J148" s="2"/>
    </row>
    <row r="149" spans="2:10" x14ac:dyDescent="0.25">
      <c r="B149" s="45">
        <v>2209346</v>
      </c>
      <c r="C149" s="45" t="s">
        <v>3387</v>
      </c>
      <c r="D149" s="45" t="s">
        <v>3312</v>
      </c>
      <c r="E149" s="45" t="s">
        <v>157</v>
      </c>
      <c r="F149" s="46">
        <v>-33000</v>
      </c>
      <c r="G149" s="46">
        <v>-148.2525</v>
      </c>
      <c r="H149" s="46">
        <v>-0.04</v>
      </c>
      <c r="I149" s="45"/>
      <c r="J149" s="2"/>
    </row>
    <row r="150" spans="2:10" x14ac:dyDescent="0.25">
      <c r="B150" s="45">
        <v>2209234</v>
      </c>
      <c r="C150" s="45" t="s">
        <v>3385</v>
      </c>
      <c r="D150" s="45" t="s">
        <v>3312</v>
      </c>
      <c r="E150" s="45" t="s">
        <v>98</v>
      </c>
      <c r="F150" s="46">
        <v>-2200</v>
      </c>
      <c r="G150" s="46">
        <v>-149.15119999999999</v>
      </c>
      <c r="H150" s="46">
        <v>-0.04</v>
      </c>
      <c r="I150" s="45"/>
      <c r="J150" s="2"/>
    </row>
    <row r="151" spans="2:10" x14ac:dyDescent="0.25">
      <c r="B151" s="45">
        <v>2209253</v>
      </c>
      <c r="C151" s="45" t="s">
        <v>3384</v>
      </c>
      <c r="D151" s="45" t="s">
        <v>3312</v>
      </c>
      <c r="E151" s="45" t="s">
        <v>153</v>
      </c>
      <c r="F151" s="46">
        <v>-475000</v>
      </c>
      <c r="G151" s="46">
        <v>-161.26249999999999</v>
      </c>
      <c r="H151" s="46">
        <v>-0.05</v>
      </c>
      <c r="I151" s="45"/>
      <c r="J151" s="2"/>
    </row>
    <row r="152" spans="2:10" x14ac:dyDescent="0.25">
      <c r="B152" s="45">
        <v>2209231</v>
      </c>
      <c r="C152" s="45" t="s">
        <v>3383</v>
      </c>
      <c r="D152" s="45" t="s">
        <v>3312</v>
      </c>
      <c r="E152" s="45" t="s">
        <v>83</v>
      </c>
      <c r="F152" s="46">
        <v>-14300</v>
      </c>
      <c r="G152" s="46">
        <v>-189.2176</v>
      </c>
      <c r="H152" s="46">
        <v>-0.05</v>
      </c>
      <c r="I152" s="45"/>
      <c r="J152" s="2"/>
    </row>
    <row r="153" spans="2:10" x14ac:dyDescent="0.25">
      <c r="B153" s="45">
        <v>2209320</v>
      </c>
      <c r="C153" s="45" t="s">
        <v>3381</v>
      </c>
      <c r="D153" s="45" t="s">
        <v>3312</v>
      </c>
      <c r="E153" s="45" t="s">
        <v>55</v>
      </c>
      <c r="F153" s="46">
        <v>-57600</v>
      </c>
      <c r="G153" s="46">
        <v>-204.16319999999999</v>
      </c>
      <c r="H153" s="46">
        <v>-0.06</v>
      </c>
      <c r="I153" s="45"/>
      <c r="J153" s="2"/>
    </row>
    <row r="154" spans="2:10" x14ac:dyDescent="0.25">
      <c r="B154" s="45">
        <v>2209239</v>
      </c>
      <c r="C154" s="45" t="s">
        <v>3382</v>
      </c>
      <c r="D154" s="45" t="s">
        <v>3312</v>
      </c>
      <c r="E154" s="45" t="s">
        <v>83</v>
      </c>
      <c r="F154" s="46">
        <v>-18750</v>
      </c>
      <c r="G154" s="46">
        <v>-225.421875</v>
      </c>
      <c r="H154" s="46">
        <v>-0.06</v>
      </c>
      <c r="I154" s="45"/>
      <c r="J154" s="2"/>
    </row>
    <row r="155" spans="2:10" x14ac:dyDescent="0.25">
      <c r="B155" s="45">
        <v>2209335</v>
      </c>
      <c r="C155" s="45" t="s">
        <v>3380</v>
      </c>
      <c r="D155" s="45" t="s">
        <v>3312</v>
      </c>
      <c r="E155" s="45" t="s">
        <v>196</v>
      </c>
      <c r="F155" s="46">
        <v>-21600</v>
      </c>
      <c r="G155" s="46">
        <v>-319.48559999999998</v>
      </c>
      <c r="H155" s="46">
        <v>-0.09</v>
      </c>
      <c r="I155" s="45"/>
      <c r="J155" s="2"/>
    </row>
    <row r="156" spans="2:10" x14ac:dyDescent="0.25">
      <c r="B156" s="45">
        <v>2209255</v>
      </c>
      <c r="C156" s="45" t="s">
        <v>3379</v>
      </c>
      <c r="D156" s="45" t="s">
        <v>3312</v>
      </c>
      <c r="E156" s="45" t="s">
        <v>196</v>
      </c>
      <c r="F156" s="46">
        <v>-198000</v>
      </c>
      <c r="G156" s="46">
        <v>-328.28399999999999</v>
      </c>
      <c r="H156" s="46">
        <v>-0.09</v>
      </c>
      <c r="I156" s="45"/>
      <c r="J156" s="2"/>
    </row>
    <row r="157" spans="2:10" x14ac:dyDescent="0.25">
      <c r="B157" s="45">
        <v>2209229</v>
      </c>
      <c r="C157" s="45" t="s">
        <v>3378</v>
      </c>
      <c r="D157" s="45" t="s">
        <v>3312</v>
      </c>
      <c r="E157" s="45" t="s">
        <v>157</v>
      </c>
      <c r="F157" s="46">
        <v>-8000</v>
      </c>
      <c r="G157" s="46">
        <v>-330.40800000000002</v>
      </c>
      <c r="H157" s="46">
        <v>-0.1</v>
      </c>
      <c r="I157" s="45"/>
      <c r="J157" s="2"/>
    </row>
    <row r="158" spans="2:10" x14ac:dyDescent="0.25">
      <c r="B158" s="45">
        <v>2209324</v>
      </c>
      <c r="C158" s="45" t="s">
        <v>3377</v>
      </c>
      <c r="D158" s="45" t="s">
        <v>3312</v>
      </c>
      <c r="E158" s="45" t="s">
        <v>90</v>
      </c>
      <c r="F158" s="46">
        <v>-21000</v>
      </c>
      <c r="G158" s="46">
        <v>-418.39350000000002</v>
      </c>
      <c r="H158" s="46">
        <v>-0.12</v>
      </c>
      <c r="I158" s="45"/>
      <c r="J158" s="2"/>
    </row>
    <row r="159" spans="2:10" x14ac:dyDescent="0.25">
      <c r="B159" s="45">
        <v>2209223</v>
      </c>
      <c r="C159" s="45" t="s">
        <v>3375</v>
      </c>
      <c r="D159" s="45" t="s">
        <v>3312</v>
      </c>
      <c r="E159" s="45" t="s">
        <v>94</v>
      </c>
      <c r="F159" s="46">
        <v>-164000</v>
      </c>
      <c r="G159" s="46">
        <v>-454.85399999999998</v>
      </c>
      <c r="H159" s="46">
        <v>-0.13</v>
      </c>
      <c r="I159" s="45"/>
      <c r="J159" s="2"/>
    </row>
    <row r="160" spans="2:10" x14ac:dyDescent="0.25">
      <c r="B160" s="45">
        <v>2209287</v>
      </c>
      <c r="C160" s="45" t="s">
        <v>3376</v>
      </c>
      <c r="D160" s="45" t="s">
        <v>3312</v>
      </c>
      <c r="E160" s="45" t="s">
        <v>111</v>
      </c>
      <c r="F160" s="46">
        <v>-103500</v>
      </c>
      <c r="G160" s="46">
        <v>-464.71499999999997</v>
      </c>
      <c r="H160" s="46">
        <v>-0.13</v>
      </c>
      <c r="I160" s="45"/>
      <c r="J160" s="2"/>
    </row>
    <row r="161" spans="2:10" x14ac:dyDescent="0.25">
      <c r="B161" s="45">
        <v>2209237</v>
      </c>
      <c r="C161" s="45" t="s">
        <v>3373</v>
      </c>
      <c r="D161" s="45" t="s">
        <v>3312</v>
      </c>
      <c r="E161" s="45" t="s">
        <v>90</v>
      </c>
      <c r="F161" s="46">
        <v>-132000</v>
      </c>
      <c r="G161" s="46">
        <v>-479.68799999999999</v>
      </c>
      <c r="H161" s="46">
        <v>-0.14000000000000001</v>
      </c>
      <c r="I161" s="45"/>
      <c r="J161" s="2"/>
    </row>
    <row r="162" spans="2:10" x14ac:dyDescent="0.25">
      <c r="B162" s="45">
        <v>2209293</v>
      </c>
      <c r="C162" s="45" t="s">
        <v>3374</v>
      </c>
      <c r="D162" s="45" t="s">
        <v>3312</v>
      </c>
      <c r="E162" s="45" t="s">
        <v>94</v>
      </c>
      <c r="F162" s="46">
        <v>-60000</v>
      </c>
      <c r="G162" s="46">
        <v>-488.22</v>
      </c>
      <c r="H162" s="46">
        <v>-0.14000000000000001</v>
      </c>
      <c r="I162" s="45"/>
      <c r="J162" s="2"/>
    </row>
    <row r="163" spans="2:10" x14ac:dyDescent="0.25">
      <c r="B163" s="45">
        <v>2209350</v>
      </c>
      <c r="C163" s="45" t="s">
        <v>3372</v>
      </c>
      <c r="D163" s="45" t="s">
        <v>3312</v>
      </c>
      <c r="E163" s="45" t="s">
        <v>47</v>
      </c>
      <c r="F163" s="46">
        <v>-64800</v>
      </c>
      <c r="G163" s="46">
        <v>-515.61360000000002</v>
      </c>
      <c r="H163" s="46">
        <v>-0.15</v>
      </c>
      <c r="I163" s="45"/>
      <c r="J163" s="2"/>
    </row>
    <row r="164" spans="2:10" x14ac:dyDescent="0.25">
      <c r="B164" s="45">
        <v>2209334</v>
      </c>
      <c r="C164" s="45" t="s">
        <v>3371</v>
      </c>
      <c r="D164" s="45" t="s">
        <v>3312</v>
      </c>
      <c r="E164" s="45" t="s">
        <v>98</v>
      </c>
      <c r="F164" s="46">
        <v>-17400</v>
      </c>
      <c r="G164" s="46">
        <v>-550.42290000000003</v>
      </c>
      <c r="H164" s="46">
        <v>-0.16</v>
      </c>
      <c r="I164" s="45"/>
      <c r="J164" s="2"/>
    </row>
    <row r="165" spans="2:10" x14ac:dyDescent="0.25">
      <c r="B165" s="45">
        <v>2209263</v>
      </c>
      <c r="C165" s="45" t="s">
        <v>3370</v>
      </c>
      <c r="D165" s="45" t="s">
        <v>3312</v>
      </c>
      <c r="E165" s="45" t="s">
        <v>47</v>
      </c>
      <c r="F165" s="46">
        <v>-68600</v>
      </c>
      <c r="G165" s="46">
        <v>-558.74699999999996</v>
      </c>
      <c r="H165" s="46">
        <v>-0.16</v>
      </c>
      <c r="I165" s="45"/>
      <c r="J165" s="2"/>
    </row>
    <row r="166" spans="2:10" x14ac:dyDescent="0.25">
      <c r="B166" s="45">
        <v>2209266</v>
      </c>
      <c r="C166" s="45" t="s">
        <v>3369</v>
      </c>
      <c r="D166" s="45" t="s">
        <v>3312</v>
      </c>
      <c r="E166" s="45" t="s">
        <v>90</v>
      </c>
      <c r="F166" s="46">
        <v>-15400</v>
      </c>
      <c r="G166" s="46">
        <v>-587.40219999999999</v>
      </c>
      <c r="H166" s="46">
        <v>-0.17</v>
      </c>
      <c r="I166" s="45"/>
      <c r="J166" s="2"/>
    </row>
    <row r="167" spans="2:10" x14ac:dyDescent="0.25">
      <c r="B167" s="45">
        <v>2209240</v>
      </c>
      <c r="C167" s="45" t="s">
        <v>3368</v>
      </c>
      <c r="D167" s="45" t="s">
        <v>3312</v>
      </c>
      <c r="E167" s="45" t="s">
        <v>98</v>
      </c>
      <c r="F167" s="46">
        <v>-22750</v>
      </c>
      <c r="G167" s="46">
        <v>-659.21537499999999</v>
      </c>
      <c r="H167" s="46">
        <v>-0.19</v>
      </c>
      <c r="I167" s="45"/>
      <c r="J167" s="2"/>
    </row>
    <row r="168" spans="2:10" x14ac:dyDescent="0.25">
      <c r="B168" s="45">
        <v>2209226</v>
      </c>
      <c r="C168" s="45" t="s">
        <v>3367</v>
      </c>
      <c r="D168" s="45" t="s">
        <v>3312</v>
      </c>
      <c r="E168" s="45" t="s">
        <v>170</v>
      </c>
      <c r="F168" s="46">
        <v>-395600</v>
      </c>
      <c r="G168" s="46">
        <v>-694.47580000000005</v>
      </c>
      <c r="H168" s="46">
        <v>-0.2</v>
      </c>
      <c r="I168" s="45"/>
      <c r="J168" s="2"/>
    </row>
    <row r="169" spans="2:10" x14ac:dyDescent="0.25">
      <c r="B169" s="45">
        <v>2209267</v>
      </c>
      <c r="C169" s="45" t="s">
        <v>3366</v>
      </c>
      <c r="D169" s="45" t="s">
        <v>3312</v>
      </c>
      <c r="E169" s="45" t="s">
        <v>51</v>
      </c>
      <c r="F169" s="46">
        <v>-1935200</v>
      </c>
      <c r="G169" s="46">
        <v>-797.30240000000003</v>
      </c>
      <c r="H169" s="46">
        <v>-0.23</v>
      </c>
      <c r="I169" s="45"/>
      <c r="J169" s="2"/>
    </row>
    <row r="170" spans="2:10" x14ac:dyDescent="0.25">
      <c r="B170" s="45">
        <v>2209230</v>
      </c>
      <c r="C170" s="45" t="s">
        <v>3365</v>
      </c>
      <c r="D170" s="45" t="s">
        <v>3312</v>
      </c>
      <c r="E170" s="45" t="s">
        <v>79</v>
      </c>
      <c r="F170" s="46">
        <v>-95150</v>
      </c>
      <c r="G170" s="46">
        <v>-860.01327500000002</v>
      </c>
      <c r="H170" s="46">
        <v>-0.25</v>
      </c>
      <c r="I170" s="45"/>
      <c r="J170" s="2"/>
    </row>
    <row r="171" spans="2:10" x14ac:dyDescent="0.25">
      <c r="B171" s="45">
        <v>2209288</v>
      </c>
      <c r="C171" s="45" t="s">
        <v>3364</v>
      </c>
      <c r="D171" s="45" t="s">
        <v>3312</v>
      </c>
      <c r="E171" s="45" t="s">
        <v>41</v>
      </c>
      <c r="F171" s="46">
        <v>-64500</v>
      </c>
      <c r="G171" s="46">
        <v>-901.35524999999996</v>
      </c>
      <c r="H171" s="46">
        <v>-0.26</v>
      </c>
      <c r="I171" s="45"/>
      <c r="J171" s="2"/>
    </row>
    <row r="172" spans="2:10" x14ac:dyDescent="0.25">
      <c r="B172" s="45">
        <v>2209215</v>
      </c>
      <c r="C172" s="45" t="s">
        <v>3363</v>
      </c>
      <c r="D172" s="45" t="s">
        <v>3312</v>
      </c>
      <c r="E172" s="45" t="s">
        <v>261</v>
      </c>
      <c r="F172" s="46">
        <v>-1322400</v>
      </c>
      <c r="G172" s="46">
        <v>-1132.6356000000001</v>
      </c>
      <c r="H172" s="46">
        <v>-0.33</v>
      </c>
      <c r="I172" s="45"/>
      <c r="J172" s="2"/>
    </row>
    <row r="173" spans="2:10" x14ac:dyDescent="0.25">
      <c r="B173" s="45">
        <v>2209306</v>
      </c>
      <c r="C173" s="45" t="s">
        <v>3362</v>
      </c>
      <c r="D173" s="45" t="s">
        <v>3312</v>
      </c>
      <c r="E173" s="45" t="s">
        <v>94</v>
      </c>
      <c r="F173" s="46">
        <v>-211200</v>
      </c>
      <c r="G173" s="46">
        <v>-1190.3232</v>
      </c>
      <c r="H173" s="46">
        <v>-0.34</v>
      </c>
      <c r="I173" s="45"/>
      <c r="J173" s="2"/>
    </row>
    <row r="174" spans="2:10" x14ac:dyDescent="0.25">
      <c r="B174" s="45">
        <v>2209347</v>
      </c>
      <c r="C174" s="45" t="s">
        <v>3326</v>
      </c>
      <c r="D174" s="45" t="s">
        <v>3312</v>
      </c>
      <c r="E174" s="45" t="s">
        <v>111</v>
      </c>
      <c r="F174" s="46">
        <v>-119850</v>
      </c>
      <c r="G174" s="46">
        <v>-1211.2040999999999</v>
      </c>
      <c r="H174" s="46">
        <v>-0.35</v>
      </c>
      <c r="I174" s="45"/>
      <c r="J174" s="2"/>
    </row>
    <row r="175" spans="2:10" x14ac:dyDescent="0.25">
      <c r="B175" s="45">
        <v>2209289</v>
      </c>
      <c r="C175" s="45" t="s">
        <v>3361</v>
      </c>
      <c r="D175" s="45" t="s">
        <v>3312</v>
      </c>
      <c r="E175" s="45" t="s">
        <v>111</v>
      </c>
      <c r="F175" s="46">
        <v>-162500</v>
      </c>
      <c r="G175" s="46">
        <v>-1261.8125</v>
      </c>
      <c r="H175" s="46">
        <v>-0.36</v>
      </c>
      <c r="I175" s="45"/>
      <c r="J175" s="2"/>
    </row>
    <row r="176" spans="2:10" x14ac:dyDescent="0.25">
      <c r="B176" s="45">
        <v>2209244</v>
      </c>
      <c r="C176" s="45" t="s">
        <v>3360</v>
      </c>
      <c r="D176" s="45" t="s">
        <v>3312</v>
      </c>
      <c r="E176" s="45" t="s">
        <v>111</v>
      </c>
      <c r="F176" s="46">
        <v>-262200</v>
      </c>
      <c r="G176" s="46">
        <v>-1272.8498999999999</v>
      </c>
      <c r="H176" s="46">
        <v>-0.37</v>
      </c>
      <c r="I176" s="45"/>
      <c r="J176" s="2"/>
    </row>
    <row r="177" spans="2:10" x14ac:dyDescent="0.25">
      <c r="B177" s="45">
        <v>2209330</v>
      </c>
      <c r="C177" s="45" t="s">
        <v>3359</v>
      </c>
      <c r="D177" s="45" t="s">
        <v>3312</v>
      </c>
      <c r="E177" s="45" t="s">
        <v>98</v>
      </c>
      <c r="F177" s="46">
        <v>-963300</v>
      </c>
      <c r="G177" s="46">
        <v>-1291.3036500000001</v>
      </c>
      <c r="H177" s="46">
        <v>-0.37</v>
      </c>
      <c r="I177" s="45"/>
      <c r="J177" s="2"/>
    </row>
    <row r="178" spans="2:10" x14ac:dyDescent="0.25">
      <c r="B178" s="45">
        <v>2209258</v>
      </c>
      <c r="C178" s="45" t="s">
        <v>3358</v>
      </c>
      <c r="D178" s="45" t="s">
        <v>3312</v>
      </c>
      <c r="E178" s="45" t="s">
        <v>90</v>
      </c>
      <c r="F178" s="46">
        <v>-291600</v>
      </c>
      <c r="G178" s="46">
        <v>-1466.748</v>
      </c>
      <c r="H178" s="46">
        <v>-0.42</v>
      </c>
      <c r="I178" s="45"/>
      <c r="J178" s="2"/>
    </row>
    <row r="179" spans="2:10" x14ac:dyDescent="0.25">
      <c r="B179" s="45">
        <v>2209329</v>
      </c>
      <c r="C179" s="45" t="s">
        <v>3357</v>
      </c>
      <c r="D179" s="45" t="s">
        <v>3312</v>
      </c>
      <c r="E179" s="45" t="s">
        <v>98</v>
      </c>
      <c r="F179" s="46">
        <v>-246400</v>
      </c>
      <c r="G179" s="46">
        <v>-1505.3807999999999</v>
      </c>
      <c r="H179" s="46">
        <v>-0.43</v>
      </c>
      <c r="I179" s="45"/>
      <c r="J179" s="2"/>
    </row>
    <row r="180" spans="2:10" x14ac:dyDescent="0.25">
      <c r="B180" s="45">
        <v>2209290</v>
      </c>
      <c r="C180" s="45" t="s">
        <v>3356</v>
      </c>
      <c r="D180" s="45" t="s">
        <v>3312</v>
      </c>
      <c r="E180" s="45" t="s">
        <v>111</v>
      </c>
      <c r="F180" s="46">
        <v>-426800</v>
      </c>
      <c r="G180" s="46">
        <v>-1692.4754</v>
      </c>
      <c r="H180" s="46">
        <v>-0.49</v>
      </c>
      <c r="I180" s="45"/>
      <c r="J180" s="2"/>
    </row>
    <row r="181" spans="2:10" x14ac:dyDescent="0.25">
      <c r="B181" s="45">
        <v>2209241</v>
      </c>
      <c r="C181" s="45" t="s">
        <v>3355</v>
      </c>
      <c r="D181" s="45" t="s">
        <v>3312</v>
      </c>
      <c r="E181" s="45" t="s">
        <v>170</v>
      </c>
      <c r="F181" s="46">
        <v>-1364000</v>
      </c>
      <c r="G181" s="46">
        <v>-1871.4079999999999</v>
      </c>
      <c r="H181" s="46">
        <v>-0.54</v>
      </c>
      <c r="I181" s="45"/>
      <c r="J181" s="2"/>
    </row>
    <row r="182" spans="2:10" x14ac:dyDescent="0.25">
      <c r="B182" s="45">
        <v>2209342</v>
      </c>
      <c r="C182" s="45" t="s">
        <v>3354</v>
      </c>
      <c r="D182" s="45" t="s">
        <v>3312</v>
      </c>
      <c r="E182" s="45" t="s">
        <v>90</v>
      </c>
      <c r="F182" s="46">
        <v>-393750</v>
      </c>
      <c r="G182" s="46">
        <v>-2040.01875</v>
      </c>
      <c r="H182" s="46">
        <v>-0.59</v>
      </c>
      <c r="I182" s="45"/>
      <c r="J182" s="2"/>
    </row>
    <row r="183" spans="2:10" x14ac:dyDescent="0.25">
      <c r="B183" s="45">
        <v>2209295</v>
      </c>
      <c r="C183" s="45" t="s">
        <v>3353</v>
      </c>
      <c r="D183" s="45" t="s">
        <v>3312</v>
      </c>
      <c r="E183" s="45" t="s">
        <v>826</v>
      </c>
      <c r="F183" s="46">
        <v>-939000</v>
      </c>
      <c r="G183" s="46">
        <v>-2078.4765000000002</v>
      </c>
      <c r="H183" s="46">
        <v>-0.6</v>
      </c>
      <c r="I183" s="45"/>
      <c r="J183" s="2"/>
    </row>
    <row r="184" spans="2:10" x14ac:dyDescent="0.25">
      <c r="B184" s="45">
        <v>2209251</v>
      </c>
      <c r="C184" s="45" t="s">
        <v>3352</v>
      </c>
      <c r="D184" s="45" t="s">
        <v>3312</v>
      </c>
      <c r="E184" s="45" t="s">
        <v>274</v>
      </c>
      <c r="F184" s="46">
        <v>-1356300</v>
      </c>
      <c r="G184" s="46">
        <v>-2079.8860500000001</v>
      </c>
      <c r="H184" s="46">
        <v>-0.6</v>
      </c>
      <c r="I184" s="45"/>
      <c r="J184" s="2"/>
    </row>
    <row r="185" spans="2:10" x14ac:dyDescent="0.25">
      <c r="B185" s="45">
        <v>2209310</v>
      </c>
      <c r="C185" s="45" t="s">
        <v>3351</v>
      </c>
      <c r="D185" s="45" t="s">
        <v>3312</v>
      </c>
      <c r="E185" s="45" t="s">
        <v>51</v>
      </c>
      <c r="F185" s="46">
        <v>-494400</v>
      </c>
      <c r="G185" s="46">
        <v>-2619.3312000000001</v>
      </c>
      <c r="H185" s="46">
        <v>-0.75</v>
      </c>
      <c r="I185" s="45"/>
      <c r="J185" s="2"/>
    </row>
    <row r="186" spans="2:10" x14ac:dyDescent="0.25">
      <c r="B186" s="45">
        <v>2209277</v>
      </c>
      <c r="C186" s="45" t="s">
        <v>3350</v>
      </c>
      <c r="D186" s="45" t="s">
        <v>3312</v>
      </c>
      <c r="E186" s="45" t="s">
        <v>111</v>
      </c>
      <c r="F186" s="46">
        <v>-95600</v>
      </c>
      <c r="G186" s="46">
        <v>-2929.8532</v>
      </c>
      <c r="H186" s="46">
        <v>-0.84</v>
      </c>
      <c r="I186" s="45"/>
      <c r="J186" s="2"/>
    </row>
    <row r="187" spans="2:10" x14ac:dyDescent="0.25">
      <c r="B187" s="45">
        <v>2209250</v>
      </c>
      <c r="C187" s="45" t="s">
        <v>3349</v>
      </c>
      <c r="D187" s="45" t="s">
        <v>3312</v>
      </c>
      <c r="E187" s="45" t="s">
        <v>195</v>
      </c>
      <c r="F187" s="46">
        <v>-204500</v>
      </c>
      <c r="G187" s="46">
        <v>-2938.3582500000002</v>
      </c>
      <c r="H187" s="46">
        <v>-0.85</v>
      </c>
      <c r="I187" s="45"/>
      <c r="J187" s="2"/>
    </row>
    <row r="188" spans="2:10" x14ac:dyDescent="0.25">
      <c r="B188" s="45">
        <v>2209312</v>
      </c>
      <c r="C188" s="45" t="s">
        <v>3324</v>
      </c>
      <c r="D188" s="45" t="s">
        <v>3312</v>
      </c>
      <c r="E188" s="45" t="s">
        <v>111</v>
      </c>
      <c r="F188" s="46">
        <v>-414700</v>
      </c>
      <c r="G188" s="46">
        <v>-3316.97795</v>
      </c>
      <c r="H188" s="46">
        <v>-0.95</v>
      </c>
      <c r="I188" s="45"/>
      <c r="J188" s="2"/>
    </row>
    <row r="189" spans="2:10" x14ac:dyDescent="0.25">
      <c r="B189" s="45">
        <v>2209224</v>
      </c>
      <c r="C189" s="45" t="s">
        <v>3348</v>
      </c>
      <c r="D189" s="45" t="s">
        <v>3312</v>
      </c>
      <c r="E189" s="45" t="s">
        <v>153</v>
      </c>
      <c r="F189" s="46">
        <v>-933300</v>
      </c>
      <c r="G189" s="46">
        <v>-3366.8797500000001</v>
      </c>
      <c r="H189" s="46">
        <v>-0.97</v>
      </c>
      <c r="I189" s="45"/>
      <c r="J189" s="2"/>
    </row>
    <row r="190" spans="2:10" x14ac:dyDescent="0.25">
      <c r="B190" s="45">
        <v>2209332</v>
      </c>
      <c r="C190" s="45" t="s">
        <v>3347</v>
      </c>
      <c r="D190" s="45" t="s">
        <v>3312</v>
      </c>
      <c r="E190" s="45" t="s">
        <v>90</v>
      </c>
      <c r="F190" s="46">
        <v>-677500</v>
      </c>
      <c r="G190" s="46">
        <v>-3476.5912499999999</v>
      </c>
      <c r="H190" s="46">
        <v>-1</v>
      </c>
      <c r="I190" s="45"/>
      <c r="J190" s="2"/>
    </row>
    <row r="191" spans="2:10" x14ac:dyDescent="0.25">
      <c r="B191" s="45">
        <v>2209249</v>
      </c>
      <c r="C191" s="45" t="s">
        <v>3346</v>
      </c>
      <c r="D191" s="45" t="s">
        <v>3312</v>
      </c>
      <c r="E191" s="45" t="s">
        <v>41</v>
      </c>
      <c r="F191" s="46">
        <v>-90800</v>
      </c>
      <c r="G191" s="46">
        <v>-3691.1561999999999</v>
      </c>
      <c r="H191" s="46">
        <v>-1.06</v>
      </c>
      <c r="I191" s="45"/>
      <c r="J191" s="2"/>
    </row>
    <row r="192" spans="2:10" x14ac:dyDescent="0.25">
      <c r="B192" s="45">
        <v>2209340</v>
      </c>
      <c r="C192" s="45" t="s">
        <v>3345</v>
      </c>
      <c r="D192" s="45" t="s">
        <v>3312</v>
      </c>
      <c r="E192" s="45" t="s">
        <v>94</v>
      </c>
      <c r="F192" s="46">
        <v>-333000</v>
      </c>
      <c r="G192" s="46">
        <v>-3776.886</v>
      </c>
      <c r="H192" s="46">
        <v>-1.0900000000000001</v>
      </c>
      <c r="I192" s="45"/>
      <c r="J192" s="2"/>
    </row>
    <row r="193" spans="2:10" x14ac:dyDescent="0.25">
      <c r="B193" s="45">
        <v>2209301</v>
      </c>
      <c r="C193" s="45" t="s">
        <v>3344</v>
      </c>
      <c r="D193" s="45" t="s">
        <v>3312</v>
      </c>
      <c r="E193" s="45" t="s">
        <v>142</v>
      </c>
      <c r="F193" s="46">
        <v>-1440000</v>
      </c>
      <c r="G193" s="46">
        <v>-4951.4399999999996</v>
      </c>
      <c r="H193" s="46">
        <v>-1.42</v>
      </c>
      <c r="I193" s="45"/>
      <c r="J193" s="2"/>
    </row>
    <row r="194" spans="2:10" x14ac:dyDescent="0.25">
      <c r="B194" s="45">
        <v>2209217</v>
      </c>
      <c r="C194" s="45" t="s">
        <v>3343</v>
      </c>
      <c r="D194" s="45" t="s">
        <v>3312</v>
      </c>
      <c r="E194" s="45" t="s">
        <v>41</v>
      </c>
      <c r="F194" s="46">
        <v>-2415000</v>
      </c>
      <c r="G194" s="46">
        <v>-5269.53</v>
      </c>
      <c r="H194" s="46">
        <v>-1.52</v>
      </c>
      <c r="I194" s="45"/>
      <c r="J194" s="2"/>
    </row>
    <row r="195" spans="2:10" x14ac:dyDescent="0.25">
      <c r="B195" s="45">
        <v>2209219</v>
      </c>
      <c r="C195" s="45" t="s">
        <v>3317</v>
      </c>
      <c r="D195" s="45" t="s">
        <v>3312</v>
      </c>
      <c r="E195" s="45" t="s">
        <v>722</v>
      </c>
      <c r="F195" s="46">
        <v>-2667000</v>
      </c>
      <c r="G195" s="46">
        <v>-5610.0344999999998</v>
      </c>
      <c r="H195" s="46">
        <v>-1.61</v>
      </c>
      <c r="I195" s="45"/>
      <c r="J195" s="2"/>
    </row>
    <row r="196" spans="2:10" x14ac:dyDescent="0.25">
      <c r="B196" s="45">
        <v>2209345</v>
      </c>
      <c r="C196" s="45" t="s">
        <v>3342</v>
      </c>
      <c r="D196" s="45" t="s">
        <v>3312</v>
      </c>
      <c r="E196" s="45" t="s">
        <v>153</v>
      </c>
      <c r="F196" s="46">
        <v>-2370600</v>
      </c>
      <c r="G196" s="46">
        <v>-6595.0092000000004</v>
      </c>
      <c r="H196" s="46">
        <v>-1.9</v>
      </c>
      <c r="I196" s="45"/>
      <c r="J196" s="2"/>
    </row>
    <row r="197" spans="2:10" x14ac:dyDescent="0.25">
      <c r="B197" s="45">
        <v>2209283</v>
      </c>
      <c r="C197" s="45" t="s">
        <v>3341</v>
      </c>
      <c r="D197" s="45" t="s">
        <v>3312</v>
      </c>
      <c r="E197" s="45" t="s">
        <v>94</v>
      </c>
      <c r="F197" s="46">
        <v>-414600</v>
      </c>
      <c r="G197" s="46">
        <v>-7232.9043000000001</v>
      </c>
      <c r="H197" s="46">
        <v>-2.08</v>
      </c>
      <c r="I197" s="45"/>
      <c r="J197" s="2"/>
    </row>
    <row r="198" spans="2:10" x14ac:dyDescent="0.25">
      <c r="B198" s="45">
        <v>2209264</v>
      </c>
      <c r="C198" s="45" t="s">
        <v>3331</v>
      </c>
      <c r="D198" s="45" t="s">
        <v>3312</v>
      </c>
      <c r="E198" s="45" t="s">
        <v>111</v>
      </c>
      <c r="F198" s="46">
        <v>-1729000</v>
      </c>
      <c r="G198" s="46">
        <v>-8702.9215000000004</v>
      </c>
      <c r="H198" s="46">
        <v>-2.5</v>
      </c>
      <c r="I198" s="45"/>
      <c r="J198" s="2"/>
    </row>
    <row r="199" spans="2:10" x14ac:dyDescent="0.25">
      <c r="B199" s="45">
        <v>2209326</v>
      </c>
      <c r="C199" s="45" t="s">
        <v>3340</v>
      </c>
      <c r="D199" s="45" t="s">
        <v>3312</v>
      </c>
      <c r="E199" s="45" t="s">
        <v>41</v>
      </c>
      <c r="F199" s="46">
        <v>-1235000</v>
      </c>
      <c r="G199" s="46">
        <v>-9212.4825000000001</v>
      </c>
      <c r="H199" s="46">
        <v>-2.65</v>
      </c>
      <c r="I199" s="45"/>
      <c r="J199" s="2"/>
    </row>
    <row r="200" spans="2:10" x14ac:dyDescent="0.25">
      <c r="B200" s="45">
        <v>2209261</v>
      </c>
      <c r="C200" s="45" t="s">
        <v>3339</v>
      </c>
      <c r="D200" s="45" t="s">
        <v>3312</v>
      </c>
      <c r="E200" s="45" t="s">
        <v>90</v>
      </c>
      <c r="F200" s="46">
        <v>-5456000</v>
      </c>
      <c r="G200" s="46">
        <v>-9408.8719999999994</v>
      </c>
      <c r="H200" s="46">
        <v>-2.71</v>
      </c>
      <c r="I200" s="45"/>
      <c r="J200" s="2"/>
    </row>
    <row r="201" spans="2:10" x14ac:dyDescent="0.25">
      <c r="B201" s="45">
        <v>2209281</v>
      </c>
      <c r="C201" s="45" t="s">
        <v>3338</v>
      </c>
      <c r="D201" s="45" t="s">
        <v>3312</v>
      </c>
      <c r="E201" s="45" t="s">
        <v>51</v>
      </c>
      <c r="F201" s="46">
        <v>-2619600</v>
      </c>
      <c r="G201" s="46">
        <v>-11151.637199999999</v>
      </c>
      <c r="H201" s="46">
        <v>-3.21</v>
      </c>
      <c r="I201" s="45"/>
      <c r="J201" s="2"/>
    </row>
    <row r="202" spans="2:10" x14ac:dyDescent="0.25">
      <c r="B202" s="45">
        <v>2209225</v>
      </c>
      <c r="C202" s="45" t="s">
        <v>3337</v>
      </c>
      <c r="D202" s="45" t="s">
        <v>3312</v>
      </c>
      <c r="E202" s="45" t="s">
        <v>51</v>
      </c>
      <c r="F202" s="46">
        <v>-3213375</v>
      </c>
      <c r="G202" s="46">
        <v>-11426.761500000001</v>
      </c>
      <c r="H202" s="46">
        <v>-3.29</v>
      </c>
      <c r="I202" s="45"/>
      <c r="J202" s="2"/>
    </row>
    <row r="203" spans="2:10" x14ac:dyDescent="0.25">
      <c r="B203" s="45">
        <v>2209271</v>
      </c>
      <c r="C203" s="45" t="s">
        <v>3336</v>
      </c>
      <c r="D203" s="45" t="s">
        <v>3312</v>
      </c>
      <c r="E203" s="45" t="s">
        <v>51</v>
      </c>
      <c r="F203" s="46">
        <v>-9915000</v>
      </c>
      <c r="G203" s="46">
        <v>-18427.0275</v>
      </c>
      <c r="H203" s="46">
        <v>-5.3</v>
      </c>
      <c r="I203" s="45"/>
      <c r="J203" s="2"/>
    </row>
    <row r="204" spans="2:10" x14ac:dyDescent="0.25">
      <c r="B204" s="45">
        <v>2209321</v>
      </c>
      <c r="C204" s="45" t="s">
        <v>3335</v>
      </c>
      <c r="D204" s="45" t="s">
        <v>3312</v>
      </c>
      <c r="E204" s="45" t="s">
        <v>111</v>
      </c>
      <c r="F204" s="46">
        <v>-408250</v>
      </c>
      <c r="G204" s="46">
        <v>-21294.115875</v>
      </c>
      <c r="H204" s="46">
        <v>-6.13</v>
      </c>
      <c r="I204" s="45"/>
      <c r="J204" s="2"/>
    </row>
    <row r="205" spans="2:10" x14ac:dyDescent="0.25">
      <c r="B205" s="45">
        <v>2209252</v>
      </c>
      <c r="C205" s="45" t="s">
        <v>3334</v>
      </c>
      <c r="D205" s="45" t="s">
        <v>3312</v>
      </c>
      <c r="E205" s="45" t="s">
        <v>68</v>
      </c>
      <c r="F205" s="46">
        <v>-6637686</v>
      </c>
      <c r="G205" s="46">
        <v>-28103.962523999999</v>
      </c>
      <c r="H205" s="46">
        <v>-8.09</v>
      </c>
      <c r="I205" s="45"/>
      <c r="J205" s="2"/>
    </row>
    <row r="206" spans="2:10" x14ac:dyDescent="0.25">
      <c r="B206" s="45">
        <v>2209235</v>
      </c>
      <c r="C206" s="45" t="s">
        <v>3327</v>
      </c>
      <c r="D206" s="45" t="s">
        <v>3312</v>
      </c>
      <c r="E206" s="45" t="s">
        <v>55</v>
      </c>
      <c r="F206" s="46">
        <v>-1620040</v>
      </c>
      <c r="G206" s="46">
        <v>-36292.946100000001</v>
      </c>
      <c r="H206" s="46">
        <v>-10.44</v>
      </c>
      <c r="I206" s="45"/>
      <c r="J206" s="2"/>
    </row>
    <row r="207" spans="2:10" s="1" customFormat="1" x14ac:dyDescent="0.25">
      <c r="B207" s="47"/>
      <c r="C207" s="47" t="s">
        <v>3322</v>
      </c>
      <c r="D207" s="47"/>
      <c r="E207" s="47"/>
      <c r="F207" s="48"/>
      <c r="G207" s="48">
        <f>SUM(G143:G206)</f>
        <v>-240980.59509899997</v>
      </c>
      <c r="H207" s="48">
        <f>SUM(H143:H206)</f>
        <v>-69.339999999999989</v>
      </c>
      <c r="I207" s="47"/>
    </row>
    <row r="209" spans="3:3" x14ac:dyDescent="0.25">
      <c r="C209" s="1" t="s">
        <v>38</v>
      </c>
    </row>
    <row r="210" spans="3:3" x14ac:dyDescent="0.25">
      <c r="C210" s="2" t="s">
        <v>39</v>
      </c>
    </row>
    <row r="211" spans="3:3" x14ac:dyDescent="0.25">
      <c r="C211" s="2" t="s">
        <v>40</v>
      </c>
    </row>
    <row r="212" spans="3:3" x14ac:dyDescent="0.25">
      <c r="C212" s="2" t="s">
        <v>3430</v>
      </c>
    </row>
  </sheetData>
  <sortState ref="C141:I206">
    <sortCondition descending="1" ref="G141:G206"/>
  </sortState>
  <hyperlinks>
    <hyperlink ref="J2" location="'Index'!A1" display="'Index'!A1"/>
  </hyperlinks>
  <pageMargins left="0.7" right="0.7" top="0.75" bottom="0.75" header="0.3" footer="0.3"/>
  <pageSetup orientation="portrait" horizontalDpi="4294967293"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9"/>
  <dimension ref="A1:J9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1690</v>
      </c>
      <c r="J2" s="37" t="s">
        <v>3307</v>
      </c>
    </row>
    <row r="3" spans="1:10" ht="16.5" x14ac:dyDescent="0.3">
      <c r="C3" s="1" t="s">
        <v>24</v>
      </c>
      <c r="D3" s="21" t="s">
        <v>1691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354000</v>
      </c>
      <c r="G10" s="24">
        <v>7909.6</v>
      </c>
      <c r="H10" s="24">
        <v>18.329999999999998</v>
      </c>
      <c r="I10" s="31"/>
      <c r="J10" s="35"/>
    </row>
    <row r="11" spans="1:10" x14ac:dyDescent="0.25">
      <c r="B11" s="8" t="s">
        <v>76</v>
      </c>
      <c r="C11" s="56" t="s">
        <v>77</v>
      </c>
      <c r="D11" s="53" t="s">
        <v>78</v>
      </c>
      <c r="E11" s="6" t="s">
        <v>79</v>
      </c>
      <c r="F11" s="19">
        <v>462500</v>
      </c>
      <c r="G11" s="24">
        <v>4169.8999999999996</v>
      </c>
      <c r="H11" s="24">
        <v>9.66</v>
      </c>
      <c r="I11" s="31"/>
      <c r="J11" s="35"/>
    </row>
    <row r="12" spans="1:10" x14ac:dyDescent="0.25">
      <c r="B12" s="8" t="s">
        <v>65</v>
      </c>
      <c r="C12" s="56" t="s">
        <v>66</v>
      </c>
      <c r="D12" s="53" t="s">
        <v>67</v>
      </c>
      <c r="E12" s="6" t="s">
        <v>68</v>
      </c>
      <c r="F12" s="19">
        <v>852360</v>
      </c>
      <c r="G12" s="24">
        <v>3588.01</v>
      </c>
      <c r="H12" s="24">
        <v>8.31</v>
      </c>
      <c r="I12" s="31"/>
      <c r="J12" s="35"/>
    </row>
    <row r="13" spans="1:10" x14ac:dyDescent="0.25">
      <c r="B13" s="8" t="s">
        <v>448</v>
      </c>
      <c r="C13" s="56" t="s">
        <v>449</v>
      </c>
      <c r="D13" s="53" t="s">
        <v>450</v>
      </c>
      <c r="E13" s="6" t="s">
        <v>157</v>
      </c>
      <c r="F13" s="19">
        <v>225173</v>
      </c>
      <c r="G13" s="24">
        <v>2491.31</v>
      </c>
      <c r="H13" s="24">
        <v>5.77</v>
      </c>
      <c r="I13" s="31"/>
      <c r="J13" s="35"/>
    </row>
    <row r="14" spans="1:10" x14ac:dyDescent="0.25">
      <c r="B14" s="8" t="s">
        <v>136</v>
      </c>
      <c r="C14" s="56" t="s">
        <v>137</v>
      </c>
      <c r="D14" s="53" t="s">
        <v>138</v>
      </c>
      <c r="E14" s="6" t="s">
        <v>41</v>
      </c>
      <c r="F14" s="19">
        <v>49500</v>
      </c>
      <c r="G14" s="24">
        <v>2004.53</v>
      </c>
      <c r="H14" s="24">
        <v>4.6399999999999997</v>
      </c>
      <c r="I14" s="31"/>
      <c r="J14" s="35"/>
    </row>
    <row r="15" spans="1:10" x14ac:dyDescent="0.25">
      <c r="B15" s="8" t="s">
        <v>206</v>
      </c>
      <c r="C15" s="56" t="s">
        <v>207</v>
      </c>
      <c r="D15" s="53" t="s">
        <v>208</v>
      </c>
      <c r="E15" s="6" t="s">
        <v>41</v>
      </c>
      <c r="F15" s="19">
        <v>119291</v>
      </c>
      <c r="G15" s="24">
        <v>1797.54</v>
      </c>
      <c r="H15" s="24">
        <v>4.16</v>
      </c>
      <c r="I15" s="31"/>
      <c r="J15" s="35"/>
    </row>
    <row r="16" spans="1:10" x14ac:dyDescent="0.25">
      <c r="B16" s="8" t="s">
        <v>833</v>
      </c>
      <c r="C16" s="56" t="s">
        <v>834</v>
      </c>
      <c r="D16" s="53" t="s">
        <v>835</v>
      </c>
      <c r="E16" s="6" t="s">
        <v>142</v>
      </c>
      <c r="F16" s="19">
        <v>48420</v>
      </c>
      <c r="G16" s="24">
        <v>1536.54</v>
      </c>
      <c r="H16" s="24">
        <v>3.56</v>
      </c>
      <c r="I16" s="31"/>
      <c r="J16" s="35"/>
    </row>
    <row r="17" spans="2:10" x14ac:dyDescent="0.25">
      <c r="B17" s="8" t="s">
        <v>472</v>
      </c>
      <c r="C17" s="56" t="s">
        <v>473</v>
      </c>
      <c r="D17" s="53" t="s">
        <v>474</v>
      </c>
      <c r="E17" s="6" t="s">
        <v>254</v>
      </c>
      <c r="F17" s="19">
        <v>200000</v>
      </c>
      <c r="G17" s="24">
        <v>1458.1</v>
      </c>
      <c r="H17" s="24">
        <v>3.38</v>
      </c>
      <c r="I17" s="31"/>
      <c r="J17" s="35"/>
    </row>
    <row r="18" spans="2:10" x14ac:dyDescent="0.25">
      <c r="B18" s="8" t="s">
        <v>171</v>
      </c>
      <c r="C18" s="56" t="s">
        <v>172</v>
      </c>
      <c r="D18" s="53" t="s">
        <v>173</v>
      </c>
      <c r="E18" s="6" t="s">
        <v>55</v>
      </c>
      <c r="F18" s="19">
        <v>390000</v>
      </c>
      <c r="G18" s="24">
        <v>1376.9</v>
      </c>
      <c r="H18" s="24">
        <v>3.19</v>
      </c>
      <c r="I18" s="31"/>
      <c r="J18" s="35"/>
    </row>
    <row r="19" spans="2:10" x14ac:dyDescent="0.25">
      <c r="B19" s="8" t="s">
        <v>243</v>
      </c>
      <c r="C19" s="56" t="s">
        <v>197</v>
      </c>
      <c r="D19" s="53" t="s">
        <v>244</v>
      </c>
      <c r="E19" s="6" t="s">
        <v>142</v>
      </c>
      <c r="F19" s="19">
        <v>552678</v>
      </c>
      <c r="G19" s="24">
        <v>1298.24</v>
      </c>
      <c r="H19" s="24">
        <v>3.01</v>
      </c>
      <c r="I19" s="31"/>
      <c r="J19" s="35"/>
    </row>
    <row r="20" spans="2:10" x14ac:dyDescent="0.25">
      <c r="B20" s="8" t="s">
        <v>84</v>
      </c>
      <c r="C20" s="56" t="s">
        <v>85</v>
      </c>
      <c r="D20" s="53" t="s">
        <v>86</v>
      </c>
      <c r="E20" s="6" t="s">
        <v>41</v>
      </c>
      <c r="F20" s="19">
        <v>6250</v>
      </c>
      <c r="G20" s="24">
        <v>1266.06</v>
      </c>
      <c r="H20" s="24">
        <v>2.93</v>
      </c>
      <c r="I20" s="31"/>
      <c r="J20" s="35"/>
    </row>
    <row r="21" spans="2:10" x14ac:dyDescent="0.25">
      <c r="B21" s="8" t="s">
        <v>896</v>
      </c>
      <c r="C21" s="56" t="s">
        <v>897</v>
      </c>
      <c r="D21" s="53" t="s">
        <v>898</v>
      </c>
      <c r="E21" s="6" t="s">
        <v>274</v>
      </c>
      <c r="F21" s="19">
        <v>710000</v>
      </c>
      <c r="G21" s="24">
        <v>1109.02</v>
      </c>
      <c r="H21" s="24">
        <v>2.57</v>
      </c>
      <c r="I21" s="31"/>
      <c r="J21" s="35"/>
    </row>
    <row r="22" spans="2:10" x14ac:dyDescent="0.25">
      <c r="B22" s="8" t="s">
        <v>480</v>
      </c>
      <c r="C22" s="56" t="s">
        <v>481</v>
      </c>
      <c r="D22" s="53" t="s">
        <v>482</v>
      </c>
      <c r="E22" s="6" t="s">
        <v>142</v>
      </c>
      <c r="F22" s="19">
        <v>300000</v>
      </c>
      <c r="G22" s="24">
        <v>1025.25</v>
      </c>
      <c r="H22" s="24">
        <v>2.38</v>
      </c>
      <c r="I22" s="31"/>
      <c r="J22" s="35"/>
    </row>
    <row r="23" spans="2:10" x14ac:dyDescent="0.25">
      <c r="B23" s="8" t="s">
        <v>811</v>
      </c>
      <c r="C23" s="56" t="s">
        <v>812</v>
      </c>
      <c r="D23" s="53" t="s">
        <v>813</v>
      </c>
      <c r="E23" s="6" t="s">
        <v>157</v>
      </c>
      <c r="F23" s="19">
        <v>371424</v>
      </c>
      <c r="G23" s="24">
        <v>1000.06</v>
      </c>
      <c r="H23" s="24">
        <v>2.3199999999999998</v>
      </c>
      <c r="I23" s="31"/>
      <c r="J23" s="35"/>
    </row>
    <row r="24" spans="2:10" x14ac:dyDescent="0.25">
      <c r="B24" s="8" t="s">
        <v>367</v>
      </c>
      <c r="C24" s="56" t="s">
        <v>368</v>
      </c>
      <c r="D24" s="53" t="s">
        <v>369</v>
      </c>
      <c r="E24" s="6" t="s">
        <v>254</v>
      </c>
      <c r="F24" s="19">
        <v>1105272</v>
      </c>
      <c r="G24" s="24">
        <v>995.85</v>
      </c>
      <c r="H24" s="24">
        <v>2.31</v>
      </c>
      <c r="I24" s="31"/>
      <c r="J24" s="35"/>
    </row>
    <row r="25" spans="2:10" x14ac:dyDescent="0.25">
      <c r="B25" s="8" t="s">
        <v>300</v>
      </c>
      <c r="C25" s="56" t="s">
        <v>301</v>
      </c>
      <c r="D25" s="53" t="s">
        <v>302</v>
      </c>
      <c r="E25" s="6" t="s">
        <v>153</v>
      </c>
      <c r="F25" s="19">
        <v>183174</v>
      </c>
      <c r="G25" s="24">
        <v>953.42</v>
      </c>
      <c r="H25" s="24">
        <v>2.21</v>
      </c>
      <c r="I25" s="31"/>
      <c r="J25" s="35"/>
    </row>
    <row r="26" spans="2:10" x14ac:dyDescent="0.25">
      <c r="B26" s="8" t="s">
        <v>62</v>
      </c>
      <c r="C26" s="56" t="s">
        <v>63</v>
      </c>
      <c r="D26" s="53" t="s">
        <v>64</v>
      </c>
      <c r="E26" s="6" t="s">
        <v>51</v>
      </c>
      <c r="F26" s="19">
        <v>249000</v>
      </c>
      <c r="G26" s="24">
        <v>883.33</v>
      </c>
      <c r="H26" s="24">
        <v>2.0499999999999998</v>
      </c>
      <c r="I26" s="31"/>
      <c r="J26" s="35"/>
    </row>
    <row r="27" spans="2:10" x14ac:dyDescent="0.25">
      <c r="B27" s="8" t="s">
        <v>339</v>
      </c>
      <c r="C27" s="56" t="s">
        <v>340</v>
      </c>
      <c r="D27" s="53" t="s">
        <v>341</v>
      </c>
      <c r="E27" s="6" t="s">
        <v>261</v>
      </c>
      <c r="F27" s="19">
        <v>278311</v>
      </c>
      <c r="G27" s="24">
        <v>872.09</v>
      </c>
      <c r="H27" s="24">
        <v>2.02</v>
      </c>
      <c r="I27" s="31"/>
      <c r="J27" s="35"/>
    </row>
    <row r="28" spans="2:10" x14ac:dyDescent="0.25">
      <c r="B28" s="8" t="s">
        <v>498</v>
      </c>
      <c r="C28" s="56" t="s">
        <v>499</v>
      </c>
      <c r="D28" s="53" t="s">
        <v>500</v>
      </c>
      <c r="E28" s="6" t="s">
        <v>254</v>
      </c>
      <c r="F28" s="19">
        <v>880000</v>
      </c>
      <c r="G28" s="24">
        <v>842.6</v>
      </c>
      <c r="H28" s="24">
        <v>1.95</v>
      </c>
      <c r="I28" s="31"/>
      <c r="J28" s="35"/>
    </row>
    <row r="29" spans="2:10" x14ac:dyDescent="0.25">
      <c r="B29" s="8" t="s">
        <v>282</v>
      </c>
      <c r="C29" s="56" t="s">
        <v>283</v>
      </c>
      <c r="D29" s="53" t="s">
        <v>284</v>
      </c>
      <c r="E29" s="6" t="s">
        <v>254</v>
      </c>
      <c r="F29" s="19">
        <v>96000</v>
      </c>
      <c r="G29" s="24">
        <v>825.12</v>
      </c>
      <c r="H29" s="24">
        <v>1.91</v>
      </c>
      <c r="I29" s="31"/>
      <c r="J29" s="35"/>
    </row>
    <row r="30" spans="2:10" x14ac:dyDescent="0.25">
      <c r="B30" s="8" t="s">
        <v>1692</v>
      </c>
      <c r="C30" s="56" t="s">
        <v>1693</v>
      </c>
      <c r="D30" s="53" t="s">
        <v>1694</v>
      </c>
      <c r="E30" s="6" t="s">
        <v>274</v>
      </c>
      <c r="F30" s="19">
        <v>1520935</v>
      </c>
      <c r="G30" s="24">
        <v>762.75</v>
      </c>
      <c r="H30" s="24">
        <v>1.77</v>
      </c>
      <c r="I30" s="31"/>
      <c r="J30" s="35"/>
    </row>
    <row r="31" spans="2:10" x14ac:dyDescent="0.25">
      <c r="B31" s="8" t="s">
        <v>59</v>
      </c>
      <c r="C31" s="56" t="s">
        <v>60</v>
      </c>
      <c r="D31" s="53" t="s">
        <v>61</v>
      </c>
      <c r="E31" s="6" t="s">
        <v>51</v>
      </c>
      <c r="F31" s="19">
        <v>60000</v>
      </c>
      <c r="G31" s="24">
        <v>760.92</v>
      </c>
      <c r="H31" s="24">
        <v>1.76</v>
      </c>
      <c r="I31" s="31"/>
      <c r="J31" s="35"/>
    </row>
    <row r="32" spans="2:10" x14ac:dyDescent="0.25">
      <c r="B32" s="8" t="s">
        <v>215</v>
      </c>
      <c r="C32" s="56" t="s">
        <v>216</v>
      </c>
      <c r="D32" s="53" t="s">
        <v>217</v>
      </c>
      <c r="E32" s="6" t="s">
        <v>218</v>
      </c>
      <c r="F32" s="19">
        <v>775000</v>
      </c>
      <c r="G32" s="24">
        <v>736.25</v>
      </c>
      <c r="H32" s="24">
        <v>1.71</v>
      </c>
      <c r="I32" s="31"/>
      <c r="J32" s="35"/>
    </row>
    <row r="33" spans="2:10" x14ac:dyDescent="0.25">
      <c r="B33" s="8" t="s">
        <v>324</v>
      </c>
      <c r="C33" s="56" t="s">
        <v>325</v>
      </c>
      <c r="D33" s="53" t="s">
        <v>326</v>
      </c>
      <c r="E33" s="6" t="s">
        <v>41</v>
      </c>
      <c r="F33" s="19">
        <v>330000</v>
      </c>
      <c r="G33" s="24">
        <v>716.1</v>
      </c>
      <c r="H33" s="24">
        <v>1.66</v>
      </c>
      <c r="I33" s="31"/>
      <c r="J33" s="35"/>
    </row>
    <row r="34" spans="2:10" x14ac:dyDescent="0.25">
      <c r="B34" s="8" t="s">
        <v>1518</v>
      </c>
      <c r="C34" s="56" t="s">
        <v>1519</v>
      </c>
      <c r="D34" s="53" t="s">
        <v>1520</v>
      </c>
      <c r="E34" s="6" t="s">
        <v>83</v>
      </c>
      <c r="F34" s="19">
        <v>75000</v>
      </c>
      <c r="G34" s="24">
        <v>510.26</v>
      </c>
      <c r="H34" s="24">
        <v>1.18</v>
      </c>
      <c r="I34" s="31"/>
      <c r="J34" s="35"/>
    </row>
    <row r="35" spans="2:10" x14ac:dyDescent="0.25">
      <c r="B35" s="8" t="s">
        <v>174</v>
      </c>
      <c r="C35" s="56" t="s">
        <v>175</v>
      </c>
      <c r="D35" s="53" t="s">
        <v>176</v>
      </c>
      <c r="E35" s="6" t="s">
        <v>157</v>
      </c>
      <c r="F35" s="19">
        <v>100000</v>
      </c>
      <c r="G35" s="24">
        <v>447.55</v>
      </c>
      <c r="H35" s="24">
        <v>1.04</v>
      </c>
      <c r="I35" s="31"/>
      <c r="J35" s="35"/>
    </row>
    <row r="36" spans="2:10" x14ac:dyDescent="0.25">
      <c r="B36" s="8" t="s">
        <v>265</v>
      </c>
      <c r="C36" s="56" t="s">
        <v>266</v>
      </c>
      <c r="D36" s="53" t="s">
        <v>267</v>
      </c>
      <c r="E36" s="6" t="s">
        <v>157</v>
      </c>
      <c r="F36" s="19">
        <v>30000</v>
      </c>
      <c r="G36" s="24">
        <v>438.45</v>
      </c>
      <c r="H36" s="24">
        <v>1.02</v>
      </c>
      <c r="I36" s="31"/>
      <c r="J36" s="35"/>
    </row>
    <row r="37" spans="2:10" x14ac:dyDescent="0.25">
      <c r="B37" s="8" t="s">
        <v>180</v>
      </c>
      <c r="C37" s="56" t="s">
        <v>53</v>
      </c>
      <c r="D37" s="53" t="s">
        <v>181</v>
      </c>
      <c r="E37" s="6" t="s">
        <v>55</v>
      </c>
      <c r="F37" s="19">
        <v>28200</v>
      </c>
      <c r="G37" s="24">
        <v>378.87</v>
      </c>
      <c r="H37" s="24">
        <v>0.88</v>
      </c>
      <c r="I37" s="31"/>
      <c r="J37" s="35" t="s">
        <v>182</v>
      </c>
    </row>
    <row r="38" spans="2:10" x14ac:dyDescent="0.25">
      <c r="C38" s="57" t="s">
        <v>35</v>
      </c>
      <c r="D38" s="53"/>
      <c r="E38" s="6"/>
      <c r="F38" s="19"/>
      <c r="G38" s="25">
        <v>42154.62</v>
      </c>
      <c r="H38" s="25">
        <v>97.68</v>
      </c>
      <c r="I38" s="31"/>
      <c r="J38" s="35"/>
    </row>
    <row r="39" spans="2:10" x14ac:dyDescent="0.25">
      <c r="C39" s="56"/>
      <c r="D39" s="53"/>
      <c r="E39" s="6"/>
      <c r="F39" s="19"/>
      <c r="G39" s="24"/>
      <c r="H39" s="24"/>
      <c r="I39" s="31"/>
      <c r="J39" s="35"/>
    </row>
    <row r="40" spans="2:10" x14ac:dyDescent="0.25">
      <c r="C40" s="57" t="s">
        <v>3</v>
      </c>
      <c r="D40" s="53"/>
      <c r="E40" s="6"/>
      <c r="F40" s="19"/>
      <c r="G40" s="24" t="s">
        <v>2</v>
      </c>
      <c r="H40" s="24" t="s">
        <v>2</v>
      </c>
      <c r="I40" s="31"/>
      <c r="J40" s="35"/>
    </row>
    <row r="41" spans="2:10" x14ac:dyDescent="0.25">
      <c r="C41" s="56"/>
      <c r="D41" s="53"/>
      <c r="E41" s="6"/>
      <c r="F41" s="19"/>
      <c r="G41" s="24"/>
      <c r="H41" s="24"/>
      <c r="I41" s="31"/>
      <c r="J41" s="35"/>
    </row>
    <row r="42" spans="2:10" x14ac:dyDescent="0.25">
      <c r="C42" s="57" t="s">
        <v>4</v>
      </c>
      <c r="D42" s="53"/>
      <c r="E42" s="6"/>
      <c r="F42" s="19"/>
      <c r="G42" s="24" t="s">
        <v>2</v>
      </c>
      <c r="H42" s="24" t="s">
        <v>2</v>
      </c>
      <c r="I42" s="31"/>
      <c r="J42" s="35"/>
    </row>
    <row r="43" spans="2:10" x14ac:dyDescent="0.25">
      <c r="C43" s="56"/>
      <c r="D43" s="53"/>
      <c r="E43" s="6"/>
      <c r="F43" s="19"/>
      <c r="G43" s="24"/>
      <c r="H43" s="24"/>
      <c r="I43" s="31"/>
      <c r="J43" s="35"/>
    </row>
    <row r="44" spans="2:10" x14ac:dyDescent="0.25">
      <c r="C44" s="57" t="s">
        <v>5</v>
      </c>
      <c r="D44" s="53"/>
      <c r="E44" s="6"/>
      <c r="F44" s="19"/>
      <c r="G44" s="24"/>
      <c r="H44" s="24"/>
      <c r="I44" s="31"/>
      <c r="J44" s="35"/>
    </row>
    <row r="45" spans="2:10" x14ac:dyDescent="0.25">
      <c r="C45" s="56"/>
      <c r="D45" s="53"/>
      <c r="E45" s="6"/>
      <c r="F45" s="19"/>
      <c r="G45" s="24"/>
      <c r="H45" s="24"/>
      <c r="I45" s="31"/>
      <c r="J45" s="35"/>
    </row>
    <row r="46" spans="2:10" x14ac:dyDescent="0.25">
      <c r="C46" s="57" t="s">
        <v>6</v>
      </c>
      <c r="D46" s="53"/>
      <c r="E46" s="6"/>
      <c r="F46" s="19"/>
      <c r="G46" s="24" t="s">
        <v>2</v>
      </c>
      <c r="H46" s="24" t="s">
        <v>2</v>
      </c>
      <c r="I46" s="31"/>
      <c r="J46" s="35"/>
    </row>
    <row r="47" spans="2:10" x14ac:dyDescent="0.25">
      <c r="C47" s="56"/>
      <c r="D47" s="53"/>
      <c r="E47" s="6"/>
      <c r="F47" s="19"/>
      <c r="G47" s="24"/>
      <c r="H47" s="24"/>
      <c r="I47" s="31"/>
      <c r="J47" s="35"/>
    </row>
    <row r="48" spans="2:10" x14ac:dyDescent="0.25">
      <c r="C48" s="57" t="s">
        <v>7</v>
      </c>
      <c r="D48" s="53"/>
      <c r="E48" s="6"/>
      <c r="F48" s="19"/>
      <c r="G48" s="24" t="s">
        <v>2</v>
      </c>
      <c r="H48" s="24" t="s">
        <v>2</v>
      </c>
      <c r="I48" s="31"/>
      <c r="J48" s="35"/>
    </row>
    <row r="49" spans="3:10" x14ac:dyDescent="0.25">
      <c r="C49" s="56"/>
      <c r="D49" s="53"/>
      <c r="E49" s="6"/>
      <c r="F49" s="19"/>
      <c r="G49" s="24"/>
      <c r="H49" s="24"/>
      <c r="I49" s="31"/>
      <c r="J49" s="35"/>
    </row>
    <row r="50" spans="3:10" x14ac:dyDescent="0.25">
      <c r="C50" s="57" t="s">
        <v>8</v>
      </c>
      <c r="D50" s="53"/>
      <c r="E50" s="6"/>
      <c r="F50" s="19"/>
      <c r="G50" s="24" t="s">
        <v>2</v>
      </c>
      <c r="H50" s="24" t="s">
        <v>2</v>
      </c>
      <c r="I50" s="31"/>
      <c r="J50" s="35"/>
    </row>
    <row r="51" spans="3:10" x14ac:dyDescent="0.25">
      <c r="C51" s="56"/>
      <c r="D51" s="53"/>
      <c r="E51" s="6"/>
      <c r="F51" s="19"/>
      <c r="G51" s="24"/>
      <c r="H51" s="24"/>
      <c r="I51" s="31"/>
      <c r="J51" s="35"/>
    </row>
    <row r="52" spans="3:10" x14ac:dyDescent="0.25">
      <c r="C52" s="57" t="s">
        <v>9</v>
      </c>
      <c r="D52" s="53"/>
      <c r="E52" s="6"/>
      <c r="F52" s="19"/>
      <c r="G52" s="24" t="s">
        <v>2</v>
      </c>
      <c r="H52" s="24" t="s">
        <v>2</v>
      </c>
      <c r="I52" s="31"/>
      <c r="J52" s="35"/>
    </row>
    <row r="53" spans="3:10" x14ac:dyDescent="0.25">
      <c r="C53" s="56"/>
      <c r="D53" s="53"/>
      <c r="E53" s="6"/>
      <c r="F53" s="19"/>
      <c r="G53" s="24"/>
      <c r="H53" s="24"/>
      <c r="I53" s="31"/>
      <c r="J53" s="35"/>
    </row>
    <row r="54" spans="3:10" x14ac:dyDescent="0.25">
      <c r="C54" s="57" t="s">
        <v>10</v>
      </c>
      <c r="D54" s="53"/>
      <c r="E54" s="6"/>
      <c r="F54" s="19"/>
      <c r="G54" s="24" t="s">
        <v>2</v>
      </c>
      <c r="H54" s="24" t="s">
        <v>2</v>
      </c>
      <c r="I54" s="31"/>
      <c r="J54" s="35"/>
    </row>
    <row r="55" spans="3:10" x14ac:dyDescent="0.25">
      <c r="C55" s="56"/>
      <c r="D55" s="53"/>
      <c r="E55" s="6"/>
      <c r="F55" s="19"/>
      <c r="G55" s="24"/>
      <c r="H55" s="24"/>
      <c r="I55" s="31"/>
      <c r="J55" s="35"/>
    </row>
    <row r="56" spans="3:10" x14ac:dyDescent="0.25">
      <c r="C56" s="57" t="s">
        <v>11</v>
      </c>
      <c r="D56" s="53"/>
      <c r="E56" s="6"/>
      <c r="F56" s="19"/>
      <c r="G56" s="24"/>
      <c r="H56" s="24"/>
      <c r="I56" s="31"/>
      <c r="J56" s="35"/>
    </row>
    <row r="57" spans="3:10" x14ac:dyDescent="0.25">
      <c r="C57" s="56"/>
      <c r="D57" s="53"/>
      <c r="E57" s="6"/>
      <c r="F57" s="19"/>
      <c r="G57" s="24"/>
      <c r="H57" s="24"/>
      <c r="I57" s="31"/>
      <c r="J57" s="35"/>
    </row>
    <row r="58" spans="3:10" x14ac:dyDescent="0.25">
      <c r="C58" s="57" t="s">
        <v>13</v>
      </c>
      <c r="D58" s="53"/>
      <c r="E58" s="6"/>
      <c r="F58" s="19"/>
      <c r="G58" s="24" t="s">
        <v>2</v>
      </c>
      <c r="H58" s="24" t="s">
        <v>2</v>
      </c>
      <c r="I58" s="31"/>
      <c r="J58" s="35"/>
    </row>
    <row r="59" spans="3:10" x14ac:dyDescent="0.25">
      <c r="C59" s="56"/>
      <c r="D59" s="53"/>
      <c r="E59" s="6"/>
      <c r="F59" s="19"/>
      <c r="G59" s="24"/>
      <c r="H59" s="24"/>
      <c r="I59" s="31"/>
      <c r="J59" s="35"/>
    </row>
    <row r="60" spans="3:10" x14ac:dyDescent="0.25">
      <c r="C60" s="57" t="s">
        <v>14</v>
      </c>
      <c r="D60" s="53"/>
      <c r="E60" s="6"/>
      <c r="F60" s="19"/>
      <c r="G60" s="24" t="s">
        <v>2</v>
      </c>
      <c r="H60" s="24" t="s">
        <v>2</v>
      </c>
      <c r="I60" s="31"/>
      <c r="J60" s="35"/>
    </row>
    <row r="61" spans="3:10" x14ac:dyDescent="0.25">
      <c r="C61" s="56"/>
      <c r="D61" s="53"/>
      <c r="E61" s="6"/>
      <c r="F61" s="19"/>
      <c r="G61" s="24"/>
      <c r="H61" s="24"/>
      <c r="I61" s="31"/>
      <c r="J61" s="35"/>
    </row>
    <row r="62" spans="3:10" x14ac:dyDescent="0.25">
      <c r="C62" s="57" t="s">
        <v>15</v>
      </c>
      <c r="D62" s="53"/>
      <c r="E62" s="6"/>
      <c r="F62" s="19"/>
      <c r="G62" s="24" t="s">
        <v>2</v>
      </c>
      <c r="H62" s="24" t="s">
        <v>2</v>
      </c>
      <c r="I62" s="31"/>
      <c r="J62" s="35"/>
    </row>
    <row r="63" spans="3:10" x14ac:dyDescent="0.25">
      <c r="C63" s="56"/>
      <c r="D63" s="53"/>
      <c r="E63" s="6"/>
      <c r="F63" s="19"/>
      <c r="G63" s="24"/>
      <c r="H63" s="24"/>
      <c r="I63" s="31"/>
      <c r="J63" s="35"/>
    </row>
    <row r="64" spans="3:10" x14ac:dyDescent="0.25">
      <c r="C64" s="57" t="s">
        <v>16</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17</v>
      </c>
      <c r="D66" s="53"/>
      <c r="E66" s="6"/>
      <c r="F66" s="19"/>
      <c r="G66" s="24"/>
      <c r="H66" s="24"/>
      <c r="I66" s="31"/>
      <c r="J66" s="35"/>
    </row>
    <row r="67" spans="1:10" x14ac:dyDescent="0.25">
      <c r="A67" s="28"/>
      <c r="B67" s="28"/>
      <c r="C67" s="58" t="s">
        <v>18</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19</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20</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21</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C75" s="59" t="s">
        <v>22</v>
      </c>
      <c r="D75" s="53"/>
      <c r="E75" s="6"/>
      <c r="F75" s="19"/>
      <c r="G75" s="24"/>
      <c r="H75" s="24"/>
      <c r="I75" s="31"/>
      <c r="J75" s="35"/>
    </row>
    <row r="76" spans="1:10" x14ac:dyDescent="0.25">
      <c r="B76" s="8" t="s">
        <v>33</v>
      </c>
      <c r="C76" s="56" t="s">
        <v>34</v>
      </c>
      <c r="D76" s="53"/>
      <c r="E76" s="6"/>
      <c r="F76" s="19"/>
      <c r="G76" s="24">
        <v>434.15</v>
      </c>
      <c r="H76" s="24">
        <v>1.01</v>
      </c>
      <c r="I76" s="31"/>
      <c r="J76" s="35"/>
    </row>
    <row r="77" spans="1:10" x14ac:dyDescent="0.25">
      <c r="C77" s="57" t="s">
        <v>35</v>
      </c>
      <c r="D77" s="53"/>
      <c r="E77" s="6"/>
      <c r="F77" s="19"/>
      <c r="G77" s="25">
        <v>434.15</v>
      </c>
      <c r="H77" s="25">
        <v>1.01</v>
      </c>
      <c r="I77" s="31"/>
      <c r="J77" s="35"/>
    </row>
    <row r="78" spans="1:10" x14ac:dyDescent="0.25">
      <c r="C78" s="56"/>
      <c r="D78" s="53"/>
      <c r="E78" s="6"/>
      <c r="F78" s="19"/>
      <c r="G78" s="24"/>
      <c r="H78" s="24"/>
      <c r="I78" s="31"/>
      <c r="J78" s="35"/>
    </row>
    <row r="79" spans="1:10" x14ac:dyDescent="0.25">
      <c r="A79" s="10"/>
      <c r="B79" s="28"/>
      <c r="C79" s="58" t="s">
        <v>23</v>
      </c>
      <c r="D79" s="53"/>
      <c r="E79" s="6"/>
      <c r="F79" s="19"/>
      <c r="G79" s="24"/>
      <c r="H79" s="24"/>
      <c r="I79" s="31"/>
      <c r="J79" s="35"/>
    </row>
    <row r="80" spans="1:10" x14ac:dyDescent="0.25">
      <c r="A80" s="28"/>
      <c r="B80" s="28"/>
      <c r="C80" s="60" t="s">
        <v>3398</v>
      </c>
      <c r="D80" s="53"/>
      <c r="E80" s="6"/>
      <c r="F80" s="19"/>
      <c r="G80" s="24" t="s">
        <v>2</v>
      </c>
      <c r="H80" s="24" t="s">
        <v>2</v>
      </c>
      <c r="I80" s="31"/>
      <c r="J80" s="35"/>
    </row>
    <row r="81" spans="2:10" x14ac:dyDescent="0.25">
      <c r="B81" s="8"/>
      <c r="C81" s="56" t="s">
        <v>36</v>
      </c>
      <c r="D81" s="53"/>
      <c r="E81" s="6"/>
      <c r="F81" s="19"/>
      <c r="G81" s="24">
        <v>569.72</v>
      </c>
      <c r="H81" s="24">
        <v>1.31</v>
      </c>
      <c r="I81" s="31"/>
      <c r="J81" s="35"/>
    </row>
    <row r="82" spans="2:10" x14ac:dyDescent="0.25">
      <c r="C82" s="57" t="s">
        <v>35</v>
      </c>
      <c r="D82" s="53"/>
      <c r="E82" s="6"/>
      <c r="F82" s="19"/>
      <c r="G82" s="25">
        <v>569.72</v>
      </c>
      <c r="H82" s="25">
        <v>1.31</v>
      </c>
      <c r="I82" s="31"/>
      <c r="J82" s="35"/>
    </row>
    <row r="83" spans="2:10" x14ac:dyDescent="0.25">
      <c r="C83" s="56"/>
      <c r="D83" s="53"/>
      <c r="E83" s="6"/>
      <c r="F83" s="19"/>
      <c r="G83" s="24"/>
      <c r="H83" s="24"/>
      <c r="I83" s="31"/>
      <c r="J83" s="35"/>
    </row>
    <row r="84" spans="2:10" x14ac:dyDescent="0.25">
      <c r="C84" s="61" t="s">
        <v>37</v>
      </c>
      <c r="D84" s="54"/>
      <c r="E84" s="5"/>
      <c r="F84" s="20"/>
      <c r="G84" s="26">
        <v>43158.49</v>
      </c>
      <c r="H84" s="26">
        <f>SUMIFS(H:H,C:C,"Total")</f>
        <v>100.00000000000001</v>
      </c>
      <c r="I84" s="32"/>
      <c r="J84" s="36"/>
    </row>
    <row r="87" spans="2:10" x14ac:dyDescent="0.25">
      <c r="C87" s="1" t="s">
        <v>38</v>
      </c>
    </row>
    <row r="88" spans="2:10" x14ac:dyDescent="0.25">
      <c r="C88" s="2" t="s">
        <v>39</v>
      </c>
    </row>
    <row r="89" spans="2:10" x14ac:dyDescent="0.25">
      <c r="C89" s="2" t="s">
        <v>40</v>
      </c>
    </row>
    <row r="90" spans="2:10" x14ac:dyDescent="0.25">
      <c r="C90" s="2" t="s">
        <v>3430</v>
      </c>
    </row>
  </sheetData>
  <hyperlinks>
    <hyperlink ref="J2" location="'Index'!A1" display="'Index'!A1"/>
  </hyperlinks>
  <pageMargins left="0.7" right="0.7" top="0.75" bottom="0.75" header="0.3" footer="0.3"/>
  <pageSetup orientation="portrait" horizontalDpi="4294967293"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0"/>
  <dimension ref="A1:J14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1695</v>
      </c>
      <c r="J2" s="37" t="s">
        <v>3307</v>
      </c>
    </row>
    <row r="3" spans="1:10" ht="16.5" x14ac:dyDescent="0.3">
      <c r="C3" s="1" t="s">
        <v>24</v>
      </c>
      <c r="D3" s="21" t="s">
        <v>1696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1697</v>
      </c>
      <c r="C18" s="56" t="s">
        <v>230</v>
      </c>
      <c r="D18" s="53" t="s">
        <v>1698</v>
      </c>
      <c r="E18" s="6" t="s">
        <v>564</v>
      </c>
      <c r="F18" s="19">
        <v>2550</v>
      </c>
      <c r="G18" s="24">
        <v>26253.63</v>
      </c>
      <c r="H18" s="24">
        <v>2.69</v>
      </c>
      <c r="I18" s="31">
        <v>6.5875000000000004</v>
      </c>
      <c r="J18" s="35" t="s">
        <v>514</v>
      </c>
    </row>
    <row r="19" spans="2:10" x14ac:dyDescent="0.25">
      <c r="B19" s="8" t="s">
        <v>1699</v>
      </c>
      <c r="C19" s="56" t="s">
        <v>854</v>
      </c>
      <c r="D19" s="53" t="s">
        <v>1700</v>
      </c>
      <c r="E19" s="6" t="s">
        <v>534</v>
      </c>
      <c r="F19" s="19">
        <v>2500</v>
      </c>
      <c r="G19" s="24">
        <v>25841.5</v>
      </c>
      <c r="H19" s="24">
        <v>2.65</v>
      </c>
      <c r="I19" s="31">
        <v>4.29</v>
      </c>
      <c r="J19" s="35" t="s">
        <v>514</v>
      </c>
    </row>
    <row r="20" spans="2:10" x14ac:dyDescent="0.25">
      <c r="B20" s="8" t="s">
        <v>1701</v>
      </c>
      <c r="C20" s="56" t="s">
        <v>125</v>
      </c>
      <c r="D20" s="53" t="s">
        <v>1702</v>
      </c>
      <c r="E20" s="6" t="s">
        <v>534</v>
      </c>
      <c r="F20" s="19">
        <v>225</v>
      </c>
      <c r="G20" s="24">
        <v>22605.86</v>
      </c>
      <c r="H20" s="24">
        <v>2.3199999999999998</v>
      </c>
      <c r="I20" s="31">
        <v>3.4946999999999999</v>
      </c>
      <c r="J20" s="35" t="s">
        <v>514</v>
      </c>
    </row>
    <row r="21" spans="2:10" x14ac:dyDescent="0.25">
      <c r="B21" s="8" t="s">
        <v>1703</v>
      </c>
      <c r="C21" s="56" t="s">
        <v>601</v>
      </c>
      <c r="D21" s="53" t="s">
        <v>1704</v>
      </c>
      <c r="E21" s="6" t="s">
        <v>534</v>
      </c>
      <c r="F21" s="19">
        <v>1500</v>
      </c>
      <c r="G21" s="24">
        <v>15405.84</v>
      </c>
      <c r="H21" s="24">
        <v>1.58</v>
      </c>
      <c r="I21" s="31">
        <v>4.25</v>
      </c>
      <c r="J21" s="35" t="s">
        <v>514</v>
      </c>
    </row>
    <row r="22" spans="2:10" x14ac:dyDescent="0.25">
      <c r="B22" s="8" t="s">
        <v>1705</v>
      </c>
      <c r="C22" s="56" t="s">
        <v>1376</v>
      </c>
      <c r="D22" s="53" t="s">
        <v>1706</v>
      </c>
      <c r="E22" s="6" t="s">
        <v>534</v>
      </c>
      <c r="F22" s="19">
        <v>1250</v>
      </c>
      <c r="G22" s="24">
        <v>12837.53</v>
      </c>
      <c r="H22" s="24">
        <v>1.32</v>
      </c>
      <c r="I22" s="31">
        <v>4.1500000000000004</v>
      </c>
      <c r="J22" s="35" t="s">
        <v>514</v>
      </c>
    </row>
    <row r="23" spans="2:10" x14ac:dyDescent="0.25">
      <c r="B23" s="8" t="s">
        <v>1380</v>
      </c>
      <c r="C23" s="56" t="s">
        <v>1381</v>
      </c>
      <c r="D23" s="53" t="s">
        <v>1382</v>
      </c>
      <c r="E23" s="6" t="s">
        <v>1383</v>
      </c>
      <c r="F23" s="19">
        <v>1000</v>
      </c>
      <c r="G23" s="24">
        <v>12420.76</v>
      </c>
      <c r="H23" s="24">
        <v>1.27</v>
      </c>
      <c r="I23" s="31">
        <v>4.8624999999999998</v>
      </c>
      <c r="J23" s="35" t="s">
        <v>514</v>
      </c>
    </row>
    <row r="24" spans="2:10" x14ac:dyDescent="0.25">
      <c r="B24" s="8" t="s">
        <v>1386</v>
      </c>
      <c r="C24" s="56" t="s">
        <v>230</v>
      </c>
      <c r="D24" s="53" t="s">
        <v>1387</v>
      </c>
      <c r="E24" s="6" t="s">
        <v>541</v>
      </c>
      <c r="F24" s="19">
        <v>1220000</v>
      </c>
      <c r="G24" s="24">
        <v>12407.17</v>
      </c>
      <c r="H24" s="24">
        <v>1.27</v>
      </c>
      <c r="I24" s="31">
        <v>6.2046999999999999</v>
      </c>
      <c r="J24" s="35" t="s">
        <v>514</v>
      </c>
    </row>
    <row r="25" spans="2:10" x14ac:dyDescent="0.25">
      <c r="B25" s="8" t="s">
        <v>1707</v>
      </c>
      <c r="C25" s="56" t="s">
        <v>53</v>
      </c>
      <c r="D25" s="53" t="s">
        <v>1708</v>
      </c>
      <c r="E25" s="6" t="s">
        <v>534</v>
      </c>
      <c r="F25" s="19">
        <v>1000</v>
      </c>
      <c r="G25" s="24">
        <v>10623.56</v>
      </c>
      <c r="H25" s="24">
        <v>1.0900000000000001</v>
      </c>
      <c r="I25" s="31">
        <v>5.2850000000000001</v>
      </c>
      <c r="J25" s="35" t="s">
        <v>514</v>
      </c>
    </row>
    <row r="26" spans="2:10" x14ac:dyDescent="0.25">
      <c r="B26" s="8" t="s">
        <v>1709</v>
      </c>
      <c r="C26" s="56" t="s">
        <v>1376</v>
      </c>
      <c r="D26" s="53" t="s">
        <v>1710</v>
      </c>
      <c r="E26" s="6" t="s">
        <v>534</v>
      </c>
      <c r="F26" s="19">
        <v>1000</v>
      </c>
      <c r="G26" s="24">
        <v>10516.4</v>
      </c>
      <c r="H26" s="24">
        <v>1.08</v>
      </c>
      <c r="I26" s="31">
        <v>4.6303000000000001</v>
      </c>
      <c r="J26" s="35" t="s">
        <v>514</v>
      </c>
    </row>
    <row r="27" spans="2:10" x14ac:dyDescent="0.25">
      <c r="B27" s="8" t="s">
        <v>1711</v>
      </c>
      <c r="C27" s="56" t="s">
        <v>1376</v>
      </c>
      <c r="D27" s="53" t="s">
        <v>1712</v>
      </c>
      <c r="E27" s="6" t="s">
        <v>534</v>
      </c>
      <c r="F27" s="19">
        <v>1000</v>
      </c>
      <c r="G27" s="24">
        <v>10502.7</v>
      </c>
      <c r="H27" s="24">
        <v>1.08</v>
      </c>
      <c r="I27" s="31">
        <v>4.6303000000000001</v>
      </c>
      <c r="J27" s="35" t="s">
        <v>514</v>
      </c>
    </row>
    <row r="28" spans="2:10" x14ac:dyDescent="0.25">
      <c r="B28" s="8" t="s">
        <v>1713</v>
      </c>
      <c r="C28" s="56" t="s">
        <v>601</v>
      </c>
      <c r="D28" s="53" t="s">
        <v>1714</v>
      </c>
      <c r="E28" s="6" t="s">
        <v>534</v>
      </c>
      <c r="F28" s="19">
        <v>1000</v>
      </c>
      <c r="G28" s="24">
        <v>10489.56</v>
      </c>
      <c r="H28" s="24">
        <v>1.08</v>
      </c>
      <c r="I28" s="31">
        <v>4.6100000000000003</v>
      </c>
      <c r="J28" s="35" t="s">
        <v>514</v>
      </c>
    </row>
    <row r="29" spans="2:10" x14ac:dyDescent="0.25">
      <c r="B29" s="8" t="s">
        <v>1715</v>
      </c>
      <c r="C29" s="56" t="s">
        <v>380</v>
      </c>
      <c r="D29" s="53" t="s">
        <v>1716</v>
      </c>
      <c r="E29" s="6" t="s">
        <v>534</v>
      </c>
      <c r="F29" s="19">
        <v>1000</v>
      </c>
      <c r="G29" s="24">
        <v>10331.85</v>
      </c>
      <c r="H29" s="24">
        <v>1.06</v>
      </c>
      <c r="I29" s="31">
        <v>5.0099</v>
      </c>
      <c r="J29" s="35" t="s">
        <v>514</v>
      </c>
    </row>
    <row r="30" spans="2:10" x14ac:dyDescent="0.25">
      <c r="B30" s="8" t="s">
        <v>1717</v>
      </c>
      <c r="C30" s="56" t="s">
        <v>909</v>
      </c>
      <c r="D30" s="53" t="s">
        <v>1718</v>
      </c>
      <c r="E30" s="6" t="s">
        <v>911</v>
      </c>
      <c r="F30" s="19">
        <v>1000</v>
      </c>
      <c r="G30" s="24">
        <v>10314.049999999999</v>
      </c>
      <c r="H30" s="24">
        <v>1.06</v>
      </c>
      <c r="I30" s="31">
        <v>5.17</v>
      </c>
      <c r="J30" s="35" t="s">
        <v>514</v>
      </c>
    </row>
    <row r="31" spans="2:10" x14ac:dyDescent="0.25">
      <c r="B31" s="8" t="s">
        <v>1719</v>
      </c>
      <c r="C31" s="56" t="s">
        <v>691</v>
      </c>
      <c r="D31" s="53" t="s">
        <v>1720</v>
      </c>
      <c r="E31" s="6" t="s">
        <v>693</v>
      </c>
      <c r="F31" s="19">
        <v>1000</v>
      </c>
      <c r="G31" s="24">
        <v>10290.07</v>
      </c>
      <c r="H31" s="24">
        <v>1.06</v>
      </c>
      <c r="I31" s="31">
        <v>6.44</v>
      </c>
      <c r="J31" s="35" t="s">
        <v>514</v>
      </c>
    </row>
    <row r="32" spans="2:10" x14ac:dyDescent="0.25">
      <c r="B32" s="8" t="s">
        <v>1384</v>
      </c>
      <c r="C32" s="56" t="s">
        <v>125</v>
      </c>
      <c r="D32" s="53" t="s">
        <v>1385</v>
      </c>
      <c r="E32" s="6" t="s">
        <v>534</v>
      </c>
      <c r="F32" s="19">
        <v>1000</v>
      </c>
      <c r="G32" s="24">
        <v>10253.73</v>
      </c>
      <c r="H32" s="24">
        <v>1.05</v>
      </c>
      <c r="I32" s="31">
        <v>4.38</v>
      </c>
      <c r="J32" s="35"/>
    </row>
    <row r="33" spans="2:10" x14ac:dyDescent="0.25">
      <c r="B33" s="8" t="s">
        <v>1721</v>
      </c>
      <c r="C33" s="56" t="s">
        <v>1312</v>
      </c>
      <c r="D33" s="53" t="s">
        <v>1722</v>
      </c>
      <c r="E33" s="6" t="s">
        <v>1314</v>
      </c>
      <c r="F33" s="19">
        <v>1000</v>
      </c>
      <c r="G33" s="24">
        <v>10204.58</v>
      </c>
      <c r="H33" s="24">
        <v>1.05</v>
      </c>
      <c r="I33" s="31">
        <v>5.2240000000000002</v>
      </c>
      <c r="J33" s="35" t="s">
        <v>514</v>
      </c>
    </row>
    <row r="34" spans="2:10" x14ac:dyDescent="0.25">
      <c r="B34" s="8" t="s">
        <v>1723</v>
      </c>
      <c r="C34" s="56" t="s">
        <v>53</v>
      </c>
      <c r="D34" s="53" t="s">
        <v>1724</v>
      </c>
      <c r="E34" s="6" t="s">
        <v>534</v>
      </c>
      <c r="F34" s="19">
        <v>1000</v>
      </c>
      <c r="G34" s="24">
        <v>10076.700000000001</v>
      </c>
      <c r="H34" s="24">
        <v>1.03</v>
      </c>
      <c r="I34" s="31">
        <v>3.5099</v>
      </c>
      <c r="J34" s="35" t="s">
        <v>514</v>
      </c>
    </row>
    <row r="35" spans="2:10" x14ac:dyDescent="0.25">
      <c r="B35" s="8" t="s">
        <v>1390</v>
      </c>
      <c r="C35" s="56" t="s">
        <v>1127</v>
      </c>
      <c r="D35" s="53" t="s">
        <v>1391</v>
      </c>
      <c r="E35" s="6" t="s">
        <v>1314</v>
      </c>
      <c r="F35" s="19">
        <v>950</v>
      </c>
      <c r="G35" s="24">
        <v>9608.34</v>
      </c>
      <c r="H35" s="24">
        <v>0.99</v>
      </c>
      <c r="I35" s="31">
        <v>3.5499000000000001</v>
      </c>
      <c r="J35" s="35" t="s">
        <v>514</v>
      </c>
    </row>
    <row r="36" spans="2:10" x14ac:dyDescent="0.25">
      <c r="B36" s="8" t="s">
        <v>1725</v>
      </c>
      <c r="C36" s="56" t="s">
        <v>806</v>
      </c>
      <c r="D36" s="53" t="s">
        <v>1726</v>
      </c>
      <c r="E36" s="6" t="s">
        <v>534</v>
      </c>
      <c r="F36" s="19">
        <v>750</v>
      </c>
      <c r="G36" s="24">
        <v>7812.89</v>
      </c>
      <c r="H36" s="24">
        <v>0.8</v>
      </c>
      <c r="I36" s="31">
        <v>4.75</v>
      </c>
      <c r="J36" s="35" t="s">
        <v>514</v>
      </c>
    </row>
    <row r="37" spans="2:10" x14ac:dyDescent="0.25">
      <c r="B37" s="8" t="s">
        <v>1727</v>
      </c>
      <c r="C37" s="56" t="s">
        <v>125</v>
      </c>
      <c r="D37" s="53" t="s">
        <v>1728</v>
      </c>
      <c r="E37" s="6" t="s">
        <v>534</v>
      </c>
      <c r="F37" s="19">
        <v>750</v>
      </c>
      <c r="G37" s="24">
        <v>7730.53</v>
      </c>
      <c r="H37" s="24">
        <v>0.79</v>
      </c>
      <c r="I37" s="31">
        <v>4.9649999999999999</v>
      </c>
      <c r="J37" s="35" t="s">
        <v>514</v>
      </c>
    </row>
    <row r="38" spans="2:10" x14ac:dyDescent="0.25">
      <c r="B38" s="8" t="s">
        <v>1729</v>
      </c>
      <c r="C38" s="56" t="s">
        <v>1230</v>
      </c>
      <c r="D38" s="53" t="s">
        <v>1730</v>
      </c>
      <c r="E38" s="6" t="s">
        <v>534</v>
      </c>
      <c r="F38" s="19">
        <v>750</v>
      </c>
      <c r="G38" s="24">
        <v>7633.96</v>
      </c>
      <c r="H38" s="24">
        <v>0.78</v>
      </c>
      <c r="I38" s="31">
        <v>5.8647</v>
      </c>
      <c r="J38" s="35" t="s">
        <v>514</v>
      </c>
    </row>
    <row r="39" spans="2:10" x14ac:dyDescent="0.25">
      <c r="B39" s="8" t="s">
        <v>1731</v>
      </c>
      <c r="C39" s="56" t="s">
        <v>926</v>
      </c>
      <c r="D39" s="53" t="s">
        <v>1732</v>
      </c>
      <c r="E39" s="6" t="s">
        <v>928</v>
      </c>
      <c r="F39" s="19">
        <v>750</v>
      </c>
      <c r="G39" s="24">
        <v>7547.29</v>
      </c>
      <c r="H39" s="24">
        <v>0.77</v>
      </c>
      <c r="I39" s="31">
        <v>5.3141999999999996</v>
      </c>
      <c r="J39" s="35" t="s">
        <v>514</v>
      </c>
    </row>
    <row r="40" spans="2:10" x14ac:dyDescent="0.25">
      <c r="B40" s="8" t="s">
        <v>1733</v>
      </c>
      <c r="C40" s="56" t="s">
        <v>1376</v>
      </c>
      <c r="D40" s="53" t="s">
        <v>1734</v>
      </c>
      <c r="E40" s="6" t="s">
        <v>534</v>
      </c>
      <c r="F40" s="19">
        <v>700</v>
      </c>
      <c r="G40" s="24">
        <v>7233.75</v>
      </c>
      <c r="H40" s="24">
        <v>0.74</v>
      </c>
      <c r="I40" s="31">
        <v>4.8399000000000001</v>
      </c>
      <c r="J40" s="35"/>
    </row>
    <row r="41" spans="2:10" x14ac:dyDescent="0.25">
      <c r="B41" s="8" t="s">
        <v>1735</v>
      </c>
      <c r="C41" s="56" t="s">
        <v>909</v>
      </c>
      <c r="D41" s="53" t="s">
        <v>1736</v>
      </c>
      <c r="E41" s="6" t="s">
        <v>534</v>
      </c>
      <c r="F41" s="19">
        <v>695</v>
      </c>
      <c r="G41" s="24">
        <v>7183.86</v>
      </c>
      <c r="H41" s="24">
        <v>0.74</v>
      </c>
      <c r="I41" s="31">
        <v>4.16</v>
      </c>
      <c r="J41" s="35" t="s">
        <v>514</v>
      </c>
    </row>
    <row r="42" spans="2:10" x14ac:dyDescent="0.25">
      <c r="B42" s="8" t="s">
        <v>1737</v>
      </c>
      <c r="C42" s="56" t="s">
        <v>1738</v>
      </c>
      <c r="D42" s="53" t="s">
        <v>1739</v>
      </c>
      <c r="E42" s="6" t="s">
        <v>534</v>
      </c>
      <c r="F42" s="19">
        <v>700</v>
      </c>
      <c r="G42" s="24">
        <v>7122.11</v>
      </c>
      <c r="H42" s="24">
        <v>0.73</v>
      </c>
      <c r="I42" s="31">
        <v>3.75</v>
      </c>
      <c r="J42" s="35" t="s">
        <v>514</v>
      </c>
    </row>
    <row r="43" spans="2:10" x14ac:dyDescent="0.25">
      <c r="B43" s="8" t="s">
        <v>1740</v>
      </c>
      <c r="C43" s="56" t="s">
        <v>854</v>
      </c>
      <c r="D43" s="53" t="s">
        <v>1741</v>
      </c>
      <c r="E43" s="6" t="s">
        <v>534</v>
      </c>
      <c r="F43" s="19">
        <v>600</v>
      </c>
      <c r="G43" s="24">
        <v>6812.89</v>
      </c>
      <c r="H43" s="24">
        <v>0.7</v>
      </c>
      <c r="I43" s="31">
        <v>5.3757999999999999</v>
      </c>
      <c r="J43" s="35" t="s">
        <v>514</v>
      </c>
    </row>
    <row r="44" spans="2:10" x14ac:dyDescent="0.25">
      <c r="B44" s="8" t="s">
        <v>1742</v>
      </c>
      <c r="C44" s="56" t="s">
        <v>1738</v>
      </c>
      <c r="D44" s="53" t="s">
        <v>1743</v>
      </c>
      <c r="E44" s="6" t="s">
        <v>534</v>
      </c>
      <c r="F44" s="19">
        <v>600</v>
      </c>
      <c r="G44" s="24">
        <v>6189.77</v>
      </c>
      <c r="H44" s="24">
        <v>0.64</v>
      </c>
      <c r="I44" s="31">
        <v>4.25</v>
      </c>
      <c r="J44" s="35" t="s">
        <v>514</v>
      </c>
    </row>
    <row r="45" spans="2:10" x14ac:dyDescent="0.25">
      <c r="B45" s="8" t="s">
        <v>1744</v>
      </c>
      <c r="C45" s="56" t="s">
        <v>77</v>
      </c>
      <c r="D45" s="53" t="s">
        <v>1745</v>
      </c>
      <c r="E45" s="6" t="s">
        <v>534</v>
      </c>
      <c r="F45" s="19">
        <v>500</v>
      </c>
      <c r="G45" s="24">
        <v>5255.92</v>
      </c>
      <c r="H45" s="24">
        <v>0.54</v>
      </c>
      <c r="I45" s="31">
        <v>4.6749999999999998</v>
      </c>
      <c r="J45" s="35" t="s">
        <v>514</v>
      </c>
    </row>
    <row r="46" spans="2:10" x14ac:dyDescent="0.25">
      <c r="B46" s="8" t="s">
        <v>1746</v>
      </c>
      <c r="C46" s="56" t="s">
        <v>601</v>
      </c>
      <c r="D46" s="53" t="s">
        <v>1747</v>
      </c>
      <c r="E46" s="6" t="s">
        <v>534</v>
      </c>
      <c r="F46" s="19">
        <v>500</v>
      </c>
      <c r="G46" s="24">
        <v>5202.8500000000004</v>
      </c>
      <c r="H46" s="24">
        <v>0.53</v>
      </c>
      <c r="I46" s="31">
        <v>4.25</v>
      </c>
      <c r="J46" s="35" t="s">
        <v>514</v>
      </c>
    </row>
    <row r="47" spans="2:10" x14ac:dyDescent="0.25">
      <c r="B47" s="8" t="s">
        <v>1748</v>
      </c>
      <c r="C47" s="56" t="s">
        <v>1749</v>
      </c>
      <c r="D47" s="53" t="s">
        <v>1750</v>
      </c>
      <c r="E47" s="6" t="s">
        <v>911</v>
      </c>
      <c r="F47" s="19">
        <v>500</v>
      </c>
      <c r="G47" s="24">
        <v>5195.88</v>
      </c>
      <c r="H47" s="24">
        <v>0.53</v>
      </c>
      <c r="I47" s="31">
        <v>5.1607000000000003</v>
      </c>
      <c r="J47" s="35" t="s">
        <v>514</v>
      </c>
    </row>
    <row r="48" spans="2:10" x14ac:dyDescent="0.25">
      <c r="B48" s="8" t="s">
        <v>1751</v>
      </c>
      <c r="C48" s="56" t="s">
        <v>1752</v>
      </c>
      <c r="D48" s="53" t="s">
        <v>1753</v>
      </c>
      <c r="E48" s="6" t="s">
        <v>1314</v>
      </c>
      <c r="F48" s="19">
        <v>500</v>
      </c>
      <c r="G48" s="24">
        <v>5108.8100000000004</v>
      </c>
      <c r="H48" s="24">
        <v>0.52</v>
      </c>
      <c r="I48" s="31">
        <v>4.1449999999999996</v>
      </c>
      <c r="J48" s="35" t="s">
        <v>514</v>
      </c>
    </row>
    <row r="49" spans="2:10" x14ac:dyDescent="0.25">
      <c r="B49" s="8" t="s">
        <v>1754</v>
      </c>
      <c r="C49" s="56" t="s">
        <v>125</v>
      </c>
      <c r="D49" s="53" t="s">
        <v>1755</v>
      </c>
      <c r="E49" s="6" t="s">
        <v>534</v>
      </c>
      <c r="F49" s="19">
        <v>500</v>
      </c>
      <c r="G49" s="24">
        <v>5089.54</v>
      </c>
      <c r="H49" s="24">
        <v>0.52</v>
      </c>
      <c r="I49" s="31">
        <v>4.2</v>
      </c>
      <c r="J49" s="35"/>
    </row>
    <row r="50" spans="2:10" x14ac:dyDescent="0.25">
      <c r="B50" s="8" t="s">
        <v>1756</v>
      </c>
      <c r="C50" s="56" t="s">
        <v>1127</v>
      </c>
      <c r="D50" s="53" t="s">
        <v>1757</v>
      </c>
      <c r="E50" s="6" t="s">
        <v>1314</v>
      </c>
      <c r="F50" s="19">
        <v>500</v>
      </c>
      <c r="G50" s="24">
        <v>5085.47</v>
      </c>
      <c r="H50" s="24">
        <v>0.52</v>
      </c>
      <c r="I50" s="31">
        <v>4.2450000000000001</v>
      </c>
      <c r="J50" s="35" t="s">
        <v>514</v>
      </c>
    </row>
    <row r="51" spans="2:10" x14ac:dyDescent="0.25">
      <c r="B51" s="8" t="s">
        <v>1758</v>
      </c>
      <c r="C51" s="56" t="s">
        <v>487</v>
      </c>
      <c r="D51" s="53" t="s">
        <v>1759</v>
      </c>
      <c r="E51" s="6" t="s">
        <v>693</v>
      </c>
      <c r="F51" s="19">
        <v>500</v>
      </c>
      <c r="G51" s="24">
        <v>5069.68</v>
      </c>
      <c r="H51" s="24">
        <v>0.52</v>
      </c>
      <c r="I51" s="31">
        <v>4.9936999999999996</v>
      </c>
      <c r="J51" s="35" t="s">
        <v>514</v>
      </c>
    </row>
    <row r="52" spans="2:10" x14ac:dyDescent="0.25">
      <c r="B52" s="8" t="s">
        <v>1760</v>
      </c>
      <c r="C52" s="56" t="s">
        <v>1230</v>
      </c>
      <c r="D52" s="53" t="s">
        <v>1761</v>
      </c>
      <c r="E52" s="6" t="s">
        <v>534</v>
      </c>
      <c r="F52" s="19">
        <v>500</v>
      </c>
      <c r="G52" s="24">
        <v>5000</v>
      </c>
      <c r="H52" s="24">
        <v>0.51</v>
      </c>
      <c r="I52" s="31">
        <v>3.3050000000000002</v>
      </c>
      <c r="J52" s="35" t="s">
        <v>514</v>
      </c>
    </row>
    <row r="53" spans="2:10" x14ac:dyDescent="0.25">
      <c r="B53" s="8" t="s">
        <v>1762</v>
      </c>
      <c r="C53" s="56" t="s">
        <v>1127</v>
      </c>
      <c r="D53" s="53" t="s">
        <v>1763</v>
      </c>
      <c r="E53" s="6" t="s">
        <v>534</v>
      </c>
      <c r="F53" s="19">
        <v>400</v>
      </c>
      <c r="G53" s="24">
        <v>4141.12</v>
      </c>
      <c r="H53" s="24">
        <v>0.42</v>
      </c>
      <c r="I53" s="31">
        <v>4.415</v>
      </c>
      <c r="J53" s="35" t="s">
        <v>514</v>
      </c>
    </row>
    <row r="54" spans="2:10" x14ac:dyDescent="0.25">
      <c r="B54" s="8" t="s">
        <v>1764</v>
      </c>
      <c r="C54" s="56" t="s">
        <v>857</v>
      </c>
      <c r="D54" s="53" t="s">
        <v>1765</v>
      </c>
      <c r="E54" s="6" t="s">
        <v>534</v>
      </c>
      <c r="F54" s="19">
        <v>350</v>
      </c>
      <c r="G54" s="24">
        <v>3562.33</v>
      </c>
      <c r="H54" s="24">
        <v>0.37</v>
      </c>
      <c r="I54" s="31">
        <v>3.6200999999999999</v>
      </c>
      <c r="J54" s="35" t="s">
        <v>514</v>
      </c>
    </row>
    <row r="55" spans="2:10" x14ac:dyDescent="0.25">
      <c r="B55" s="8" t="s">
        <v>1766</v>
      </c>
      <c r="C55" s="56" t="s">
        <v>601</v>
      </c>
      <c r="D55" s="53" t="s">
        <v>1767</v>
      </c>
      <c r="E55" s="6" t="s">
        <v>534</v>
      </c>
      <c r="F55" s="19">
        <v>250</v>
      </c>
      <c r="G55" s="24">
        <v>2573.71</v>
      </c>
      <c r="H55" s="24">
        <v>0.26</v>
      </c>
      <c r="I55" s="31">
        <v>5.4950000000000001</v>
      </c>
      <c r="J55" s="35" t="s">
        <v>514</v>
      </c>
    </row>
    <row r="56" spans="2:10" x14ac:dyDescent="0.25">
      <c r="B56" s="8" t="s">
        <v>1768</v>
      </c>
      <c r="C56" s="56" t="s">
        <v>1127</v>
      </c>
      <c r="D56" s="53" t="s">
        <v>1769</v>
      </c>
      <c r="E56" s="6" t="s">
        <v>534</v>
      </c>
      <c r="F56" s="19">
        <v>250</v>
      </c>
      <c r="G56" s="24">
        <v>2522.4499999999998</v>
      </c>
      <c r="H56" s="24">
        <v>0.26</v>
      </c>
      <c r="I56" s="31">
        <v>3.51</v>
      </c>
      <c r="J56" s="35" t="s">
        <v>514</v>
      </c>
    </row>
    <row r="57" spans="2:10" x14ac:dyDescent="0.25">
      <c r="B57" s="8" t="s">
        <v>1770</v>
      </c>
      <c r="C57" s="56" t="s">
        <v>524</v>
      </c>
      <c r="D57" s="53" t="s">
        <v>1771</v>
      </c>
      <c r="E57" s="6" t="s">
        <v>526</v>
      </c>
      <c r="F57" s="19">
        <v>250</v>
      </c>
      <c r="G57" s="24">
        <v>2509.48</v>
      </c>
      <c r="H57" s="24">
        <v>0.26</v>
      </c>
      <c r="I57" s="31">
        <v>4.6321000000000003</v>
      </c>
      <c r="J57" s="35" t="s">
        <v>514</v>
      </c>
    </row>
    <row r="58" spans="2:10" x14ac:dyDescent="0.25">
      <c r="B58" s="8" t="s">
        <v>1772</v>
      </c>
      <c r="C58" s="56" t="s">
        <v>172</v>
      </c>
      <c r="D58" s="53" t="s">
        <v>1773</v>
      </c>
      <c r="E58" s="6" t="s">
        <v>534</v>
      </c>
      <c r="F58" s="19">
        <v>250</v>
      </c>
      <c r="G58" s="24">
        <v>2502.73</v>
      </c>
      <c r="H58" s="24">
        <v>0.26</v>
      </c>
      <c r="I58" s="31">
        <v>6.0750000000000002</v>
      </c>
      <c r="J58" s="35" t="s">
        <v>514</v>
      </c>
    </row>
    <row r="59" spans="2:10" x14ac:dyDescent="0.25">
      <c r="B59" s="8" t="s">
        <v>1774</v>
      </c>
      <c r="C59" s="56" t="s">
        <v>1376</v>
      </c>
      <c r="D59" s="53" t="s">
        <v>1775</v>
      </c>
      <c r="E59" s="6" t="s">
        <v>534</v>
      </c>
      <c r="F59" s="19">
        <v>180</v>
      </c>
      <c r="G59" s="24">
        <v>1872.28</v>
      </c>
      <c r="H59" s="24">
        <v>0.19</v>
      </c>
      <c r="I59" s="31">
        <v>5.0999999999999996</v>
      </c>
      <c r="J59" s="35"/>
    </row>
    <row r="60" spans="2:10" x14ac:dyDescent="0.25">
      <c r="B60" s="8" t="s">
        <v>1776</v>
      </c>
      <c r="C60" s="56" t="s">
        <v>77</v>
      </c>
      <c r="D60" s="53" t="s">
        <v>1777</v>
      </c>
      <c r="E60" s="6" t="s">
        <v>534</v>
      </c>
      <c r="F60" s="19">
        <v>150</v>
      </c>
      <c r="G60" s="24">
        <v>1569.21</v>
      </c>
      <c r="H60" s="24">
        <v>0.16</v>
      </c>
      <c r="I60" s="31">
        <v>4.6749999999999998</v>
      </c>
      <c r="J60" s="35" t="s">
        <v>514</v>
      </c>
    </row>
    <row r="61" spans="2:10" x14ac:dyDescent="0.25">
      <c r="B61" s="8" t="s">
        <v>1778</v>
      </c>
      <c r="C61" s="56" t="s">
        <v>854</v>
      </c>
      <c r="D61" s="53" t="s">
        <v>1779</v>
      </c>
      <c r="E61" s="6" t="s">
        <v>534</v>
      </c>
      <c r="F61" s="19">
        <v>100</v>
      </c>
      <c r="G61" s="24">
        <v>1126.21</v>
      </c>
      <c r="H61" s="24">
        <v>0.12</v>
      </c>
      <c r="I61" s="31">
        <v>5.3757999999999999</v>
      </c>
      <c r="J61" s="35" t="s">
        <v>514</v>
      </c>
    </row>
    <row r="62" spans="2:10" x14ac:dyDescent="0.25">
      <c r="B62" s="8" t="s">
        <v>1780</v>
      </c>
      <c r="C62" s="56" t="s">
        <v>125</v>
      </c>
      <c r="D62" s="53" t="s">
        <v>1781</v>
      </c>
      <c r="E62" s="6" t="s">
        <v>534</v>
      </c>
      <c r="F62" s="19">
        <v>40</v>
      </c>
      <c r="G62" s="24">
        <v>413.62</v>
      </c>
      <c r="H62" s="24">
        <v>0.04</v>
      </c>
      <c r="I62" s="31">
        <v>5.4</v>
      </c>
      <c r="J62" s="35"/>
    </row>
    <row r="63" spans="2:10" x14ac:dyDescent="0.25">
      <c r="C63" s="57" t="s">
        <v>35</v>
      </c>
      <c r="D63" s="53"/>
      <c r="E63" s="6"/>
      <c r="F63" s="19"/>
      <c r="G63" s="25">
        <v>370052.17</v>
      </c>
      <c r="H63" s="25">
        <v>37.950000000000003</v>
      </c>
      <c r="I63" s="31"/>
      <c r="J63" s="35"/>
    </row>
    <row r="64" spans="2:10" x14ac:dyDescent="0.25">
      <c r="C64" s="56"/>
      <c r="D64" s="53"/>
      <c r="E64" s="6"/>
      <c r="F64" s="19"/>
      <c r="G64" s="24"/>
      <c r="H64" s="24"/>
      <c r="I64" s="31"/>
      <c r="J64" s="35"/>
    </row>
    <row r="65" spans="2:10" x14ac:dyDescent="0.25">
      <c r="C65" s="59" t="s">
        <v>7</v>
      </c>
      <c r="D65" s="53"/>
      <c r="E65" s="6"/>
      <c r="F65" s="19"/>
      <c r="G65" s="24"/>
      <c r="H65" s="24"/>
      <c r="I65" s="31"/>
      <c r="J65" s="35"/>
    </row>
    <row r="66" spans="2:10" x14ac:dyDescent="0.25">
      <c r="B66" s="8" t="s">
        <v>1782</v>
      </c>
      <c r="C66" s="56" t="s">
        <v>1783</v>
      </c>
      <c r="D66" s="53" t="s">
        <v>1784</v>
      </c>
      <c r="E66" s="6" t="s">
        <v>551</v>
      </c>
      <c r="F66" s="19">
        <v>100</v>
      </c>
      <c r="G66" s="24">
        <v>10022.209999999999</v>
      </c>
      <c r="H66" s="24">
        <v>1.03</v>
      </c>
      <c r="I66" s="31">
        <v>7.0080999999999998</v>
      </c>
      <c r="J66" s="35" t="s">
        <v>514</v>
      </c>
    </row>
    <row r="67" spans="2:10" x14ac:dyDescent="0.25">
      <c r="B67" s="8" t="s">
        <v>1785</v>
      </c>
      <c r="C67" s="56" t="s">
        <v>1786</v>
      </c>
      <c r="D67" s="53" t="s">
        <v>1787</v>
      </c>
      <c r="E67" s="6" t="s">
        <v>534</v>
      </c>
      <c r="F67" s="19">
        <v>300</v>
      </c>
      <c r="G67" s="24">
        <v>3050.91</v>
      </c>
      <c r="H67" s="24">
        <v>0.31</v>
      </c>
      <c r="I67" s="31">
        <v>4.4241999999999999</v>
      </c>
      <c r="J67" s="35" t="s">
        <v>514</v>
      </c>
    </row>
    <row r="68" spans="2:10" x14ac:dyDescent="0.25">
      <c r="C68" s="57" t="s">
        <v>35</v>
      </c>
      <c r="D68" s="53"/>
      <c r="E68" s="6"/>
      <c r="F68" s="19"/>
      <c r="G68" s="25">
        <v>13073.12</v>
      </c>
      <c r="H68" s="25">
        <v>1.34</v>
      </c>
      <c r="I68" s="31"/>
      <c r="J68" s="35"/>
    </row>
    <row r="69" spans="2:10" x14ac:dyDescent="0.25">
      <c r="C69" s="56"/>
      <c r="D69" s="53"/>
      <c r="E69" s="6"/>
      <c r="F69" s="19"/>
      <c r="G69" s="24"/>
      <c r="H69" s="24"/>
      <c r="I69" s="31"/>
      <c r="J69" s="35"/>
    </row>
    <row r="70" spans="2:10" x14ac:dyDescent="0.25">
      <c r="C70" s="59" t="s">
        <v>8</v>
      </c>
      <c r="D70" s="53"/>
      <c r="E70" s="6"/>
      <c r="F70" s="19"/>
      <c r="G70" s="24"/>
      <c r="H70" s="24"/>
      <c r="I70" s="31"/>
      <c r="J70" s="35"/>
    </row>
    <row r="71" spans="2:10" x14ac:dyDescent="0.25">
      <c r="B71" s="8" t="s">
        <v>1788</v>
      </c>
      <c r="C71" s="56" t="s">
        <v>1424</v>
      </c>
      <c r="D71" s="53" t="s">
        <v>1789</v>
      </c>
      <c r="E71" s="6" t="s">
        <v>1422</v>
      </c>
      <c r="F71" s="19">
        <v>893</v>
      </c>
      <c r="G71" s="24">
        <v>11009.76</v>
      </c>
      <c r="H71" s="24">
        <v>1.1299999999999999</v>
      </c>
      <c r="I71" s="31">
        <v>5.4450000000000003</v>
      </c>
      <c r="J71" s="35" t="s">
        <v>514</v>
      </c>
    </row>
    <row r="72" spans="2:10" x14ac:dyDescent="0.25">
      <c r="B72" s="8" t="s">
        <v>1790</v>
      </c>
      <c r="C72" s="56" t="s">
        <v>1424</v>
      </c>
      <c r="D72" s="53" t="s">
        <v>1791</v>
      </c>
      <c r="E72" s="6" t="s">
        <v>1422</v>
      </c>
      <c r="F72" s="19">
        <v>832</v>
      </c>
      <c r="G72" s="24">
        <v>10360.969999999999</v>
      </c>
      <c r="H72" s="24">
        <v>1.06</v>
      </c>
      <c r="I72" s="31">
        <v>5.63</v>
      </c>
      <c r="J72" s="35" t="s">
        <v>514</v>
      </c>
    </row>
    <row r="73" spans="2:10" x14ac:dyDescent="0.25">
      <c r="B73" s="8" t="s">
        <v>1433</v>
      </c>
      <c r="C73" s="56" t="s">
        <v>1424</v>
      </c>
      <c r="D73" s="53" t="s">
        <v>1434</v>
      </c>
      <c r="E73" s="6" t="s">
        <v>1422</v>
      </c>
      <c r="F73" s="19">
        <v>627</v>
      </c>
      <c r="G73" s="24">
        <v>7574.47</v>
      </c>
      <c r="H73" s="24">
        <v>0.78</v>
      </c>
      <c r="I73" s="31">
        <v>4.4913999999999996</v>
      </c>
      <c r="J73" s="35" t="s">
        <v>514</v>
      </c>
    </row>
    <row r="74" spans="2:10" x14ac:dyDescent="0.25">
      <c r="B74" s="8" t="s">
        <v>1792</v>
      </c>
      <c r="C74" s="56" t="s">
        <v>1420</v>
      </c>
      <c r="D74" s="53" t="s">
        <v>1793</v>
      </c>
      <c r="E74" s="6" t="s">
        <v>1422</v>
      </c>
      <c r="F74" s="19">
        <v>565</v>
      </c>
      <c r="G74" s="24">
        <v>7125.75</v>
      </c>
      <c r="H74" s="24">
        <v>0.73</v>
      </c>
      <c r="I74" s="31">
        <v>4.8914</v>
      </c>
      <c r="J74" s="35" t="s">
        <v>514</v>
      </c>
    </row>
    <row r="75" spans="2:10" x14ac:dyDescent="0.25">
      <c r="B75" s="8" t="s">
        <v>1429</v>
      </c>
      <c r="C75" s="56" t="s">
        <v>1427</v>
      </c>
      <c r="D75" s="53" t="s">
        <v>1430</v>
      </c>
      <c r="E75" s="6" t="s">
        <v>1422</v>
      </c>
      <c r="F75" s="19">
        <v>370</v>
      </c>
      <c r="G75" s="24">
        <v>4572.28</v>
      </c>
      <c r="H75" s="24">
        <v>0.47</v>
      </c>
      <c r="I75" s="31">
        <v>4.5243000000000002</v>
      </c>
      <c r="J75" s="35" t="s">
        <v>514</v>
      </c>
    </row>
    <row r="76" spans="2:10" x14ac:dyDescent="0.25">
      <c r="B76" s="8" t="s">
        <v>1419</v>
      </c>
      <c r="C76" s="56" t="s">
        <v>1420</v>
      </c>
      <c r="D76" s="53" t="s">
        <v>1421</v>
      </c>
      <c r="E76" s="6" t="s">
        <v>1422</v>
      </c>
      <c r="F76" s="19">
        <v>330</v>
      </c>
      <c r="G76" s="24">
        <v>4114.49</v>
      </c>
      <c r="H76" s="24">
        <v>0.42</v>
      </c>
      <c r="I76" s="31">
        <v>4.5183999999999997</v>
      </c>
      <c r="J76" s="35" t="s">
        <v>514</v>
      </c>
    </row>
    <row r="77" spans="2:10" x14ac:dyDescent="0.25">
      <c r="B77" s="8" t="s">
        <v>1794</v>
      </c>
      <c r="C77" s="56" t="s">
        <v>1424</v>
      </c>
      <c r="D77" s="53" t="s">
        <v>1795</v>
      </c>
      <c r="E77" s="6" t="s">
        <v>1422</v>
      </c>
      <c r="F77" s="19">
        <v>192</v>
      </c>
      <c r="G77" s="24">
        <v>2348.34</v>
      </c>
      <c r="H77" s="24">
        <v>0.24</v>
      </c>
      <c r="I77" s="31">
        <v>4.8571999999999997</v>
      </c>
      <c r="J77" s="35" t="s">
        <v>514</v>
      </c>
    </row>
    <row r="78" spans="2:10" x14ac:dyDescent="0.25">
      <c r="C78" s="57" t="s">
        <v>35</v>
      </c>
      <c r="D78" s="53"/>
      <c r="E78" s="6"/>
      <c r="F78" s="19"/>
      <c r="G78" s="25">
        <v>47106.06</v>
      </c>
      <c r="H78" s="25">
        <v>4.83</v>
      </c>
      <c r="I78" s="31"/>
      <c r="J78" s="35"/>
    </row>
    <row r="79" spans="2:10" x14ac:dyDescent="0.25">
      <c r="C79" s="56"/>
      <c r="D79" s="53"/>
      <c r="E79" s="6"/>
      <c r="F79" s="19"/>
      <c r="G79" s="24"/>
      <c r="H79" s="24"/>
      <c r="I79" s="31"/>
      <c r="J79" s="35"/>
    </row>
    <row r="80" spans="2:10" x14ac:dyDescent="0.25">
      <c r="C80" s="59" t="s">
        <v>9</v>
      </c>
      <c r="D80" s="53"/>
      <c r="E80" s="6"/>
      <c r="F80" s="19"/>
      <c r="G80" s="24"/>
      <c r="H80" s="24"/>
      <c r="I80" s="31"/>
      <c r="J80" s="35"/>
    </row>
    <row r="81" spans="1:10" x14ac:dyDescent="0.25">
      <c r="B81" s="8" t="s">
        <v>1797</v>
      </c>
      <c r="C81" s="56" t="s">
        <v>1798</v>
      </c>
      <c r="D81" s="53" t="s">
        <v>1799</v>
      </c>
      <c r="E81" s="6" t="s">
        <v>655</v>
      </c>
      <c r="F81" s="19">
        <v>32500000</v>
      </c>
      <c r="G81" s="24">
        <v>34827.03</v>
      </c>
      <c r="H81" s="24">
        <v>3.57</v>
      </c>
      <c r="I81" s="31">
        <v>4.9545000000000003</v>
      </c>
      <c r="J81" s="35"/>
    </row>
    <row r="82" spans="1:10" x14ac:dyDescent="0.25">
      <c r="B82" s="8" t="s">
        <v>970</v>
      </c>
      <c r="C82" s="56" t="s">
        <v>971</v>
      </c>
      <c r="D82" s="53" t="s">
        <v>972</v>
      </c>
      <c r="E82" s="6" t="s">
        <v>655</v>
      </c>
      <c r="F82" s="19">
        <v>30000000</v>
      </c>
      <c r="G82" s="24">
        <v>30989.22</v>
      </c>
      <c r="H82" s="24">
        <v>3.18</v>
      </c>
      <c r="I82" s="31">
        <v>5.2718999999999996</v>
      </c>
      <c r="J82" s="35"/>
    </row>
    <row r="83" spans="1:10" x14ac:dyDescent="0.25">
      <c r="B83" s="8" t="s">
        <v>964</v>
      </c>
      <c r="C83" s="56" t="s">
        <v>965</v>
      </c>
      <c r="D83" s="53" t="s">
        <v>966</v>
      </c>
      <c r="E83" s="6" t="s">
        <v>655</v>
      </c>
      <c r="F83" s="19">
        <v>14500000</v>
      </c>
      <c r="G83" s="24">
        <v>15565.42</v>
      </c>
      <c r="H83" s="24">
        <v>1.6</v>
      </c>
      <c r="I83" s="31">
        <v>5.6993</v>
      </c>
      <c r="J83" s="35"/>
    </row>
    <row r="84" spans="1:10" x14ac:dyDescent="0.25">
      <c r="C84" s="57" t="s">
        <v>35</v>
      </c>
      <c r="D84" s="53"/>
      <c r="E84" s="6"/>
      <c r="F84" s="19"/>
      <c r="G84" s="25">
        <v>81381.67</v>
      </c>
      <c r="H84" s="25">
        <v>8.35</v>
      </c>
      <c r="I84" s="31"/>
      <c r="J84" s="35"/>
    </row>
    <row r="85" spans="1:10" x14ac:dyDescent="0.25">
      <c r="C85" s="56"/>
      <c r="D85" s="53"/>
      <c r="E85" s="6"/>
      <c r="F85" s="19"/>
      <c r="G85" s="24"/>
      <c r="H85" s="24"/>
      <c r="I85" s="31"/>
      <c r="J85" s="35"/>
    </row>
    <row r="86" spans="1:10" x14ac:dyDescent="0.25">
      <c r="C86" s="59" t="s">
        <v>10</v>
      </c>
      <c r="D86" s="53"/>
      <c r="E86" s="6"/>
      <c r="F86" s="19"/>
      <c r="G86" s="24"/>
      <c r="H86" s="24"/>
      <c r="I86" s="31"/>
      <c r="J86" s="35"/>
    </row>
    <row r="87" spans="1:10" x14ac:dyDescent="0.25">
      <c r="B87" s="8" t="s">
        <v>1800</v>
      </c>
      <c r="C87" s="56" t="s">
        <v>1801</v>
      </c>
      <c r="D87" s="53" t="s">
        <v>1802</v>
      </c>
      <c r="E87" s="6" t="s">
        <v>655</v>
      </c>
      <c r="F87" s="19">
        <v>8500000</v>
      </c>
      <c r="G87" s="24">
        <v>9149.93</v>
      </c>
      <c r="H87" s="24">
        <v>0.94</v>
      </c>
      <c r="I87" s="31">
        <v>6.0521000000000003</v>
      </c>
      <c r="J87" s="35"/>
    </row>
    <row r="88" spans="1:10" x14ac:dyDescent="0.25">
      <c r="B88" s="8" t="s">
        <v>1803</v>
      </c>
      <c r="C88" s="56" t="s">
        <v>1804</v>
      </c>
      <c r="D88" s="53" t="s">
        <v>1805</v>
      </c>
      <c r="E88" s="6" t="s">
        <v>655</v>
      </c>
      <c r="F88" s="19">
        <v>7500000</v>
      </c>
      <c r="G88" s="24">
        <v>7451.42</v>
      </c>
      <c r="H88" s="24">
        <v>0.76</v>
      </c>
      <c r="I88" s="31">
        <v>6.0701999999999998</v>
      </c>
      <c r="J88" s="35"/>
    </row>
    <row r="89" spans="1:10" x14ac:dyDescent="0.25">
      <c r="B89" s="8" t="s">
        <v>1806</v>
      </c>
      <c r="C89" s="56" t="s">
        <v>1807</v>
      </c>
      <c r="D89" s="53" t="s">
        <v>1808</v>
      </c>
      <c r="E89" s="6" t="s">
        <v>655</v>
      </c>
      <c r="F89" s="19">
        <v>2500000</v>
      </c>
      <c r="G89" s="24">
        <v>2724.09</v>
      </c>
      <c r="H89" s="24">
        <v>0.28000000000000003</v>
      </c>
      <c r="I89" s="31">
        <v>5.8250000000000002</v>
      </c>
      <c r="J89" s="35"/>
    </row>
    <row r="90" spans="1:10" x14ac:dyDescent="0.25">
      <c r="B90" s="8" t="s">
        <v>1809</v>
      </c>
      <c r="C90" s="56" t="s">
        <v>1810</v>
      </c>
      <c r="D90" s="53" t="s">
        <v>1811</v>
      </c>
      <c r="E90" s="6" t="s">
        <v>655</v>
      </c>
      <c r="F90" s="19">
        <v>2100000</v>
      </c>
      <c r="G90" s="24">
        <v>2339.15</v>
      </c>
      <c r="H90" s="24">
        <v>0.24</v>
      </c>
      <c r="I90" s="31">
        <v>5.6089000000000002</v>
      </c>
      <c r="J90" s="35"/>
    </row>
    <row r="91" spans="1:10" x14ac:dyDescent="0.25">
      <c r="B91" s="8" t="s">
        <v>1812</v>
      </c>
      <c r="C91" s="56" t="s">
        <v>1813</v>
      </c>
      <c r="D91" s="53" t="s">
        <v>1814</v>
      </c>
      <c r="E91" s="6" t="s">
        <v>655</v>
      </c>
      <c r="F91" s="19">
        <v>1000000</v>
      </c>
      <c r="G91" s="24">
        <v>995.92</v>
      </c>
      <c r="H91" s="24">
        <v>0.1</v>
      </c>
      <c r="I91" s="31">
        <v>6.4752999999999998</v>
      </c>
      <c r="J91" s="35"/>
    </row>
    <row r="92" spans="1:10" x14ac:dyDescent="0.25">
      <c r="B92" s="8" t="s">
        <v>1815</v>
      </c>
      <c r="C92" s="56" t="s">
        <v>1816</v>
      </c>
      <c r="D92" s="53" t="s">
        <v>1817</v>
      </c>
      <c r="E92" s="6" t="s">
        <v>655</v>
      </c>
      <c r="F92" s="19">
        <v>500000</v>
      </c>
      <c r="G92" s="24">
        <v>538.86</v>
      </c>
      <c r="H92" s="24">
        <v>0.06</v>
      </c>
      <c r="I92" s="31">
        <v>6.1414</v>
      </c>
      <c r="J92" s="35"/>
    </row>
    <row r="93" spans="1:10" x14ac:dyDescent="0.25">
      <c r="C93" s="57" t="s">
        <v>35</v>
      </c>
      <c r="D93" s="53"/>
      <c r="E93" s="6"/>
      <c r="F93" s="19"/>
      <c r="G93" s="25">
        <v>23199.37</v>
      </c>
      <c r="H93" s="25">
        <v>2.38</v>
      </c>
      <c r="I93" s="31"/>
      <c r="J93" s="35"/>
    </row>
    <row r="94" spans="1:10" x14ac:dyDescent="0.25">
      <c r="C94" s="56"/>
      <c r="D94" s="53"/>
      <c r="E94" s="6"/>
      <c r="F94" s="19"/>
      <c r="G94" s="24"/>
      <c r="H94" s="24"/>
      <c r="I94" s="31"/>
      <c r="J94" s="35"/>
    </row>
    <row r="95" spans="1:10" x14ac:dyDescent="0.25">
      <c r="A95" s="10"/>
      <c r="B95" s="28"/>
      <c r="C95" s="58" t="s">
        <v>11</v>
      </c>
      <c r="D95" s="53"/>
      <c r="E95" s="6"/>
      <c r="F95" s="19"/>
      <c r="G95" s="24"/>
      <c r="H95" s="24"/>
      <c r="I95" s="31"/>
      <c r="J95" s="35"/>
    </row>
    <row r="96" spans="1:10" x14ac:dyDescent="0.25">
      <c r="C96" s="59" t="s">
        <v>13</v>
      </c>
      <c r="D96" s="53"/>
      <c r="E96" s="6"/>
      <c r="F96" s="19"/>
      <c r="G96" s="24"/>
      <c r="H96" s="24"/>
      <c r="I96" s="31"/>
      <c r="J96" s="35"/>
    </row>
    <row r="97" spans="2:10" x14ac:dyDescent="0.25">
      <c r="B97" s="8" t="s">
        <v>1818</v>
      </c>
      <c r="C97" s="56" t="s">
        <v>1138</v>
      </c>
      <c r="D97" s="53" t="s">
        <v>1819</v>
      </c>
      <c r="E97" s="6" t="s">
        <v>992</v>
      </c>
      <c r="F97" s="19">
        <v>8000</v>
      </c>
      <c r="G97" s="24">
        <v>39760.32</v>
      </c>
      <c r="H97" s="24">
        <v>4.08</v>
      </c>
      <c r="I97" s="31">
        <v>3.8601000000000001</v>
      </c>
      <c r="J97" s="35" t="s">
        <v>514</v>
      </c>
    </row>
    <row r="98" spans="2:10" x14ac:dyDescent="0.25">
      <c r="B98" s="8" t="s">
        <v>1111</v>
      </c>
      <c r="C98" s="56" t="s">
        <v>125</v>
      </c>
      <c r="D98" s="53" t="s">
        <v>1112</v>
      </c>
      <c r="E98" s="6" t="s">
        <v>992</v>
      </c>
      <c r="F98" s="19">
        <v>8000</v>
      </c>
      <c r="G98" s="24">
        <v>39353.120000000003</v>
      </c>
      <c r="H98" s="24">
        <v>4.04</v>
      </c>
      <c r="I98" s="31">
        <v>3.75</v>
      </c>
      <c r="J98" s="35" t="s">
        <v>514</v>
      </c>
    </row>
    <row r="99" spans="2:10" x14ac:dyDescent="0.25">
      <c r="B99" s="8" t="s">
        <v>1129</v>
      </c>
      <c r="C99" s="56" t="s">
        <v>1130</v>
      </c>
      <c r="D99" s="53" t="s">
        <v>1131</v>
      </c>
      <c r="E99" s="6" t="s">
        <v>1132</v>
      </c>
      <c r="F99" s="19">
        <v>7000</v>
      </c>
      <c r="G99" s="24">
        <v>34049.33</v>
      </c>
      <c r="H99" s="24">
        <v>3.49</v>
      </c>
      <c r="I99" s="31">
        <v>3.95</v>
      </c>
      <c r="J99" s="35" t="s">
        <v>514</v>
      </c>
    </row>
    <row r="100" spans="2:10" x14ac:dyDescent="0.25">
      <c r="B100" s="8" t="s">
        <v>1820</v>
      </c>
      <c r="C100" s="56" t="s">
        <v>562</v>
      </c>
      <c r="D100" s="53" t="s">
        <v>1821</v>
      </c>
      <c r="E100" s="6" t="s">
        <v>992</v>
      </c>
      <c r="F100" s="19">
        <v>4300</v>
      </c>
      <c r="G100" s="24">
        <v>21418.32</v>
      </c>
      <c r="H100" s="24">
        <v>2.2000000000000002</v>
      </c>
      <c r="I100" s="31">
        <v>4.8003999999999998</v>
      </c>
      <c r="J100" s="35" t="s">
        <v>514</v>
      </c>
    </row>
    <row r="101" spans="2:10" x14ac:dyDescent="0.25">
      <c r="B101" s="8" t="s">
        <v>1121</v>
      </c>
      <c r="C101" s="56" t="s">
        <v>77</v>
      </c>
      <c r="D101" s="53" t="s">
        <v>1122</v>
      </c>
      <c r="E101" s="6" t="s">
        <v>992</v>
      </c>
      <c r="F101" s="19">
        <v>4000</v>
      </c>
      <c r="G101" s="24">
        <v>19678.86</v>
      </c>
      <c r="H101" s="24">
        <v>2.02</v>
      </c>
      <c r="I101" s="31">
        <v>3.61</v>
      </c>
      <c r="J101" s="35" t="s">
        <v>514</v>
      </c>
    </row>
    <row r="102" spans="2:10" x14ac:dyDescent="0.25">
      <c r="B102" s="8" t="s">
        <v>1822</v>
      </c>
      <c r="C102" s="56" t="s">
        <v>119</v>
      </c>
      <c r="D102" s="53" t="s">
        <v>1823</v>
      </c>
      <c r="E102" s="6" t="s">
        <v>992</v>
      </c>
      <c r="F102" s="19">
        <v>4000</v>
      </c>
      <c r="G102" s="24">
        <v>19374.48</v>
      </c>
      <c r="H102" s="24">
        <v>1.99</v>
      </c>
      <c r="I102" s="31">
        <v>5.585</v>
      </c>
      <c r="J102" s="35" t="s">
        <v>514</v>
      </c>
    </row>
    <row r="103" spans="2:10" x14ac:dyDescent="0.25">
      <c r="B103" s="8" t="s">
        <v>1824</v>
      </c>
      <c r="C103" s="56" t="s">
        <v>528</v>
      </c>
      <c r="D103" s="53" t="s">
        <v>1825</v>
      </c>
      <c r="E103" s="6" t="s">
        <v>992</v>
      </c>
      <c r="F103" s="19">
        <v>3000</v>
      </c>
      <c r="G103" s="24">
        <v>14976.72</v>
      </c>
      <c r="H103" s="24">
        <v>1.54</v>
      </c>
      <c r="I103" s="31">
        <v>3.7824</v>
      </c>
      <c r="J103" s="35"/>
    </row>
    <row r="104" spans="2:10" x14ac:dyDescent="0.25">
      <c r="B104" s="8" t="s">
        <v>1826</v>
      </c>
      <c r="C104" s="56" t="s">
        <v>1827</v>
      </c>
      <c r="D104" s="53" t="s">
        <v>1828</v>
      </c>
      <c r="E104" s="6" t="s">
        <v>992</v>
      </c>
      <c r="F104" s="19">
        <v>2000</v>
      </c>
      <c r="G104" s="24">
        <v>9878.08</v>
      </c>
      <c r="H104" s="24">
        <v>1.01</v>
      </c>
      <c r="I104" s="31">
        <v>4.25</v>
      </c>
      <c r="J104" s="35" t="s">
        <v>514</v>
      </c>
    </row>
    <row r="105" spans="2:10" x14ac:dyDescent="0.25">
      <c r="B105" s="8" t="s">
        <v>1829</v>
      </c>
      <c r="C105" s="56" t="s">
        <v>106</v>
      </c>
      <c r="D105" s="53" t="s">
        <v>1830</v>
      </c>
      <c r="E105" s="6" t="s">
        <v>1204</v>
      </c>
      <c r="F105" s="19">
        <v>2000</v>
      </c>
      <c r="G105" s="24">
        <v>9821.17</v>
      </c>
      <c r="H105" s="24">
        <v>1.01</v>
      </c>
      <c r="I105" s="31">
        <v>4.18</v>
      </c>
      <c r="J105" s="35" t="s">
        <v>514</v>
      </c>
    </row>
    <row r="106" spans="2:10" x14ac:dyDescent="0.25">
      <c r="B106" s="8" t="s">
        <v>1831</v>
      </c>
      <c r="C106" s="56" t="s">
        <v>1827</v>
      </c>
      <c r="D106" s="53" t="s">
        <v>1832</v>
      </c>
      <c r="E106" s="6" t="s">
        <v>992</v>
      </c>
      <c r="F106" s="19">
        <v>1000</v>
      </c>
      <c r="G106" s="24">
        <v>4935.07</v>
      </c>
      <c r="H106" s="24">
        <v>0.51</v>
      </c>
      <c r="I106" s="31">
        <v>4.2500999999999998</v>
      </c>
      <c r="J106" s="35" t="s">
        <v>514</v>
      </c>
    </row>
    <row r="107" spans="2:10" x14ac:dyDescent="0.25">
      <c r="C107" s="57" t="s">
        <v>35</v>
      </c>
      <c r="D107" s="53"/>
      <c r="E107" s="6"/>
      <c r="F107" s="19"/>
      <c r="G107" s="25">
        <v>213245.47</v>
      </c>
      <c r="H107" s="25">
        <v>21.89</v>
      </c>
      <c r="I107" s="31"/>
      <c r="J107" s="35"/>
    </row>
    <row r="108" spans="2:10" x14ac:dyDescent="0.25">
      <c r="C108" s="56"/>
      <c r="D108" s="53"/>
      <c r="E108" s="6"/>
      <c r="F108" s="19"/>
      <c r="G108" s="24"/>
      <c r="H108" s="24"/>
      <c r="I108" s="31"/>
      <c r="J108" s="35"/>
    </row>
    <row r="109" spans="2:10" x14ac:dyDescent="0.25">
      <c r="C109" s="59" t="s">
        <v>14</v>
      </c>
      <c r="D109" s="53"/>
      <c r="E109" s="6"/>
      <c r="F109" s="19"/>
      <c r="G109" s="24"/>
      <c r="H109" s="24"/>
      <c r="I109" s="31"/>
      <c r="J109" s="35"/>
    </row>
    <row r="110" spans="2:10" x14ac:dyDescent="0.25">
      <c r="B110" s="8" t="s">
        <v>1833</v>
      </c>
      <c r="C110" s="56" t="s">
        <v>872</v>
      </c>
      <c r="D110" s="53" t="s">
        <v>1834</v>
      </c>
      <c r="E110" s="6" t="s">
        <v>992</v>
      </c>
      <c r="F110" s="19">
        <v>50000</v>
      </c>
      <c r="G110" s="24">
        <v>49847.5</v>
      </c>
      <c r="H110" s="24">
        <v>5.1100000000000003</v>
      </c>
      <c r="I110" s="31">
        <v>3.8504999999999998</v>
      </c>
      <c r="J110" s="35" t="s">
        <v>514</v>
      </c>
    </row>
    <row r="111" spans="2:10" x14ac:dyDescent="0.25">
      <c r="B111" s="8" t="s">
        <v>1248</v>
      </c>
      <c r="C111" s="56" t="s">
        <v>818</v>
      </c>
      <c r="D111" s="53" t="s">
        <v>1249</v>
      </c>
      <c r="E111" s="6" t="s">
        <v>1000</v>
      </c>
      <c r="F111" s="19">
        <v>20000</v>
      </c>
      <c r="G111" s="24">
        <v>19502.72</v>
      </c>
      <c r="H111" s="24">
        <v>2</v>
      </c>
      <c r="I111" s="31">
        <v>3.8298999999999999</v>
      </c>
      <c r="J111" s="35" t="s">
        <v>514</v>
      </c>
    </row>
    <row r="112" spans="2:10" x14ac:dyDescent="0.25">
      <c r="B112" s="8" t="s">
        <v>1835</v>
      </c>
      <c r="C112" s="56" t="s">
        <v>1298</v>
      </c>
      <c r="D112" s="53" t="s">
        <v>1836</v>
      </c>
      <c r="E112" s="6" t="s">
        <v>992</v>
      </c>
      <c r="F112" s="19">
        <v>5000</v>
      </c>
      <c r="G112" s="24">
        <v>4916.6000000000004</v>
      </c>
      <c r="H112" s="24">
        <v>0.5</v>
      </c>
      <c r="I112" s="31">
        <v>5.16</v>
      </c>
      <c r="J112" s="35" t="s">
        <v>514</v>
      </c>
    </row>
    <row r="113" spans="1:10" x14ac:dyDescent="0.25">
      <c r="C113" s="57" t="s">
        <v>35</v>
      </c>
      <c r="D113" s="53"/>
      <c r="E113" s="6"/>
      <c r="F113" s="19"/>
      <c r="G113" s="25">
        <v>74266.820000000007</v>
      </c>
      <c r="H113" s="25">
        <v>7.61</v>
      </c>
      <c r="I113" s="31"/>
      <c r="J113" s="35"/>
    </row>
    <row r="114" spans="1:10" x14ac:dyDescent="0.25">
      <c r="C114" s="56"/>
      <c r="D114" s="53"/>
      <c r="E114" s="6"/>
      <c r="F114" s="19"/>
      <c r="G114" s="24"/>
      <c r="H114" s="24"/>
      <c r="I114" s="31"/>
      <c r="J114" s="35"/>
    </row>
    <row r="115" spans="1:10" x14ac:dyDescent="0.25">
      <c r="C115" s="59" t="s">
        <v>15</v>
      </c>
      <c r="D115" s="53"/>
      <c r="E115" s="6"/>
      <c r="F115" s="19"/>
      <c r="G115" s="24"/>
      <c r="H115" s="24"/>
      <c r="I115" s="31"/>
      <c r="J115" s="35"/>
    </row>
    <row r="116" spans="1:10" x14ac:dyDescent="0.25">
      <c r="B116" s="8" t="s">
        <v>1470</v>
      </c>
      <c r="C116" s="56" t="s">
        <v>1471</v>
      </c>
      <c r="D116" s="53" t="s">
        <v>1472</v>
      </c>
      <c r="E116" s="6" t="s">
        <v>655</v>
      </c>
      <c r="F116" s="19">
        <v>56449200</v>
      </c>
      <c r="G116" s="24">
        <v>56133.37</v>
      </c>
      <c r="H116" s="24">
        <v>5.76</v>
      </c>
      <c r="I116" s="31">
        <v>3.2597999999999998</v>
      </c>
      <c r="J116" s="35"/>
    </row>
    <row r="117" spans="1:10" x14ac:dyDescent="0.25">
      <c r="B117" s="8" t="s">
        <v>1837</v>
      </c>
      <c r="C117" s="56" t="s">
        <v>1838</v>
      </c>
      <c r="D117" s="53" t="s">
        <v>1839</v>
      </c>
      <c r="E117" s="6" t="s">
        <v>655</v>
      </c>
      <c r="F117" s="19">
        <v>25000000</v>
      </c>
      <c r="G117" s="24">
        <v>24764.9</v>
      </c>
      <c r="H117" s="24">
        <v>2.54</v>
      </c>
      <c r="I117" s="31">
        <v>3.3</v>
      </c>
      <c r="J117" s="35"/>
    </row>
    <row r="118" spans="1:10" x14ac:dyDescent="0.25">
      <c r="B118" s="8" t="s">
        <v>1473</v>
      </c>
      <c r="C118" s="56" t="s">
        <v>1474</v>
      </c>
      <c r="D118" s="53" t="s">
        <v>1475</v>
      </c>
      <c r="E118" s="6" t="s">
        <v>655</v>
      </c>
      <c r="F118" s="19">
        <v>15000000</v>
      </c>
      <c r="G118" s="24">
        <v>14826.24</v>
      </c>
      <c r="H118" s="24">
        <v>1.52</v>
      </c>
      <c r="I118" s="31">
        <v>3.395</v>
      </c>
      <c r="J118" s="35"/>
    </row>
    <row r="119" spans="1:10" x14ac:dyDescent="0.25">
      <c r="C119" s="57" t="s">
        <v>35</v>
      </c>
      <c r="D119" s="53"/>
      <c r="E119" s="6"/>
      <c r="F119" s="19"/>
      <c r="G119" s="25">
        <v>95724.51</v>
      </c>
      <c r="H119" s="25">
        <v>9.82</v>
      </c>
      <c r="I119" s="31"/>
      <c r="J119" s="35"/>
    </row>
    <row r="120" spans="1:10" x14ac:dyDescent="0.25">
      <c r="C120" s="56"/>
      <c r="D120" s="53"/>
      <c r="E120" s="6"/>
      <c r="F120" s="19"/>
      <c r="G120" s="24"/>
      <c r="H120" s="24"/>
      <c r="I120" s="31"/>
      <c r="J120" s="35"/>
    </row>
    <row r="121" spans="1:10" x14ac:dyDescent="0.25">
      <c r="C121" s="57" t="s">
        <v>16</v>
      </c>
      <c r="D121" s="53"/>
      <c r="E121" s="6"/>
      <c r="F121" s="19"/>
      <c r="G121" s="24" t="s">
        <v>2</v>
      </c>
      <c r="H121" s="24" t="s">
        <v>2</v>
      </c>
      <c r="I121" s="31"/>
      <c r="J121" s="35"/>
    </row>
    <row r="122" spans="1:10" x14ac:dyDescent="0.25">
      <c r="C122" s="56"/>
      <c r="D122" s="53"/>
      <c r="E122" s="6"/>
      <c r="F122" s="19"/>
      <c r="G122" s="24"/>
      <c r="H122" s="24"/>
      <c r="I122" s="31"/>
      <c r="J122" s="35"/>
    </row>
    <row r="123" spans="1:10" x14ac:dyDescent="0.25">
      <c r="A123" s="10"/>
      <c r="B123" s="28"/>
      <c r="C123" s="58" t="s">
        <v>17</v>
      </c>
      <c r="D123" s="53"/>
      <c r="E123" s="6"/>
      <c r="F123" s="19"/>
      <c r="G123" s="24"/>
      <c r="H123" s="24"/>
      <c r="I123" s="31"/>
      <c r="J123" s="35"/>
    </row>
    <row r="124" spans="1:10" x14ac:dyDescent="0.25">
      <c r="A124" s="28"/>
      <c r="B124" s="28"/>
      <c r="C124" s="58" t="s">
        <v>18</v>
      </c>
      <c r="D124" s="53"/>
      <c r="E124" s="6"/>
      <c r="F124" s="19"/>
      <c r="G124" s="24" t="s">
        <v>2</v>
      </c>
      <c r="H124" s="24" t="s">
        <v>2</v>
      </c>
      <c r="I124" s="31"/>
      <c r="J124" s="35"/>
    </row>
    <row r="125" spans="1:10" x14ac:dyDescent="0.25">
      <c r="A125" s="28"/>
      <c r="B125" s="28"/>
      <c r="C125" s="58"/>
      <c r="D125" s="53"/>
      <c r="E125" s="6"/>
      <c r="F125" s="19"/>
      <c r="G125" s="24"/>
      <c r="H125" s="24"/>
      <c r="I125" s="31"/>
      <c r="J125" s="35"/>
    </row>
    <row r="126" spans="1:10" x14ac:dyDescent="0.25">
      <c r="A126" s="28"/>
      <c r="B126" s="28"/>
      <c r="C126" s="58" t="s">
        <v>19</v>
      </c>
      <c r="D126" s="53"/>
      <c r="E126" s="6"/>
      <c r="F126" s="19"/>
      <c r="G126" s="24" t="s">
        <v>2</v>
      </c>
      <c r="H126" s="24" t="s">
        <v>2</v>
      </c>
      <c r="I126" s="31"/>
      <c r="J126" s="35"/>
    </row>
    <row r="127" spans="1:10" x14ac:dyDescent="0.25">
      <c r="A127" s="28"/>
      <c r="B127" s="28"/>
      <c r="C127" s="58"/>
      <c r="D127" s="53"/>
      <c r="E127" s="6"/>
      <c r="F127" s="19"/>
      <c r="G127" s="24"/>
      <c r="H127" s="24"/>
      <c r="I127" s="31"/>
      <c r="J127" s="35"/>
    </row>
    <row r="128" spans="1:10" x14ac:dyDescent="0.25">
      <c r="A128" s="28"/>
      <c r="B128" s="28"/>
      <c r="C128" s="58" t="s">
        <v>20</v>
      </c>
      <c r="D128" s="53"/>
      <c r="E128" s="6"/>
      <c r="F128" s="19"/>
      <c r="G128" s="24" t="s">
        <v>2</v>
      </c>
      <c r="H128" s="24" t="s">
        <v>2</v>
      </c>
      <c r="I128" s="31"/>
      <c r="J128" s="35"/>
    </row>
    <row r="129" spans="1:10" x14ac:dyDescent="0.25">
      <c r="A129" s="28"/>
      <c r="B129" s="28"/>
      <c r="C129" s="58"/>
      <c r="D129" s="53"/>
      <c r="E129" s="6"/>
      <c r="F129" s="19"/>
      <c r="G129" s="24"/>
      <c r="H129" s="24"/>
      <c r="I129" s="31"/>
      <c r="J129" s="35"/>
    </row>
    <row r="130" spans="1:10" x14ac:dyDescent="0.25">
      <c r="A130" s="28"/>
      <c r="B130" s="28"/>
      <c r="C130" s="58" t="s">
        <v>21</v>
      </c>
      <c r="D130" s="53"/>
      <c r="E130" s="6"/>
      <c r="F130" s="19"/>
      <c r="G130" s="24" t="s">
        <v>2</v>
      </c>
      <c r="H130" s="24" t="s">
        <v>2</v>
      </c>
      <c r="I130" s="31"/>
      <c r="J130" s="35"/>
    </row>
    <row r="131" spans="1:10" x14ac:dyDescent="0.25">
      <c r="A131" s="28"/>
      <c r="B131" s="28"/>
      <c r="C131" s="58"/>
      <c r="D131" s="53"/>
      <c r="E131" s="6"/>
      <c r="F131" s="19"/>
      <c r="G131" s="24"/>
      <c r="H131" s="24"/>
      <c r="I131" s="31"/>
      <c r="J131" s="35"/>
    </row>
    <row r="132" spans="1:10" x14ac:dyDescent="0.25">
      <c r="C132" s="59" t="s">
        <v>22</v>
      </c>
      <c r="D132" s="53"/>
      <c r="E132" s="6"/>
      <c r="F132" s="19"/>
      <c r="G132" s="24"/>
      <c r="H132" s="24"/>
      <c r="I132" s="31"/>
      <c r="J132" s="35"/>
    </row>
    <row r="133" spans="1:10" x14ac:dyDescent="0.25">
      <c r="B133" s="8" t="s">
        <v>33</v>
      </c>
      <c r="C133" s="56" t="s">
        <v>34</v>
      </c>
      <c r="D133" s="53"/>
      <c r="E133" s="6"/>
      <c r="F133" s="19"/>
      <c r="G133" s="24">
        <v>62101.97</v>
      </c>
      <c r="H133" s="24">
        <v>6.37</v>
      </c>
      <c r="I133" s="31"/>
      <c r="J133" s="35"/>
    </row>
    <row r="134" spans="1:10" x14ac:dyDescent="0.25">
      <c r="C134" s="57" t="s">
        <v>35</v>
      </c>
      <c r="D134" s="53"/>
      <c r="E134" s="6"/>
      <c r="F134" s="19"/>
      <c r="G134" s="25">
        <v>62101.97</v>
      </c>
      <c r="H134" s="25">
        <v>6.37</v>
      </c>
      <c r="I134" s="31"/>
      <c r="J134" s="35"/>
    </row>
    <row r="135" spans="1:10" x14ac:dyDescent="0.25">
      <c r="C135" s="56"/>
      <c r="D135" s="53"/>
      <c r="E135" s="6"/>
      <c r="F135" s="19"/>
      <c r="G135" s="24"/>
      <c r="H135" s="24"/>
      <c r="I135" s="31"/>
      <c r="J135" s="35"/>
    </row>
    <row r="136" spans="1:10" x14ac:dyDescent="0.25">
      <c r="A136" s="10"/>
      <c r="B136" s="28"/>
      <c r="C136" s="58" t="s">
        <v>23</v>
      </c>
      <c r="D136" s="53"/>
      <c r="E136" s="6"/>
      <c r="F136" s="19"/>
      <c r="G136" s="24"/>
      <c r="H136" s="24"/>
      <c r="I136" s="31"/>
      <c r="J136" s="35"/>
    </row>
    <row r="137" spans="1:10" x14ac:dyDescent="0.25">
      <c r="A137" s="28"/>
      <c r="B137" s="28"/>
      <c r="C137" s="60" t="s">
        <v>3398</v>
      </c>
      <c r="D137" s="53"/>
      <c r="E137" s="6"/>
      <c r="F137" s="19"/>
      <c r="G137" s="24" t="s">
        <v>2</v>
      </c>
      <c r="H137" s="24" t="s">
        <v>2</v>
      </c>
      <c r="I137" s="31"/>
      <c r="J137" s="35"/>
    </row>
    <row r="138" spans="1:10" x14ac:dyDescent="0.25">
      <c r="B138" s="8"/>
      <c r="C138" s="56" t="s">
        <v>36</v>
      </c>
      <c r="D138" s="53"/>
      <c r="E138" s="6"/>
      <c r="F138" s="19"/>
      <c r="G138" s="24">
        <v>-5567.08</v>
      </c>
      <c r="H138" s="24">
        <v>-0.53999999999999992</v>
      </c>
      <c r="I138" s="31"/>
      <c r="J138" s="35"/>
    </row>
    <row r="139" spans="1:10" x14ac:dyDescent="0.25">
      <c r="C139" s="57" t="s">
        <v>35</v>
      </c>
      <c r="D139" s="53"/>
      <c r="E139" s="6"/>
      <c r="F139" s="19"/>
      <c r="G139" s="25">
        <v>-5567.08</v>
      </c>
      <c r="H139" s="25">
        <v>-0.53999999999999992</v>
      </c>
      <c r="I139" s="31"/>
      <c r="J139" s="35"/>
    </row>
    <row r="140" spans="1:10" x14ac:dyDescent="0.25">
      <c r="C140" s="56"/>
      <c r="D140" s="53"/>
      <c r="E140" s="6"/>
      <c r="F140" s="19"/>
      <c r="G140" s="24"/>
      <c r="H140" s="24"/>
      <c r="I140" s="31"/>
      <c r="J140" s="35"/>
    </row>
    <row r="141" spans="1:10" x14ac:dyDescent="0.25">
      <c r="C141" s="61" t="s">
        <v>37</v>
      </c>
      <c r="D141" s="54"/>
      <c r="E141" s="5"/>
      <c r="F141" s="20"/>
      <c r="G141" s="26">
        <v>974584.08</v>
      </c>
      <c r="H141" s="26">
        <f>SUMIFS(H:H,C:C,"Total")</f>
        <v>100.00000000000001</v>
      </c>
      <c r="I141" s="32"/>
      <c r="J141" s="36"/>
    </row>
    <row r="144" spans="1:10" x14ac:dyDescent="0.25">
      <c r="C144" s="1" t="s">
        <v>38</v>
      </c>
    </row>
    <row r="145" spans="3:3" x14ac:dyDescent="0.25">
      <c r="C145" s="2" t="s">
        <v>39</v>
      </c>
    </row>
    <row r="146" spans="3:3" x14ac:dyDescent="0.25">
      <c r="C146" s="2" t="s">
        <v>40</v>
      </c>
    </row>
    <row r="147" spans="3:3" x14ac:dyDescent="0.25">
      <c r="C147" s="2" t="s">
        <v>3430</v>
      </c>
    </row>
  </sheetData>
  <hyperlinks>
    <hyperlink ref="J2" location="'Index'!A1" display="'Index'!A1"/>
  </hyperlinks>
  <pageMargins left="0.7" right="0.7" top="0.75" bottom="0.75" header="0.3" footer="0.3"/>
  <pageSetup orientation="portrait" horizontalDpi="4294967293"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dimension ref="A1:J174"/>
  <sheetViews>
    <sheetView showGridLines="0" zoomScale="90" zoomScaleNormal="90" workbookViewId="0">
      <pane ySplit="6" topLeftCell="A7" activePane="bottomLeft" state="frozen"/>
      <selection pane="bottomLeft" activeCell="D28" sqref="D28"/>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1840</v>
      </c>
      <c r="J2" s="37" t="s">
        <v>3307</v>
      </c>
    </row>
    <row r="3" spans="1:10" ht="16.5" x14ac:dyDescent="0.3">
      <c r="C3" s="1" t="s">
        <v>24</v>
      </c>
      <c r="D3" s="21" t="s">
        <v>1841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1748</v>
      </c>
      <c r="C18" s="56" t="s">
        <v>1749</v>
      </c>
      <c r="D18" s="53" t="s">
        <v>1750</v>
      </c>
      <c r="E18" s="6" t="s">
        <v>911</v>
      </c>
      <c r="F18" s="19">
        <v>3265</v>
      </c>
      <c r="G18" s="24">
        <v>33929.1</v>
      </c>
      <c r="H18" s="24">
        <v>2.0299999999999998</v>
      </c>
      <c r="I18" s="31">
        <v>5.1607000000000003</v>
      </c>
      <c r="J18" s="35" t="s">
        <v>514</v>
      </c>
    </row>
    <row r="19" spans="2:10" x14ac:dyDescent="0.25">
      <c r="B19" s="8" t="s">
        <v>914</v>
      </c>
      <c r="C19" s="56" t="s">
        <v>230</v>
      </c>
      <c r="D19" s="53" t="s">
        <v>915</v>
      </c>
      <c r="E19" s="6" t="s">
        <v>541</v>
      </c>
      <c r="F19" s="19">
        <v>3000</v>
      </c>
      <c r="G19" s="24">
        <v>30587.88</v>
      </c>
      <c r="H19" s="24">
        <v>1.83</v>
      </c>
      <c r="I19" s="31">
        <v>7.1150000000000002</v>
      </c>
      <c r="J19" s="35" t="s">
        <v>514</v>
      </c>
    </row>
    <row r="20" spans="2:10" x14ac:dyDescent="0.25">
      <c r="B20" s="8" t="s">
        <v>1772</v>
      </c>
      <c r="C20" s="56" t="s">
        <v>172</v>
      </c>
      <c r="D20" s="53" t="s">
        <v>1773</v>
      </c>
      <c r="E20" s="6" t="s">
        <v>534</v>
      </c>
      <c r="F20" s="19">
        <v>3000</v>
      </c>
      <c r="G20" s="24">
        <v>30032.76</v>
      </c>
      <c r="H20" s="24">
        <v>1.79</v>
      </c>
      <c r="I20" s="31">
        <v>6.0750000000000002</v>
      </c>
      <c r="J20" s="35" t="s">
        <v>514</v>
      </c>
    </row>
    <row r="21" spans="2:10" x14ac:dyDescent="0.25">
      <c r="B21" s="8" t="s">
        <v>1842</v>
      </c>
      <c r="C21" s="56" t="s">
        <v>1843</v>
      </c>
      <c r="D21" s="53" t="s">
        <v>1844</v>
      </c>
      <c r="E21" s="6" t="s">
        <v>573</v>
      </c>
      <c r="F21" s="19">
        <v>2650</v>
      </c>
      <c r="G21" s="24">
        <v>26997.27</v>
      </c>
      <c r="H21" s="24">
        <v>1.61</v>
      </c>
      <c r="I21" s="31">
        <v>6.4945000000000004</v>
      </c>
      <c r="J21" s="35" t="s">
        <v>514</v>
      </c>
    </row>
    <row r="22" spans="2:10" x14ac:dyDescent="0.25">
      <c r="B22" s="8" t="s">
        <v>1845</v>
      </c>
      <c r="C22" s="56" t="s">
        <v>53</v>
      </c>
      <c r="D22" s="53" t="s">
        <v>1846</v>
      </c>
      <c r="E22" s="6" t="s">
        <v>534</v>
      </c>
      <c r="F22" s="19">
        <v>2500</v>
      </c>
      <c r="G22" s="24">
        <v>26158.43</v>
      </c>
      <c r="H22" s="24">
        <v>1.56</v>
      </c>
      <c r="I22" s="31">
        <v>6.19</v>
      </c>
      <c r="J22" s="35" t="s">
        <v>514</v>
      </c>
    </row>
    <row r="23" spans="2:10" x14ac:dyDescent="0.25">
      <c r="B23" s="8" t="s">
        <v>1707</v>
      </c>
      <c r="C23" s="56" t="s">
        <v>53</v>
      </c>
      <c r="D23" s="53" t="s">
        <v>1708</v>
      </c>
      <c r="E23" s="6" t="s">
        <v>534</v>
      </c>
      <c r="F23" s="19">
        <v>2290</v>
      </c>
      <c r="G23" s="24">
        <v>24327.95</v>
      </c>
      <c r="H23" s="24">
        <v>1.45</v>
      </c>
      <c r="I23" s="31">
        <v>5.2850000000000001</v>
      </c>
      <c r="J23" s="35" t="s">
        <v>514</v>
      </c>
    </row>
    <row r="24" spans="2:10" x14ac:dyDescent="0.25">
      <c r="B24" s="8" t="s">
        <v>1711</v>
      </c>
      <c r="C24" s="56" t="s">
        <v>1376</v>
      </c>
      <c r="D24" s="53" t="s">
        <v>1712</v>
      </c>
      <c r="E24" s="6" t="s">
        <v>534</v>
      </c>
      <c r="F24" s="19">
        <v>2030</v>
      </c>
      <c r="G24" s="24">
        <v>21320.48</v>
      </c>
      <c r="H24" s="24">
        <v>1.27</v>
      </c>
      <c r="I24" s="31">
        <v>4.6303000000000001</v>
      </c>
      <c r="J24" s="35" t="s">
        <v>514</v>
      </c>
    </row>
    <row r="25" spans="2:10" x14ac:dyDescent="0.25">
      <c r="B25" s="8" t="s">
        <v>1847</v>
      </c>
      <c r="C25" s="56" t="s">
        <v>1848</v>
      </c>
      <c r="D25" s="53" t="s">
        <v>1849</v>
      </c>
      <c r="E25" s="6" t="s">
        <v>551</v>
      </c>
      <c r="F25" s="19">
        <v>2000</v>
      </c>
      <c r="G25" s="24">
        <v>21036.34</v>
      </c>
      <c r="H25" s="24">
        <v>1.26</v>
      </c>
      <c r="I25" s="31">
        <v>5.5499000000000001</v>
      </c>
      <c r="J25" s="35" t="s">
        <v>514</v>
      </c>
    </row>
    <row r="26" spans="2:10" x14ac:dyDescent="0.25">
      <c r="B26" s="8" t="s">
        <v>1850</v>
      </c>
      <c r="C26" s="56" t="s">
        <v>930</v>
      </c>
      <c r="D26" s="53" t="s">
        <v>1851</v>
      </c>
      <c r="E26" s="6" t="s">
        <v>534</v>
      </c>
      <c r="F26" s="19">
        <v>2000</v>
      </c>
      <c r="G26" s="24">
        <v>20377.36</v>
      </c>
      <c r="H26" s="24">
        <v>1.22</v>
      </c>
      <c r="I26" s="31">
        <v>8.7922999999999991</v>
      </c>
      <c r="J26" s="35" t="s">
        <v>514</v>
      </c>
    </row>
    <row r="27" spans="2:10" x14ac:dyDescent="0.25">
      <c r="B27" s="8" t="s">
        <v>1852</v>
      </c>
      <c r="C27" s="56" t="s">
        <v>926</v>
      </c>
      <c r="D27" s="53" t="s">
        <v>1853</v>
      </c>
      <c r="E27" s="6" t="s">
        <v>928</v>
      </c>
      <c r="F27" s="19">
        <v>2000</v>
      </c>
      <c r="G27" s="24">
        <v>20066.080000000002</v>
      </c>
      <c r="H27" s="24">
        <v>1.2</v>
      </c>
      <c r="I27" s="31">
        <v>6.6749000000000001</v>
      </c>
      <c r="J27" s="35" t="s">
        <v>514</v>
      </c>
    </row>
    <row r="28" spans="2:10" x14ac:dyDescent="0.25">
      <c r="B28" s="8" t="s">
        <v>935</v>
      </c>
      <c r="C28" s="56" t="s">
        <v>3425</v>
      </c>
      <c r="D28" s="53" t="s">
        <v>936</v>
      </c>
      <c r="E28" s="6" t="s">
        <v>534</v>
      </c>
      <c r="F28" s="19">
        <v>2000</v>
      </c>
      <c r="G28" s="24">
        <v>19991.419999999998</v>
      </c>
      <c r="H28" s="24">
        <v>1.19</v>
      </c>
      <c r="I28" s="31">
        <v>6.2492999999999999</v>
      </c>
      <c r="J28" s="35"/>
    </row>
    <row r="29" spans="2:10" x14ac:dyDescent="0.25">
      <c r="B29" s="8" t="s">
        <v>511</v>
      </c>
      <c r="C29" s="56" t="s">
        <v>3428</v>
      </c>
      <c r="D29" s="53" t="s">
        <v>512</v>
      </c>
      <c r="E29" s="6" t="s">
        <v>513</v>
      </c>
      <c r="F29" s="19">
        <v>1500</v>
      </c>
      <c r="G29" s="24">
        <v>16379.63</v>
      </c>
      <c r="H29" s="24">
        <v>0.98</v>
      </c>
      <c r="I29" s="31">
        <v>6.9349999999999996</v>
      </c>
      <c r="J29" s="35" t="s">
        <v>514</v>
      </c>
    </row>
    <row r="30" spans="2:10" x14ac:dyDescent="0.25">
      <c r="B30" s="8" t="s">
        <v>1854</v>
      </c>
      <c r="C30" s="56" t="s">
        <v>96</v>
      </c>
      <c r="D30" s="53" t="s">
        <v>1855</v>
      </c>
      <c r="E30" s="6" t="s">
        <v>534</v>
      </c>
      <c r="F30" s="19">
        <v>1500</v>
      </c>
      <c r="G30" s="24">
        <v>15328.44</v>
      </c>
      <c r="H30" s="24">
        <v>0.92</v>
      </c>
      <c r="I30" s="31">
        <v>5.28</v>
      </c>
      <c r="J30" s="35" t="s">
        <v>514</v>
      </c>
    </row>
    <row r="31" spans="2:10" x14ac:dyDescent="0.25">
      <c r="B31" s="8" t="s">
        <v>1744</v>
      </c>
      <c r="C31" s="56" t="s">
        <v>77</v>
      </c>
      <c r="D31" s="53" t="s">
        <v>1745</v>
      </c>
      <c r="E31" s="6" t="s">
        <v>534</v>
      </c>
      <c r="F31" s="19">
        <v>1455</v>
      </c>
      <c r="G31" s="24">
        <v>15294.71</v>
      </c>
      <c r="H31" s="24">
        <v>0.91</v>
      </c>
      <c r="I31" s="31">
        <v>4.6749999999999998</v>
      </c>
      <c r="J31" s="35" t="s">
        <v>514</v>
      </c>
    </row>
    <row r="32" spans="2:10" x14ac:dyDescent="0.25">
      <c r="B32" s="8" t="s">
        <v>1856</v>
      </c>
      <c r="C32" s="56" t="s">
        <v>1130</v>
      </c>
      <c r="D32" s="53" t="s">
        <v>1857</v>
      </c>
      <c r="E32" s="6" t="s">
        <v>911</v>
      </c>
      <c r="F32" s="19">
        <v>1310</v>
      </c>
      <c r="G32" s="24">
        <v>13785.93</v>
      </c>
      <c r="H32" s="24">
        <v>0.82</v>
      </c>
      <c r="I32" s="31">
        <v>4.45</v>
      </c>
      <c r="J32" s="35" t="s">
        <v>514</v>
      </c>
    </row>
    <row r="33" spans="2:10" x14ac:dyDescent="0.25">
      <c r="B33" s="8" t="s">
        <v>1858</v>
      </c>
      <c r="C33" s="56" t="s">
        <v>909</v>
      </c>
      <c r="D33" s="53" t="s">
        <v>1859</v>
      </c>
      <c r="E33" s="6" t="s">
        <v>534</v>
      </c>
      <c r="F33" s="19">
        <v>1300</v>
      </c>
      <c r="G33" s="24">
        <v>13658.74</v>
      </c>
      <c r="H33" s="24">
        <v>0.82</v>
      </c>
      <c r="I33" s="31">
        <v>4.55</v>
      </c>
      <c r="J33" s="35" t="s">
        <v>514</v>
      </c>
    </row>
    <row r="34" spans="2:10" x14ac:dyDescent="0.25">
      <c r="B34" s="8" t="s">
        <v>1396</v>
      </c>
      <c r="C34" s="56" t="s">
        <v>536</v>
      </c>
      <c r="D34" s="53" t="s">
        <v>1397</v>
      </c>
      <c r="E34" s="6" t="s">
        <v>534</v>
      </c>
      <c r="F34" s="19">
        <v>1250</v>
      </c>
      <c r="G34" s="24">
        <v>12911.2</v>
      </c>
      <c r="H34" s="24">
        <v>0.77</v>
      </c>
      <c r="I34" s="31">
        <v>5.9770000000000003</v>
      </c>
      <c r="J34" s="35" t="s">
        <v>514</v>
      </c>
    </row>
    <row r="35" spans="2:10" x14ac:dyDescent="0.25">
      <c r="B35" s="8" t="s">
        <v>945</v>
      </c>
      <c r="C35" s="56" t="s">
        <v>930</v>
      </c>
      <c r="D35" s="53" t="s">
        <v>946</v>
      </c>
      <c r="E35" s="6" t="s">
        <v>534</v>
      </c>
      <c r="F35" s="19">
        <v>1250</v>
      </c>
      <c r="G35" s="24">
        <v>12752.49</v>
      </c>
      <c r="H35" s="24">
        <v>0.76</v>
      </c>
      <c r="I35" s="31">
        <v>8.0324000000000009</v>
      </c>
      <c r="J35" s="35" t="s">
        <v>514</v>
      </c>
    </row>
    <row r="36" spans="2:10" x14ac:dyDescent="0.25">
      <c r="B36" s="8" t="s">
        <v>1860</v>
      </c>
      <c r="C36" s="56" t="s">
        <v>601</v>
      </c>
      <c r="D36" s="53" t="s">
        <v>1861</v>
      </c>
      <c r="E36" s="6" t="s">
        <v>534</v>
      </c>
      <c r="F36" s="19">
        <v>1085</v>
      </c>
      <c r="G36" s="24">
        <v>11327.76</v>
      </c>
      <c r="H36" s="24">
        <v>0.68</v>
      </c>
      <c r="I36" s="31">
        <v>5.0199999999999996</v>
      </c>
      <c r="J36" s="35"/>
    </row>
    <row r="37" spans="2:10" x14ac:dyDescent="0.25">
      <c r="B37" s="8" t="s">
        <v>1862</v>
      </c>
      <c r="C37" s="56" t="s">
        <v>125</v>
      </c>
      <c r="D37" s="53" t="s">
        <v>1863</v>
      </c>
      <c r="E37" s="6" t="s">
        <v>534</v>
      </c>
      <c r="F37" s="19">
        <v>1070</v>
      </c>
      <c r="G37" s="24">
        <v>11206.87</v>
      </c>
      <c r="H37" s="24">
        <v>0.67</v>
      </c>
      <c r="I37" s="31">
        <v>5.0250000000000004</v>
      </c>
      <c r="J37" s="35" t="s">
        <v>514</v>
      </c>
    </row>
    <row r="38" spans="2:10" x14ac:dyDescent="0.25">
      <c r="B38" s="8" t="s">
        <v>1864</v>
      </c>
      <c r="C38" s="56" t="s">
        <v>125</v>
      </c>
      <c r="D38" s="53" t="s">
        <v>1865</v>
      </c>
      <c r="E38" s="6" t="s">
        <v>534</v>
      </c>
      <c r="F38" s="19">
        <v>1000</v>
      </c>
      <c r="G38" s="24">
        <v>10521.91</v>
      </c>
      <c r="H38" s="24">
        <v>0.63</v>
      </c>
      <c r="I38" s="31">
        <v>4.76</v>
      </c>
      <c r="J38" s="35"/>
    </row>
    <row r="39" spans="2:10" x14ac:dyDescent="0.25">
      <c r="B39" s="8" t="s">
        <v>1307</v>
      </c>
      <c r="C39" s="56" t="s">
        <v>53</v>
      </c>
      <c r="D39" s="53" t="s">
        <v>1308</v>
      </c>
      <c r="E39" s="6" t="s">
        <v>534</v>
      </c>
      <c r="F39" s="19">
        <v>1000</v>
      </c>
      <c r="G39" s="24">
        <v>10396.200000000001</v>
      </c>
      <c r="H39" s="24">
        <v>0.62</v>
      </c>
      <c r="I39" s="31">
        <v>5.1798999999999999</v>
      </c>
      <c r="J39" s="35" t="s">
        <v>514</v>
      </c>
    </row>
    <row r="40" spans="2:10" x14ac:dyDescent="0.25">
      <c r="B40" s="8" t="s">
        <v>1866</v>
      </c>
      <c r="C40" s="56" t="s">
        <v>1143</v>
      </c>
      <c r="D40" s="53" t="s">
        <v>1867</v>
      </c>
      <c r="E40" s="6" t="s">
        <v>911</v>
      </c>
      <c r="F40" s="19">
        <v>1000</v>
      </c>
      <c r="G40" s="24">
        <v>10197.700000000001</v>
      </c>
      <c r="H40" s="24">
        <v>0.61</v>
      </c>
      <c r="I40" s="31">
        <v>4.2750000000000004</v>
      </c>
      <c r="J40" s="35" t="s">
        <v>514</v>
      </c>
    </row>
    <row r="41" spans="2:10" x14ac:dyDescent="0.25">
      <c r="B41" s="8" t="s">
        <v>1868</v>
      </c>
      <c r="C41" s="56" t="s">
        <v>1150</v>
      </c>
      <c r="D41" s="53" t="s">
        <v>1869</v>
      </c>
      <c r="E41" s="6" t="s">
        <v>693</v>
      </c>
      <c r="F41" s="19">
        <v>1000</v>
      </c>
      <c r="G41" s="24">
        <v>10096.99</v>
      </c>
      <c r="H41" s="24">
        <v>0.6</v>
      </c>
      <c r="I41" s="31">
        <v>7.4221000000000004</v>
      </c>
      <c r="J41" s="35" t="s">
        <v>514</v>
      </c>
    </row>
    <row r="42" spans="2:10" x14ac:dyDescent="0.25">
      <c r="B42" s="8" t="s">
        <v>1870</v>
      </c>
      <c r="C42" s="56" t="s">
        <v>1376</v>
      </c>
      <c r="D42" s="53" t="s">
        <v>1871</v>
      </c>
      <c r="E42" s="6" t="s">
        <v>534</v>
      </c>
      <c r="F42" s="19">
        <v>980</v>
      </c>
      <c r="G42" s="24">
        <v>10090.6</v>
      </c>
      <c r="H42" s="24">
        <v>0.6</v>
      </c>
      <c r="I42" s="31">
        <v>5.6</v>
      </c>
      <c r="J42" s="35" t="s">
        <v>514</v>
      </c>
    </row>
    <row r="43" spans="2:10" x14ac:dyDescent="0.25">
      <c r="B43" s="8" t="s">
        <v>1872</v>
      </c>
      <c r="C43" s="56" t="s">
        <v>1376</v>
      </c>
      <c r="D43" s="53" t="s">
        <v>1873</v>
      </c>
      <c r="E43" s="6" t="s">
        <v>534</v>
      </c>
      <c r="F43" s="19">
        <v>877</v>
      </c>
      <c r="G43" s="24">
        <v>9387.9599999999991</v>
      </c>
      <c r="H43" s="24">
        <v>0.56000000000000005</v>
      </c>
      <c r="I43" s="31">
        <v>4.91</v>
      </c>
      <c r="J43" s="35" t="s">
        <v>514</v>
      </c>
    </row>
    <row r="44" spans="2:10" x14ac:dyDescent="0.25">
      <c r="B44" s="8" t="s">
        <v>1874</v>
      </c>
      <c r="C44" s="56" t="s">
        <v>1230</v>
      </c>
      <c r="D44" s="53" t="s">
        <v>1875</v>
      </c>
      <c r="E44" s="6" t="s">
        <v>534</v>
      </c>
      <c r="F44" s="19">
        <v>800</v>
      </c>
      <c r="G44" s="24">
        <v>8346.61</v>
      </c>
      <c r="H44" s="24">
        <v>0.5</v>
      </c>
      <c r="I44" s="31">
        <v>4.5048000000000004</v>
      </c>
      <c r="J44" s="35" t="s">
        <v>514</v>
      </c>
    </row>
    <row r="45" spans="2:10" x14ac:dyDescent="0.25">
      <c r="B45" s="8" t="s">
        <v>1876</v>
      </c>
      <c r="C45" s="56" t="s">
        <v>601</v>
      </c>
      <c r="D45" s="53" t="s">
        <v>1877</v>
      </c>
      <c r="E45" s="6" t="s">
        <v>534</v>
      </c>
      <c r="F45" s="19">
        <v>800</v>
      </c>
      <c r="G45" s="24">
        <v>8329.8799999999992</v>
      </c>
      <c r="H45" s="24">
        <v>0.5</v>
      </c>
      <c r="I45" s="31">
        <v>6.25</v>
      </c>
      <c r="J45" s="35"/>
    </row>
    <row r="46" spans="2:10" x14ac:dyDescent="0.25">
      <c r="B46" s="8" t="s">
        <v>1878</v>
      </c>
      <c r="C46" s="56" t="s">
        <v>1130</v>
      </c>
      <c r="D46" s="53" t="s">
        <v>1879</v>
      </c>
      <c r="E46" s="6" t="s">
        <v>911</v>
      </c>
      <c r="F46" s="19">
        <v>770</v>
      </c>
      <c r="G46" s="24">
        <v>8153.77</v>
      </c>
      <c r="H46" s="24">
        <v>0.49</v>
      </c>
      <c r="I46" s="31">
        <v>4.8</v>
      </c>
      <c r="J46" s="35" t="s">
        <v>514</v>
      </c>
    </row>
    <row r="47" spans="2:10" x14ac:dyDescent="0.25">
      <c r="B47" s="8" t="s">
        <v>548</v>
      </c>
      <c r="C47" s="56" t="s">
        <v>549</v>
      </c>
      <c r="D47" s="53" t="s">
        <v>550</v>
      </c>
      <c r="E47" s="6" t="s">
        <v>551</v>
      </c>
      <c r="F47" s="19">
        <v>750</v>
      </c>
      <c r="G47" s="24">
        <v>8115.29</v>
      </c>
      <c r="H47" s="24">
        <v>0.48</v>
      </c>
      <c r="I47" s="31">
        <v>7.8461999999999996</v>
      </c>
      <c r="J47" s="35" t="s">
        <v>514</v>
      </c>
    </row>
    <row r="48" spans="2:10" x14ac:dyDescent="0.25">
      <c r="B48" s="8" t="s">
        <v>1371</v>
      </c>
      <c r="C48" s="56" t="s">
        <v>906</v>
      </c>
      <c r="D48" s="53" t="s">
        <v>1372</v>
      </c>
      <c r="E48" s="6" t="s">
        <v>534</v>
      </c>
      <c r="F48" s="19">
        <v>734</v>
      </c>
      <c r="G48" s="24">
        <v>8029.94</v>
      </c>
      <c r="H48" s="24">
        <v>0.48</v>
      </c>
      <c r="I48" s="31">
        <v>5.5</v>
      </c>
      <c r="J48" s="35"/>
    </row>
    <row r="49" spans="2:10" x14ac:dyDescent="0.25">
      <c r="B49" s="8" t="s">
        <v>1703</v>
      </c>
      <c r="C49" s="56" t="s">
        <v>601</v>
      </c>
      <c r="D49" s="53" t="s">
        <v>1704</v>
      </c>
      <c r="E49" s="6" t="s">
        <v>534</v>
      </c>
      <c r="F49" s="19">
        <v>780</v>
      </c>
      <c r="G49" s="24">
        <v>8011.04</v>
      </c>
      <c r="H49" s="24">
        <v>0.48</v>
      </c>
      <c r="I49" s="31">
        <v>4.25</v>
      </c>
      <c r="J49" s="35" t="s">
        <v>514</v>
      </c>
    </row>
    <row r="50" spans="2:10" x14ac:dyDescent="0.25">
      <c r="B50" s="8" t="s">
        <v>1880</v>
      </c>
      <c r="C50" s="56" t="s">
        <v>601</v>
      </c>
      <c r="D50" s="53" t="s">
        <v>1881</v>
      </c>
      <c r="E50" s="6" t="s">
        <v>534</v>
      </c>
      <c r="F50" s="19">
        <v>670</v>
      </c>
      <c r="G50" s="24">
        <v>7108.1</v>
      </c>
      <c r="H50" s="24">
        <v>0.42</v>
      </c>
      <c r="I50" s="31">
        <v>4.9400000000000004</v>
      </c>
      <c r="J50" s="35" t="s">
        <v>514</v>
      </c>
    </row>
    <row r="51" spans="2:10" x14ac:dyDescent="0.25">
      <c r="B51" s="8" t="s">
        <v>1882</v>
      </c>
      <c r="C51" s="56" t="s">
        <v>125</v>
      </c>
      <c r="D51" s="53" t="s">
        <v>1883</v>
      </c>
      <c r="E51" s="6" t="s">
        <v>534</v>
      </c>
      <c r="F51" s="19">
        <v>650</v>
      </c>
      <c r="G51" s="24">
        <v>6756.96</v>
      </c>
      <c r="H51" s="24">
        <v>0.4</v>
      </c>
      <c r="I51" s="31">
        <v>5.4649999999999999</v>
      </c>
      <c r="J51" s="35" t="s">
        <v>514</v>
      </c>
    </row>
    <row r="52" spans="2:10" x14ac:dyDescent="0.25">
      <c r="B52" s="8" t="s">
        <v>1884</v>
      </c>
      <c r="C52" s="56" t="s">
        <v>1376</v>
      </c>
      <c r="D52" s="53" t="s">
        <v>1885</v>
      </c>
      <c r="E52" s="6" t="s">
        <v>534</v>
      </c>
      <c r="F52" s="19">
        <v>590</v>
      </c>
      <c r="G52" s="24">
        <v>6218.88</v>
      </c>
      <c r="H52" s="24">
        <v>0.37</v>
      </c>
      <c r="I52" s="31">
        <v>4.6833</v>
      </c>
      <c r="J52" s="35"/>
    </row>
    <row r="53" spans="2:10" x14ac:dyDescent="0.25">
      <c r="B53" s="8" t="s">
        <v>570</v>
      </c>
      <c r="C53" s="56" t="s">
        <v>571</v>
      </c>
      <c r="D53" s="53" t="s">
        <v>572</v>
      </c>
      <c r="E53" s="6" t="s">
        <v>573</v>
      </c>
      <c r="F53" s="19">
        <v>600</v>
      </c>
      <c r="G53" s="24">
        <v>6061.96</v>
      </c>
      <c r="H53" s="24">
        <v>0.36</v>
      </c>
      <c r="I53" s="31">
        <v>7.9448999999999996</v>
      </c>
      <c r="J53" s="35" t="s">
        <v>514</v>
      </c>
    </row>
    <row r="54" spans="2:10" x14ac:dyDescent="0.25">
      <c r="B54" s="8" t="s">
        <v>1887</v>
      </c>
      <c r="C54" s="56" t="s">
        <v>909</v>
      </c>
      <c r="D54" s="53" t="s">
        <v>1888</v>
      </c>
      <c r="E54" s="6" t="s">
        <v>534</v>
      </c>
      <c r="F54" s="19">
        <v>570</v>
      </c>
      <c r="G54" s="24">
        <v>5942.91</v>
      </c>
      <c r="H54" s="24">
        <v>0.35</v>
      </c>
      <c r="I54" s="31">
        <v>4.66</v>
      </c>
      <c r="J54" s="35" t="s">
        <v>514</v>
      </c>
    </row>
    <row r="55" spans="2:10" x14ac:dyDescent="0.25">
      <c r="B55" s="8" t="s">
        <v>1890</v>
      </c>
      <c r="C55" s="56" t="s">
        <v>571</v>
      </c>
      <c r="D55" s="53" t="s">
        <v>1891</v>
      </c>
      <c r="E55" s="6" t="s">
        <v>557</v>
      </c>
      <c r="F55" s="19">
        <v>550</v>
      </c>
      <c r="G55" s="24">
        <v>5542.66</v>
      </c>
      <c r="H55" s="24">
        <v>0.33</v>
      </c>
      <c r="I55" s="31">
        <v>7.7392000000000003</v>
      </c>
      <c r="J55" s="35" t="s">
        <v>514</v>
      </c>
    </row>
    <row r="56" spans="2:10" x14ac:dyDescent="0.25">
      <c r="B56" s="8" t="s">
        <v>905</v>
      </c>
      <c r="C56" s="56" t="s">
        <v>906</v>
      </c>
      <c r="D56" s="53" t="s">
        <v>907</v>
      </c>
      <c r="E56" s="6" t="s">
        <v>534</v>
      </c>
      <c r="F56" s="19">
        <v>500</v>
      </c>
      <c r="G56" s="24">
        <v>5371.52</v>
      </c>
      <c r="H56" s="24">
        <v>0.32</v>
      </c>
      <c r="I56" s="31">
        <v>5.7142999999999997</v>
      </c>
      <c r="J56" s="35" t="s">
        <v>514</v>
      </c>
    </row>
    <row r="57" spans="2:10" x14ac:dyDescent="0.25">
      <c r="B57" s="8" t="s">
        <v>1305</v>
      </c>
      <c r="C57" s="56" t="s">
        <v>53</v>
      </c>
      <c r="D57" s="53" t="s">
        <v>1306</v>
      </c>
      <c r="E57" s="6" t="s">
        <v>534</v>
      </c>
      <c r="F57" s="19">
        <v>500</v>
      </c>
      <c r="G57" s="24">
        <v>5232.24</v>
      </c>
      <c r="H57" s="24">
        <v>0.31</v>
      </c>
      <c r="I57" s="31">
        <v>5.3049999999999997</v>
      </c>
      <c r="J57" s="35" t="s">
        <v>514</v>
      </c>
    </row>
    <row r="58" spans="2:10" x14ac:dyDescent="0.25">
      <c r="B58" s="8" t="s">
        <v>1892</v>
      </c>
      <c r="C58" s="56" t="s">
        <v>125</v>
      </c>
      <c r="D58" s="53" t="s">
        <v>1893</v>
      </c>
      <c r="E58" s="6" t="s">
        <v>534</v>
      </c>
      <c r="F58" s="19">
        <v>500</v>
      </c>
      <c r="G58" s="24">
        <v>5211.63</v>
      </c>
      <c r="H58" s="24">
        <v>0.31</v>
      </c>
      <c r="I58" s="31">
        <v>5.15</v>
      </c>
      <c r="J58" s="35" t="s">
        <v>514</v>
      </c>
    </row>
    <row r="59" spans="2:10" x14ac:dyDescent="0.25">
      <c r="B59" s="8" t="s">
        <v>1894</v>
      </c>
      <c r="C59" s="56" t="s">
        <v>1376</v>
      </c>
      <c r="D59" s="53" t="s">
        <v>1895</v>
      </c>
      <c r="E59" s="6" t="s">
        <v>534</v>
      </c>
      <c r="F59" s="19">
        <v>500</v>
      </c>
      <c r="G59" s="24">
        <v>5133.9799999999996</v>
      </c>
      <c r="H59" s="24">
        <v>0.31</v>
      </c>
      <c r="I59" s="31">
        <v>4.5716000000000001</v>
      </c>
      <c r="J59" s="35" t="s">
        <v>514</v>
      </c>
    </row>
    <row r="60" spans="2:10" x14ac:dyDescent="0.25">
      <c r="B60" s="8" t="s">
        <v>1896</v>
      </c>
      <c r="C60" s="56" t="s">
        <v>930</v>
      </c>
      <c r="D60" s="53" t="s">
        <v>1897</v>
      </c>
      <c r="E60" s="6" t="s">
        <v>534</v>
      </c>
      <c r="F60" s="19">
        <v>500</v>
      </c>
      <c r="G60" s="24">
        <v>5084.17</v>
      </c>
      <c r="H60" s="24">
        <v>0.3</v>
      </c>
      <c r="I60" s="31">
        <v>8.2074999999999996</v>
      </c>
      <c r="J60" s="35" t="s">
        <v>514</v>
      </c>
    </row>
    <row r="61" spans="2:10" x14ac:dyDescent="0.25">
      <c r="B61" s="8" t="s">
        <v>1898</v>
      </c>
      <c r="C61" s="56" t="s">
        <v>1200</v>
      </c>
      <c r="D61" s="53" t="s">
        <v>1899</v>
      </c>
      <c r="E61" s="6" t="s">
        <v>526</v>
      </c>
      <c r="F61" s="19">
        <v>500</v>
      </c>
      <c r="G61" s="24">
        <v>5037.3500000000004</v>
      </c>
      <c r="H61" s="24">
        <v>0.3</v>
      </c>
      <c r="I61" s="31">
        <v>7.6351000000000004</v>
      </c>
      <c r="J61" s="35" t="s">
        <v>514</v>
      </c>
    </row>
    <row r="62" spans="2:10" x14ac:dyDescent="0.25">
      <c r="B62" s="8" t="s">
        <v>1900</v>
      </c>
      <c r="C62" s="56" t="s">
        <v>909</v>
      </c>
      <c r="D62" s="53" t="s">
        <v>1901</v>
      </c>
      <c r="E62" s="6" t="s">
        <v>534</v>
      </c>
      <c r="F62" s="19">
        <v>470</v>
      </c>
      <c r="G62" s="24">
        <v>4904.6400000000003</v>
      </c>
      <c r="H62" s="24">
        <v>0.28999999999999998</v>
      </c>
      <c r="I62" s="31">
        <v>4.66</v>
      </c>
      <c r="J62" s="35" t="s">
        <v>514</v>
      </c>
    </row>
    <row r="63" spans="2:10" x14ac:dyDescent="0.25">
      <c r="B63" s="8" t="s">
        <v>1902</v>
      </c>
      <c r="C63" s="56" t="s">
        <v>571</v>
      </c>
      <c r="D63" s="53" t="s">
        <v>1903</v>
      </c>
      <c r="E63" s="6" t="s">
        <v>573</v>
      </c>
      <c r="F63" s="19">
        <v>465</v>
      </c>
      <c r="G63" s="24">
        <v>4702.88</v>
      </c>
      <c r="H63" s="24">
        <v>0.28000000000000003</v>
      </c>
      <c r="I63" s="31">
        <v>7.9448999999999996</v>
      </c>
      <c r="J63" s="35" t="s">
        <v>514</v>
      </c>
    </row>
    <row r="64" spans="2:10" x14ac:dyDescent="0.25">
      <c r="B64" s="8" t="s">
        <v>1905</v>
      </c>
      <c r="C64" s="56" t="s">
        <v>909</v>
      </c>
      <c r="D64" s="53" t="s">
        <v>1906</v>
      </c>
      <c r="E64" s="6" t="s">
        <v>534</v>
      </c>
      <c r="F64" s="19">
        <v>415</v>
      </c>
      <c r="G64" s="24">
        <v>4459.72</v>
      </c>
      <c r="H64" s="24">
        <v>0.27</v>
      </c>
      <c r="I64" s="31">
        <v>5.01</v>
      </c>
      <c r="J64" s="35"/>
    </row>
    <row r="65" spans="2:10" x14ac:dyDescent="0.25">
      <c r="B65" s="8" t="s">
        <v>1776</v>
      </c>
      <c r="C65" s="56" t="s">
        <v>77</v>
      </c>
      <c r="D65" s="53" t="s">
        <v>1777</v>
      </c>
      <c r="E65" s="6" t="s">
        <v>534</v>
      </c>
      <c r="F65" s="19">
        <v>420</v>
      </c>
      <c r="G65" s="24">
        <v>4393.79</v>
      </c>
      <c r="H65" s="24">
        <v>0.26</v>
      </c>
      <c r="I65" s="31">
        <v>4.6749999999999998</v>
      </c>
      <c r="J65" s="35" t="s">
        <v>514</v>
      </c>
    </row>
    <row r="66" spans="2:10" x14ac:dyDescent="0.25">
      <c r="B66" s="8" t="s">
        <v>1907</v>
      </c>
      <c r="C66" s="56" t="s">
        <v>1130</v>
      </c>
      <c r="D66" s="53" t="s">
        <v>1908</v>
      </c>
      <c r="E66" s="6" t="s">
        <v>911</v>
      </c>
      <c r="F66" s="19">
        <v>405</v>
      </c>
      <c r="G66" s="24">
        <v>4237.79</v>
      </c>
      <c r="H66" s="24">
        <v>0.25</v>
      </c>
      <c r="I66" s="31">
        <v>4.8</v>
      </c>
      <c r="J66" s="35" t="s">
        <v>514</v>
      </c>
    </row>
    <row r="67" spans="2:10" x14ac:dyDescent="0.25">
      <c r="B67" s="8" t="s">
        <v>1909</v>
      </c>
      <c r="C67" s="56" t="s">
        <v>1130</v>
      </c>
      <c r="D67" s="53" t="s">
        <v>1910</v>
      </c>
      <c r="E67" s="6" t="s">
        <v>911</v>
      </c>
      <c r="F67" s="19">
        <v>405</v>
      </c>
      <c r="G67" s="24">
        <v>4216.03</v>
      </c>
      <c r="H67" s="24">
        <v>0.25</v>
      </c>
      <c r="I67" s="31">
        <v>4.88</v>
      </c>
      <c r="J67" s="35" t="s">
        <v>514</v>
      </c>
    </row>
    <row r="68" spans="2:10" x14ac:dyDescent="0.25">
      <c r="B68" s="8" t="s">
        <v>1911</v>
      </c>
      <c r="C68" s="56" t="s">
        <v>857</v>
      </c>
      <c r="D68" s="53" t="s">
        <v>1912</v>
      </c>
      <c r="E68" s="6" t="s">
        <v>534</v>
      </c>
      <c r="F68" s="19">
        <v>400</v>
      </c>
      <c r="G68" s="24">
        <v>4144.9799999999996</v>
      </c>
      <c r="H68" s="24">
        <v>0.25</v>
      </c>
      <c r="I68" s="31">
        <v>4.9800000000000004</v>
      </c>
      <c r="J68" s="35" t="s">
        <v>514</v>
      </c>
    </row>
    <row r="69" spans="2:10" x14ac:dyDescent="0.25">
      <c r="B69" s="8" t="s">
        <v>1699</v>
      </c>
      <c r="C69" s="56" t="s">
        <v>854</v>
      </c>
      <c r="D69" s="53" t="s">
        <v>1700</v>
      </c>
      <c r="E69" s="6" t="s">
        <v>534</v>
      </c>
      <c r="F69" s="19">
        <v>400</v>
      </c>
      <c r="G69" s="24">
        <v>4134.6400000000003</v>
      </c>
      <c r="H69" s="24">
        <v>0.25</v>
      </c>
      <c r="I69" s="31">
        <v>4.29</v>
      </c>
      <c r="J69" s="35" t="s">
        <v>514</v>
      </c>
    </row>
    <row r="70" spans="2:10" x14ac:dyDescent="0.25">
      <c r="B70" s="8" t="s">
        <v>1913</v>
      </c>
      <c r="C70" s="56" t="s">
        <v>601</v>
      </c>
      <c r="D70" s="53" t="s">
        <v>1914</v>
      </c>
      <c r="E70" s="6" t="s">
        <v>534</v>
      </c>
      <c r="F70" s="19">
        <v>400</v>
      </c>
      <c r="G70" s="24">
        <v>4120.12</v>
      </c>
      <c r="H70" s="24">
        <v>0.25</v>
      </c>
      <c r="I70" s="31">
        <v>4.26</v>
      </c>
      <c r="J70" s="35" t="s">
        <v>514</v>
      </c>
    </row>
    <row r="71" spans="2:10" x14ac:dyDescent="0.25">
      <c r="B71" s="8" t="s">
        <v>1915</v>
      </c>
      <c r="C71" s="56" t="s">
        <v>1843</v>
      </c>
      <c r="D71" s="53" t="s">
        <v>1916</v>
      </c>
      <c r="E71" s="6" t="s">
        <v>573</v>
      </c>
      <c r="F71" s="19">
        <v>400</v>
      </c>
      <c r="G71" s="24">
        <v>4076.61</v>
      </c>
      <c r="H71" s="24">
        <v>0.24</v>
      </c>
      <c r="I71" s="31">
        <v>6.98</v>
      </c>
      <c r="J71" s="35" t="s">
        <v>514</v>
      </c>
    </row>
    <row r="72" spans="2:10" x14ac:dyDescent="0.25">
      <c r="B72" s="8" t="s">
        <v>1917</v>
      </c>
      <c r="C72" s="56" t="s">
        <v>1918</v>
      </c>
      <c r="D72" s="53" t="s">
        <v>1919</v>
      </c>
      <c r="E72" s="6" t="s">
        <v>911</v>
      </c>
      <c r="F72" s="19">
        <v>390</v>
      </c>
      <c r="G72" s="24">
        <v>3930.81</v>
      </c>
      <c r="H72" s="24">
        <v>0.23</v>
      </c>
      <c r="I72" s="31">
        <v>6.8181000000000003</v>
      </c>
      <c r="J72" s="35" t="s">
        <v>514</v>
      </c>
    </row>
    <row r="73" spans="2:10" x14ac:dyDescent="0.25">
      <c r="B73" s="8" t="s">
        <v>1920</v>
      </c>
      <c r="C73" s="56" t="s">
        <v>854</v>
      </c>
      <c r="D73" s="53" t="s">
        <v>1921</v>
      </c>
      <c r="E73" s="6" t="s">
        <v>534</v>
      </c>
      <c r="F73" s="19">
        <v>350</v>
      </c>
      <c r="G73" s="24">
        <v>3536.86</v>
      </c>
      <c r="H73" s="24">
        <v>0.21</v>
      </c>
      <c r="I73" s="31">
        <v>3.42</v>
      </c>
      <c r="J73" s="35" t="s">
        <v>514</v>
      </c>
    </row>
    <row r="74" spans="2:10" x14ac:dyDescent="0.25">
      <c r="B74" s="8" t="s">
        <v>1922</v>
      </c>
      <c r="C74" s="56" t="s">
        <v>1843</v>
      </c>
      <c r="D74" s="53" t="s">
        <v>1923</v>
      </c>
      <c r="E74" s="6" t="s">
        <v>573</v>
      </c>
      <c r="F74" s="19">
        <v>300</v>
      </c>
      <c r="G74" s="24">
        <v>3069.74</v>
      </c>
      <c r="H74" s="24">
        <v>0.18</v>
      </c>
      <c r="I74" s="31">
        <v>6.3183999999999996</v>
      </c>
      <c r="J74" s="35" t="s">
        <v>514</v>
      </c>
    </row>
    <row r="75" spans="2:10" x14ac:dyDescent="0.25">
      <c r="B75" s="8" t="s">
        <v>565</v>
      </c>
      <c r="C75" s="56" t="s">
        <v>549</v>
      </c>
      <c r="D75" s="53" t="s">
        <v>566</v>
      </c>
      <c r="E75" s="6" t="s">
        <v>551</v>
      </c>
      <c r="F75" s="19">
        <v>250</v>
      </c>
      <c r="G75" s="24">
        <v>2718.79</v>
      </c>
      <c r="H75" s="24">
        <v>0.16</v>
      </c>
      <c r="I75" s="31">
        <v>7.8384999999999998</v>
      </c>
      <c r="J75" s="35" t="s">
        <v>514</v>
      </c>
    </row>
    <row r="76" spans="2:10" x14ac:dyDescent="0.25">
      <c r="B76" s="8" t="s">
        <v>1924</v>
      </c>
      <c r="C76" s="56" t="s">
        <v>549</v>
      </c>
      <c r="D76" s="53" t="s">
        <v>1925</v>
      </c>
      <c r="E76" s="6" t="s">
        <v>551</v>
      </c>
      <c r="F76" s="19">
        <v>250</v>
      </c>
      <c r="G76" s="24">
        <v>2679.83</v>
      </c>
      <c r="H76" s="24">
        <v>0.16</v>
      </c>
      <c r="I76" s="31">
        <v>8.3140000000000001</v>
      </c>
      <c r="J76" s="35" t="s">
        <v>514</v>
      </c>
    </row>
    <row r="77" spans="2:10" x14ac:dyDescent="0.25">
      <c r="B77" s="8" t="s">
        <v>1926</v>
      </c>
      <c r="C77" s="56" t="s">
        <v>53</v>
      </c>
      <c r="D77" s="53" t="s">
        <v>1927</v>
      </c>
      <c r="E77" s="6" t="s">
        <v>534</v>
      </c>
      <c r="F77" s="19">
        <v>250</v>
      </c>
      <c r="G77" s="24">
        <v>2654.77</v>
      </c>
      <c r="H77" s="24">
        <v>0.16</v>
      </c>
      <c r="I77" s="31">
        <v>5.2850000000000001</v>
      </c>
      <c r="J77" s="35" t="s">
        <v>514</v>
      </c>
    </row>
    <row r="78" spans="2:10" x14ac:dyDescent="0.25">
      <c r="B78" s="8" t="s">
        <v>1928</v>
      </c>
      <c r="C78" s="56" t="s">
        <v>74</v>
      </c>
      <c r="D78" s="53" t="s">
        <v>1929</v>
      </c>
      <c r="E78" s="6" t="s">
        <v>534</v>
      </c>
      <c r="F78" s="19">
        <v>250</v>
      </c>
      <c r="G78" s="24">
        <v>2633.35</v>
      </c>
      <c r="H78" s="24">
        <v>0.16</v>
      </c>
      <c r="I78" s="31">
        <v>5.6448999999999998</v>
      </c>
      <c r="J78" s="35" t="s">
        <v>514</v>
      </c>
    </row>
    <row r="79" spans="2:10" x14ac:dyDescent="0.25">
      <c r="B79" s="8" t="s">
        <v>1930</v>
      </c>
      <c r="C79" s="56" t="s">
        <v>601</v>
      </c>
      <c r="D79" s="53" t="s">
        <v>1931</v>
      </c>
      <c r="E79" s="6" t="s">
        <v>534</v>
      </c>
      <c r="F79" s="19">
        <v>250</v>
      </c>
      <c r="G79" s="24">
        <v>2615.0300000000002</v>
      </c>
      <c r="H79" s="24">
        <v>0.16</v>
      </c>
      <c r="I79" s="31">
        <v>5.0199999999999996</v>
      </c>
      <c r="J79" s="35" t="s">
        <v>514</v>
      </c>
    </row>
    <row r="80" spans="2:10" x14ac:dyDescent="0.25">
      <c r="B80" s="8" t="s">
        <v>1932</v>
      </c>
      <c r="C80" s="56" t="s">
        <v>854</v>
      </c>
      <c r="D80" s="53" t="s">
        <v>1933</v>
      </c>
      <c r="E80" s="6" t="s">
        <v>534</v>
      </c>
      <c r="F80" s="19">
        <v>250</v>
      </c>
      <c r="G80" s="24">
        <v>2600.9499999999998</v>
      </c>
      <c r="H80" s="24">
        <v>0.16</v>
      </c>
      <c r="I80" s="31">
        <v>5.8</v>
      </c>
      <c r="J80" s="35" t="s">
        <v>514</v>
      </c>
    </row>
    <row r="81" spans="2:10" x14ac:dyDescent="0.25">
      <c r="B81" s="8" t="s">
        <v>1934</v>
      </c>
      <c r="C81" s="56" t="s">
        <v>1935</v>
      </c>
      <c r="D81" s="53" t="s">
        <v>1936</v>
      </c>
      <c r="E81" s="6" t="s">
        <v>911</v>
      </c>
      <c r="F81" s="19">
        <v>250</v>
      </c>
      <c r="G81" s="24">
        <v>2546.96</v>
      </c>
      <c r="H81" s="24">
        <v>0.15</v>
      </c>
      <c r="I81" s="31">
        <v>4</v>
      </c>
      <c r="J81" s="35" t="s">
        <v>514</v>
      </c>
    </row>
    <row r="82" spans="2:10" x14ac:dyDescent="0.25">
      <c r="B82" s="8" t="s">
        <v>1937</v>
      </c>
      <c r="C82" s="56" t="s">
        <v>1752</v>
      </c>
      <c r="D82" s="53" t="s">
        <v>1938</v>
      </c>
      <c r="E82" s="6" t="s">
        <v>1314</v>
      </c>
      <c r="F82" s="19">
        <v>250</v>
      </c>
      <c r="G82" s="24">
        <v>2519.79</v>
      </c>
      <c r="H82" s="24">
        <v>0.15</v>
      </c>
      <c r="I82" s="31">
        <v>3.4035000000000002</v>
      </c>
      <c r="J82" s="35" t="s">
        <v>514</v>
      </c>
    </row>
    <row r="83" spans="2:10" x14ac:dyDescent="0.25">
      <c r="B83" s="8" t="s">
        <v>1723</v>
      </c>
      <c r="C83" s="56" t="s">
        <v>53</v>
      </c>
      <c r="D83" s="53" t="s">
        <v>1724</v>
      </c>
      <c r="E83" s="6" t="s">
        <v>534</v>
      </c>
      <c r="F83" s="19">
        <v>250</v>
      </c>
      <c r="G83" s="24">
        <v>2519.1799999999998</v>
      </c>
      <c r="H83" s="24">
        <v>0.15</v>
      </c>
      <c r="I83" s="31">
        <v>3.5099</v>
      </c>
      <c r="J83" s="35" t="s">
        <v>514</v>
      </c>
    </row>
    <row r="84" spans="2:10" x14ac:dyDescent="0.25">
      <c r="B84" s="8" t="s">
        <v>1939</v>
      </c>
      <c r="C84" s="56" t="s">
        <v>1376</v>
      </c>
      <c r="D84" s="53" t="s">
        <v>1940</v>
      </c>
      <c r="E84" s="6" t="s">
        <v>534</v>
      </c>
      <c r="F84" s="19">
        <v>150</v>
      </c>
      <c r="G84" s="24">
        <v>1543.28</v>
      </c>
      <c r="H84" s="24">
        <v>0.09</v>
      </c>
      <c r="I84" s="31">
        <v>4.5716999999999999</v>
      </c>
      <c r="J84" s="35" t="s">
        <v>514</v>
      </c>
    </row>
    <row r="85" spans="2:10" x14ac:dyDescent="0.25">
      <c r="B85" s="8" t="s">
        <v>1941</v>
      </c>
      <c r="C85" s="56" t="s">
        <v>1752</v>
      </c>
      <c r="D85" s="53" t="s">
        <v>1942</v>
      </c>
      <c r="E85" s="6" t="s">
        <v>1314</v>
      </c>
      <c r="F85" s="19">
        <v>115</v>
      </c>
      <c r="G85" s="24">
        <v>1197.07</v>
      </c>
      <c r="H85" s="24">
        <v>7.0000000000000007E-2</v>
      </c>
      <c r="I85" s="31">
        <v>4.6050000000000004</v>
      </c>
      <c r="J85" s="35" t="s">
        <v>514</v>
      </c>
    </row>
    <row r="86" spans="2:10" x14ac:dyDescent="0.25">
      <c r="B86" s="8" t="s">
        <v>1943</v>
      </c>
      <c r="C86" s="56" t="s">
        <v>601</v>
      </c>
      <c r="D86" s="53" t="s">
        <v>1944</v>
      </c>
      <c r="E86" s="6" t="s">
        <v>534</v>
      </c>
      <c r="F86" s="19">
        <v>100</v>
      </c>
      <c r="G86" s="24">
        <v>1075.8499999999999</v>
      </c>
      <c r="H86" s="24">
        <v>0.06</v>
      </c>
      <c r="I86" s="31">
        <v>5.39</v>
      </c>
      <c r="J86" s="35" t="s">
        <v>514</v>
      </c>
    </row>
    <row r="87" spans="2:10" x14ac:dyDescent="0.25">
      <c r="B87" s="8" t="s">
        <v>1945</v>
      </c>
      <c r="C87" s="56" t="s">
        <v>1381</v>
      </c>
      <c r="D87" s="53" t="s">
        <v>1946</v>
      </c>
      <c r="E87" s="6" t="s">
        <v>1383</v>
      </c>
      <c r="F87" s="19">
        <v>80</v>
      </c>
      <c r="G87" s="24">
        <v>991.69</v>
      </c>
      <c r="H87" s="24">
        <v>0.06</v>
      </c>
      <c r="I87" s="31">
        <v>5.5</v>
      </c>
      <c r="J87" s="35" t="s">
        <v>514</v>
      </c>
    </row>
    <row r="88" spans="2:10" x14ac:dyDescent="0.25">
      <c r="B88" s="8" t="s">
        <v>1947</v>
      </c>
      <c r="C88" s="56" t="s">
        <v>172</v>
      </c>
      <c r="D88" s="53" t="s">
        <v>1948</v>
      </c>
      <c r="E88" s="6" t="s">
        <v>534</v>
      </c>
      <c r="F88" s="19">
        <v>55</v>
      </c>
      <c r="G88" s="24">
        <v>569.5</v>
      </c>
      <c r="H88" s="24">
        <v>0.03</v>
      </c>
      <c r="I88" s="31">
        <v>4.8455000000000004</v>
      </c>
      <c r="J88" s="35" t="s">
        <v>514</v>
      </c>
    </row>
    <row r="89" spans="2:10" x14ac:dyDescent="0.25">
      <c r="B89" s="8" t="s">
        <v>1949</v>
      </c>
      <c r="C89" s="56" t="s">
        <v>1950</v>
      </c>
      <c r="D89" s="53" t="s">
        <v>1951</v>
      </c>
      <c r="E89" s="6" t="s">
        <v>534</v>
      </c>
      <c r="F89" s="19">
        <v>50</v>
      </c>
      <c r="G89" s="24">
        <v>550.6</v>
      </c>
      <c r="H89" s="24">
        <v>0.03</v>
      </c>
      <c r="I89" s="31">
        <v>5.8654000000000002</v>
      </c>
      <c r="J89" s="35" t="s">
        <v>514</v>
      </c>
    </row>
    <row r="90" spans="2:10" x14ac:dyDescent="0.25">
      <c r="B90" s="8" t="s">
        <v>1952</v>
      </c>
      <c r="C90" s="56" t="s">
        <v>1376</v>
      </c>
      <c r="D90" s="53" t="s">
        <v>1953</v>
      </c>
      <c r="E90" s="6" t="s">
        <v>534</v>
      </c>
      <c r="F90" s="19">
        <v>50</v>
      </c>
      <c r="G90" s="24">
        <v>522.62</v>
      </c>
      <c r="H90" s="24">
        <v>0.03</v>
      </c>
      <c r="I90" s="31">
        <v>4.5716999999999999</v>
      </c>
      <c r="J90" s="35" t="s">
        <v>514</v>
      </c>
    </row>
    <row r="91" spans="2:10" x14ac:dyDescent="0.25">
      <c r="B91" s="8" t="s">
        <v>1954</v>
      </c>
      <c r="C91" s="56" t="s">
        <v>854</v>
      </c>
      <c r="D91" s="53" t="s">
        <v>1955</v>
      </c>
      <c r="E91" s="6" t="s">
        <v>534</v>
      </c>
      <c r="F91" s="19">
        <v>32</v>
      </c>
      <c r="G91" s="24">
        <v>431.97</v>
      </c>
      <c r="H91" s="24">
        <v>0.03</v>
      </c>
      <c r="I91" s="31">
        <v>4.665</v>
      </c>
      <c r="J91" s="35" t="s">
        <v>514</v>
      </c>
    </row>
    <row r="92" spans="2:10" x14ac:dyDescent="0.25">
      <c r="B92" s="8" t="s">
        <v>1956</v>
      </c>
      <c r="C92" s="56" t="s">
        <v>909</v>
      </c>
      <c r="D92" s="53" t="s">
        <v>1957</v>
      </c>
      <c r="E92" s="6" t="s">
        <v>534</v>
      </c>
      <c r="F92" s="19">
        <v>35</v>
      </c>
      <c r="G92" s="24">
        <v>361.23</v>
      </c>
      <c r="H92" s="24">
        <v>0.02</v>
      </c>
      <c r="I92" s="31">
        <v>4.1600999999999999</v>
      </c>
      <c r="J92" s="35" t="s">
        <v>514</v>
      </c>
    </row>
    <row r="93" spans="2:10" x14ac:dyDescent="0.25">
      <c r="B93" s="8" t="s">
        <v>1958</v>
      </c>
      <c r="C93" s="56" t="s">
        <v>601</v>
      </c>
      <c r="D93" s="53" t="s">
        <v>1959</v>
      </c>
      <c r="E93" s="6" t="s">
        <v>534</v>
      </c>
      <c r="F93" s="19">
        <v>30</v>
      </c>
      <c r="G93" s="24">
        <v>311.88</v>
      </c>
      <c r="H93" s="24">
        <v>0.02</v>
      </c>
      <c r="I93" s="31">
        <v>4.7649999999999997</v>
      </c>
      <c r="J93" s="35" t="s">
        <v>514</v>
      </c>
    </row>
    <row r="94" spans="2:10" x14ac:dyDescent="0.25">
      <c r="B94" s="8" t="s">
        <v>1960</v>
      </c>
      <c r="C94" s="56" t="s">
        <v>601</v>
      </c>
      <c r="D94" s="53" t="s">
        <v>1961</v>
      </c>
      <c r="E94" s="6" t="s">
        <v>534</v>
      </c>
      <c r="F94" s="19">
        <v>25</v>
      </c>
      <c r="G94" s="24">
        <v>271.64</v>
      </c>
      <c r="H94" s="24">
        <v>0.02</v>
      </c>
      <c r="I94" s="31">
        <v>6.25</v>
      </c>
      <c r="J94" s="35" t="s">
        <v>514</v>
      </c>
    </row>
    <row r="95" spans="2:10" x14ac:dyDescent="0.25">
      <c r="B95" s="8" t="s">
        <v>1962</v>
      </c>
      <c r="C95" s="56" t="s">
        <v>854</v>
      </c>
      <c r="D95" s="53" t="s">
        <v>1963</v>
      </c>
      <c r="E95" s="6" t="s">
        <v>534</v>
      </c>
      <c r="F95" s="19">
        <v>16</v>
      </c>
      <c r="G95" s="24">
        <v>219.06</v>
      </c>
      <c r="H95" s="24">
        <v>0.01</v>
      </c>
      <c r="I95" s="31">
        <v>4.6649000000000003</v>
      </c>
      <c r="J95" s="35" t="s">
        <v>514</v>
      </c>
    </row>
    <row r="96" spans="2:10" x14ac:dyDescent="0.25">
      <c r="B96" s="8" t="s">
        <v>1713</v>
      </c>
      <c r="C96" s="56" t="s">
        <v>601</v>
      </c>
      <c r="D96" s="53" t="s">
        <v>1714</v>
      </c>
      <c r="E96" s="6" t="s">
        <v>534</v>
      </c>
      <c r="F96" s="19">
        <v>20</v>
      </c>
      <c r="G96" s="24">
        <v>209.79</v>
      </c>
      <c r="H96" s="24">
        <v>0.01</v>
      </c>
      <c r="I96" s="31">
        <v>4.6100000000000003</v>
      </c>
      <c r="J96" s="35" t="s">
        <v>514</v>
      </c>
    </row>
    <row r="97" spans="2:10" x14ac:dyDescent="0.25">
      <c r="B97" s="8" t="s">
        <v>1417</v>
      </c>
      <c r="C97" s="56" t="s">
        <v>1376</v>
      </c>
      <c r="D97" s="53" t="s">
        <v>1418</v>
      </c>
      <c r="E97" s="6" t="s">
        <v>534</v>
      </c>
      <c r="F97" s="19">
        <v>15</v>
      </c>
      <c r="G97" s="24">
        <v>153.58000000000001</v>
      </c>
      <c r="H97" s="24">
        <v>0.01</v>
      </c>
      <c r="I97" s="31">
        <v>4.1500000000000004</v>
      </c>
      <c r="J97" s="35" t="s">
        <v>514</v>
      </c>
    </row>
    <row r="98" spans="2:10" x14ac:dyDescent="0.25">
      <c r="B98" s="8" t="s">
        <v>619</v>
      </c>
      <c r="C98" s="56" t="s">
        <v>53</v>
      </c>
      <c r="D98" s="53" t="s">
        <v>620</v>
      </c>
      <c r="E98" s="6" t="s">
        <v>534</v>
      </c>
      <c r="F98" s="19">
        <v>10</v>
      </c>
      <c r="G98" s="24">
        <v>103.35</v>
      </c>
      <c r="H98" s="24">
        <v>0.01</v>
      </c>
      <c r="I98" s="31">
        <v>4.24</v>
      </c>
      <c r="J98" s="35" t="s">
        <v>514</v>
      </c>
    </row>
    <row r="99" spans="2:10" x14ac:dyDescent="0.25">
      <c r="B99" s="8" t="s">
        <v>1964</v>
      </c>
      <c r="C99" s="56" t="s">
        <v>601</v>
      </c>
      <c r="D99" s="53" t="s">
        <v>1965</v>
      </c>
      <c r="E99" s="6" t="s">
        <v>534</v>
      </c>
      <c r="F99" s="19">
        <v>10</v>
      </c>
      <c r="G99" s="24">
        <v>102.95</v>
      </c>
      <c r="H99" s="24">
        <v>0.01</v>
      </c>
      <c r="I99" s="31">
        <v>4.26</v>
      </c>
      <c r="J99" s="35" t="s">
        <v>514</v>
      </c>
    </row>
    <row r="100" spans="2:10" x14ac:dyDescent="0.25">
      <c r="B100" s="8" t="s">
        <v>1966</v>
      </c>
      <c r="C100" s="56" t="s">
        <v>1230</v>
      </c>
      <c r="D100" s="53" t="s">
        <v>1967</v>
      </c>
      <c r="E100" s="6" t="s">
        <v>534</v>
      </c>
      <c r="F100" s="19">
        <v>5</v>
      </c>
      <c r="G100" s="24">
        <v>54.26</v>
      </c>
      <c r="H100" s="24" t="s">
        <v>3399</v>
      </c>
      <c r="I100" s="31">
        <v>4.9949000000000003</v>
      </c>
      <c r="J100" s="35" t="s">
        <v>514</v>
      </c>
    </row>
    <row r="101" spans="2:10" x14ac:dyDescent="0.25">
      <c r="B101" s="8" t="s">
        <v>1394</v>
      </c>
      <c r="C101" s="56" t="s">
        <v>909</v>
      </c>
      <c r="D101" s="53" t="s">
        <v>1395</v>
      </c>
      <c r="E101" s="6" t="s">
        <v>534</v>
      </c>
      <c r="F101" s="19">
        <v>5</v>
      </c>
      <c r="G101" s="24">
        <v>52.62</v>
      </c>
      <c r="H101" s="24" t="s">
        <v>3399</v>
      </c>
      <c r="I101" s="31">
        <v>4.4400000000000004</v>
      </c>
      <c r="J101" s="35" t="s">
        <v>514</v>
      </c>
    </row>
    <row r="102" spans="2:10" x14ac:dyDescent="0.25">
      <c r="C102" s="57" t="s">
        <v>35</v>
      </c>
      <c r="D102" s="53"/>
      <c r="E102" s="6"/>
      <c r="F102" s="19"/>
      <c r="G102" s="25">
        <v>661991.29</v>
      </c>
      <c r="H102" s="25">
        <v>39.5</v>
      </c>
      <c r="I102" s="31"/>
      <c r="J102" s="35"/>
    </row>
    <row r="103" spans="2:10" x14ac:dyDescent="0.25">
      <c r="C103" s="56"/>
      <c r="D103" s="53"/>
      <c r="E103" s="6"/>
      <c r="F103" s="19"/>
      <c r="G103" s="24"/>
      <c r="H103" s="24"/>
      <c r="I103" s="31"/>
      <c r="J103" s="35"/>
    </row>
    <row r="104" spans="2:10" x14ac:dyDescent="0.25">
      <c r="C104" s="59" t="s">
        <v>7</v>
      </c>
      <c r="D104" s="53"/>
      <c r="E104" s="6"/>
      <c r="F104" s="19"/>
      <c r="G104" s="24"/>
      <c r="H104" s="24"/>
      <c r="I104" s="31"/>
      <c r="J104" s="35"/>
    </row>
    <row r="105" spans="2:10" x14ac:dyDescent="0.25">
      <c r="B105" s="8" t="s">
        <v>1782</v>
      </c>
      <c r="C105" s="56" t="s">
        <v>1783</v>
      </c>
      <c r="D105" s="53" t="s">
        <v>1784</v>
      </c>
      <c r="E105" s="6" t="s">
        <v>551</v>
      </c>
      <c r="F105" s="19">
        <v>150</v>
      </c>
      <c r="G105" s="24">
        <v>15033.32</v>
      </c>
      <c r="H105" s="24">
        <v>0.9</v>
      </c>
      <c r="I105" s="31">
        <v>7.0080999999999998</v>
      </c>
      <c r="J105" s="35" t="s">
        <v>514</v>
      </c>
    </row>
    <row r="106" spans="2:10" x14ac:dyDescent="0.25">
      <c r="C106" s="57" t="s">
        <v>35</v>
      </c>
      <c r="D106" s="53"/>
      <c r="E106" s="6"/>
      <c r="F106" s="19"/>
      <c r="G106" s="25">
        <v>15033.32</v>
      </c>
      <c r="H106" s="25">
        <v>0.9</v>
      </c>
      <c r="I106" s="31"/>
      <c r="J106" s="35"/>
    </row>
    <row r="107" spans="2:10" x14ac:dyDescent="0.25">
      <c r="C107" s="56"/>
      <c r="D107" s="53"/>
      <c r="E107" s="6"/>
      <c r="F107" s="19"/>
      <c r="G107" s="24"/>
      <c r="H107" s="24"/>
      <c r="I107" s="31"/>
      <c r="J107" s="35"/>
    </row>
    <row r="108" spans="2:10" x14ac:dyDescent="0.25">
      <c r="C108" s="59" t="s">
        <v>8</v>
      </c>
      <c r="D108" s="53"/>
      <c r="E108" s="6"/>
      <c r="F108" s="19"/>
      <c r="G108" s="24"/>
      <c r="H108" s="24"/>
      <c r="I108" s="31"/>
      <c r="J108" s="35"/>
    </row>
    <row r="109" spans="2:10" x14ac:dyDescent="0.25">
      <c r="B109" s="8" t="s">
        <v>1426</v>
      </c>
      <c r="C109" s="56" t="s">
        <v>1427</v>
      </c>
      <c r="D109" s="53" t="s">
        <v>1428</v>
      </c>
      <c r="E109" s="6" t="s">
        <v>1422</v>
      </c>
      <c r="F109" s="19">
        <v>303</v>
      </c>
      <c r="G109" s="24">
        <v>3710.21</v>
      </c>
      <c r="H109" s="24">
        <v>0.22</v>
      </c>
      <c r="I109" s="31">
        <v>3.9510000000000001</v>
      </c>
      <c r="J109" s="35" t="s">
        <v>514</v>
      </c>
    </row>
    <row r="110" spans="2:10" x14ac:dyDescent="0.25">
      <c r="B110" s="8" t="s">
        <v>1429</v>
      </c>
      <c r="C110" s="56" t="s">
        <v>1427</v>
      </c>
      <c r="D110" s="53" t="s">
        <v>1430</v>
      </c>
      <c r="E110" s="6" t="s">
        <v>1422</v>
      </c>
      <c r="F110" s="19">
        <v>297</v>
      </c>
      <c r="G110" s="24">
        <v>3670.18</v>
      </c>
      <c r="H110" s="24">
        <v>0.22</v>
      </c>
      <c r="I110" s="31">
        <v>4.5243000000000002</v>
      </c>
      <c r="J110" s="35" t="s">
        <v>514</v>
      </c>
    </row>
    <row r="111" spans="2:10" x14ac:dyDescent="0.25">
      <c r="B111" s="8" t="s">
        <v>1431</v>
      </c>
      <c r="C111" s="56" t="s">
        <v>1420</v>
      </c>
      <c r="D111" s="53" t="s">
        <v>1432</v>
      </c>
      <c r="E111" s="6" t="s">
        <v>1422</v>
      </c>
      <c r="F111" s="19">
        <v>231</v>
      </c>
      <c r="G111" s="24">
        <v>2843.54</v>
      </c>
      <c r="H111" s="24">
        <v>0.17</v>
      </c>
      <c r="I111" s="31">
        <v>3.9352999999999998</v>
      </c>
      <c r="J111" s="35" t="s">
        <v>514</v>
      </c>
    </row>
    <row r="112" spans="2:10" x14ac:dyDescent="0.25">
      <c r="B112" s="8" t="s">
        <v>1419</v>
      </c>
      <c r="C112" s="56" t="s">
        <v>1420</v>
      </c>
      <c r="D112" s="53" t="s">
        <v>1421</v>
      </c>
      <c r="E112" s="6" t="s">
        <v>1422</v>
      </c>
      <c r="F112" s="19">
        <v>224</v>
      </c>
      <c r="G112" s="24">
        <v>2792.86</v>
      </c>
      <c r="H112" s="24">
        <v>0.17</v>
      </c>
      <c r="I112" s="31">
        <v>4.5183999999999997</v>
      </c>
      <c r="J112" s="35" t="s">
        <v>514</v>
      </c>
    </row>
    <row r="113" spans="2:10" x14ac:dyDescent="0.25">
      <c r="B113" s="8" t="s">
        <v>1792</v>
      </c>
      <c r="C113" s="56" t="s">
        <v>1420</v>
      </c>
      <c r="D113" s="53" t="s">
        <v>1793</v>
      </c>
      <c r="E113" s="6" t="s">
        <v>1422</v>
      </c>
      <c r="F113" s="19">
        <v>218</v>
      </c>
      <c r="G113" s="24">
        <v>2749.41</v>
      </c>
      <c r="H113" s="24">
        <v>0.16</v>
      </c>
      <c r="I113" s="31">
        <v>4.8914</v>
      </c>
      <c r="J113" s="35" t="s">
        <v>514</v>
      </c>
    </row>
    <row r="114" spans="2:10" x14ac:dyDescent="0.25">
      <c r="C114" s="57" t="s">
        <v>35</v>
      </c>
      <c r="D114" s="53"/>
      <c r="E114" s="6"/>
      <c r="F114" s="19"/>
      <c r="G114" s="25">
        <v>15766.2</v>
      </c>
      <c r="H114" s="25">
        <v>0.94</v>
      </c>
      <c r="I114" s="31"/>
      <c r="J114" s="35"/>
    </row>
    <row r="115" spans="2:10" x14ac:dyDescent="0.25">
      <c r="C115" s="56"/>
      <c r="D115" s="53"/>
      <c r="E115" s="6"/>
      <c r="F115" s="19"/>
      <c r="G115" s="24"/>
      <c r="H115" s="24"/>
      <c r="I115" s="31"/>
      <c r="J115" s="35"/>
    </row>
    <row r="116" spans="2:10" x14ac:dyDescent="0.25">
      <c r="C116" s="59" t="s">
        <v>9</v>
      </c>
      <c r="D116" s="53"/>
      <c r="E116" s="6"/>
      <c r="F116" s="19"/>
      <c r="G116" s="24"/>
      <c r="H116" s="24"/>
      <c r="I116" s="31"/>
      <c r="J116" s="35"/>
    </row>
    <row r="117" spans="2:10" x14ac:dyDescent="0.25">
      <c r="B117" s="8" t="s">
        <v>964</v>
      </c>
      <c r="C117" s="56" t="s">
        <v>965</v>
      </c>
      <c r="D117" s="53" t="s">
        <v>966</v>
      </c>
      <c r="E117" s="6" t="s">
        <v>655</v>
      </c>
      <c r="F117" s="19">
        <v>178000000</v>
      </c>
      <c r="G117" s="24">
        <v>191078.91</v>
      </c>
      <c r="H117" s="24">
        <v>11.41</v>
      </c>
      <c r="I117" s="31">
        <v>5.6993</v>
      </c>
      <c r="J117" s="35"/>
    </row>
    <row r="118" spans="2:10" x14ac:dyDescent="0.25">
      <c r="B118" s="8" t="s">
        <v>1346</v>
      </c>
      <c r="C118" s="56" t="s">
        <v>1347</v>
      </c>
      <c r="D118" s="53" t="s">
        <v>1348</v>
      </c>
      <c r="E118" s="6" t="s">
        <v>655</v>
      </c>
      <c r="F118" s="19">
        <v>132000000</v>
      </c>
      <c r="G118" s="24">
        <v>143263.96</v>
      </c>
      <c r="H118" s="24">
        <v>8.56</v>
      </c>
      <c r="I118" s="31">
        <v>5.6924999999999999</v>
      </c>
      <c r="J118" s="35"/>
    </row>
    <row r="119" spans="2:10" x14ac:dyDescent="0.25">
      <c r="B119" s="8" t="s">
        <v>967</v>
      </c>
      <c r="C119" s="56" t="s">
        <v>968</v>
      </c>
      <c r="D119" s="53" t="s">
        <v>969</v>
      </c>
      <c r="E119" s="6" t="s">
        <v>655</v>
      </c>
      <c r="F119" s="19">
        <v>137094200</v>
      </c>
      <c r="G119" s="24">
        <v>136115.9</v>
      </c>
      <c r="H119" s="24">
        <v>8.1300000000000008</v>
      </c>
      <c r="I119" s="31">
        <v>5.3917000000000002</v>
      </c>
      <c r="J119" s="35"/>
    </row>
    <row r="120" spans="2:10" x14ac:dyDescent="0.25">
      <c r="B120" s="8" t="s">
        <v>662</v>
      </c>
      <c r="C120" s="56" t="s">
        <v>663</v>
      </c>
      <c r="D120" s="53" t="s">
        <v>664</v>
      </c>
      <c r="E120" s="6" t="s">
        <v>655</v>
      </c>
      <c r="F120" s="19">
        <v>29500000</v>
      </c>
      <c r="G120" s="24">
        <v>29037</v>
      </c>
      <c r="H120" s="24">
        <v>1.73</v>
      </c>
      <c r="I120" s="31">
        <v>6.0063000000000004</v>
      </c>
      <c r="J120" s="35"/>
    </row>
    <row r="121" spans="2:10" x14ac:dyDescent="0.25">
      <c r="B121" s="8" t="s">
        <v>961</v>
      </c>
      <c r="C121" s="56" t="s">
        <v>962</v>
      </c>
      <c r="D121" s="53" t="s">
        <v>963</v>
      </c>
      <c r="E121" s="6" t="s">
        <v>655</v>
      </c>
      <c r="F121" s="19">
        <v>23000000</v>
      </c>
      <c r="G121" s="24">
        <v>25557.58</v>
      </c>
      <c r="H121" s="24">
        <v>1.53</v>
      </c>
      <c r="I121" s="31">
        <v>5.9604999999999997</v>
      </c>
      <c r="J121" s="35"/>
    </row>
    <row r="122" spans="2:10" x14ac:dyDescent="0.25">
      <c r="B122" s="8" t="s">
        <v>1797</v>
      </c>
      <c r="C122" s="56" t="s">
        <v>1798</v>
      </c>
      <c r="D122" s="53" t="s">
        <v>1799</v>
      </c>
      <c r="E122" s="6" t="s">
        <v>655</v>
      </c>
      <c r="F122" s="19">
        <v>14000000</v>
      </c>
      <c r="G122" s="24">
        <v>15002.41</v>
      </c>
      <c r="H122" s="24">
        <v>0.9</v>
      </c>
      <c r="I122" s="31">
        <v>4.9545000000000003</v>
      </c>
      <c r="J122" s="35"/>
    </row>
    <row r="123" spans="2:10" x14ac:dyDescent="0.25">
      <c r="B123" s="8" t="s">
        <v>970</v>
      </c>
      <c r="C123" s="56" t="s">
        <v>971</v>
      </c>
      <c r="D123" s="53" t="s">
        <v>972</v>
      </c>
      <c r="E123" s="6" t="s">
        <v>655</v>
      </c>
      <c r="F123" s="19">
        <v>10000000</v>
      </c>
      <c r="G123" s="24">
        <v>10329.74</v>
      </c>
      <c r="H123" s="24">
        <v>0.62</v>
      </c>
      <c r="I123" s="31">
        <v>5.2718999999999996</v>
      </c>
      <c r="J123" s="35"/>
    </row>
    <row r="124" spans="2:10" x14ac:dyDescent="0.25">
      <c r="C124" s="57" t="s">
        <v>35</v>
      </c>
      <c r="D124" s="53"/>
      <c r="E124" s="6"/>
      <c r="F124" s="19"/>
      <c r="G124" s="25">
        <v>550385.5</v>
      </c>
      <c r="H124" s="25">
        <v>32.880000000000003</v>
      </c>
      <c r="I124" s="31"/>
      <c r="J124" s="35"/>
    </row>
    <row r="125" spans="2:10" x14ac:dyDescent="0.25">
      <c r="C125" s="56"/>
      <c r="D125" s="53"/>
      <c r="E125" s="6"/>
      <c r="F125" s="19"/>
      <c r="G125" s="24"/>
      <c r="H125" s="24"/>
      <c r="I125" s="31"/>
      <c r="J125" s="35"/>
    </row>
    <row r="126" spans="2:10" x14ac:dyDescent="0.25">
      <c r="C126" s="59" t="s">
        <v>10</v>
      </c>
      <c r="D126" s="53"/>
      <c r="E126" s="6"/>
      <c r="F126" s="19"/>
      <c r="G126" s="24"/>
      <c r="H126" s="24"/>
      <c r="I126" s="31"/>
      <c r="J126" s="35"/>
    </row>
    <row r="127" spans="2:10" x14ac:dyDescent="0.25">
      <c r="B127" s="8" t="s">
        <v>1968</v>
      </c>
      <c r="C127" s="56" t="s">
        <v>1969</v>
      </c>
      <c r="D127" s="53" t="s">
        <v>1970</v>
      </c>
      <c r="E127" s="6" t="s">
        <v>655</v>
      </c>
      <c r="F127" s="19">
        <v>50000000</v>
      </c>
      <c r="G127" s="24">
        <v>54488.4</v>
      </c>
      <c r="H127" s="24">
        <v>3.25</v>
      </c>
      <c r="I127" s="31">
        <v>6.1497000000000002</v>
      </c>
      <c r="J127" s="35"/>
    </row>
    <row r="128" spans="2:10" x14ac:dyDescent="0.25">
      <c r="B128" s="8" t="s">
        <v>1806</v>
      </c>
      <c r="C128" s="56" t="s">
        <v>1807</v>
      </c>
      <c r="D128" s="53" t="s">
        <v>1808</v>
      </c>
      <c r="E128" s="6" t="s">
        <v>655</v>
      </c>
      <c r="F128" s="19">
        <v>20000000</v>
      </c>
      <c r="G128" s="24">
        <v>21792.68</v>
      </c>
      <c r="H128" s="24">
        <v>1.3</v>
      </c>
      <c r="I128" s="31">
        <v>5.8250000000000002</v>
      </c>
      <c r="J128" s="35"/>
    </row>
    <row r="129" spans="1:10" x14ac:dyDescent="0.25">
      <c r="B129" s="8" t="s">
        <v>1971</v>
      </c>
      <c r="C129" s="56" t="s">
        <v>1972</v>
      </c>
      <c r="D129" s="53" t="s">
        <v>1973</v>
      </c>
      <c r="E129" s="6" t="s">
        <v>655</v>
      </c>
      <c r="F129" s="19">
        <v>14000000</v>
      </c>
      <c r="G129" s="24">
        <v>14845.42</v>
      </c>
      <c r="H129" s="24">
        <v>0.89</v>
      </c>
      <c r="I129" s="31">
        <v>5.1085000000000003</v>
      </c>
      <c r="J129" s="35"/>
    </row>
    <row r="130" spans="1:10" x14ac:dyDescent="0.25">
      <c r="B130" s="8" t="s">
        <v>1974</v>
      </c>
      <c r="C130" s="56" t="s">
        <v>1975</v>
      </c>
      <c r="D130" s="53" t="s">
        <v>1976</v>
      </c>
      <c r="E130" s="6" t="s">
        <v>655</v>
      </c>
      <c r="F130" s="19">
        <v>10000000</v>
      </c>
      <c r="G130" s="24">
        <v>10355.459999999999</v>
      </c>
      <c r="H130" s="24">
        <v>0.62</v>
      </c>
      <c r="I130" s="31">
        <v>6.5103</v>
      </c>
      <c r="J130" s="35"/>
    </row>
    <row r="131" spans="1:10" x14ac:dyDescent="0.25">
      <c r="B131" s="8" t="s">
        <v>1977</v>
      </c>
      <c r="C131" s="56" t="s">
        <v>1978</v>
      </c>
      <c r="D131" s="53" t="s">
        <v>1979</v>
      </c>
      <c r="E131" s="6" t="s">
        <v>655</v>
      </c>
      <c r="F131" s="19">
        <v>10000000</v>
      </c>
      <c r="G131" s="24">
        <v>10332.790000000001</v>
      </c>
      <c r="H131" s="24">
        <v>0.62</v>
      </c>
      <c r="I131" s="31">
        <v>6.1219000000000001</v>
      </c>
      <c r="J131" s="35"/>
    </row>
    <row r="132" spans="1:10" x14ac:dyDescent="0.25">
      <c r="B132" s="8" t="s">
        <v>1980</v>
      </c>
      <c r="C132" s="56" t="s">
        <v>1981</v>
      </c>
      <c r="D132" s="53" t="s">
        <v>1982</v>
      </c>
      <c r="E132" s="6" t="s">
        <v>655</v>
      </c>
      <c r="F132" s="19">
        <v>10000000</v>
      </c>
      <c r="G132" s="24">
        <v>10257.39</v>
      </c>
      <c r="H132" s="24">
        <v>0.61</v>
      </c>
      <c r="I132" s="31">
        <v>6.4869000000000003</v>
      </c>
      <c r="J132" s="35"/>
    </row>
    <row r="133" spans="1:10" x14ac:dyDescent="0.25">
      <c r="B133" s="8" t="s">
        <v>1983</v>
      </c>
      <c r="C133" s="56" t="s">
        <v>1984</v>
      </c>
      <c r="D133" s="53" t="s">
        <v>1985</v>
      </c>
      <c r="E133" s="6" t="s">
        <v>655</v>
      </c>
      <c r="F133" s="19">
        <v>5000000</v>
      </c>
      <c r="G133" s="24">
        <v>5142.8100000000004</v>
      </c>
      <c r="H133" s="24">
        <v>0.31</v>
      </c>
      <c r="I133" s="31">
        <v>6.5103</v>
      </c>
      <c r="J133" s="35"/>
    </row>
    <row r="134" spans="1:10" x14ac:dyDescent="0.25">
      <c r="B134" s="8" t="s">
        <v>1986</v>
      </c>
      <c r="C134" s="56" t="s">
        <v>1987</v>
      </c>
      <c r="D134" s="53" t="s">
        <v>1988</v>
      </c>
      <c r="E134" s="6" t="s">
        <v>655</v>
      </c>
      <c r="F134" s="19">
        <v>5000000</v>
      </c>
      <c r="G134" s="24">
        <v>5092.88</v>
      </c>
      <c r="H134" s="24">
        <v>0.3</v>
      </c>
      <c r="I134" s="31">
        <v>6.8197999999999999</v>
      </c>
      <c r="J134" s="35"/>
    </row>
    <row r="135" spans="1:10" x14ac:dyDescent="0.25">
      <c r="B135" s="8" t="s">
        <v>1989</v>
      </c>
      <c r="C135" s="56" t="s">
        <v>1990</v>
      </c>
      <c r="D135" s="53" t="s">
        <v>1991</v>
      </c>
      <c r="E135" s="6" t="s">
        <v>655</v>
      </c>
      <c r="F135" s="19">
        <v>500000</v>
      </c>
      <c r="G135" s="24">
        <v>535.79</v>
      </c>
      <c r="H135" s="24">
        <v>0.03</v>
      </c>
      <c r="I135" s="31">
        <v>5.2217000000000002</v>
      </c>
      <c r="J135" s="35"/>
    </row>
    <row r="136" spans="1:10" x14ac:dyDescent="0.25">
      <c r="B136" s="8" t="s">
        <v>916</v>
      </c>
      <c r="C136" s="56" t="s">
        <v>917</v>
      </c>
      <c r="D136" s="53" t="s">
        <v>918</v>
      </c>
      <c r="E136" s="6" t="s">
        <v>655</v>
      </c>
      <c r="F136" s="19">
        <v>200000</v>
      </c>
      <c r="G136" s="24">
        <v>204.75</v>
      </c>
      <c r="H136" s="24">
        <v>0.01</v>
      </c>
      <c r="I136" s="31">
        <v>6.8150000000000004</v>
      </c>
      <c r="J136" s="35"/>
    </row>
    <row r="137" spans="1:10" x14ac:dyDescent="0.25">
      <c r="C137" s="57" t="s">
        <v>35</v>
      </c>
      <c r="D137" s="53"/>
      <c r="E137" s="6"/>
      <c r="F137" s="19"/>
      <c r="G137" s="25">
        <v>133048.37</v>
      </c>
      <c r="H137" s="25">
        <v>7.94</v>
      </c>
      <c r="I137" s="31"/>
      <c r="J137" s="35"/>
    </row>
    <row r="138" spans="1:10" x14ac:dyDescent="0.25">
      <c r="C138" s="56"/>
      <c r="D138" s="53"/>
      <c r="E138" s="6"/>
      <c r="F138" s="19"/>
      <c r="G138" s="24"/>
      <c r="H138" s="24"/>
      <c r="I138" s="31"/>
      <c r="J138" s="35"/>
    </row>
    <row r="139" spans="1:10" x14ac:dyDescent="0.25">
      <c r="A139" s="10"/>
      <c r="B139" s="28"/>
      <c r="C139" s="58" t="s">
        <v>11</v>
      </c>
      <c r="D139" s="53"/>
      <c r="E139" s="6"/>
      <c r="F139" s="19"/>
      <c r="G139" s="24"/>
      <c r="H139" s="24"/>
      <c r="I139" s="31"/>
      <c r="J139" s="35"/>
    </row>
    <row r="140" spans="1:10" x14ac:dyDescent="0.25">
      <c r="A140" s="28"/>
      <c r="B140" s="28"/>
      <c r="C140" s="58" t="s">
        <v>13</v>
      </c>
      <c r="D140" s="53"/>
      <c r="E140" s="6"/>
      <c r="F140" s="19"/>
      <c r="G140" s="24" t="s">
        <v>2</v>
      </c>
      <c r="H140" s="24" t="s">
        <v>2</v>
      </c>
      <c r="I140" s="31"/>
      <c r="J140" s="35"/>
    </row>
    <row r="141" spans="1:10" x14ac:dyDescent="0.25">
      <c r="A141" s="28"/>
      <c r="B141" s="28"/>
      <c r="C141" s="58"/>
      <c r="D141" s="53"/>
      <c r="E141" s="6"/>
      <c r="F141" s="19"/>
      <c r="G141" s="24"/>
      <c r="H141" s="24"/>
      <c r="I141" s="31"/>
      <c r="J141" s="35"/>
    </row>
    <row r="142" spans="1:10" x14ac:dyDescent="0.25">
      <c r="A142" s="28"/>
      <c r="B142" s="28"/>
      <c r="C142" s="58" t="s">
        <v>14</v>
      </c>
      <c r="D142" s="53"/>
      <c r="E142" s="6"/>
      <c r="F142" s="19"/>
      <c r="G142" s="24" t="s">
        <v>2</v>
      </c>
      <c r="H142" s="24" t="s">
        <v>2</v>
      </c>
      <c r="I142" s="31"/>
      <c r="J142" s="35"/>
    </row>
    <row r="143" spans="1:10" x14ac:dyDescent="0.25">
      <c r="A143" s="28"/>
      <c r="B143" s="28"/>
      <c r="C143" s="58"/>
      <c r="D143" s="53"/>
      <c r="E143" s="6"/>
      <c r="F143" s="19"/>
      <c r="G143" s="24"/>
      <c r="H143" s="24"/>
      <c r="I143" s="31"/>
      <c r="J143" s="35"/>
    </row>
    <row r="144" spans="1:10" x14ac:dyDescent="0.25">
      <c r="C144" s="59" t="s">
        <v>15</v>
      </c>
      <c r="D144" s="53"/>
      <c r="E144" s="6"/>
      <c r="F144" s="19"/>
      <c r="G144" s="24"/>
      <c r="H144" s="24"/>
      <c r="I144" s="31"/>
      <c r="J144" s="35"/>
    </row>
    <row r="145" spans="1:10" x14ac:dyDescent="0.25">
      <c r="B145" s="8" t="s">
        <v>1837</v>
      </c>
      <c r="C145" s="56" t="s">
        <v>1838</v>
      </c>
      <c r="D145" s="53" t="s">
        <v>1839</v>
      </c>
      <c r="E145" s="6" t="s">
        <v>655</v>
      </c>
      <c r="F145" s="19">
        <v>125000000</v>
      </c>
      <c r="G145" s="24">
        <v>123824.5</v>
      </c>
      <c r="H145" s="24">
        <v>7.4</v>
      </c>
      <c r="I145" s="31">
        <v>3.3</v>
      </c>
      <c r="J145" s="35"/>
    </row>
    <row r="146" spans="1:10" x14ac:dyDescent="0.25">
      <c r="C146" s="57" t="s">
        <v>35</v>
      </c>
      <c r="D146" s="53"/>
      <c r="E146" s="6"/>
      <c r="F146" s="19"/>
      <c r="G146" s="25">
        <v>123824.5</v>
      </c>
      <c r="H146" s="25">
        <v>7.4</v>
      </c>
      <c r="I146" s="31"/>
      <c r="J146" s="35"/>
    </row>
    <row r="147" spans="1:10" x14ac:dyDescent="0.25">
      <c r="C147" s="56"/>
      <c r="D147" s="53"/>
      <c r="E147" s="6"/>
      <c r="F147" s="19"/>
      <c r="G147" s="24"/>
      <c r="H147" s="24"/>
      <c r="I147" s="31"/>
      <c r="J147" s="35"/>
    </row>
    <row r="148" spans="1:10" x14ac:dyDescent="0.25">
      <c r="C148" s="57" t="s">
        <v>16</v>
      </c>
      <c r="D148" s="53"/>
      <c r="E148" s="6"/>
      <c r="F148" s="19"/>
      <c r="G148" s="24" t="s">
        <v>2</v>
      </c>
      <c r="H148" s="24" t="s">
        <v>2</v>
      </c>
      <c r="I148" s="31"/>
      <c r="J148" s="35"/>
    </row>
    <row r="149" spans="1:10" x14ac:dyDescent="0.25">
      <c r="C149" s="56"/>
      <c r="D149" s="53"/>
      <c r="E149" s="6"/>
      <c r="F149" s="19"/>
      <c r="G149" s="24"/>
      <c r="H149" s="24"/>
      <c r="I149" s="31"/>
      <c r="J149" s="35"/>
    </row>
    <row r="150" spans="1:10" x14ac:dyDescent="0.25">
      <c r="A150" s="10"/>
      <c r="B150" s="28"/>
      <c r="C150" s="58" t="s">
        <v>17</v>
      </c>
      <c r="D150" s="53"/>
      <c r="E150" s="6"/>
      <c r="F150" s="19"/>
      <c r="G150" s="24"/>
      <c r="H150" s="24"/>
      <c r="I150" s="31"/>
      <c r="J150" s="35"/>
    </row>
    <row r="151" spans="1:10" x14ac:dyDescent="0.25">
      <c r="A151" s="28"/>
      <c r="B151" s="28"/>
      <c r="C151" s="58" t="s">
        <v>18</v>
      </c>
      <c r="D151" s="53"/>
      <c r="E151" s="6"/>
      <c r="F151" s="19"/>
      <c r="G151" s="24" t="s">
        <v>2</v>
      </c>
      <c r="H151" s="24" t="s">
        <v>2</v>
      </c>
      <c r="I151" s="31"/>
      <c r="J151" s="35"/>
    </row>
    <row r="152" spans="1:10" x14ac:dyDescent="0.25">
      <c r="A152" s="28"/>
      <c r="B152" s="28"/>
      <c r="C152" s="58"/>
      <c r="D152" s="53"/>
      <c r="E152" s="6"/>
      <c r="F152" s="19"/>
      <c r="G152" s="24"/>
      <c r="H152" s="24"/>
      <c r="I152" s="31"/>
      <c r="J152" s="35"/>
    </row>
    <row r="153" spans="1:10" x14ac:dyDescent="0.25">
      <c r="A153" s="28"/>
      <c r="B153" s="28"/>
      <c r="C153" s="58" t="s">
        <v>19</v>
      </c>
      <c r="D153" s="53"/>
      <c r="E153" s="6"/>
      <c r="F153" s="19"/>
      <c r="G153" s="24" t="s">
        <v>2</v>
      </c>
      <c r="H153" s="24" t="s">
        <v>2</v>
      </c>
      <c r="I153" s="31"/>
      <c r="J153" s="35"/>
    </row>
    <row r="154" spans="1:10" x14ac:dyDescent="0.25">
      <c r="A154" s="28"/>
      <c r="B154" s="28"/>
      <c r="C154" s="58"/>
      <c r="D154" s="53"/>
      <c r="E154" s="6"/>
      <c r="F154" s="19"/>
      <c r="G154" s="24"/>
      <c r="H154" s="24"/>
      <c r="I154" s="31"/>
      <c r="J154" s="35"/>
    </row>
    <row r="155" spans="1:10" x14ac:dyDescent="0.25">
      <c r="A155" s="28"/>
      <c r="B155" s="28"/>
      <c r="C155" s="58" t="s">
        <v>20</v>
      </c>
      <c r="D155" s="53"/>
      <c r="E155" s="6"/>
      <c r="F155" s="19"/>
      <c r="G155" s="24" t="s">
        <v>2</v>
      </c>
      <c r="H155" s="24" t="s">
        <v>2</v>
      </c>
      <c r="I155" s="31"/>
      <c r="J155" s="35"/>
    </row>
    <row r="156" spans="1:10" x14ac:dyDescent="0.25">
      <c r="A156" s="28"/>
      <c r="B156" s="28"/>
      <c r="C156" s="58"/>
      <c r="D156" s="53"/>
      <c r="E156" s="6"/>
      <c r="F156" s="19"/>
      <c r="G156" s="24"/>
      <c r="H156" s="24"/>
      <c r="I156" s="31"/>
      <c r="J156" s="35"/>
    </row>
    <row r="157" spans="1:10" x14ac:dyDescent="0.25">
      <c r="A157" s="28"/>
      <c r="B157" s="28"/>
      <c r="C157" s="58" t="s">
        <v>21</v>
      </c>
      <c r="D157" s="53"/>
      <c r="E157" s="6"/>
      <c r="F157" s="19"/>
      <c r="G157" s="24" t="s">
        <v>2</v>
      </c>
      <c r="H157" s="24" t="s">
        <v>2</v>
      </c>
      <c r="I157" s="31"/>
      <c r="J157" s="35"/>
    </row>
    <row r="158" spans="1:10" x14ac:dyDescent="0.25">
      <c r="A158" s="28"/>
      <c r="B158" s="28"/>
      <c r="C158" s="58"/>
      <c r="D158" s="53"/>
      <c r="E158" s="6"/>
      <c r="F158" s="19"/>
      <c r="G158" s="24"/>
      <c r="H158" s="24"/>
      <c r="I158" s="31"/>
      <c r="J158" s="35"/>
    </row>
    <row r="159" spans="1:10" x14ac:dyDescent="0.25">
      <c r="C159" s="59" t="s">
        <v>22</v>
      </c>
      <c r="D159" s="53"/>
      <c r="E159" s="6"/>
      <c r="F159" s="19"/>
      <c r="G159" s="24"/>
      <c r="H159" s="24"/>
      <c r="I159" s="31"/>
      <c r="J159" s="35"/>
    </row>
    <row r="160" spans="1:10" x14ac:dyDescent="0.25">
      <c r="B160" s="8" t="s">
        <v>33</v>
      </c>
      <c r="C160" s="56" t="s">
        <v>34</v>
      </c>
      <c r="D160" s="53"/>
      <c r="E160" s="6"/>
      <c r="F160" s="19"/>
      <c r="G160" s="24">
        <v>142481.95000000001</v>
      </c>
      <c r="H160" s="24">
        <v>8.51</v>
      </c>
      <c r="I160" s="31"/>
      <c r="J160" s="35"/>
    </row>
    <row r="161" spans="1:10" x14ac:dyDescent="0.25">
      <c r="C161" s="57" t="s">
        <v>35</v>
      </c>
      <c r="D161" s="53"/>
      <c r="E161" s="6"/>
      <c r="F161" s="19"/>
      <c r="G161" s="25">
        <v>142481.95000000001</v>
      </c>
      <c r="H161" s="25">
        <v>8.51</v>
      </c>
      <c r="I161" s="31"/>
      <c r="J161" s="35"/>
    </row>
    <row r="162" spans="1:10" x14ac:dyDescent="0.25">
      <c r="C162" s="56"/>
      <c r="D162" s="53"/>
      <c r="E162" s="6"/>
      <c r="F162" s="19"/>
      <c r="G162" s="24"/>
      <c r="H162" s="24"/>
      <c r="I162" s="31"/>
      <c r="J162" s="35"/>
    </row>
    <row r="163" spans="1:10" x14ac:dyDescent="0.25">
      <c r="A163" s="10"/>
      <c r="B163" s="28"/>
      <c r="C163" s="58" t="s">
        <v>23</v>
      </c>
      <c r="D163" s="53"/>
      <c r="E163" s="6"/>
      <c r="F163" s="19"/>
      <c r="G163" s="24"/>
      <c r="H163" s="24"/>
      <c r="I163" s="31"/>
      <c r="J163" s="35"/>
    </row>
    <row r="164" spans="1:10" x14ac:dyDescent="0.25">
      <c r="A164" s="28"/>
      <c r="B164" s="28"/>
      <c r="C164" s="60" t="s">
        <v>3398</v>
      </c>
      <c r="D164" s="53"/>
      <c r="E164" s="6"/>
      <c r="F164" s="19"/>
      <c r="G164" s="24" t="s">
        <v>2</v>
      </c>
      <c r="H164" s="24" t="s">
        <v>2</v>
      </c>
      <c r="I164" s="31"/>
      <c r="J164" s="35"/>
    </row>
    <row r="165" spans="1:10" x14ac:dyDescent="0.25">
      <c r="B165" s="8"/>
      <c r="C165" s="56" t="s">
        <v>36</v>
      </c>
      <c r="D165" s="53"/>
      <c r="E165" s="6"/>
      <c r="F165" s="19"/>
      <c r="G165" s="24">
        <v>31771.61</v>
      </c>
      <c r="H165" s="24">
        <v>1.93</v>
      </c>
      <c r="I165" s="31"/>
      <c r="J165" s="35"/>
    </row>
    <row r="166" spans="1:10" x14ac:dyDescent="0.25">
      <c r="C166" s="57" t="s">
        <v>35</v>
      </c>
      <c r="D166" s="53"/>
      <c r="E166" s="6"/>
      <c r="F166" s="19"/>
      <c r="G166" s="25">
        <v>31771.61</v>
      </c>
      <c r="H166" s="25">
        <v>1.93</v>
      </c>
      <c r="I166" s="31"/>
      <c r="J166" s="35"/>
    </row>
    <row r="167" spans="1:10" x14ac:dyDescent="0.25">
      <c r="C167" s="56"/>
      <c r="D167" s="53"/>
      <c r="E167" s="6"/>
      <c r="F167" s="19"/>
      <c r="G167" s="24"/>
      <c r="H167" s="24"/>
      <c r="I167" s="31"/>
      <c r="J167" s="35"/>
    </row>
    <row r="168" spans="1:10" x14ac:dyDescent="0.25">
      <c r="C168" s="61" t="s">
        <v>37</v>
      </c>
      <c r="D168" s="54"/>
      <c r="E168" s="5"/>
      <c r="F168" s="20"/>
      <c r="G168" s="26">
        <v>1674302.74</v>
      </c>
      <c r="H168" s="26">
        <f>SUMIFS(H:H,C:C,"Total")</f>
        <v>100.00000000000001</v>
      </c>
      <c r="I168" s="32"/>
      <c r="J168" s="36"/>
    </row>
    <row r="171" spans="1:10" x14ac:dyDescent="0.25">
      <c r="C171" s="1" t="s">
        <v>38</v>
      </c>
    </row>
    <row r="172" spans="1:10" x14ac:dyDescent="0.25">
      <c r="C172" s="2" t="s">
        <v>39</v>
      </c>
    </row>
    <row r="173" spans="1:10" x14ac:dyDescent="0.25">
      <c r="C173" s="2" t="s">
        <v>40</v>
      </c>
    </row>
    <row r="174" spans="1:10" x14ac:dyDescent="0.25">
      <c r="C174" s="2" t="s">
        <v>3430</v>
      </c>
    </row>
  </sheetData>
  <hyperlinks>
    <hyperlink ref="J2" location="'Index'!A1" display="'Index'!A1"/>
  </hyperlinks>
  <pageMargins left="0.7" right="0.7" top="0.75" bottom="0.75" header="0.3" footer="0.3"/>
  <pageSetup orientation="portrait" horizontalDpi="4294967293"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2"/>
  <dimension ref="A1:J6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1992</v>
      </c>
      <c r="J2" s="37" t="s">
        <v>3307</v>
      </c>
    </row>
    <row r="3" spans="1:10" ht="16.5" x14ac:dyDescent="0.3">
      <c r="C3" s="1" t="s">
        <v>24</v>
      </c>
      <c r="D3" s="21" t="s">
        <v>1637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C16" s="57" t="s">
        <v>5</v>
      </c>
      <c r="D16" s="53"/>
      <c r="E16" s="6"/>
      <c r="F16" s="19"/>
      <c r="G16" s="24"/>
      <c r="H16" s="24"/>
      <c r="I16" s="31"/>
      <c r="J16" s="35"/>
    </row>
    <row r="17" spans="3:10" x14ac:dyDescent="0.25">
      <c r="C17" s="56"/>
      <c r="D17" s="53"/>
      <c r="E17" s="6"/>
      <c r="F17" s="19"/>
      <c r="G17" s="24"/>
      <c r="H17" s="24"/>
      <c r="I17" s="31"/>
      <c r="J17" s="35"/>
    </row>
    <row r="18" spans="3:10" x14ac:dyDescent="0.25">
      <c r="C18" s="57" t="s">
        <v>6</v>
      </c>
      <c r="D18" s="53"/>
      <c r="E18" s="6"/>
      <c r="F18" s="19"/>
      <c r="G18" s="24" t="s">
        <v>2</v>
      </c>
      <c r="H18" s="24" t="s">
        <v>2</v>
      </c>
      <c r="I18" s="31"/>
      <c r="J18" s="35"/>
    </row>
    <row r="19" spans="3:10" x14ac:dyDescent="0.25">
      <c r="C19" s="56"/>
      <c r="D19" s="53"/>
      <c r="E19" s="6"/>
      <c r="F19" s="19"/>
      <c r="G19" s="24"/>
      <c r="H19" s="24"/>
      <c r="I19" s="31"/>
      <c r="J19" s="35"/>
    </row>
    <row r="20" spans="3:10" x14ac:dyDescent="0.25">
      <c r="C20" s="57" t="s">
        <v>7</v>
      </c>
      <c r="D20" s="53"/>
      <c r="E20" s="6"/>
      <c r="F20" s="19"/>
      <c r="G20" s="24" t="s">
        <v>2</v>
      </c>
      <c r="H20" s="24" t="s">
        <v>2</v>
      </c>
      <c r="I20" s="31"/>
      <c r="J20" s="35"/>
    </row>
    <row r="21" spans="3:10" x14ac:dyDescent="0.25">
      <c r="C21" s="56"/>
      <c r="D21" s="53"/>
      <c r="E21" s="6"/>
      <c r="F21" s="19"/>
      <c r="G21" s="24"/>
      <c r="H21" s="24"/>
      <c r="I21" s="31"/>
      <c r="J21" s="35"/>
    </row>
    <row r="22" spans="3:10" x14ac:dyDescent="0.25">
      <c r="C22" s="57" t="s">
        <v>8</v>
      </c>
      <c r="D22" s="53"/>
      <c r="E22" s="6"/>
      <c r="F22" s="19"/>
      <c r="G22" s="24" t="s">
        <v>2</v>
      </c>
      <c r="H22" s="24" t="s">
        <v>2</v>
      </c>
      <c r="I22" s="31"/>
      <c r="J22" s="35"/>
    </row>
    <row r="23" spans="3:10" x14ac:dyDescent="0.25">
      <c r="C23" s="56"/>
      <c r="D23" s="53"/>
      <c r="E23" s="6"/>
      <c r="F23" s="19"/>
      <c r="G23" s="24"/>
      <c r="H23" s="24"/>
      <c r="I23" s="31"/>
      <c r="J23" s="35"/>
    </row>
    <row r="24" spans="3:10" x14ac:dyDescent="0.25">
      <c r="C24" s="57" t="s">
        <v>9</v>
      </c>
      <c r="D24" s="53"/>
      <c r="E24" s="6"/>
      <c r="F24" s="19"/>
      <c r="G24" s="24" t="s">
        <v>2</v>
      </c>
      <c r="H24" s="24" t="s">
        <v>2</v>
      </c>
      <c r="I24" s="31"/>
      <c r="J24" s="35"/>
    </row>
    <row r="25" spans="3:10" x14ac:dyDescent="0.25">
      <c r="C25" s="56"/>
      <c r="D25" s="53"/>
      <c r="E25" s="6"/>
      <c r="F25" s="19"/>
      <c r="G25" s="24"/>
      <c r="H25" s="24"/>
      <c r="I25" s="31"/>
      <c r="J25" s="35"/>
    </row>
    <row r="26" spans="3:10" x14ac:dyDescent="0.25">
      <c r="C26" s="57" t="s">
        <v>10</v>
      </c>
      <c r="D26" s="53"/>
      <c r="E26" s="6"/>
      <c r="F26" s="19"/>
      <c r="G26" s="24" t="s">
        <v>2</v>
      </c>
      <c r="H26" s="24" t="s">
        <v>2</v>
      </c>
      <c r="I26" s="31"/>
      <c r="J26" s="35"/>
    </row>
    <row r="27" spans="3:10" x14ac:dyDescent="0.25">
      <c r="C27" s="56"/>
      <c r="D27" s="53"/>
      <c r="E27" s="6"/>
      <c r="F27" s="19"/>
      <c r="G27" s="24"/>
      <c r="H27" s="24"/>
      <c r="I27" s="31"/>
      <c r="J27" s="35"/>
    </row>
    <row r="28" spans="3:10" x14ac:dyDescent="0.25">
      <c r="C28" s="57" t="s">
        <v>11</v>
      </c>
      <c r="D28" s="53"/>
      <c r="E28" s="6"/>
      <c r="F28" s="19"/>
      <c r="G28" s="24"/>
      <c r="H28" s="24"/>
      <c r="I28" s="31"/>
      <c r="J28" s="35"/>
    </row>
    <row r="29" spans="3:10" x14ac:dyDescent="0.25">
      <c r="C29" s="56"/>
      <c r="D29" s="53"/>
      <c r="E29" s="6"/>
      <c r="F29" s="19"/>
      <c r="G29" s="24"/>
      <c r="H29" s="24"/>
      <c r="I29" s="31"/>
      <c r="J29" s="35"/>
    </row>
    <row r="30" spans="3:10" x14ac:dyDescent="0.25">
      <c r="C30" s="57" t="s">
        <v>13</v>
      </c>
      <c r="D30" s="53"/>
      <c r="E30" s="6"/>
      <c r="F30" s="19"/>
      <c r="G30" s="24" t="s">
        <v>2</v>
      </c>
      <c r="H30" s="24" t="s">
        <v>2</v>
      </c>
      <c r="I30" s="31"/>
      <c r="J30" s="35"/>
    </row>
    <row r="31" spans="3:10" x14ac:dyDescent="0.25">
      <c r="C31" s="56"/>
      <c r="D31" s="53"/>
      <c r="E31" s="6"/>
      <c r="F31" s="19"/>
      <c r="G31" s="24"/>
      <c r="H31" s="24"/>
      <c r="I31" s="31"/>
      <c r="J31" s="35"/>
    </row>
    <row r="32" spans="3:10" x14ac:dyDescent="0.25">
      <c r="C32" s="57" t="s">
        <v>14</v>
      </c>
      <c r="D32" s="53"/>
      <c r="E32" s="6"/>
      <c r="F32" s="19"/>
      <c r="G32" s="24" t="s">
        <v>2</v>
      </c>
      <c r="H32" s="24" t="s">
        <v>2</v>
      </c>
      <c r="I32" s="31"/>
      <c r="J32" s="35"/>
    </row>
    <row r="33" spans="1:10" x14ac:dyDescent="0.25">
      <c r="C33" s="56"/>
      <c r="D33" s="53"/>
      <c r="E33" s="6"/>
      <c r="F33" s="19"/>
      <c r="G33" s="24"/>
      <c r="H33" s="24"/>
      <c r="I33" s="31"/>
      <c r="J33" s="35"/>
    </row>
    <row r="34" spans="1:10" x14ac:dyDescent="0.25">
      <c r="C34" s="57" t="s">
        <v>15</v>
      </c>
      <c r="D34" s="53"/>
      <c r="E34" s="6"/>
      <c r="F34" s="19"/>
      <c r="G34" s="24" t="s">
        <v>2</v>
      </c>
      <c r="H34" s="24" t="s">
        <v>2</v>
      </c>
      <c r="I34" s="31"/>
      <c r="J34" s="35"/>
    </row>
    <row r="35" spans="1:10" x14ac:dyDescent="0.25">
      <c r="C35" s="56"/>
      <c r="D35" s="53"/>
      <c r="E35" s="6"/>
      <c r="F35" s="19"/>
      <c r="G35" s="24"/>
      <c r="H35" s="24"/>
      <c r="I35" s="31"/>
      <c r="J35" s="35"/>
    </row>
    <row r="36" spans="1:10" x14ac:dyDescent="0.25">
      <c r="C36" s="57" t="s">
        <v>16</v>
      </c>
      <c r="D36" s="53"/>
      <c r="E36" s="6"/>
      <c r="F36" s="19"/>
      <c r="G36" s="24" t="s">
        <v>2</v>
      </c>
      <c r="H36" s="24" t="s">
        <v>2</v>
      </c>
      <c r="I36" s="31"/>
      <c r="J36" s="35"/>
    </row>
    <row r="37" spans="1:10" x14ac:dyDescent="0.25">
      <c r="C37" s="56"/>
      <c r="D37" s="53"/>
      <c r="E37" s="6"/>
      <c r="F37" s="19"/>
      <c r="G37" s="24"/>
      <c r="H37" s="24"/>
      <c r="I37" s="31"/>
      <c r="J37" s="35"/>
    </row>
    <row r="38" spans="1:10" x14ac:dyDescent="0.25">
      <c r="A38" s="10"/>
      <c r="B38" s="28"/>
      <c r="C38" s="58" t="s">
        <v>17</v>
      </c>
      <c r="D38" s="53"/>
      <c r="E38" s="6"/>
      <c r="F38" s="19"/>
      <c r="G38" s="24"/>
      <c r="H38" s="24"/>
      <c r="I38" s="31"/>
      <c r="J38" s="35"/>
    </row>
    <row r="39" spans="1:10" x14ac:dyDescent="0.25">
      <c r="A39" s="28"/>
      <c r="B39" s="28"/>
      <c r="C39" s="58" t="s">
        <v>18</v>
      </c>
      <c r="D39" s="53"/>
      <c r="E39" s="6"/>
      <c r="F39" s="19"/>
      <c r="G39" s="24" t="s">
        <v>2</v>
      </c>
      <c r="H39" s="24" t="s">
        <v>2</v>
      </c>
      <c r="I39" s="31"/>
      <c r="J39" s="35"/>
    </row>
    <row r="40" spans="1:10" x14ac:dyDescent="0.25">
      <c r="A40" s="28"/>
      <c r="B40" s="28"/>
      <c r="C40" s="58"/>
      <c r="D40" s="53"/>
      <c r="E40" s="6"/>
      <c r="F40" s="19"/>
      <c r="G40" s="24"/>
      <c r="H40" s="24"/>
      <c r="I40" s="31"/>
      <c r="J40" s="35"/>
    </row>
    <row r="41" spans="1:10" x14ac:dyDescent="0.25">
      <c r="C41" s="59" t="s">
        <v>19</v>
      </c>
      <c r="D41" s="53"/>
      <c r="E41" s="6"/>
      <c r="F41" s="19"/>
      <c r="G41" s="24"/>
      <c r="H41" s="24"/>
      <c r="I41" s="31"/>
      <c r="J41" s="35"/>
    </row>
    <row r="42" spans="1:10" x14ac:dyDescent="0.25">
      <c r="B42" s="8" t="s">
        <v>1993</v>
      </c>
      <c r="C42" s="56" t="s">
        <v>1994</v>
      </c>
      <c r="D42" s="53" t="s">
        <v>1995</v>
      </c>
      <c r="E42" s="6" t="s">
        <v>1994</v>
      </c>
      <c r="F42" s="19">
        <v>3513</v>
      </c>
      <c r="G42" s="24">
        <v>177292.64</v>
      </c>
      <c r="H42" s="24">
        <v>98.94</v>
      </c>
      <c r="I42" s="31"/>
      <c r="J42" s="35"/>
    </row>
    <row r="43" spans="1:10" x14ac:dyDescent="0.25">
      <c r="C43" s="57" t="s">
        <v>35</v>
      </c>
      <c r="D43" s="53"/>
      <c r="E43" s="6"/>
      <c r="F43" s="19"/>
      <c r="G43" s="25">
        <v>177292.64</v>
      </c>
      <c r="H43" s="25">
        <v>98.94</v>
      </c>
      <c r="I43" s="31"/>
      <c r="J43" s="35"/>
    </row>
    <row r="44" spans="1:10" x14ac:dyDescent="0.25">
      <c r="C44" s="56"/>
      <c r="D44" s="53"/>
      <c r="E44" s="6"/>
      <c r="F44" s="19"/>
      <c r="G44" s="24"/>
      <c r="H44" s="24"/>
      <c r="I44" s="31"/>
      <c r="J44" s="35"/>
    </row>
    <row r="45" spans="1:10" x14ac:dyDescent="0.25">
      <c r="C45" s="57" t="s">
        <v>20</v>
      </c>
      <c r="D45" s="53"/>
      <c r="E45" s="6"/>
      <c r="F45" s="19"/>
      <c r="G45" s="24" t="s">
        <v>2</v>
      </c>
      <c r="H45" s="24" t="s">
        <v>2</v>
      </c>
      <c r="I45" s="31"/>
      <c r="J45" s="35"/>
    </row>
    <row r="46" spans="1:10" x14ac:dyDescent="0.25">
      <c r="C46" s="56"/>
      <c r="D46" s="53"/>
      <c r="E46" s="6"/>
      <c r="F46" s="19"/>
      <c r="G46" s="24"/>
      <c r="H46" s="24"/>
      <c r="I46" s="31"/>
      <c r="J46" s="35"/>
    </row>
    <row r="47" spans="1:10" x14ac:dyDescent="0.25">
      <c r="C47" s="57" t="s">
        <v>21</v>
      </c>
      <c r="D47" s="53"/>
      <c r="E47" s="6"/>
      <c r="F47" s="19"/>
      <c r="G47" s="24" t="s">
        <v>2</v>
      </c>
      <c r="H47" s="24" t="s">
        <v>2</v>
      </c>
      <c r="I47" s="31"/>
      <c r="J47" s="35"/>
    </row>
    <row r="48" spans="1:10" x14ac:dyDescent="0.25">
      <c r="C48" s="56"/>
      <c r="D48" s="53"/>
      <c r="E48" s="6"/>
      <c r="F48" s="19"/>
      <c r="G48" s="24"/>
      <c r="H48" s="24"/>
      <c r="I48" s="31"/>
      <c r="J48" s="35"/>
    </row>
    <row r="49" spans="1:10" x14ac:dyDescent="0.25">
      <c r="C49" s="59" t="s">
        <v>22</v>
      </c>
      <c r="D49" s="53"/>
      <c r="E49" s="6"/>
      <c r="F49" s="19"/>
      <c r="G49" s="24"/>
      <c r="H49" s="24"/>
      <c r="I49" s="31"/>
      <c r="J49" s="35"/>
    </row>
    <row r="50" spans="1:10" x14ac:dyDescent="0.25">
      <c r="B50" s="8" t="s">
        <v>33</v>
      </c>
      <c r="C50" s="56" t="s">
        <v>34</v>
      </c>
      <c r="D50" s="53"/>
      <c r="E50" s="6"/>
      <c r="F50" s="19"/>
      <c r="G50" s="24">
        <v>11.29</v>
      </c>
      <c r="H50" s="24">
        <v>0.01</v>
      </c>
      <c r="I50" s="31"/>
      <c r="J50" s="35"/>
    </row>
    <row r="51" spans="1:10" x14ac:dyDescent="0.25">
      <c r="C51" s="57" t="s">
        <v>35</v>
      </c>
      <c r="D51" s="53"/>
      <c r="E51" s="6"/>
      <c r="F51" s="19"/>
      <c r="G51" s="25">
        <v>11.29</v>
      </c>
      <c r="H51" s="25">
        <v>0.01</v>
      </c>
      <c r="I51" s="31"/>
      <c r="J51" s="35"/>
    </row>
    <row r="52" spans="1:10" x14ac:dyDescent="0.25">
      <c r="C52" s="56"/>
      <c r="D52" s="53"/>
      <c r="E52" s="6"/>
      <c r="F52" s="19"/>
      <c r="G52" s="24"/>
      <c r="H52" s="24"/>
      <c r="I52" s="31"/>
      <c r="J52" s="35"/>
    </row>
    <row r="53" spans="1:10" x14ac:dyDescent="0.25">
      <c r="A53" s="10"/>
      <c r="B53" s="28"/>
      <c r="C53" s="58" t="s">
        <v>23</v>
      </c>
      <c r="D53" s="53"/>
      <c r="E53" s="6"/>
      <c r="F53" s="19"/>
      <c r="G53" s="24"/>
      <c r="H53" s="24"/>
      <c r="I53" s="31"/>
      <c r="J53" s="35"/>
    </row>
    <row r="54" spans="1:10" x14ac:dyDescent="0.25">
      <c r="A54" s="28"/>
      <c r="B54" s="28"/>
      <c r="C54" s="60" t="s">
        <v>3398</v>
      </c>
      <c r="D54" s="53"/>
      <c r="E54" s="6"/>
      <c r="F54" s="19"/>
      <c r="G54" s="24" t="s">
        <v>2</v>
      </c>
      <c r="H54" s="24" t="s">
        <v>2</v>
      </c>
      <c r="I54" s="31"/>
      <c r="J54" s="35"/>
    </row>
    <row r="55" spans="1:10" x14ac:dyDescent="0.25">
      <c r="B55" s="8"/>
      <c r="C55" s="56" t="s">
        <v>36</v>
      </c>
      <c r="D55" s="53"/>
      <c r="E55" s="6"/>
      <c r="F55" s="19"/>
      <c r="G55" s="24">
        <v>1884.09</v>
      </c>
      <c r="H55" s="24">
        <v>1.05</v>
      </c>
      <c r="I55" s="31"/>
      <c r="J55" s="35"/>
    </row>
    <row r="56" spans="1:10" x14ac:dyDescent="0.25">
      <c r="C56" s="57" t="s">
        <v>35</v>
      </c>
      <c r="D56" s="53"/>
      <c r="E56" s="6"/>
      <c r="F56" s="19"/>
      <c r="G56" s="25">
        <v>1884.09</v>
      </c>
      <c r="H56" s="25">
        <v>1.05</v>
      </c>
      <c r="I56" s="31"/>
      <c r="J56" s="35"/>
    </row>
    <row r="57" spans="1:10" x14ac:dyDescent="0.25">
      <c r="C57" s="56"/>
      <c r="D57" s="53"/>
      <c r="E57" s="6"/>
      <c r="F57" s="19"/>
      <c r="G57" s="24"/>
      <c r="H57" s="24"/>
      <c r="I57" s="31"/>
      <c r="J57" s="35"/>
    </row>
    <row r="58" spans="1:10" x14ac:dyDescent="0.25">
      <c r="C58" s="61" t="s">
        <v>37</v>
      </c>
      <c r="D58" s="54"/>
      <c r="E58" s="5"/>
      <c r="F58" s="20"/>
      <c r="G58" s="26">
        <v>179188.02</v>
      </c>
      <c r="H58" s="26">
        <f>SUMIFS(H:H,C:C,"Total")</f>
        <v>100</v>
      </c>
      <c r="I58" s="32"/>
      <c r="J58" s="36"/>
    </row>
    <row r="61" spans="1:10" x14ac:dyDescent="0.25">
      <c r="C61" s="1" t="s">
        <v>38</v>
      </c>
    </row>
    <row r="62" spans="1:10" x14ac:dyDescent="0.25">
      <c r="C62" s="2" t="s">
        <v>39</v>
      </c>
    </row>
    <row r="63" spans="1:10" x14ac:dyDescent="0.25">
      <c r="C63" s="2" t="s">
        <v>40</v>
      </c>
    </row>
    <row r="64" spans="1:10" x14ac:dyDescent="0.25">
      <c r="C64" s="2" t="s">
        <v>3430</v>
      </c>
    </row>
  </sheetData>
  <hyperlinks>
    <hyperlink ref="J2" location="'Index'!A1" display="'Index'!A1"/>
  </hyperlinks>
  <pageMargins left="0.7" right="0.7" top="0.75" bottom="0.75" header="0.3" footer="0.3"/>
  <pageSetup orientation="portrait" horizontalDpi="4294967293"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3"/>
  <dimension ref="A1:J8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1796</v>
      </c>
      <c r="J2" s="37" t="s">
        <v>3307</v>
      </c>
    </row>
    <row r="3" spans="1:10" ht="16.5" x14ac:dyDescent="0.3">
      <c r="C3" s="1" t="s">
        <v>24</v>
      </c>
      <c r="D3" s="21" t="s">
        <v>1996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164</v>
      </c>
      <c r="C10" s="56" t="s">
        <v>165</v>
      </c>
      <c r="D10" s="53" t="s">
        <v>166</v>
      </c>
      <c r="E10" s="6" t="s">
        <v>51</v>
      </c>
      <c r="F10" s="19">
        <v>782500</v>
      </c>
      <c r="G10" s="24">
        <v>1450.76</v>
      </c>
      <c r="H10" s="24">
        <v>9.5299999999999994</v>
      </c>
      <c r="I10" s="31"/>
      <c r="J10" s="35"/>
    </row>
    <row r="11" spans="1:10" x14ac:dyDescent="0.25">
      <c r="B11" s="8" t="s">
        <v>171</v>
      </c>
      <c r="C11" s="56" t="s">
        <v>172</v>
      </c>
      <c r="D11" s="53" t="s">
        <v>173</v>
      </c>
      <c r="E11" s="6" t="s">
        <v>55</v>
      </c>
      <c r="F11" s="19">
        <v>345000</v>
      </c>
      <c r="G11" s="24">
        <v>1218.02</v>
      </c>
      <c r="H11" s="24">
        <v>8</v>
      </c>
      <c r="I11" s="31"/>
      <c r="J11" s="35"/>
    </row>
    <row r="12" spans="1:10" x14ac:dyDescent="0.25">
      <c r="B12" s="8" t="s">
        <v>1997</v>
      </c>
      <c r="C12" s="56" t="s">
        <v>1150</v>
      </c>
      <c r="D12" s="53" t="s">
        <v>1998</v>
      </c>
      <c r="E12" s="6" t="s">
        <v>94</v>
      </c>
      <c r="F12" s="19">
        <v>210000</v>
      </c>
      <c r="G12" s="24">
        <v>873.08</v>
      </c>
      <c r="H12" s="24">
        <v>5.73</v>
      </c>
      <c r="I12" s="31"/>
      <c r="J12" s="35"/>
    </row>
    <row r="13" spans="1:10" x14ac:dyDescent="0.25">
      <c r="B13" s="8" t="s">
        <v>853</v>
      </c>
      <c r="C13" s="56" t="s">
        <v>854</v>
      </c>
      <c r="D13" s="53" t="s">
        <v>855</v>
      </c>
      <c r="E13" s="6" t="s">
        <v>261</v>
      </c>
      <c r="F13" s="19">
        <v>530000</v>
      </c>
      <c r="G13" s="24">
        <v>860.99</v>
      </c>
      <c r="H13" s="24">
        <v>5.65</v>
      </c>
      <c r="I13" s="31"/>
      <c r="J13" s="35"/>
    </row>
    <row r="14" spans="1:10" x14ac:dyDescent="0.25">
      <c r="B14" s="8" t="s">
        <v>856</v>
      </c>
      <c r="C14" s="56" t="s">
        <v>857</v>
      </c>
      <c r="D14" s="53" t="s">
        <v>858</v>
      </c>
      <c r="E14" s="6" t="s">
        <v>261</v>
      </c>
      <c r="F14" s="19">
        <v>1000000</v>
      </c>
      <c r="G14" s="24">
        <v>851</v>
      </c>
      <c r="H14" s="24">
        <v>5.59</v>
      </c>
      <c r="I14" s="31"/>
      <c r="J14" s="35"/>
    </row>
    <row r="15" spans="1:10" x14ac:dyDescent="0.25">
      <c r="B15" s="8" t="s">
        <v>868</v>
      </c>
      <c r="C15" s="56" t="s">
        <v>869</v>
      </c>
      <c r="D15" s="53" t="s">
        <v>870</v>
      </c>
      <c r="E15" s="6" t="s">
        <v>94</v>
      </c>
      <c r="F15" s="19">
        <v>94500</v>
      </c>
      <c r="G15" s="24">
        <v>766.82</v>
      </c>
      <c r="H15" s="24">
        <v>5.04</v>
      </c>
      <c r="I15" s="31"/>
      <c r="J15" s="35"/>
    </row>
    <row r="16" spans="1:10" x14ac:dyDescent="0.25">
      <c r="B16" s="8" t="s">
        <v>1999</v>
      </c>
      <c r="C16" s="56" t="s">
        <v>2000</v>
      </c>
      <c r="D16" s="53" t="s">
        <v>2001</v>
      </c>
      <c r="E16" s="6" t="s">
        <v>397</v>
      </c>
      <c r="F16" s="19">
        <v>301335</v>
      </c>
      <c r="G16" s="24">
        <v>763.43</v>
      </c>
      <c r="H16" s="24">
        <v>5.01</v>
      </c>
      <c r="I16" s="31"/>
      <c r="J16" s="35"/>
    </row>
    <row r="17" spans="2:10" x14ac:dyDescent="0.25">
      <c r="B17" s="8" t="s">
        <v>839</v>
      </c>
      <c r="C17" s="56" t="s">
        <v>840</v>
      </c>
      <c r="D17" s="53" t="s">
        <v>841</v>
      </c>
      <c r="E17" s="6" t="s">
        <v>842</v>
      </c>
      <c r="F17" s="19">
        <v>1000000</v>
      </c>
      <c r="G17" s="24">
        <v>692.5</v>
      </c>
      <c r="H17" s="24">
        <v>4.55</v>
      </c>
      <c r="I17" s="31"/>
      <c r="J17" s="35"/>
    </row>
    <row r="18" spans="2:10" x14ac:dyDescent="0.25">
      <c r="B18" s="8" t="s">
        <v>805</v>
      </c>
      <c r="C18" s="56" t="s">
        <v>806</v>
      </c>
      <c r="D18" s="53" t="s">
        <v>807</v>
      </c>
      <c r="E18" s="6" t="s">
        <v>55</v>
      </c>
      <c r="F18" s="19">
        <v>375000</v>
      </c>
      <c r="G18" s="24">
        <v>677.44</v>
      </c>
      <c r="H18" s="24">
        <v>4.45</v>
      </c>
      <c r="I18" s="31"/>
      <c r="J18" s="35"/>
    </row>
    <row r="19" spans="2:10" x14ac:dyDescent="0.25">
      <c r="B19" s="8" t="s">
        <v>2002</v>
      </c>
      <c r="C19" s="56" t="s">
        <v>2003</v>
      </c>
      <c r="D19" s="53" t="s">
        <v>2004</v>
      </c>
      <c r="E19" s="6" t="s">
        <v>2005</v>
      </c>
      <c r="F19" s="19">
        <v>298888</v>
      </c>
      <c r="G19" s="24">
        <v>646.64</v>
      </c>
      <c r="H19" s="24">
        <v>4.25</v>
      </c>
      <c r="I19" s="31"/>
      <c r="J19" s="35"/>
    </row>
    <row r="20" spans="2:10" x14ac:dyDescent="0.25">
      <c r="B20" s="8" t="s">
        <v>376</v>
      </c>
      <c r="C20" s="56" t="s">
        <v>377</v>
      </c>
      <c r="D20" s="53" t="s">
        <v>378</v>
      </c>
      <c r="E20" s="6" t="s">
        <v>94</v>
      </c>
      <c r="F20" s="19">
        <v>570000</v>
      </c>
      <c r="G20" s="24">
        <v>596.22</v>
      </c>
      <c r="H20" s="24">
        <v>3.92</v>
      </c>
      <c r="I20" s="31"/>
      <c r="J20" s="35"/>
    </row>
    <row r="21" spans="2:10" x14ac:dyDescent="0.25">
      <c r="B21" s="8" t="s">
        <v>2006</v>
      </c>
      <c r="C21" s="56" t="s">
        <v>2007</v>
      </c>
      <c r="D21" s="53" t="s">
        <v>2008</v>
      </c>
      <c r="E21" s="6" t="s">
        <v>2009</v>
      </c>
      <c r="F21" s="19">
        <v>42500</v>
      </c>
      <c r="G21" s="24">
        <v>588.20000000000005</v>
      </c>
      <c r="H21" s="24">
        <v>3.86</v>
      </c>
      <c r="I21" s="31"/>
      <c r="J21" s="35"/>
    </row>
    <row r="22" spans="2:10" x14ac:dyDescent="0.25">
      <c r="B22" s="8" t="s">
        <v>902</v>
      </c>
      <c r="C22" s="56" t="s">
        <v>903</v>
      </c>
      <c r="D22" s="53" t="s">
        <v>904</v>
      </c>
      <c r="E22" s="6" t="s">
        <v>79</v>
      </c>
      <c r="F22" s="19">
        <v>775000</v>
      </c>
      <c r="G22" s="24">
        <v>498.71</v>
      </c>
      <c r="H22" s="24">
        <v>3.28</v>
      </c>
      <c r="I22" s="31"/>
      <c r="J22" s="35"/>
    </row>
    <row r="23" spans="2:10" x14ac:dyDescent="0.25">
      <c r="B23" s="8" t="s">
        <v>1618</v>
      </c>
      <c r="C23" s="56" t="s">
        <v>1619</v>
      </c>
      <c r="D23" s="53" t="s">
        <v>1620</v>
      </c>
      <c r="E23" s="6" t="s">
        <v>142</v>
      </c>
      <c r="F23" s="19">
        <v>135000</v>
      </c>
      <c r="G23" s="24">
        <v>492.68</v>
      </c>
      <c r="H23" s="24">
        <v>3.24</v>
      </c>
      <c r="I23" s="31"/>
      <c r="J23" s="35"/>
    </row>
    <row r="24" spans="2:10" x14ac:dyDescent="0.25">
      <c r="B24" s="8" t="s">
        <v>883</v>
      </c>
      <c r="C24" s="56" t="s">
        <v>884</v>
      </c>
      <c r="D24" s="53" t="s">
        <v>885</v>
      </c>
      <c r="E24" s="6" t="s">
        <v>886</v>
      </c>
      <c r="F24" s="19">
        <v>400000</v>
      </c>
      <c r="G24" s="24">
        <v>464</v>
      </c>
      <c r="H24" s="24">
        <v>3.05</v>
      </c>
      <c r="I24" s="31"/>
      <c r="J24" s="35"/>
    </row>
    <row r="25" spans="2:10" x14ac:dyDescent="0.25">
      <c r="B25" s="8" t="s">
        <v>823</v>
      </c>
      <c r="C25" s="56" t="s">
        <v>824</v>
      </c>
      <c r="D25" s="53" t="s">
        <v>825</v>
      </c>
      <c r="E25" s="6" t="s">
        <v>826</v>
      </c>
      <c r="F25" s="19">
        <v>500000</v>
      </c>
      <c r="G25" s="24">
        <v>434</v>
      </c>
      <c r="H25" s="24">
        <v>2.85</v>
      </c>
      <c r="I25" s="31"/>
      <c r="J25" s="35"/>
    </row>
    <row r="26" spans="2:10" x14ac:dyDescent="0.25">
      <c r="B26" s="8" t="s">
        <v>379</v>
      </c>
      <c r="C26" s="56" t="s">
        <v>380</v>
      </c>
      <c r="D26" s="53" t="s">
        <v>381</v>
      </c>
      <c r="E26" s="6" t="s">
        <v>55</v>
      </c>
      <c r="F26" s="19">
        <v>558536</v>
      </c>
      <c r="G26" s="24">
        <v>412.76</v>
      </c>
      <c r="H26" s="24">
        <v>2.71</v>
      </c>
      <c r="I26" s="31"/>
      <c r="J26" s="35"/>
    </row>
    <row r="27" spans="2:10" x14ac:dyDescent="0.25">
      <c r="B27" s="8" t="s">
        <v>1509</v>
      </c>
      <c r="C27" s="56" t="s">
        <v>1510</v>
      </c>
      <c r="D27" s="53" t="s">
        <v>1511</v>
      </c>
      <c r="E27" s="6" t="s">
        <v>170</v>
      </c>
      <c r="F27" s="19">
        <v>1260813</v>
      </c>
      <c r="G27" s="24">
        <v>406.61</v>
      </c>
      <c r="H27" s="24">
        <v>2.67</v>
      </c>
      <c r="I27" s="31"/>
      <c r="J27" s="35"/>
    </row>
    <row r="28" spans="2:10" x14ac:dyDescent="0.25">
      <c r="B28" s="8" t="s">
        <v>1354</v>
      </c>
      <c r="C28" s="56" t="s">
        <v>1355</v>
      </c>
      <c r="D28" s="53" t="s">
        <v>1356</v>
      </c>
      <c r="E28" s="6" t="s">
        <v>826</v>
      </c>
      <c r="F28" s="19">
        <v>180000</v>
      </c>
      <c r="G28" s="24">
        <v>397.17</v>
      </c>
      <c r="H28" s="24">
        <v>2.61</v>
      </c>
      <c r="I28" s="31"/>
      <c r="J28" s="35"/>
    </row>
    <row r="29" spans="2:10" x14ac:dyDescent="0.25">
      <c r="B29" s="8" t="s">
        <v>817</v>
      </c>
      <c r="C29" s="56" t="s">
        <v>818</v>
      </c>
      <c r="D29" s="53" t="s">
        <v>819</v>
      </c>
      <c r="E29" s="6" t="s">
        <v>51</v>
      </c>
      <c r="F29" s="19">
        <v>586010</v>
      </c>
      <c r="G29" s="24">
        <v>240.56</v>
      </c>
      <c r="H29" s="24">
        <v>1.58</v>
      </c>
      <c r="I29" s="31"/>
      <c r="J29" s="35"/>
    </row>
    <row r="30" spans="2:10" x14ac:dyDescent="0.25">
      <c r="B30" s="8" t="s">
        <v>1558</v>
      </c>
      <c r="C30" s="56" t="s">
        <v>1559</v>
      </c>
      <c r="D30" s="53" t="s">
        <v>1560</v>
      </c>
      <c r="E30" s="6" t="s">
        <v>842</v>
      </c>
      <c r="F30" s="19">
        <v>231157</v>
      </c>
      <c r="G30" s="24">
        <v>206.42</v>
      </c>
      <c r="H30" s="24">
        <v>1.36</v>
      </c>
      <c r="I30" s="31"/>
      <c r="J30" s="35"/>
    </row>
    <row r="31" spans="2:10" x14ac:dyDescent="0.25">
      <c r="B31" s="8" t="s">
        <v>401</v>
      </c>
      <c r="C31" s="56" t="s">
        <v>402</v>
      </c>
      <c r="D31" s="53" t="s">
        <v>403</v>
      </c>
      <c r="E31" s="6" t="s">
        <v>51</v>
      </c>
      <c r="F31" s="19">
        <v>425000</v>
      </c>
      <c r="G31" s="24">
        <v>121.34</v>
      </c>
      <c r="H31" s="24">
        <v>0.8</v>
      </c>
      <c r="I31" s="31"/>
      <c r="J31" s="35"/>
    </row>
    <row r="32" spans="2:10" x14ac:dyDescent="0.25">
      <c r="C32" s="57" t="s">
        <v>35</v>
      </c>
      <c r="D32" s="53"/>
      <c r="E32" s="6"/>
      <c r="F32" s="19"/>
      <c r="G32" s="25">
        <v>13659.35</v>
      </c>
      <c r="H32" s="25">
        <v>89.73</v>
      </c>
      <c r="I32" s="31"/>
      <c r="J32" s="35"/>
    </row>
    <row r="33" spans="3:10" x14ac:dyDescent="0.25">
      <c r="C33" s="56"/>
      <c r="D33" s="53"/>
      <c r="E33" s="6"/>
      <c r="F33" s="19"/>
      <c r="G33" s="24"/>
      <c r="H33" s="24"/>
      <c r="I33" s="31"/>
      <c r="J33" s="35"/>
    </row>
    <row r="34" spans="3:10" x14ac:dyDescent="0.25">
      <c r="C34" s="57" t="s">
        <v>3</v>
      </c>
      <c r="D34" s="53"/>
      <c r="E34" s="6"/>
      <c r="F34" s="19"/>
      <c r="G34" s="24" t="s">
        <v>2</v>
      </c>
      <c r="H34" s="24" t="s">
        <v>2</v>
      </c>
      <c r="I34" s="31"/>
      <c r="J34" s="35"/>
    </row>
    <row r="35" spans="3:10" x14ac:dyDescent="0.25">
      <c r="C35" s="56"/>
      <c r="D35" s="53"/>
      <c r="E35" s="6"/>
      <c r="F35" s="19"/>
      <c r="G35" s="24"/>
      <c r="H35" s="24"/>
      <c r="I35" s="31"/>
      <c r="J35" s="35"/>
    </row>
    <row r="36" spans="3:10" x14ac:dyDescent="0.25">
      <c r="C36" s="57" t="s">
        <v>4</v>
      </c>
      <c r="D36" s="53"/>
      <c r="E36" s="6"/>
      <c r="F36" s="19"/>
      <c r="G36" s="24" t="s">
        <v>2</v>
      </c>
      <c r="H36" s="24" t="s">
        <v>2</v>
      </c>
      <c r="I36" s="31"/>
      <c r="J36" s="35"/>
    </row>
    <row r="37" spans="3:10" x14ac:dyDescent="0.25">
      <c r="C37" s="56"/>
      <c r="D37" s="53"/>
      <c r="E37" s="6"/>
      <c r="F37" s="19"/>
      <c r="G37" s="24"/>
      <c r="H37" s="24"/>
      <c r="I37" s="31"/>
      <c r="J37" s="35"/>
    </row>
    <row r="38" spans="3:10" x14ac:dyDescent="0.25">
      <c r="C38" s="57" t="s">
        <v>5</v>
      </c>
      <c r="D38" s="53"/>
      <c r="E38" s="6"/>
      <c r="F38" s="19"/>
      <c r="G38" s="24"/>
      <c r="H38" s="24"/>
      <c r="I38" s="31"/>
      <c r="J38" s="35"/>
    </row>
    <row r="39" spans="3:10" x14ac:dyDescent="0.25">
      <c r="C39" s="56"/>
      <c r="D39" s="53"/>
      <c r="E39" s="6"/>
      <c r="F39" s="19"/>
      <c r="G39" s="24"/>
      <c r="H39" s="24"/>
      <c r="I39" s="31"/>
      <c r="J39" s="35"/>
    </row>
    <row r="40" spans="3:10" x14ac:dyDescent="0.25">
      <c r="C40" s="57" t="s">
        <v>6</v>
      </c>
      <c r="D40" s="53"/>
      <c r="E40" s="6"/>
      <c r="F40" s="19"/>
      <c r="G40" s="24" t="s">
        <v>2</v>
      </c>
      <c r="H40" s="24" t="s">
        <v>2</v>
      </c>
      <c r="I40" s="31"/>
      <c r="J40" s="35"/>
    </row>
    <row r="41" spans="3:10" x14ac:dyDescent="0.25">
      <c r="C41" s="56"/>
      <c r="D41" s="53"/>
      <c r="E41" s="6"/>
      <c r="F41" s="19"/>
      <c r="G41" s="24"/>
      <c r="H41" s="24"/>
      <c r="I41" s="31"/>
      <c r="J41" s="35"/>
    </row>
    <row r="42" spans="3:10" x14ac:dyDescent="0.25">
      <c r="C42" s="57" t="s">
        <v>7</v>
      </c>
      <c r="D42" s="53"/>
      <c r="E42" s="6"/>
      <c r="F42" s="19"/>
      <c r="G42" s="24" t="s">
        <v>2</v>
      </c>
      <c r="H42" s="24" t="s">
        <v>2</v>
      </c>
      <c r="I42" s="31"/>
      <c r="J42" s="35"/>
    </row>
    <row r="43" spans="3:10" x14ac:dyDescent="0.25">
      <c r="C43" s="56"/>
      <c r="D43" s="53"/>
      <c r="E43" s="6"/>
      <c r="F43" s="19"/>
      <c r="G43" s="24"/>
      <c r="H43" s="24"/>
      <c r="I43" s="31"/>
      <c r="J43" s="35"/>
    </row>
    <row r="44" spans="3:10" x14ac:dyDescent="0.25">
      <c r="C44" s="57" t="s">
        <v>8</v>
      </c>
      <c r="D44" s="53"/>
      <c r="E44" s="6"/>
      <c r="F44" s="19"/>
      <c r="G44" s="24" t="s">
        <v>2</v>
      </c>
      <c r="H44" s="24" t="s">
        <v>2</v>
      </c>
      <c r="I44" s="31"/>
      <c r="J44" s="35"/>
    </row>
    <row r="45" spans="3:10" x14ac:dyDescent="0.25">
      <c r="C45" s="56"/>
      <c r="D45" s="53"/>
      <c r="E45" s="6"/>
      <c r="F45" s="19"/>
      <c r="G45" s="24"/>
      <c r="H45" s="24"/>
      <c r="I45" s="31"/>
      <c r="J45" s="35"/>
    </row>
    <row r="46" spans="3:10" x14ac:dyDescent="0.25">
      <c r="C46" s="57" t="s">
        <v>9</v>
      </c>
      <c r="D46" s="53"/>
      <c r="E46" s="6"/>
      <c r="F46" s="19"/>
      <c r="G46" s="24" t="s">
        <v>2</v>
      </c>
      <c r="H46" s="24" t="s">
        <v>2</v>
      </c>
      <c r="I46" s="31"/>
      <c r="J46" s="35"/>
    </row>
    <row r="47" spans="3:10" x14ac:dyDescent="0.25">
      <c r="C47" s="56"/>
      <c r="D47" s="53"/>
      <c r="E47" s="6"/>
      <c r="F47" s="19"/>
      <c r="G47" s="24"/>
      <c r="H47" s="24"/>
      <c r="I47" s="31"/>
      <c r="J47" s="35"/>
    </row>
    <row r="48" spans="3:10" x14ac:dyDescent="0.25">
      <c r="C48" s="57" t="s">
        <v>10</v>
      </c>
      <c r="D48" s="53"/>
      <c r="E48" s="6"/>
      <c r="F48" s="19"/>
      <c r="G48" s="24" t="s">
        <v>2</v>
      </c>
      <c r="H48" s="24" t="s">
        <v>2</v>
      </c>
      <c r="I48" s="31"/>
      <c r="J48" s="35"/>
    </row>
    <row r="49" spans="1:10" x14ac:dyDescent="0.25">
      <c r="C49" s="56"/>
      <c r="D49" s="53"/>
      <c r="E49" s="6"/>
      <c r="F49" s="19"/>
      <c r="G49" s="24"/>
      <c r="H49" s="24"/>
      <c r="I49" s="31"/>
      <c r="J49" s="35"/>
    </row>
    <row r="50" spans="1:10" x14ac:dyDescent="0.25">
      <c r="C50" s="57" t="s">
        <v>11</v>
      </c>
      <c r="D50" s="53"/>
      <c r="E50" s="6"/>
      <c r="F50" s="19"/>
      <c r="G50" s="24"/>
      <c r="H50" s="24"/>
      <c r="I50" s="31"/>
      <c r="J50" s="35"/>
    </row>
    <row r="51" spans="1:10" x14ac:dyDescent="0.25">
      <c r="C51" s="56"/>
      <c r="D51" s="53"/>
      <c r="E51" s="6"/>
      <c r="F51" s="19"/>
      <c r="G51" s="24"/>
      <c r="H51" s="24"/>
      <c r="I51" s="31"/>
      <c r="J51" s="35"/>
    </row>
    <row r="52" spans="1:10" x14ac:dyDescent="0.25">
      <c r="C52" s="57" t="s">
        <v>13</v>
      </c>
      <c r="D52" s="53"/>
      <c r="E52" s="6"/>
      <c r="F52" s="19"/>
      <c r="G52" s="24" t="s">
        <v>2</v>
      </c>
      <c r="H52" s="24" t="s">
        <v>2</v>
      </c>
      <c r="I52" s="31"/>
      <c r="J52" s="35"/>
    </row>
    <row r="53" spans="1:10" x14ac:dyDescent="0.25">
      <c r="C53" s="56"/>
      <c r="D53" s="53"/>
      <c r="E53" s="6"/>
      <c r="F53" s="19"/>
      <c r="G53" s="24"/>
      <c r="H53" s="24"/>
      <c r="I53" s="31"/>
      <c r="J53" s="35"/>
    </row>
    <row r="54" spans="1:10" x14ac:dyDescent="0.25">
      <c r="C54" s="57" t="s">
        <v>14</v>
      </c>
      <c r="D54" s="53"/>
      <c r="E54" s="6"/>
      <c r="F54" s="19"/>
      <c r="G54" s="24" t="s">
        <v>2</v>
      </c>
      <c r="H54" s="24" t="s">
        <v>2</v>
      </c>
      <c r="I54" s="31"/>
      <c r="J54" s="35"/>
    </row>
    <row r="55" spans="1:10" x14ac:dyDescent="0.25">
      <c r="C55" s="56"/>
      <c r="D55" s="53"/>
      <c r="E55" s="6"/>
      <c r="F55" s="19"/>
      <c r="G55" s="24"/>
      <c r="H55" s="24"/>
      <c r="I55" s="31"/>
      <c r="J55" s="35"/>
    </row>
    <row r="56" spans="1:10" x14ac:dyDescent="0.25">
      <c r="C56" s="57" t="s">
        <v>15</v>
      </c>
      <c r="D56" s="53"/>
      <c r="E56" s="6"/>
      <c r="F56" s="19"/>
      <c r="G56" s="24" t="s">
        <v>2</v>
      </c>
      <c r="H56" s="24" t="s">
        <v>2</v>
      </c>
      <c r="I56" s="31"/>
      <c r="J56" s="35"/>
    </row>
    <row r="57" spans="1:10" x14ac:dyDescent="0.25">
      <c r="C57" s="56"/>
      <c r="D57" s="53"/>
      <c r="E57" s="6"/>
      <c r="F57" s="19"/>
      <c r="G57" s="24"/>
      <c r="H57" s="24"/>
      <c r="I57" s="31"/>
      <c r="J57" s="35"/>
    </row>
    <row r="58" spans="1:10" x14ac:dyDescent="0.25">
      <c r="C58" s="57" t="s">
        <v>16</v>
      </c>
      <c r="D58" s="53"/>
      <c r="E58" s="6"/>
      <c r="F58" s="19"/>
      <c r="G58" s="24" t="s">
        <v>2</v>
      </c>
      <c r="H58" s="24" t="s">
        <v>2</v>
      </c>
      <c r="I58" s="31"/>
      <c r="J58" s="35"/>
    </row>
    <row r="59" spans="1:10" x14ac:dyDescent="0.25">
      <c r="C59" s="56"/>
      <c r="D59" s="53"/>
      <c r="E59" s="6"/>
      <c r="F59" s="19"/>
      <c r="G59" s="24"/>
      <c r="H59" s="24"/>
      <c r="I59" s="31"/>
      <c r="J59" s="35"/>
    </row>
    <row r="60" spans="1:10" x14ac:dyDescent="0.25">
      <c r="A60" s="10"/>
      <c r="B60" s="28"/>
      <c r="C60" s="58" t="s">
        <v>17</v>
      </c>
      <c r="D60" s="53"/>
      <c r="E60" s="6"/>
      <c r="F60" s="19"/>
      <c r="G60" s="24"/>
      <c r="H60" s="24"/>
      <c r="I60" s="31"/>
      <c r="J60" s="35"/>
    </row>
    <row r="61" spans="1:10" x14ac:dyDescent="0.25">
      <c r="A61" s="28"/>
      <c r="B61" s="28"/>
      <c r="C61" s="58" t="s">
        <v>18</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19</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A65" s="28"/>
      <c r="B65" s="28"/>
      <c r="C65" s="58" t="s">
        <v>20</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A67" s="28"/>
      <c r="B67" s="28"/>
      <c r="C67" s="58" t="s">
        <v>21</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C69" s="59" t="s">
        <v>22</v>
      </c>
      <c r="D69" s="53"/>
      <c r="E69" s="6"/>
      <c r="F69" s="19"/>
      <c r="G69" s="24"/>
      <c r="H69" s="24"/>
      <c r="I69" s="31"/>
      <c r="J69" s="35"/>
    </row>
    <row r="70" spans="1:10" x14ac:dyDescent="0.25">
      <c r="B70" s="8" t="s">
        <v>33</v>
      </c>
      <c r="C70" s="56" t="s">
        <v>34</v>
      </c>
      <c r="D70" s="53"/>
      <c r="E70" s="6"/>
      <c r="F70" s="19"/>
      <c r="G70" s="24">
        <v>1580.41</v>
      </c>
      <c r="H70" s="24">
        <v>10.38</v>
      </c>
      <c r="I70" s="31"/>
      <c r="J70" s="35"/>
    </row>
    <row r="71" spans="1:10" x14ac:dyDescent="0.25">
      <c r="C71" s="57" t="s">
        <v>35</v>
      </c>
      <c r="D71" s="53"/>
      <c r="E71" s="6"/>
      <c r="F71" s="19"/>
      <c r="G71" s="25">
        <v>1580.41</v>
      </c>
      <c r="H71" s="25">
        <v>10.38</v>
      </c>
      <c r="I71" s="31"/>
      <c r="J71" s="35"/>
    </row>
    <row r="72" spans="1:10" x14ac:dyDescent="0.25">
      <c r="C72" s="56"/>
      <c r="D72" s="53"/>
      <c r="E72" s="6"/>
      <c r="F72" s="19"/>
      <c r="G72" s="24"/>
      <c r="H72" s="24"/>
      <c r="I72" s="31"/>
      <c r="J72" s="35"/>
    </row>
    <row r="73" spans="1:10" x14ac:dyDescent="0.25">
      <c r="A73" s="10"/>
      <c r="B73" s="28"/>
      <c r="C73" s="58" t="s">
        <v>23</v>
      </c>
      <c r="D73" s="53"/>
      <c r="E73" s="6"/>
      <c r="F73" s="19"/>
      <c r="G73" s="24"/>
      <c r="H73" s="24"/>
      <c r="I73" s="31"/>
      <c r="J73" s="35"/>
    </row>
    <row r="74" spans="1:10" x14ac:dyDescent="0.25">
      <c r="A74" s="28"/>
      <c r="B74" s="28"/>
      <c r="C74" s="60" t="s">
        <v>3398</v>
      </c>
      <c r="D74" s="53"/>
      <c r="E74" s="6"/>
      <c r="F74" s="19"/>
      <c r="G74" s="24" t="s">
        <v>2</v>
      </c>
      <c r="H74" s="24" t="s">
        <v>2</v>
      </c>
      <c r="I74" s="31"/>
      <c r="J74" s="35"/>
    </row>
    <row r="75" spans="1:10" x14ac:dyDescent="0.25">
      <c r="B75" s="8"/>
      <c r="C75" s="56" t="s">
        <v>36</v>
      </c>
      <c r="D75" s="53"/>
      <c r="E75" s="6"/>
      <c r="F75" s="19"/>
      <c r="G75" s="24">
        <v>-14.5</v>
      </c>
      <c r="H75" s="24">
        <v>-0.11</v>
      </c>
      <c r="I75" s="31"/>
      <c r="J75" s="35"/>
    </row>
    <row r="76" spans="1:10" x14ac:dyDescent="0.25">
      <c r="C76" s="57" t="s">
        <v>35</v>
      </c>
      <c r="D76" s="53"/>
      <c r="E76" s="6"/>
      <c r="F76" s="19"/>
      <c r="G76" s="25">
        <v>-14.5</v>
      </c>
      <c r="H76" s="25">
        <v>-0.11</v>
      </c>
      <c r="I76" s="31"/>
      <c r="J76" s="35"/>
    </row>
    <row r="77" spans="1:10" x14ac:dyDescent="0.25">
      <c r="C77" s="56"/>
      <c r="D77" s="53"/>
      <c r="E77" s="6"/>
      <c r="F77" s="19"/>
      <c r="G77" s="24"/>
      <c r="H77" s="24"/>
      <c r="I77" s="31"/>
      <c r="J77" s="35"/>
    </row>
    <row r="78" spans="1:10" x14ac:dyDescent="0.25">
      <c r="C78" s="61" t="s">
        <v>37</v>
      </c>
      <c r="D78" s="54"/>
      <c r="E78" s="5"/>
      <c r="F78" s="20"/>
      <c r="G78" s="26">
        <v>15225.26</v>
      </c>
      <c r="H78" s="26">
        <f>SUMIFS(H:H,C:C,"Total")</f>
        <v>100</v>
      </c>
      <c r="I78" s="32"/>
      <c r="J78" s="36"/>
    </row>
    <row r="81" spans="3:3" x14ac:dyDescent="0.25">
      <c r="C81" s="1" t="s">
        <v>38</v>
      </c>
    </row>
    <row r="82" spans="3:3" x14ac:dyDescent="0.25">
      <c r="C82" s="2" t="s">
        <v>39</v>
      </c>
    </row>
    <row r="83" spans="3:3" x14ac:dyDescent="0.25">
      <c r="C83" s="2" t="s">
        <v>40</v>
      </c>
    </row>
    <row r="84" spans="3:3" x14ac:dyDescent="0.25">
      <c r="C84" s="2" t="s">
        <v>3430</v>
      </c>
    </row>
  </sheetData>
  <hyperlinks>
    <hyperlink ref="J2" location="'Index'!A1" display="'Index'!A1"/>
  </hyperlinks>
  <pageMargins left="0.7" right="0.7" top="0.75" bottom="0.75" header="0.3" footer="0.3"/>
  <pageSetup orientation="portrait" horizontalDpi="4294967293"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4"/>
  <dimension ref="A1:J6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2011</v>
      </c>
      <c r="J2" s="37" t="s">
        <v>3307</v>
      </c>
    </row>
    <row r="3" spans="1:10" ht="16.5" x14ac:dyDescent="0.3">
      <c r="C3" s="1" t="s">
        <v>24</v>
      </c>
      <c r="D3" s="21" t="s">
        <v>2012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C16" s="57" t="s">
        <v>5</v>
      </c>
      <c r="D16" s="53"/>
      <c r="E16" s="6"/>
      <c r="F16" s="19"/>
      <c r="G16" s="24"/>
      <c r="H16" s="24"/>
      <c r="I16" s="31"/>
      <c r="J16" s="35"/>
    </row>
    <row r="17" spans="3:10" x14ac:dyDescent="0.25">
      <c r="C17" s="56"/>
      <c r="D17" s="53"/>
      <c r="E17" s="6"/>
      <c r="F17" s="19"/>
      <c r="G17" s="24"/>
      <c r="H17" s="24"/>
      <c r="I17" s="31"/>
      <c r="J17" s="35"/>
    </row>
    <row r="18" spans="3:10" x14ac:dyDescent="0.25">
      <c r="C18" s="57" t="s">
        <v>6</v>
      </c>
      <c r="D18" s="53"/>
      <c r="E18" s="6"/>
      <c r="F18" s="19"/>
      <c r="G18" s="24" t="s">
        <v>2</v>
      </c>
      <c r="H18" s="24" t="s">
        <v>2</v>
      </c>
      <c r="I18" s="31"/>
      <c r="J18" s="35"/>
    </row>
    <row r="19" spans="3:10" x14ac:dyDescent="0.25">
      <c r="C19" s="56"/>
      <c r="D19" s="53"/>
      <c r="E19" s="6"/>
      <c r="F19" s="19"/>
      <c r="G19" s="24"/>
      <c r="H19" s="24"/>
      <c r="I19" s="31"/>
      <c r="J19" s="35"/>
    </row>
    <row r="20" spans="3:10" x14ac:dyDescent="0.25">
      <c r="C20" s="57" t="s">
        <v>7</v>
      </c>
      <c r="D20" s="53"/>
      <c r="E20" s="6"/>
      <c r="F20" s="19"/>
      <c r="G20" s="24" t="s">
        <v>2</v>
      </c>
      <c r="H20" s="24" t="s">
        <v>2</v>
      </c>
      <c r="I20" s="31"/>
      <c r="J20" s="35"/>
    </row>
    <row r="21" spans="3:10" x14ac:dyDescent="0.25">
      <c r="C21" s="56"/>
      <c r="D21" s="53"/>
      <c r="E21" s="6"/>
      <c r="F21" s="19"/>
      <c r="G21" s="24"/>
      <c r="H21" s="24"/>
      <c r="I21" s="31"/>
      <c r="J21" s="35"/>
    </row>
    <row r="22" spans="3:10" x14ac:dyDescent="0.25">
      <c r="C22" s="57" t="s">
        <v>8</v>
      </c>
      <c r="D22" s="53"/>
      <c r="E22" s="6"/>
      <c r="F22" s="19"/>
      <c r="G22" s="24" t="s">
        <v>2</v>
      </c>
      <c r="H22" s="24" t="s">
        <v>2</v>
      </c>
      <c r="I22" s="31"/>
      <c r="J22" s="35"/>
    </row>
    <row r="23" spans="3:10" x14ac:dyDescent="0.25">
      <c r="C23" s="56"/>
      <c r="D23" s="53"/>
      <c r="E23" s="6"/>
      <c r="F23" s="19"/>
      <c r="G23" s="24"/>
      <c r="H23" s="24"/>
      <c r="I23" s="31"/>
      <c r="J23" s="35"/>
    </row>
    <row r="24" spans="3:10" x14ac:dyDescent="0.25">
      <c r="C24" s="57" t="s">
        <v>9</v>
      </c>
      <c r="D24" s="53"/>
      <c r="E24" s="6"/>
      <c r="F24" s="19"/>
      <c r="G24" s="24" t="s">
        <v>2</v>
      </c>
      <c r="H24" s="24" t="s">
        <v>2</v>
      </c>
      <c r="I24" s="31"/>
      <c r="J24" s="35"/>
    </row>
    <row r="25" spans="3:10" x14ac:dyDescent="0.25">
      <c r="C25" s="56"/>
      <c r="D25" s="53"/>
      <c r="E25" s="6"/>
      <c r="F25" s="19"/>
      <c r="G25" s="24"/>
      <c r="H25" s="24"/>
      <c r="I25" s="31"/>
      <c r="J25" s="35"/>
    </row>
    <row r="26" spans="3:10" x14ac:dyDescent="0.25">
      <c r="C26" s="57" t="s">
        <v>10</v>
      </c>
      <c r="D26" s="53"/>
      <c r="E26" s="6"/>
      <c r="F26" s="19"/>
      <c r="G26" s="24" t="s">
        <v>2</v>
      </c>
      <c r="H26" s="24" t="s">
        <v>2</v>
      </c>
      <c r="I26" s="31"/>
      <c r="J26" s="35"/>
    </row>
    <row r="27" spans="3:10" x14ac:dyDescent="0.25">
      <c r="C27" s="56"/>
      <c r="D27" s="53"/>
      <c r="E27" s="6"/>
      <c r="F27" s="19"/>
      <c r="G27" s="24"/>
      <c r="H27" s="24"/>
      <c r="I27" s="31"/>
      <c r="J27" s="35"/>
    </row>
    <row r="28" spans="3:10" x14ac:dyDescent="0.25">
      <c r="C28" s="57" t="s">
        <v>11</v>
      </c>
      <c r="D28" s="53"/>
      <c r="E28" s="6"/>
      <c r="F28" s="19"/>
      <c r="G28" s="24"/>
      <c r="H28" s="24"/>
      <c r="I28" s="31"/>
      <c r="J28" s="35"/>
    </row>
    <row r="29" spans="3:10" x14ac:dyDescent="0.25">
      <c r="C29" s="56"/>
      <c r="D29" s="53"/>
      <c r="E29" s="6"/>
      <c r="F29" s="19"/>
      <c r="G29" s="24"/>
      <c r="H29" s="24"/>
      <c r="I29" s="31"/>
      <c r="J29" s="35"/>
    </row>
    <row r="30" spans="3:10" x14ac:dyDescent="0.25">
      <c r="C30" s="57" t="s">
        <v>13</v>
      </c>
      <c r="D30" s="53"/>
      <c r="E30" s="6"/>
      <c r="F30" s="19"/>
      <c r="G30" s="24" t="s">
        <v>2</v>
      </c>
      <c r="H30" s="24" t="s">
        <v>2</v>
      </c>
      <c r="I30" s="31"/>
      <c r="J30" s="35"/>
    </row>
    <row r="31" spans="3:10" x14ac:dyDescent="0.25">
      <c r="C31" s="56"/>
      <c r="D31" s="53"/>
      <c r="E31" s="6"/>
      <c r="F31" s="19"/>
      <c r="G31" s="24"/>
      <c r="H31" s="24"/>
      <c r="I31" s="31"/>
      <c r="J31" s="35"/>
    </row>
    <row r="32" spans="3:10" x14ac:dyDescent="0.25">
      <c r="C32" s="57" t="s">
        <v>14</v>
      </c>
      <c r="D32" s="53"/>
      <c r="E32" s="6"/>
      <c r="F32" s="19"/>
      <c r="G32" s="24" t="s">
        <v>2</v>
      </c>
      <c r="H32" s="24" t="s">
        <v>2</v>
      </c>
      <c r="I32" s="31"/>
      <c r="J32" s="35"/>
    </row>
    <row r="33" spans="1:10" x14ac:dyDescent="0.25">
      <c r="C33" s="56"/>
      <c r="D33" s="53"/>
      <c r="E33" s="6"/>
      <c r="F33" s="19"/>
      <c r="G33" s="24"/>
      <c r="H33" s="24"/>
      <c r="I33" s="31"/>
      <c r="J33" s="35"/>
    </row>
    <row r="34" spans="1:10" x14ac:dyDescent="0.25">
      <c r="C34" s="57" t="s">
        <v>15</v>
      </c>
      <c r="D34" s="53"/>
      <c r="E34" s="6"/>
      <c r="F34" s="19"/>
      <c r="G34" s="24" t="s">
        <v>2</v>
      </c>
      <c r="H34" s="24" t="s">
        <v>2</v>
      </c>
      <c r="I34" s="31"/>
      <c r="J34" s="35"/>
    </row>
    <row r="35" spans="1:10" x14ac:dyDescent="0.25">
      <c r="C35" s="56"/>
      <c r="D35" s="53"/>
      <c r="E35" s="6"/>
      <c r="F35" s="19"/>
      <c r="G35" s="24"/>
      <c r="H35" s="24"/>
      <c r="I35" s="31"/>
      <c r="J35" s="35"/>
    </row>
    <row r="36" spans="1:10" x14ac:dyDescent="0.25">
      <c r="C36" s="57" t="s">
        <v>16</v>
      </c>
      <c r="D36" s="53"/>
      <c r="E36" s="6"/>
      <c r="F36" s="19"/>
      <c r="G36" s="24" t="s">
        <v>2</v>
      </c>
      <c r="H36" s="24" t="s">
        <v>2</v>
      </c>
      <c r="I36" s="31"/>
      <c r="J36" s="35"/>
    </row>
    <row r="37" spans="1:10" x14ac:dyDescent="0.25">
      <c r="C37" s="56"/>
      <c r="D37" s="53"/>
      <c r="E37" s="6"/>
      <c r="F37" s="19"/>
      <c r="G37" s="24"/>
      <c r="H37" s="24"/>
      <c r="I37" s="31"/>
      <c r="J37" s="35"/>
    </row>
    <row r="38" spans="1:10" x14ac:dyDescent="0.25">
      <c r="A38" s="10"/>
      <c r="B38" s="28"/>
      <c r="C38" s="58" t="s">
        <v>17</v>
      </c>
      <c r="D38" s="53"/>
      <c r="E38" s="6"/>
      <c r="F38" s="19"/>
      <c r="G38" s="24"/>
      <c r="H38" s="24"/>
      <c r="I38" s="31"/>
      <c r="J38" s="35"/>
    </row>
    <row r="39" spans="1:10" x14ac:dyDescent="0.25">
      <c r="C39" s="59" t="s">
        <v>18</v>
      </c>
      <c r="D39" s="53"/>
      <c r="E39" s="6"/>
      <c r="F39" s="19"/>
      <c r="G39" s="24"/>
      <c r="H39" s="24"/>
      <c r="I39" s="31"/>
      <c r="J39" s="35"/>
    </row>
    <row r="40" spans="1:10" x14ac:dyDescent="0.25">
      <c r="B40" s="8" t="s">
        <v>1636</v>
      </c>
      <c r="C40" s="56" t="s">
        <v>1637</v>
      </c>
      <c r="D40" s="53" t="s">
        <v>1638</v>
      </c>
      <c r="E40" s="6" t="s">
        <v>191</v>
      </c>
      <c r="F40" s="19">
        <v>1822790</v>
      </c>
      <c r="G40" s="24">
        <v>82181.399999999994</v>
      </c>
      <c r="H40" s="24">
        <v>99.97</v>
      </c>
      <c r="I40" s="31"/>
      <c r="J40" s="35"/>
    </row>
    <row r="41" spans="1:10" x14ac:dyDescent="0.25">
      <c r="C41" s="57" t="s">
        <v>35</v>
      </c>
      <c r="D41" s="53"/>
      <c r="E41" s="6"/>
      <c r="F41" s="19"/>
      <c r="G41" s="25">
        <v>82181.399999999994</v>
      </c>
      <c r="H41" s="25">
        <v>99.97</v>
      </c>
      <c r="I41" s="31"/>
      <c r="J41" s="35"/>
    </row>
    <row r="42" spans="1:10" x14ac:dyDescent="0.25">
      <c r="C42" s="56"/>
      <c r="D42" s="53"/>
      <c r="E42" s="6"/>
      <c r="F42" s="19"/>
      <c r="G42" s="24"/>
      <c r="H42" s="24"/>
      <c r="I42" s="31"/>
      <c r="J42" s="35"/>
    </row>
    <row r="43" spans="1:10" x14ac:dyDescent="0.25">
      <c r="C43" s="57" t="s">
        <v>19</v>
      </c>
      <c r="D43" s="53"/>
      <c r="E43" s="6"/>
      <c r="F43" s="19"/>
      <c r="G43" s="24" t="s">
        <v>2</v>
      </c>
      <c r="H43" s="24" t="s">
        <v>2</v>
      </c>
      <c r="I43" s="31"/>
      <c r="J43" s="35"/>
    </row>
    <row r="44" spans="1:10" x14ac:dyDescent="0.25">
      <c r="C44" s="56"/>
      <c r="D44" s="53"/>
      <c r="E44" s="6"/>
      <c r="F44" s="19"/>
      <c r="G44" s="24"/>
      <c r="H44" s="24"/>
      <c r="I44" s="31"/>
      <c r="J44" s="35"/>
    </row>
    <row r="45" spans="1:10" x14ac:dyDescent="0.25">
      <c r="C45" s="57" t="s">
        <v>20</v>
      </c>
      <c r="D45" s="53"/>
      <c r="E45" s="6"/>
      <c r="F45" s="19"/>
      <c r="G45" s="24" t="s">
        <v>2</v>
      </c>
      <c r="H45" s="24" t="s">
        <v>2</v>
      </c>
      <c r="I45" s="31"/>
      <c r="J45" s="35"/>
    </row>
    <row r="46" spans="1:10" x14ac:dyDescent="0.25">
      <c r="C46" s="56"/>
      <c r="D46" s="53"/>
      <c r="E46" s="6"/>
      <c r="F46" s="19"/>
      <c r="G46" s="24"/>
      <c r="H46" s="24"/>
      <c r="I46" s="31"/>
      <c r="J46" s="35"/>
    </row>
    <row r="47" spans="1:10" x14ac:dyDescent="0.25">
      <c r="C47" s="57" t="s">
        <v>21</v>
      </c>
      <c r="D47" s="53"/>
      <c r="E47" s="6"/>
      <c r="F47" s="19"/>
      <c r="G47" s="24" t="s">
        <v>2</v>
      </c>
      <c r="H47" s="24" t="s">
        <v>2</v>
      </c>
      <c r="I47" s="31"/>
      <c r="J47" s="35"/>
    </row>
    <row r="48" spans="1:10" x14ac:dyDescent="0.25">
      <c r="C48" s="56"/>
      <c r="D48" s="53"/>
      <c r="E48" s="6"/>
      <c r="F48" s="19"/>
      <c r="G48" s="24"/>
      <c r="H48" s="24"/>
      <c r="I48" s="31"/>
      <c r="J48" s="35"/>
    </row>
    <row r="49" spans="1:10" x14ac:dyDescent="0.25">
      <c r="C49" s="59" t="s">
        <v>22</v>
      </c>
      <c r="D49" s="53"/>
      <c r="E49" s="6"/>
      <c r="F49" s="19"/>
      <c r="G49" s="24"/>
      <c r="H49" s="24"/>
      <c r="I49" s="31"/>
      <c r="J49" s="35"/>
    </row>
    <row r="50" spans="1:10" x14ac:dyDescent="0.25">
      <c r="B50" s="8" t="s">
        <v>33</v>
      </c>
      <c r="C50" s="56" t="s">
        <v>34</v>
      </c>
      <c r="D50" s="53"/>
      <c r="E50" s="6"/>
      <c r="F50" s="19"/>
      <c r="G50" s="24">
        <v>439.39</v>
      </c>
      <c r="H50" s="24">
        <v>0.53</v>
      </c>
      <c r="I50" s="31"/>
      <c r="J50" s="35"/>
    </row>
    <row r="51" spans="1:10" x14ac:dyDescent="0.25">
      <c r="C51" s="57" t="s">
        <v>35</v>
      </c>
      <c r="D51" s="53"/>
      <c r="E51" s="6"/>
      <c r="F51" s="19"/>
      <c r="G51" s="25">
        <v>439.39</v>
      </c>
      <c r="H51" s="25">
        <v>0.53</v>
      </c>
      <c r="I51" s="31"/>
      <c r="J51" s="35"/>
    </row>
    <row r="52" spans="1:10" x14ac:dyDescent="0.25">
      <c r="C52" s="56"/>
      <c r="D52" s="53"/>
      <c r="E52" s="6"/>
      <c r="F52" s="19"/>
      <c r="G52" s="24"/>
      <c r="H52" s="24"/>
      <c r="I52" s="31"/>
      <c r="J52" s="35"/>
    </row>
    <row r="53" spans="1:10" x14ac:dyDescent="0.25">
      <c r="A53" s="10"/>
      <c r="B53" s="28"/>
      <c r="C53" s="58" t="s">
        <v>23</v>
      </c>
      <c r="D53" s="53"/>
      <c r="E53" s="6"/>
      <c r="F53" s="19"/>
      <c r="G53" s="24"/>
      <c r="H53" s="24"/>
      <c r="I53" s="31"/>
      <c r="J53" s="35"/>
    </row>
    <row r="54" spans="1:10" x14ac:dyDescent="0.25">
      <c r="A54" s="28"/>
      <c r="B54" s="28"/>
      <c r="C54" s="60" t="s">
        <v>3398</v>
      </c>
      <c r="D54" s="53"/>
      <c r="E54" s="6"/>
      <c r="F54" s="19"/>
      <c r="G54" s="24" t="s">
        <v>2</v>
      </c>
      <c r="H54" s="24" t="s">
        <v>2</v>
      </c>
      <c r="I54" s="31"/>
      <c r="J54" s="35"/>
    </row>
    <row r="55" spans="1:10" x14ac:dyDescent="0.25">
      <c r="B55" s="8"/>
      <c r="C55" s="56" t="s">
        <v>36</v>
      </c>
      <c r="D55" s="53"/>
      <c r="E55" s="6"/>
      <c r="F55" s="19"/>
      <c r="G55" s="24">
        <v>-416.51</v>
      </c>
      <c r="H55" s="24">
        <v>-0.5</v>
      </c>
      <c r="I55" s="31"/>
      <c r="J55" s="35"/>
    </row>
    <row r="56" spans="1:10" x14ac:dyDescent="0.25">
      <c r="C56" s="57" t="s">
        <v>35</v>
      </c>
      <c r="D56" s="53"/>
      <c r="E56" s="6"/>
      <c r="F56" s="19"/>
      <c r="G56" s="25">
        <v>-416.51</v>
      </c>
      <c r="H56" s="25">
        <v>-0.5</v>
      </c>
      <c r="I56" s="31"/>
      <c r="J56" s="35"/>
    </row>
    <row r="57" spans="1:10" x14ac:dyDescent="0.25">
      <c r="C57" s="56"/>
      <c r="D57" s="53"/>
      <c r="E57" s="6"/>
      <c r="F57" s="19"/>
      <c r="G57" s="24"/>
      <c r="H57" s="24"/>
      <c r="I57" s="31"/>
      <c r="J57" s="35"/>
    </row>
    <row r="58" spans="1:10" x14ac:dyDescent="0.25">
      <c r="C58" s="61" t="s">
        <v>37</v>
      </c>
      <c r="D58" s="54"/>
      <c r="E58" s="5"/>
      <c r="F58" s="20"/>
      <c r="G58" s="26">
        <v>82204.28</v>
      </c>
      <c r="H58" s="26">
        <f>SUMIFS(H:H,C:C,"Total")</f>
        <v>100</v>
      </c>
      <c r="I58" s="32"/>
      <c r="J58" s="36"/>
    </row>
    <row r="61" spans="1:10" x14ac:dyDescent="0.25">
      <c r="C61" s="1" t="s">
        <v>38</v>
      </c>
    </row>
    <row r="62" spans="1:10" x14ac:dyDescent="0.25">
      <c r="C62" s="2" t="s">
        <v>39</v>
      </c>
    </row>
    <row r="63" spans="1:10" x14ac:dyDescent="0.25">
      <c r="C63" s="2" t="s">
        <v>40</v>
      </c>
    </row>
    <row r="64" spans="1:10" x14ac:dyDescent="0.25">
      <c r="C64" s="2" t="s">
        <v>3430</v>
      </c>
    </row>
  </sheetData>
  <hyperlinks>
    <hyperlink ref="J2" location="'Index'!A1" display="'Index'!A1"/>
  </hyperlinks>
  <pageMargins left="0.7" right="0.7" top="0.75" bottom="0.75" header="0.3" footer="0.3"/>
  <pageSetup orientation="portrait" horizontalDpi="4294967293"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5"/>
  <dimension ref="A1:J9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2013</v>
      </c>
      <c r="J2" s="37" t="s">
        <v>3307</v>
      </c>
    </row>
    <row r="3" spans="1:10" ht="16.5" x14ac:dyDescent="0.3">
      <c r="C3" s="1" t="s">
        <v>24</v>
      </c>
      <c r="D3" s="21" t="s">
        <v>2014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746</v>
      </c>
      <c r="C10" s="56" t="s">
        <v>747</v>
      </c>
      <c r="D10" s="53" t="s">
        <v>748</v>
      </c>
      <c r="E10" s="6" t="s">
        <v>47</v>
      </c>
      <c r="F10" s="19">
        <v>23440</v>
      </c>
      <c r="G10" s="24">
        <v>189.1</v>
      </c>
      <c r="H10" s="24">
        <v>6.63</v>
      </c>
      <c r="I10" s="31"/>
      <c r="J10" s="35"/>
    </row>
    <row r="11" spans="1:10" x14ac:dyDescent="0.25">
      <c r="B11" s="8" t="s">
        <v>48</v>
      </c>
      <c r="C11" s="56" t="s">
        <v>49</v>
      </c>
      <c r="D11" s="53" t="s">
        <v>50</v>
      </c>
      <c r="E11" s="6" t="s">
        <v>51</v>
      </c>
      <c r="F11" s="19">
        <v>17000</v>
      </c>
      <c r="G11" s="24">
        <v>183.36</v>
      </c>
      <c r="H11" s="24">
        <v>6.43</v>
      </c>
      <c r="I11" s="31"/>
      <c r="J11" s="35"/>
    </row>
    <row r="12" spans="1:10" x14ac:dyDescent="0.25">
      <c r="B12" s="8" t="s">
        <v>112</v>
      </c>
      <c r="C12" s="56" t="s">
        <v>113</v>
      </c>
      <c r="D12" s="53" t="s">
        <v>114</v>
      </c>
      <c r="E12" s="6" t="s">
        <v>111</v>
      </c>
      <c r="F12" s="19">
        <v>5700</v>
      </c>
      <c r="G12" s="24">
        <v>173.73</v>
      </c>
      <c r="H12" s="24">
        <v>6.09</v>
      </c>
      <c r="I12" s="31"/>
      <c r="J12" s="35"/>
    </row>
    <row r="13" spans="1:10" x14ac:dyDescent="0.25">
      <c r="B13" s="8" t="s">
        <v>1351</v>
      </c>
      <c r="C13" s="56" t="s">
        <v>1352</v>
      </c>
      <c r="D13" s="53" t="s">
        <v>1353</v>
      </c>
      <c r="E13" s="6" t="s">
        <v>195</v>
      </c>
      <c r="F13" s="19">
        <v>5900</v>
      </c>
      <c r="G13" s="24">
        <v>157.69</v>
      </c>
      <c r="H13" s="24">
        <v>5.53</v>
      </c>
      <c r="I13" s="31"/>
      <c r="J13" s="35"/>
    </row>
    <row r="14" spans="1:10" x14ac:dyDescent="0.25">
      <c r="B14" s="8" t="s">
        <v>307</v>
      </c>
      <c r="C14" s="56" t="s">
        <v>308</v>
      </c>
      <c r="D14" s="53" t="s">
        <v>309</v>
      </c>
      <c r="E14" s="6" t="s">
        <v>90</v>
      </c>
      <c r="F14" s="19">
        <v>20000</v>
      </c>
      <c r="G14" s="24">
        <v>155.99</v>
      </c>
      <c r="H14" s="24">
        <v>5.47</v>
      </c>
      <c r="I14" s="31"/>
      <c r="J14" s="35"/>
    </row>
    <row r="15" spans="1:10" x14ac:dyDescent="0.25">
      <c r="B15" s="8" t="s">
        <v>698</v>
      </c>
      <c r="C15" s="56" t="s">
        <v>699</v>
      </c>
      <c r="D15" s="53" t="s">
        <v>700</v>
      </c>
      <c r="E15" s="6" t="s">
        <v>90</v>
      </c>
      <c r="F15" s="19">
        <v>3000</v>
      </c>
      <c r="G15" s="24">
        <v>154.82</v>
      </c>
      <c r="H15" s="24">
        <v>5.43</v>
      </c>
      <c r="I15" s="31"/>
      <c r="J15" s="35"/>
    </row>
    <row r="16" spans="1:10" x14ac:dyDescent="0.25">
      <c r="B16" s="8" t="s">
        <v>206</v>
      </c>
      <c r="C16" s="56" t="s">
        <v>207</v>
      </c>
      <c r="D16" s="53" t="s">
        <v>208</v>
      </c>
      <c r="E16" s="6" t="s">
        <v>41</v>
      </c>
      <c r="F16" s="19">
        <v>10060</v>
      </c>
      <c r="G16" s="24">
        <v>151.59</v>
      </c>
      <c r="H16" s="24">
        <v>5.31</v>
      </c>
      <c r="I16" s="31"/>
      <c r="J16" s="35"/>
    </row>
    <row r="17" spans="2:10" x14ac:dyDescent="0.25">
      <c r="B17" s="8" t="s">
        <v>802</v>
      </c>
      <c r="C17" s="56" t="s">
        <v>803</v>
      </c>
      <c r="D17" s="53" t="s">
        <v>804</v>
      </c>
      <c r="E17" s="6" t="s">
        <v>195</v>
      </c>
      <c r="F17" s="19">
        <v>19000</v>
      </c>
      <c r="G17" s="24">
        <v>127.48</v>
      </c>
      <c r="H17" s="24">
        <v>4.47</v>
      </c>
      <c r="I17" s="31"/>
      <c r="J17" s="35"/>
    </row>
    <row r="18" spans="2:10" x14ac:dyDescent="0.25">
      <c r="B18" s="8" t="s">
        <v>229</v>
      </c>
      <c r="C18" s="56" t="s">
        <v>230</v>
      </c>
      <c r="D18" s="53" t="s">
        <v>231</v>
      </c>
      <c r="E18" s="6" t="s">
        <v>94</v>
      </c>
      <c r="F18" s="19">
        <v>11000</v>
      </c>
      <c r="G18" s="24">
        <v>124.53</v>
      </c>
      <c r="H18" s="24">
        <v>4.37</v>
      </c>
      <c r="I18" s="31"/>
      <c r="J18" s="35"/>
    </row>
    <row r="19" spans="2:10" x14ac:dyDescent="0.25">
      <c r="B19" s="8" t="s">
        <v>2015</v>
      </c>
      <c r="C19" s="56" t="s">
        <v>2016</v>
      </c>
      <c r="D19" s="53" t="s">
        <v>2017</v>
      </c>
      <c r="E19" s="6" t="s">
        <v>196</v>
      </c>
      <c r="F19" s="19">
        <v>39666</v>
      </c>
      <c r="G19" s="24">
        <v>124.33</v>
      </c>
      <c r="H19" s="24">
        <v>4.3600000000000003</v>
      </c>
      <c r="I19" s="31"/>
      <c r="J19" s="35"/>
    </row>
    <row r="20" spans="2:10" x14ac:dyDescent="0.25">
      <c r="B20" s="8" t="s">
        <v>91</v>
      </c>
      <c r="C20" s="56" t="s">
        <v>92</v>
      </c>
      <c r="D20" s="53" t="s">
        <v>93</v>
      </c>
      <c r="E20" s="6" t="s">
        <v>94</v>
      </c>
      <c r="F20" s="19">
        <v>3300</v>
      </c>
      <c r="G20" s="24">
        <v>108.19</v>
      </c>
      <c r="H20" s="24">
        <v>3.79</v>
      </c>
      <c r="I20" s="31"/>
      <c r="J20" s="35"/>
    </row>
    <row r="21" spans="2:10" x14ac:dyDescent="0.25">
      <c r="B21" s="8" t="s">
        <v>2018</v>
      </c>
      <c r="C21" s="56" t="s">
        <v>2019</v>
      </c>
      <c r="D21" s="53" t="s">
        <v>2020</v>
      </c>
      <c r="E21" s="6" t="s">
        <v>157</v>
      </c>
      <c r="F21" s="19">
        <v>33000</v>
      </c>
      <c r="G21" s="24">
        <v>106.08</v>
      </c>
      <c r="H21" s="24">
        <v>3.72</v>
      </c>
      <c r="I21" s="31"/>
      <c r="J21" s="35"/>
    </row>
    <row r="22" spans="2:10" x14ac:dyDescent="0.25">
      <c r="B22" s="8" t="s">
        <v>65</v>
      </c>
      <c r="C22" s="56" t="s">
        <v>66</v>
      </c>
      <c r="D22" s="53" t="s">
        <v>67</v>
      </c>
      <c r="E22" s="6" t="s">
        <v>68</v>
      </c>
      <c r="F22" s="19">
        <v>24000</v>
      </c>
      <c r="G22" s="24">
        <v>101.03</v>
      </c>
      <c r="H22" s="24">
        <v>3.54</v>
      </c>
      <c r="I22" s="31"/>
      <c r="J22" s="35"/>
    </row>
    <row r="23" spans="2:10" x14ac:dyDescent="0.25">
      <c r="B23" s="8" t="s">
        <v>225</v>
      </c>
      <c r="C23" s="56" t="s">
        <v>226</v>
      </c>
      <c r="D23" s="53" t="s">
        <v>227</v>
      </c>
      <c r="E23" s="6" t="s">
        <v>228</v>
      </c>
      <c r="F23" s="19">
        <v>5000</v>
      </c>
      <c r="G23" s="24">
        <v>98.58</v>
      </c>
      <c r="H23" s="24">
        <v>3.46</v>
      </c>
      <c r="I23" s="31"/>
      <c r="J23" s="35"/>
    </row>
    <row r="24" spans="2:10" x14ac:dyDescent="0.25">
      <c r="B24" s="8" t="s">
        <v>262</v>
      </c>
      <c r="C24" s="56" t="s">
        <v>263</v>
      </c>
      <c r="D24" s="53" t="s">
        <v>264</v>
      </c>
      <c r="E24" s="6" t="s">
        <v>194</v>
      </c>
      <c r="F24" s="19">
        <v>50000</v>
      </c>
      <c r="G24" s="24">
        <v>96.48</v>
      </c>
      <c r="H24" s="24">
        <v>3.38</v>
      </c>
      <c r="I24" s="31"/>
      <c r="J24" s="35"/>
    </row>
    <row r="25" spans="2:10" x14ac:dyDescent="0.25">
      <c r="B25" s="8" t="s">
        <v>2021</v>
      </c>
      <c r="C25" s="56" t="s">
        <v>2022</v>
      </c>
      <c r="D25" s="53" t="s">
        <v>2023</v>
      </c>
      <c r="E25" s="6" t="s">
        <v>153</v>
      </c>
      <c r="F25" s="19">
        <v>7700</v>
      </c>
      <c r="G25" s="24">
        <v>95.11</v>
      </c>
      <c r="H25" s="24">
        <v>3.33</v>
      </c>
      <c r="I25" s="31"/>
      <c r="J25" s="35"/>
    </row>
    <row r="26" spans="2:10" x14ac:dyDescent="0.25">
      <c r="B26" s="8" t="s">
        <v>460</v>
      </c>
      <c r="C26" s="56" t="s">
        <v>461</v>
      </c>
      <c r="D26" s="53" t="s">
        <v>462</v>
      </c>
      <c r="E26" s="6" t="s">
        <v>51</v>
      </c>
      <c r="F26" s="19">
        <v>41025</v>
      </c>
      <c r="G26" s="24">
        <v>92.86</v>
      </c>
      <c r="H26" s="24">
        <v>3.26</v>
      </c>
      <c r="I26" s="31"/>
      <c r="J26" s="35"/>
    </row>
    <row r="27" spans="2:10" x14ac:dyDescent="0.25">
      <c r="B27" s="8" t="s">
        <v>164</v>
      </c>
      <c r="C27" s="56" t="s">
        <v>165</v>
      </c>
      <c r="D27" s="53" t="s">
        <v>166</v>
      </c>
      <c r="E27" s="6" t="s">
        <v>51</v>
      </c>
      <c r="F27" s="19">
        <v>50000</v>
      </c>
      <c r="G27" s="24">
        <v>92.7</v>
      </c>
      <c r="H27" s="24">
        <v>3.25</v>
      </c>
      <c r="I27" s="31"/>
      <c r="J27" s="35"/>
    </row>
    <row r="28" spans="2:10" x14ac:dyDescent="0.25">
      <c r="B28" s="8" t="s">
        <v>2024</v>
      </c>
      <c r="C28" s="56" t="s">
        <v>2025</v>
      </c>
      <c r="D28" s="53" t="s">
        <v>2026</v>
      </c>
      <c r="E28" s="6" t="s">
        <v>79</v>
      </c>
      <c r="F28" s="19">
        <v>41736</v>
      </c>
      <c r="G28" s="24">
        <v>84.12</v>
      </c>
      <c r="H28" s="24">
        <v>2.95</v>
      </c>
      <c r="I28" s="31"/>
      <c r="J28" s="35"/>
    </row>
    <row r="29" spans="2:10" x14ac:dyDescent="0.25">
      <c r="B29" s="8" t="s">
        <v>291</v>
      </c>
      <c r="C29" s="56" t="s">
        <v>292</v>
      </c>
      <c r="D29" s="53" t="s">
        <v>293</v>
      </c>
      <c r="E29" s="6" t="s">
        <v>261</v>
      </c>
      <c r="F29" s="19">
        <v>330000</v>
      </c>
      <c r="G29" s="24">
        <v>72.44</v>
      </c>
      <c r="H29" s="24">
        <v>2.54</v>
      </c>
      <c r="I29" s="31"/>
      <c r="J29" s="35"/>
    </row>
    <row r="30" spans="2:10" x14ac:dyDescent="0.25">
      <c r="B30" s="8" t="s">
        <v>180</v>
      </c>
      <c r="C30" s="56" t="s">
        <v>53</v>
      </c>
      <c r="D30" s="53" t="s">
        <v>181</v>
      </c>
      <c r="E30" s="6" t="s">
        <v>55</v>
      </c>
      <c r="F30" s="19">
        <v>4400</v>
      </c>
      <c r="G30" s="24">
        <v>59.11</v>
      </c>
      <c r="H30" s="24">
        <v>2.0699999999999998</v>
      </c>
      <c r="I30" s="31"/>
      <c r="J30" s="35" t="s">
        <v>182</v>
      </c>
    </row>
    <row r="31" spans="2:10" x14ac:dyDescent="0.25">
      <c r="B31" s="8" t="s">
        <v>251</v>
      </c>
      <c r="C31" s="56" t="s">
        <v>252</v>
      </c>
      <c r="D31" s="53" t="s">
        <v>253</v>
      </c>
      <c r="E31" s="6" t="s">
        <v>254</v>
      </c>
      <c r="F31" s="19">
        <v>70000</v>
      </c>
      <c r="G31" s="24">
        <v>48.02</v>
      </c>
      <c r="H31" s="24">
        <v>1.68</v>
      </c>
      <c r="I31" s="31"/>
      <c r="J31" s="35"/>
    </row>
    <row r="32" spans="2:10" x14ac:dyDescent="0.25">
      <c r="B32" s="8" t="s">
        <v>282</v>
      </c>
      <c r="C32" s="56" t="s">
        <v>283</v>
      </c>
      <c r="D32" s="53" t="s">
        <v>284</v>
      </c>
      <c r="E32" s="6" t="s">
        <v>254</v>
      </c>
      <c r="F32" s="19">
        <v>3123</v>
      </c>
      <c r="G32" s="24">
        <v>26.84</v>
      </c>
      <c r="H32" s="24">
        <v>0.94</v>
      </c>
      <c r="I32" s="31"/>
      <c r="J32" s="35"/>
    </row>
    <row r="33" spans="2:10" x14ac:dyDescent="0.25">
      <c r="B33" s="8" t="s">
        <v>44</v>
      </c>
      <c r="C33" s="56" t="s">
        <v>45</v>
      </c>
      <c r="D33" s="53" t="s">
        <v>46</v>
      </c>
      <c r="E33" s="6" t="s">
        <v>47</v>
      </c>
      <c r="F33" s="19">
        <v>200</v>
      </c>
      <c r="G33" s="24">
        <v>2.02</v>
      </c>
      <c r="H33" s="24">
        <v>7.0000000000000007E-2</v>
      </c>
      <c r="I33" s="31"/>
      <c r="J33" s="35"/>
    </row>
    <row r="34" spans="2:10" x14ac:dyDescent="0.25">
      <c r="B34" s="8" t="s">
        <v>59</v>
      </c>
      <c r="C34" s="56" t="s">
        <v>60</v>
      </c>
      <c r="D34" s="53" t="s">
        <v>61</v>
      </c>
      <c r="E34" s="6" t="s">
        <v>51</v>
      </c>
      <c r="F34" s="19">
        <v>100</v>
      </c>
      <c r="G34" s="24">
        <v>1.27</v>
      </c>
      <c r="H34" s="24">
        <v>0.04</v>
      </c>
      <c r="I34" s="31"/>
      <c r="J34" s="35"/>
    </row>
    <row r="35" spans="2:10" x14ac:dyDescent="0.25">
      <c r="B35" s="8" t="s">
        <v>823</v>
      </c>
      <c r="C35" s="56" t="s">
        <v>824</v>
      </c>
      <c r="D35" s="53" t="s">
        <v>825</v>
      </c>
      <c r="E35" s="6" t="s">
        <v>826</v>
      </c>
      <c r="F35" s="19">
        <v>100</v>
      </c>
      <c r="G35" s="24">
        <v>0.09</v>
      </c>
      <c r="H35" s="24" t="s">
        <v>3399</v>
      </c>
      <c r="I35" s="31"/>
      <c r="J35" s="35"/>
    </row>
    <row r="36" spans="2:10" x14ac:dyDescent="0.25">
      <c r="C36" s="57" t="s">
        <v>35</v>
      </c>
      <c r="D36" s="53"/>
      <c r="E36" s="6"/>
      <c r="F36" s="19"/>
      <c r="G36" s="25">
        <v>2627.56</v>
      </c>
      <c r="H36" s="25">
        <v>92.11</v>
      </c>
      <c r="I36" s="31"/>
      <c r="J36" s="35"/>
    </row>
    <row r="37" spans="2:10" x14ac:dyDescent="0.25">
      <c r="C37" s="56"/>
      <c r="D37" s="53"/>
      <c r="E37" s="6"/>
      <c r="F37" s="19"/>
      <c r="G37" s="24"/>
      <c r="H37" s="24"/>
      <c r="I37" s="31"/>
      <c r="J37" s="35"/>
    </row>
    <row r="38" spans="2:10" x14ac:dyDescent="0.25">
      <c r="C38" s="59" t="s">
        <v>3</v>
      </c>
      <c r="D38" s="53"/>
      <c r="E38" s="6"/>
      <c r="F38" s="19"/>
      <c r="G38" s="24"/>
      <c r="H38" s="24"/>
      <c r="I38" s="31"/>
      <c r="J38" s="35"/>
    </row>
    <row r="39" spans="2:10" x14ac:dyDescent="0.25">
      <c r="B39" s="8" t="s">
        <v>796</v>
      </c>
      <c r="C39" s="56" t="s">
        <v>797</v>
      </c>
      <c r="D39" s="53" t="s">
        <v>798</v>
      </c>
      <c r="E39" s="6" t="s">
        <v>274</v>
      </c>
      <c r="F39" s="19">
        <v>139342</v>
      </c>
      <c r="G39" s="24">
        <v>19.010000000000002</v>
      </c>
      <c r="H39" s="24">
        <v>0.67</v>
      </c>
      <c r="I39" s="31"/>
      <c r="J39" s="35" t="s">
        <v>799</v>
      </c>
    </row>
    <row r="40" spans="2:10" x14ac:dyDescent="0.25">
      <c r="C40" s="57" t="s">
        <v>35</v>
      </c>
      <c r="D40" s="53"/>
      <c r="E40" s="6"/>
      <c r="F40" s="19"/>
      <c r="G40" s="25">
        <v>19.010000000000002</v>
      </c>
      <c r="H40" s="25">
        <v>0.67</v>
      </c>
      <c r="I40" s="31"/>
      <c r="J40" s="35"/>
    </row>
    <row r="41" spans="2:10" x14ac:dyDescent="0.25">
      <c r="C41" s="56"/>
      <c r="D41" s="53"/>
      <c r="E41" s="6"/>
      <c r="F41" s="19"/>
      <c r="G41" s="24"/>
      <c r="H41" s="24"/>
      <c r="I41" s="31"/>
      <c r="J41" s="35"/>
    </row>
    <row r="42" spans="2:10" x14ac:dyDescent="0.25">
      <c r="C42" s="57" t="s">
        <v>4</v>
      </c>
      <c r="D42" s="53"/>
      <c r="E42" s="6"/>
      <c r="F42" s="19"/>
      <c r="G42" s="24" t="s">
        <v>2</v>
      </c>
      <c r="H42" s="24" t="s">
        <v>2</v>
      </c>
      <c r="I42" s="31"/>
      <c r="J42" s="35"/>
    </row>
    <row r="43" spans="2:10" x14ac:dyDescent="0.25">
      <c r="C43" s="56"/>
      <c r="D43" s="53"/>
      <c r="E43" s="6"/>
      <c r="F43" s="19"/>
      <c r="G43" s="24"/>
      <c r="H43" s="24"/>
      <c r="I43" s="31"/>
      <c r="J43" s="35"/>
    </row>
    <row r="44" spans="2:10" x14ac:dyDescent="0.25">
      <c r="C44" s="57" t="s">
        <v>5</v>
      </c>
      <c r="D44" s="53"/>
      <c r="E44" s="6"/>
      <c r="F44" s="19"/>
      <c r="G44" s="24"/>
      <c r="H44" s="24"/>
      <c r="I44" s="31"/>
      <c r="J44" s="35"/>
    </row>
    <row r="45" spans="2:10" x14ac:dyDescent="0.25">
      <c r="C45" s="56"/>
      <c r="D45" s="53"/>
      <c r="E45" s="6"/>
      <c r="F45" s="19"/>
      <c r="G45" s="24"/>
      <c r="H45" s="24"/>
      <c r="I45" s="31"/>
      <c r="J45" s="35"/>
    </row>
    <row r="46" spans="2:10" x14ac:dyDescent="0.25">
      <c r="C46" s="57" t="s">
        <v>6</v>
      </c>
      <c r="D46" s="53"/>
      <c r="E46" s="6"/>
      <c r="F46" s="19"/>
      <c r="G46" s="24" t="s">
        <v>2</v>
      </c>
      <c r="H46" s="24" t="s">
        <v>2</v>
      </c>
      <c r="I46" s="31"/>
      <c r="J46" s="35"/>
    </row>
    <row r="47" spans="2:10" x14ac:dyDescent="0.25">
      <c r="C47" s="56"/>
      <c r="D47" s="53"/>
      <c r="E47" s="6"/>
      <c r="F47" s="19"/>
      <c r="G47" s="24"/>
      <c r="H47" s="24"/>
      <c r="I47" s="31"/>
      <c r="J47" s="35"/>
    </row>
    <row r="48" spans="2:10" x14ac:dyDescent="0.25">
      <c r="C48" s="57" t="s">
        <v>7</v>
      </c>
      <c r="D48" s="53"/>
      <c r="E48" s="6"/>
      <c r="F48" s="19"/>
      <c r="G48" s="24" t="s">
        <v>2</v>
      </c>
      <c r="H48" s="24" t="s">
        <v>2</v>
      </c>
      <c r="I48" s="31"/>
      <c r="J48" s="35"/>
    </row>
    <row r="49" spans="3:10" x14ac:dyDescent="0.25">
      <c r="C49" s="56"/>
      <c r="D49" s="53"/>
      <c r="E49" s="6"/>
      <c r="F49" s="19"/>
      <c r="G49" s="24"/>
      <c r="H49" s="24"/>
      <c r="I49" s="31"/>
      <c r="J49" s="35"/>
    </row>
    <row r="50" spans="3:10" x14ac:dyDescent="0.25">
      <c r="C50" s="57" t="s">
        <v>8</v>
      </c>
      <c r="D50" s="53"/>
      <c r="E50" s="6"/>
      <c r="F50" s="19"/>
      <c r="G50" s="24" t="s">
        <v>2</v>
      </c>
      <c r="H50" s="24" t="s">
        <v>2</v>
      </c>
      <c r="I50" s="31"/>
      <c r="J50" s="35"/>
    </row>
    <row r="51" spans="3:10" x14ac:dyDescent="0.25">
      <c r="C51" s="56"/>
      <c r="D51" s="53"/>
      <c r="E51" s="6"/>
      <c r="F51" s="19"/>
      <c r="G51" s="24"/>
      <c r="H51" s="24"/>
      <c r="I51" s="31"/>
      <c r="J51" s="35"/>
    </row>
    <row r="52" spans="3:10" x14ac:dyDescent="0.25">
      <c r="C52" s="57" t="s">
        <v>9</v>
      </c>
      <c r="D52" s="53"/>
      <c r="E52" s="6"/>
      <c r="F52" s="19"/>
      <c r="G52" s="24" t="s">
        <v>2</v>
      </c>
      <c r="H52" s="24" t="s">
        <v>2</v>
      </c>
      <c r="I52" s="31"/>
      <c r="J52" s="35"/>
    </row>
    <row r="53" spans="3:10" x14ac:dyDescent="0.25">
      <c r="C53" s="56"/>
      <c r="D53" s="53"/>
      <c r="E53" s="6"/>
      <c r="F53" s="19"/>
      <c r="G53" s="24"/>
      <c r="H53" s="24"/>
      <c r="I53" s="31"/>
      <c r="J53" s="35"/>
    </row>
    <row r="54" spans="3:10" x14ac:dyDescent="0.25">
      <c r="C54" s="57" t="s">
        <v>10</v>
      </c>
      <c r="D54" s="53"/>
      <c r="E54" s="6"/>
      <c r="F54" s="19"/>
      <c r="G54" s="24" t="s">
        <v>2</v>
      </c>
      <c r="H54" s="24" t="s">
        <v>2</v>
      </c>
      <c r="I54" s="31"/>
      <c r="J54" s="35"/>
    </row>
    <row r="55" spans="3:10" x14ac:dyDescent="0.25">
      <c r="C55" s="56"/>
      <c r="D55" s="53"/>
      <c r="E55" s="6"/>
      <c r="F55" s="19"/>
      <c r="G55" s="24"/>
      <c r="H55" s="24"/>
      <c r="I55" s="31"/>
      <c r="J55" s="35"/>
    </row>
    <row r="56" spans="3:10" x14ac:dyDescent="0.25">
      <c r="C56" s="57" t="s">
        <v>11</v>
      </c>
      <c r="D56" s="53"/>
      <c r="E56" s="6"/>
      <c r="F56" s="19"/>
      <c r="G56" s="24"/>
      <c r="H56" s="24"/>
      <c r="I56" s="31"/>
      <c r="J56" s="35"/>
    </row>
    <row r="57" spans="3:10" x14ac:dyDescent="0.25">
      <c r="C57" s="56"/>
      <c r="D57" s="53"/>
      <c r="E57" s="6"/>
      <c r="F57" s="19"/>
      <c r="G57" s="24"/>
      <c r="H57" s="24"/>
      <c r="I57" s="31"/>
      <c r="J57" s="35"/>
    </row>
    <row r="58" spans="3:10" x14ac:dyDescent="0.25">
      <c r="C58" s="57" t="s">
        <v>13</v>
      </c>
      <c r="D58" s="53"/>
      <c r="E58" s="6"/>
      <c r="F58" s="19"/>
      <c r="G58" s="24" t="s">
        <v>2</v>
      </c>
      <c r="H58" s="24" t="s">
        <v>2</v>
      </c>
      <c r="I58" s="31"/>
      <c r="J58" s="35"/>
    </row>
    <row r="59" spans="3:10" x14ac:dyDescent="0.25">
      <c r="C59" s="56"/>
      <c r="D59" s="53"/>
      <c r="E59" s="6"/>
      <c r="F59" s="19"/>
      <c r="G59" s="24"/>
      <c r="H59" s="24"/>
      <c r="I59" s="31"/>
      <c r="J59" s="35"/>
    </row>
    <row r="60" spans="3:10" x14ac:dyDescent="0.25">
      <c r="C60" s="57" t="s">
        <v>14</v>
      </c>
      <c r="D60" s="53"/>
      <c r="E60" s="6"/>
      <c r="F60" s="19"/>
      <c r="G60" s="24" t="s">
        <v>2</v>
      </c>
      <c r="H60" s="24" t="s">
        <v>2</v>
      </c>
      <c r="I60" s="31"/>
      <c r="J60" s="35"/>
    </row>
    <row r="61" spans="3:10" x14ac:dyDescent="0.25">
      <c r="C61" s="56"/>
      <c r="D61" s="53"/>
      <c r="E61" s="6"/>
      <c r="F61" s="19"/>
      <c r="G61" s="24"/>
      <c r="H61" s="24"/>
      <c r="I61" s="31"/>
      <c r="J61" s="35"/>
    </row>
    <row r="62" spans="3:10" x14ac:dyDescent="0.25">
      <c r="C62" s="57" t="s">
        <v>15</v>
      </c>
      <c r="D62" s="53"/>
      <c r="E62" s="6"/>
      <c r="F62" s="19"/>
      <c r="G62" s="24" t="s">
        <v>2</v>
      </c>
      <c r="H62" s="24" t="s">
        <v>2</v>
      </c>
      <c r="I62" s="31"/>
      <c r="J62" s="35"/>
    </row>
    <row r="63" spans="3:10" x14ac:dyDescent="0.25">
      <c r="C63" s="56"/>
      <c r="D63" s="53"/>
      <c r="E63" s="6"/>
      <c r="F63" s="19"/>
      <c r="G63" s="24"/>
      <c r="H63" s="24"/>
      <c r="I63" s="31"/>
      <c r="J63" s="35"/>
    </row>
    <row r="64" spans="3:10" x14ac:dyDescent="0.25">
      <c r="C64" s="57" t="s">
        <v>16</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17</v>
      </c>
      <c r="D66" s="53"/>
      <c r="E66" s="6"/>
      <c r="F66" s="19"/>
      <c r="G66" s="24"/>
      <c r="H66" s="24"/>
      <c r="I66" s="31"/>
      <c r="J66" s="35"/>
    </row>
    <row r="67" spans="1:10" x14ac:dyDescent="0.25">
      <c r="A67" s="28"/>
      <c r="B67" s="28"/>
      <c r="C67" s="58" t="s">
        <v>18</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19</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20</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21</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C75" s="59" t="s">
        <v>22</v>
      </c>
      <c r="D75" s="53"/>
      <c r="E75" s="6"/>
      <c r="F75" s="19"/>
      <c r="G75" s="24"/>
      <c r="H75" s="24"/>
      <c r="I75" s="31"/>
      <c r="J75" s="35"/>
    </row>
    <row r="76" spans="1:10" x14ac:dyDescent="0.25">
      <c r="B76" s="8" t="s">
        <v>33</v>
      </c>
      <c r="C76" s="56" t="s">
        <v>34</v>
      </c>
      <c r="D76" s="53"/>
      <c r="E76" s="6"/>
      <c r="F76" s="19"/>
      <c r="G76" s="24">
        <v>207.71</v>
      </c>
      <c r="H76" s="24">
        <v>7.28</v>
      </c>
      <c r="I76" s="31"/>
      <c r="J76" s="35"/>
    </row>
    <row r="77" spans="1:10" x14ac:dyDescent="0.25">
      <c r="C77" s="57" t="s">
        <v>35</v>
      </c>
      <c r="D77" s="53"/>
      <c r="E77" s="6"/>
      <c r="F77" s="19"/>
      <c r="G77" s="25">
        <v>207.71</v>
      </c>
      <c r="H77" s="25">
        <v>7.28</v>
      </c>
      <c r="I77" s="31"/>
      <c r="J77" s="35"/>
    </row>
    <row r="78" spans="1:10" x14ac:dyDescent="0.25">
      <c r="C78" s="56"/>
      <c r="D78" s="53"/>
      <c r="E78" s="6"/>
      <c r="F78" s="19"/>
      <c r="G78" s="24"/>
      <c r="H78" s="24"/>
      <c r="I78" s="31"/>
      <c r="J78" s="35"/>
    </row>
    <row r="79" spans="1:10" x14ac:dyDescent="0.25">
      <c r="A79" s="10"/>
      <c r="B79" s="28"/>
      <c r="C79" s="58" t="s">
        <v>23</v>
      </c>
      <c r="D79" s="53"/>
      <c r="E79" s="6"/>
      <c r="F79" s="19"/>
      <c r="G79" s="24"/>
      <c r="H79" s="24"/>
      <c r="I79" s="31"/>
      <c r="J79" s="35"/>
    </row>
    <row r="80" spans="1:10" x14ac:dyDescent="0.25">
      <c r="A80" s="28"/>
      <c r="B80" s="28"/>
      <c r="C80" s="60" t="s">
        <v>3398</v>
      </c>
      <c r="D80" s="53"/>
      <c r="E80" s="6"/>
      <c r="F80" s="19"/>
      <c r="G80" s="24" t="s">
        <v>2</v>
      </c>
      <c r="H80" s="24" t="s">
        <v>2</v>
      </c>
      <c r="I80" s="31"/>
      <c r="J80" s="35"/>
    </row>
    <row r="81" spans="2:10" x14ac:dyDescent="0.25">
      <c r="B81" s="8"/>
      <c r="C81" s="56" t="s">
        <v>36</v>
      </c>
      <c r="D81" s="53"/>
      <c r="E81" s="6"/>
      <c r="F81" s="19"/>
      <c r="G81" s="24">
        <v>-1.91</v>
      </c>
      <c r="H81" s="24">
        <v>-6.0000000000000005E-2</v>
      </c>
      <c r="I81" s="31"/>
      <c r="J81" s="35"/>
    </row>
    <row r="82" spans="2:10" x14ac:dyDescent="0.25">
      <c r="C82" s="57" t="s">
        <v>35</v>
      </c>
      <c r="D82" s="53"/>
      <c r="E82" s="6"/>
      <c r="F82" s="19"/>
      <c r="G82" s="25">
        <v>-1.91</v>
      </c>
      <c r="H82" s="25">
        <v>-6.0000000000000005E-2</v>
      </c>
      <c r="I82" s="31"/>
      <c r="J82" s="35"/>
    </row>
    <row r="83" spans="2:10" x14ac:dyDescent="0.25">
      <c r="C83" s="56"/>
      <c r="D83" s="53"/>
      <c r="E83" s="6"/>
      <c r="F83" s="19"/>
      <c r="G83" s="24"/>
      <c r="H83" s="24"/>
      <c r="I83" s="31"/>
      <c r="J83" s="35"/>
    </row>
    <row r="84" spans="2:10" x14ac:dyDescent="0.25">
      <c r="C84" s="61" t="s">
        <v>37</v>
      </c>
      <c r="D84" s="54"/>
      <c r="E84" s="5"/>
      <c r="F84" s="20"/>
      <c r="G84" s="26">
        <v>2852.37</v>
      </c>
      <c r="H84" s="26">
        <f>SUMIFS(H:H,C:C,"Total")</f>
        <v>100</v>
      </c>
      <c r="I84" s="32"/>
      <c r="J84" s="36"/>
    </row>
    <row r="87" spans="2:10" x14ac:dyDescent="0.25">
      <c r="C87" s="1" t="s">
        <v>38</v>
      </c>
    </row>
    <row r="88" spans="2:10" x14ac:dyDescent="0.25">
      <c r="C88" s="2" t="s">
        <v>39</v>
      </c>
    </row>
    <row r="89" spans="2:10" x14ac:dyDescent="0.25">
      <c r="C89" s="2" t="s">
        <v>40</v>
      </c>
    </row>
    <row r="90" spans="2:10" x14ac:dyDescent="0.25">
      <c r="C90" s="2" t="s">
        <v>3430</v>
      </c>
    </row>
  </sheetData>
  <hyperlinks>
    <hyperlink ref="J2" location="'Index'!A1" display="'Index'!A1"/>
  </hyperlinks>
  <pageMargins left="0.7" right="0.7" top="0.75" bottom="0.75" header="0.3" footer="0.3"/>
  <pageSetup orientation="portrait" horizontalDpi="4294967293"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6"/>
  <dimension ref="A1:J9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2027</v>
      </c>
      <c r="J2" s="37" t="s">
        <v>3307</v>
      </c>
    </row>
    <row r="3" spans="1:10" ht="16.5" x14ac:dyDescent="0.3">
      <c r="C3" s="1" t="s">
        <v>24</v>
      </c>
      <c r="D3" s="21" t="s">
        <v>2028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23573853</v>
      </c>
      <c r="G10" s="24">
        <v>526580.93999999994</v>
      </c>
      <c r="H10" s="24">
        <v>17.37</v>
      </c>
      <c r="I10" s="31"/>
      <c r="J10" s="35"/>
    </row>
    <row r="11" spans="1:10" x14ac:dyDescent="0.25">
      <c r="B11" s="8" t="s">
        <v>48</v>
      </c>
      <c r="C11" s="56" t="s">
        <v>49</v>
      </c>
      <c r="D11" s="53" t="s">
        <v>50</v>
      </c>
      <c r="E11" s="6" t="s">
        <v>51</v>
      </c>
      <c r="F11" s="19">
        <v>29701741</v>
      </c>
      <c r="G11" s="24">
        <v>320541.19</v>
      </c>
      <c r="H11" s="24">
        <v>10.57</v>
      </c>
      <c r="I11" s="31"/>
      <c r="J11" s="35"/>
    </row>
    <row r="12" spans="1:10" x14ac:dyDescent="0.25">
      <c r="B12" s="8" t="s">
        <v>44</v>
      </c>
      <c r="C12" s="56" t="s">
        <v>45</v>
      </c>
      <c r="D12" s="53" t="s">
        <v>46</v>
      </c>
      <c r="E12" s="6" t="s">
        <v>47</v>
      </c>
      <c r="F12" s="19">
        <v>26959488</v>
      </c>
      <c r="G12" s="24">
        <v>271751.64</v>
      </c>
      <c r="H12" s="24">
        <v>8.9600000000000009</v>
      </c>
      <c r="I12" s="31"/>
      <c r="J12" s="35"/>
    </row>
    <row r="13" spans="1:10" x14ac:dyDescent="0.25">
      <c r="B13" s="8" t="s">
        <v>124</v>
      </c>
      <c r="C13" s="56" t="s">
        <v>125</v>
      </c>
      <c r="D13" s="53" t="s">
        <v>126</v>
      </c>
      <c r="E13" s="6" t="s">
        <v>94</v>
      </c>
      <c r="F13" s="19">
        <v>13074870</v>
      </c>
      <c r="G13" s="24">
        <v>227411.21</v>
      </c>
      <c r="H13" s="24">
        <v>7.5</v>
      </c>
      <c r="I13" s="31"/>
      <c r="J13" s="35"/>
    </row>
    <row r="14" spans="1:10" x14ac:dyDescent="0.25">
      <c r="B14" s="8" t="s">
        <v>56</v>
      </c>
      <c r="C14" s="56" t="s">
        <v>57</v>
      </c>
      <c r="D14" s="53" t="s">
        <v>58</v>
      </c>
      <c r="E14" s="6" t="s">
        <v>47</v>
      </c>
      <c r="F14" s="19">
        <v>7668382</v>
      </c>
      <c r="G14" s="24">
        <v>191057.74</v>
      </c>
      <c r="H14" s="24">
        <v>6.3</v>
      </c>
      <c r="I14" s="31"/>
      <c r="J14" s="35"/>
    </row>
    <row r="15" spans="1:10" x14ac:dyDescent="0.25">
      <c r="B15" s="8" t="s">
        <v>62</v>
      </c>
      <c r="C15" s="56" t="s">
        <v>63</v>
      </c>
      <c r="D15" s="53" t="s">
        <v>64</v>
      </c>
      <c r="E15" s="6" t="s">
        <v>51</v>
      </c>
      <c r="F15" s="19">
        <v>50327648</v>
      </c>
      <c r="G15" s="24">
        <v>178612.82</v>
      </c>
      <c r="H15" s="24">
        <v>5.89</v>
      </c>
      <c r="I15" s="31"/>
      <c r="J15" s="35"/>
    </row>
    <row r="16" spans="1:10" x14ac:dyDescent="0.25">
      <c r="B16" s="8" t="s">
        <v>127</v>
      </c>
      <c r="C16" s="56" t="s">
        <v>128</v>
      </c>
      <c r="D16" s="53" t="s">
        <v>129</v>
      </c>
      <c r="E16" s="6" t="s">
        <v>90</v>
      </c>
      <c r="F16" s="19">
        <v>6515679</v>
      </c>
      <c r="G16" s="24">
        <v>134767.04999999999</v>
      </c>
      <c r="H16" s="24">
        <v>4.45</v>
      </c>
      <c r="I16" s="31"/>
      <c r="J16" s="35"/>
    </row>
    <row r="17" spans="2:10" x14ac:dyDescent="0.25">
      <c r="B17" s="8" t="s">
        <v>59</v>
      </c>
      <c r="C17" s="56" t="s">
        <v>60</v>
      </c>
      <c r="D17" s="53" t="s">
        <v>61</v>
      </c>
      <c r="E17" s="6" t="s">
        <v>51</v>
      </c>
      <c r="F17" s="19">
        <v>9531943</v>
      </c>
      <c r="G17" s="24">
        <v>120879.34</v>
      </c>
      <c r="H17" s="24">
        <v>3.99</v>
      </c>
      <c r="I17" s="31"/>
      <c r="J17" s="35"/>
    </row>
    <row r="18" spans="2:10" x14ac:dyDescent="0.25">
      <c r="B18" s="8" t="s">
        <v>354</v>
      </c>
      <c r="C18" s="56" t="s">
        <v>355</v>
      </c>
      <c r="D18" s="53" t="s">
        <v>356</v>
      </c>
      <c r="E18" s="6" t="s">
        <v>90</v>
      </c>
      <c r="F18" s="19">
        <v>63763905</v>
      </c>
      <c r="G18" s="24">
        <v>109514.51</v>
      </c>
      <c r="H18" s="24">
        <v>3.61</v>
      </c>
      <c r="I18" s="31"/>
      <c r="J18" s="35"/>
    </row>
    <row r="19" spans="2:10" x14ac:dyDescent="0.25">
      <c r="B19" s="8" t="s">
        <v>73</v>
      </c>
      <c r="C19" s="56" t="s">
        <v>74</v>
      </c>
      <c r="D19" s="53" t="s">
        <v>75</v>
      </c>
      <c r="E19" s="6" t="s">
        <v>51</v>
      </c>
      <c r="F19" s="19">
        <v>19207479</v>
      </c>
      <c r="G19" s="24">
        <v>81535.75</v>
      </c>
      <c r="H19" s="24">
        <v>2.69</v>
      </c>
      <c r="I19" s="31"/>
      <c r="J19" s="35"/>
    </row>
    <row r="20" spans="2:10" x14ac:dyDescent="0.25">
      <c r="B20" s="8" t="s">
        <v>76</v>
      </c>
      <c r="C20" s="56" t="s">
        <v>77</v>
      </c>
      <c r="D20" s="53" t="s">
        <v>78</v>
      </c>
      <c r="E20" s="6" t="s">
        <v>79</v>
      </c>
      <c r="F20" s="19">
        <v>8790890</v>
      </c>
      <c r="G20" s="24">
        <v>79333.39</v>
      </c>
      <c r="H20" s="24">
        <v>2.62</v>
      </c>
      <c r="I20" s="31"/>
      <c r="J20" s="35"/>
    </row>
    <row r="21" spans="2:10" x14ac:dyDescent="0.25">
      <c r="B21" s="8" t="s">
        <v>65</v>
      </c>
      <c r="C21" s="56" t="s">
        <v>66</v>
      </c>
      <c r="D21" s="53" t="s">
        <v>67</v>
      </c>
      <c r="E21" s="6" t="s">
        <v>68</v>
      </c>
      <c r="F21" s="19">
        <v>17519985</v>
      </c>
      <c r="G21" s="24">
        <v>73741.62</v>
      </c>
      <c r="H21" s="24">
        <v>2.4300000000000002</v>
      </c>
      <c r="I21" s="31"/>
      <c r="J21" s="35"/>
    </row>
    <row r="22" spans="2:10" x14ac:dyDescent="0.25">
      <c r="B22" s="8" t="s">
        <v>409</v>
      </c>
      <c r="C22" s="56" t="s">
        <v>410</v>
      </c>
      <c r="D22" s="53" t="s">
        <v>411</v>
      </c>
      <c r="E22" s="6" t="s">
        <v>98</v>
      </c>
      <c r="F22" s="19">
        <v>969972</v>
      </c>
      <c r="G22" s="24">
        <v>65403.76</v>
      </c>
      <c r="H22" s="24">
        <v>2.16</v>
      </c>
      <c r="I22" s="31"/>
      <c r="J22" s="35"/>
    </row>
    <row r="23" spans="2:10" x14ac:dyDescent="0.25">
      <c r="B23" s="8" t="s">
        <v>704</v>
      </c>
      <c r="C23" s="56" t="s">
        <v>705</v>
      </c>
      <c r="D23" s="53" t="s">
        <v>706</v>
      </c>
      <c r="E23" s="6" t="s">
        <v>90</v>
      </c>
      <c r="F23" s="19">
        <v>3290601</v>
      </c>
      <c r="G23" s="24">
        <v>65402.34</v>
      </c>
      <c r="H23" s="24">
        <v>2.16</v>
      </c>
      <c r="I23" s="31"/>
      <c r="J23" s="35"/>
    </row>
    <row r="24" spans="2:10" x14ac:dyDescent="0.25">
      <c r="B24" s="8" t="s">
        <v>133</v>
      </c>
      <c r="C24" s="56" t="s">
        <v>134</v>
      </c>
      <c r="D24" s="53" t="s">
        <v>135</v>
      </c>
      <c r="E24" s="6" t="s">
        <v>47</v>
      </c>
      <c r="F24" s="19">
        <v>7919492</v>
      </c>
      <c r="G24" s="24">
        <v>64274.6</v>
      </c>
      <c r="H24" s="24">
        <v>2.12</v>
      </c>
      <c r="I24" s="31"/>
      <c r="J24" s="35"/>
    </row>
    <row r="25" spans="2:10" x14ac:dyDescent="0.25">
      <c r="B25" s="8" t="s">
        <v>91</v>
      </c>
      <c r="C25" s="56" t="s">
        <v>92</v>
      </c>
      <c r="D25" s="53" t="s">
        <v>93</v>
      </c>
      <c r="E25" s="6" t="s">
        <v>94</v>
      </c>
      <c r="F25" s="19">
        <v>1932053</v>
      </c>
      <c r="G25" s="24">
        <v>63318.21</v>
      </c>
      <c r="H25" s="24">
        <v>2.09</v>
      </c>
      <c r="I25" s="31"/>
      <c r="J25" s="35"/>
    </row>
    <row r="26" spans="2:10" x14ac:dyDescent="0.25">
      <c r="B26" s="8" t="s">
        <v>164</v>
      </c>
      <c r="C26" s="56" t="s">
        <v>165</v>
      </c>
      <c r="D26" s="53" t="s">
        <v>166</v>
      </c>
      <c r="E26" s="6" t="s">
        <v>51</v>
      </c>
      <c r="F26" s="19">
        <v>28009412</v>
      </c>
      <c r="G26" s="24">
        <v>51929.45</v>
      </c>
      <c r="H26" s="24">
        <v>1.71</v>
      </c>
      <c r="I26" s="31"/>
      <c r="J26" s="35"/>
    </row>
    <row r="27" spans="2:10" x14ac:dyDescent="0.25">
      <c r="B27" s="8" t="s">
        <v>95</v>
      </c>
      <c r="C27" s="56" t="s">
        <v>96</v>
      </c>
      <c r="D27" s="53" t="s">
        <v>97</v>
      </c>
      <c r="E27" s="6" t="s">
        <v>98</v>
      </c>
      <c r="F27" s="19">
        <v>6981338</v>
      </c>
      <c r="G27" s="24">
        <v>42422.1</v>
      </c>
      <c r="H27" s="24">
        <v>1.4</v>
      </c>
      <c r="I27" s="31"/>
      <c r="J27" s="35"/>
    </row>
    <row r="28" spans="2:10" x14ac:dyDescent="0.25">
      <c r="B28" s="8" t="s">
        <v>406</v>
      </c>
      <c r="C28" s="56" t="s">
        <v>407</v>
      </c>
      <c r="D28" s="53" t="s">
        <v>408</v>
      </c>
      <c r="E28" s="6" t="s">
        <v>90</v>
      </c>
      <c r="F28" s="19">
        <v>260274</v>
      </c>
      <c r="G28" s="24">
        <v>41447.85</v>
      </c>
      <c r="H28" s="24">
        <v>1.37</v>
      </c>
      <c r="I28" s="31"/>
      <c r="J28" s="35"/>
    </row>
    <row r="29" spans="2:10" x14ac:dyDescent="0.25">
      <c r="B29" s="8" t="s">
        <v>245</v>
      </c>
      <c r="C29" s="56" t="s">
        <v>246</v>
      </c>
      <c r="D29" s="53" t="s">
        <v>247</v>
      </c>
      <c r="E29" s="6" t="s">
        <v>111</v>
      </c>
      <c r="F29" s="19">
        <v>7879902</v>
      </c>
      <c r="G29" s="24">
        <v>39438.910000000003</v>
      </c>
      <c r="H29" s="24">
        <v>1.3</v>
      </c>
      <c r="I29" s="31"/>
      <c r="J29" s="35"/>
    </row>
    <row r="30" spans="2:10" x14ac:dyDescent="0.25">
      <c r="B30" s="8" t="s">
        <v>80</v>
      </c>
      <c r="C30" s="56" t="s">
        <v>81</v>
      </c>
      <c r="D30" s="53" t="s">
        <v>82</v>
      </c>
      <c r="E30" s="6" t="s">
        <v>83</v>
      </c>
      <c r="F30" s="19">
        <v>3045206</v>
      </c>
      <c r="G30" s="24">
        <v>36557.699999999997</v>
      </c>
      <c r="H30" s="24">
        <v>1.21</v>
      </c>
      <c r="I30" s="31"/>
      <c r="J30" s="35"/>
    </row>
    <row r="31" spans="2:10" x14ac:dyDescent="0.25">
      <c r="B31" s="8" t="s">
        <v>327</v>
      </c>
      <c r="C31" s="56" t="s">
        <v>328</v>
      </c>
      <c r="D31" s="53" t="s">
        <v>329</v>
      </c>
      <c r="E31" s="6" t="s">
        <v>47</v>
      </c>
      <c r="F31" s="19">
        <v>4501407</v>
      </c>
      <c r="G31" s="24">
        <v>35637.64</v>
      </c>
      <c r="H31" s="24">
        <v>1.18</v>
      </c>
      <c r="I31" s="31"/>
      <c r="J31" s="35"/>
    </row>
    <row r="32" spans="2:10" x14ac:dyDescent="0.25">
      <c r="B32" s="8" t="s">
        <v>136</v>
      </c>
      <c r="C32" s="56" t="s">
        <v>137</v>
      </c>
      <c r="D32" s="53" t="s">
        <v>138</v>
      </c>
      <c r="E32" s="6" t="s">
        <v>41</v>
      </c>
      <c r="F32" s="19">
        <v>842849</v>
      </c>
      <c r="G32" s="24">
        <v>34110.1</v>
      </c>
      <c r="H32" s="24">
        <v>1.1299999999999999</v>
      </c>
      <c r="I32" s="31"/>
      <c r="J32" s="35"/>
    </row>
    <row r="33" spans="2:10" x14ac:dyDescent="0.25">
      <c r="B33" s="8" t="s">
        <v>853</v>
      </c>
      <c r="C33" s="56" t="s">
        <v>854</v>
      </c>
      <c r="D33" s="53" t="s">
        <v>855</v>
      </c>
      <c r="E33" s="6" t="s">
        <v>261</v>
      </c>
      <c r="F33" s="19">
        <v>18710132</v>
      </c>
      <c r="G33" s="24">
        <v>30422.67</v>
      </c>
      <c r="H33" s="24">
        <v>1</v>
      </c>
      <c r="I33" s="31"/>
      <c r="J33" s="35"/>
    </row>
    <row r="34" spans="2:10" x14ac:dyDescent="0.25">
      <c r="B34" s="8" t="s">
        <v>856</v>
      </c>
      <c r="C34" s="56" t="s">
        <v>857</v>
      </c>
      <c r="D34" s="53" t="s">
        <v>858</v>
      </c>
      <c r="E34" s="6" t="s">
        <v>261</v>
      </c>
      <c r="F34" s="19">
        <v>35385923</v>
      </c>
      <c r="G34" s="24">
        <v>30148.81</v>
      </c>
      <c r="H34" s="24">
        <v>0.99</v>
      </c>
      <c r="I34" s="31"/>
      <c r="J34" s="35"/>
    </row>
    <row r="35" spans="2:10" x14ac:dyDescent="0.25">
      <c r="B35" s="8" t="s">
        <v>862</v>
      </c>
      <c r="C35" s="56" t="s">
        <v>863</v>
      </c>
      <c r="D35" s="53" t="s">
        <v>864</v>
      </c>
      <c r="E35" s="6" t="s">
        <v>98</v>
      </c>
      <c r="F35" s="19">
        <v>950332</v>
      </c>
      <c r="G35" s="24">
        <v>27364.81</v>
      </c>
      <c r="H35" s="24">
        <v>0.9</v>
      </c>
      <c r="I35" s="31"/>
      <c r="J35" s="35"/>
    </row>
    <row r="36" spans="2:10" x14ac:dyDescent="0.25">
      <c r="B36" s="8" t="s">
        <v>865</v>
      </c>
      <c r="C36" s="56" t="s">
        <v>866</v>
      </c>
      <c r="D36" s="53" t="s">
        <v>867</v>
      </c>
      <c r="E36" s="6" t="s">
        <v>94</v>
      </c>
      <c r="F36" s="19">
        <v>441119</v>
      </c>
      <c r="G36" s="24">
        <v>25809.87</v>
      </c>
      <c r="H36" s="24">
        <v>0.85</v>
      </c>
      <c r="I36" s="31"/>
      <c r="J36" s="35"/>
    </row>
    <row r="37" spans="2:10" x14ac:dyDescent="0.25">
      <c r="B37" s="8" t="s">
        <v>871</v>
      </c>
      <c r="C37" s="56" t="s">
        <v>872</v>
      </c>
      <c r="D37" s="53" t="s">
        <v>873</v>
      </c>
      <c r="E37" s="6" t="s">
        <v>51</v>
      </c>
      <c r="F37" s="19">
        <v>4400182</v>
      </c>
      <c r="G37" s="24">
        <v>23177.96</v>
      </c>
      <c r="H37" s="24">
        <v>0.76</v>
      </c>
      <c r="I37" s="31"/>
      <c r="J37" s="35"/>
    </row>
    <row r="38" spans="2:10" x14ac:dyDescent="0.25">
      <c r="B38" s="8" t="s">
        <v>150</v>
      </c>
      <c r="C38" s="56" t="s">
        <v>151</v>
      </c>
      <c r="D38" s="53" t="s">
        <v>152</v>
      </c>
      <c r="E38" s="6" t="s">
        <v>153</v>
      </c>
      <c r="F38" s="19">
        <v>5344970</v>
      </c>
      <c r="G38" s="24">
        <v>19228.53</v>
      </c>
      <c r="H38" s="24">
        <v>0.63</v>
      </c>
      <c r="I38" s="31"/>
      <c r="J38" s="35"/>
    </row>
    <row r="39" spans="2:10" x14ac:dyDescent="0.25">
      <c r="B39" s="8" t="s">
        <v>839</v>
      </c>
      <c r="C39" s="56" t="s">
        <v>840</v>
      </c>
      <c r="D39" s="53" t="s">
        <v>841</v>
      </c>
      <c r="E39" s="6" t="s">
        <v>842</v>
      </c>
      <c r="F39" s="19">
        <v>26627212</v>
      </c>
      <c r="G39" s="24">
        <v>18452.66</v>
      </c>
      <c r="H39" s="24">
        <v>0.61</v>
      </c>
      <c r="I39" s="31"/>
      <c r="J39" s="35"/>
    </row>
    <row r="40" spans="2:10" x14ac:dyDescent="0.25">
      <c r="C40" s="57" t="s">
        <v>35</v>
      </c>
      <c r="D40" s="53"/>
      <c r="E40" s="6"/>
      <c r="F40" s="19"/>
      <c r="G40" s="25">
        <v>3030275.17</v>
      </c>
      <c r="H40" s="25">
        <v>99.95</v>
      </c>
      <c r="I40" s="31"/>
      <c r="J40" s="35"/>
    </row>
    <row r="41" spans="2:10" x14ac:dyDescent="0.25">
      <c r="C41" s="56"/>
      <c r="D41" s="53"/>
      <c r="E41" s="6"/>
      <c r="F41" s="19"/>
      <c r="G41" s="24"/>
      <c r="H41" s="24"/>
      <c r="I41" s="31"/>
      <c r="J41" s="35"/>
    </row>
    <row r="42" spans="2:10" x14ac:dyDescent="0.25">
      <c r="C42" s="57" t="s">
        <v>3</v>
      </c>
      <c r="D42" s="53"/>
      <c r="E42" s="6"/>
      <c r="F42" s="19"/>
      <c r="G42" s="24" t="s">
        <v>2</v>
      </c>
      <c r="H42" s="24" t="s">
        <v>2</v>
      </c>
      <c r="I42" s="31"/>
      <c r="J42" s="35"/>
    </row>
    <row r="43" spans="2:10" x14ac:dyDescent="0.25">
      <c r="C43" s="56"/>
      <c r="D43" s="53"/>
      <c r="E43" s="6"/>
      <c r="F43" s="19"/>
      <c r="G43" s="24"/>
      <c r="H43" s="24"/>
      <c r="I43" s="31"/>
      <c r="J43" s="35"/>
    </row>
    <row r="44" spans="2:10" x14ac:dyDescent="0.25">
      <c r="C44" s="57" t="s">
        <v>4</v>
      </c>
      <c r="D44" s="53"/>
      <c r="E44" s="6"/>
      <c r="F44" s="19"/>
      <c r="G44" s="24" t="s">
        <v>2</v>
      </c>
      <c r="H44" s="24" t="s">
        <v>2</v>
      </c>
      <c r="I44" s="31"/>
      <c r="J44" s="35"/>
    </row>
    <row r="45" spans="2:10" x14ac:dyDescent="0.25">
      <c r="C45" s="56"/>
      <c r="D45" s="53"/>
      <c r="E45" s="6"/>
      <c r="F45" s="19"/>
      <c r="G45" s="24"/>
      <c r="H45" s="24"/>
      <c r="I45" s="31"/>
      <c r="J45" s="35"/>
    </row>
    <row r="46" spans="2:10" x14ac:dyDescent="0.25">
      <c r="C46" s="57" t="s">
        <v>5</v>
      </c>
      <c r="D46" s="53"/>
      <c r="E46" s="6"/>
      <c r="F46" s="19"/>
      <c r="G46" s="24"/>
      <c r="H46" s="24"/>
      <c r="I46" s="31"/>
      <c r="J46" s="35"/>
    </row>
    <row r="47" spans="2:10" x14ac:dyDescent="0.25">
      <c r="C47" s="56"/>
      <c r="D47" s="53"/>
      <c r="E47" s="6"/>
      <c r="F47" s="19"/>
      <c r="G47" s="24"/>
      <c r="H47" s="24"/>
      <c r="I47" s="31"/>
      <c r="J47" s="35"/>
    </row>
    <row r="48" spans="2:10" x14ac:dyDescent="0.25">
      <c r="C48" s="57" t="s">
        <v>6</v>
      </c>
      <c r="D48" s="53"/>
      <c r="E48" s="6"/>
      <c r="F48" s="19"/>
      <c r="G48" s="24" t="s">
        <v>2</v>
      </c>
      <c r="H48" s="24" t="s">
        <v>2</v>
      </c>
      <c r="I48" s="31"/>
      <c r="J48" s="35"/>
    </row>
    <row r="49" spans="3:10" x14ac:dyDescent="0.25">
      <c r="C49" s="56"/>
      <c r="D49" s="53"/>
      <c r="E49" s="6"/>
      <c r="F49" s="19"/>
      <c r="G49" s="24"/>
      <c r="H49" s="24"/>
      <c r="I49" s="31"/>
      <c r="J49" s="35"/>
    </row>
    <row r="50" spans="3:10" x14ac:dyDescent="0.25">
      <c r="C50" s="57" t="s">
        <v>7</v>
      </c>
      <c r="D50" s="53"/>
      <c r="E50" s="6"/>
      <c r="F50" s="19"/>
      <c r="G50" s="24" t="s">
        <v>2</v>
      </c>
      <c r="H50" s="24" t="s">
        <v>2</v>
      </c>
      <c r="I50" s="31"/>
      <c r="J50" s="35"/>
    </row>
    <row r="51" spans="3:10" x14ac:dyDescent="0.25">
      <c r="C51" s="56"/>
      <c r="D51" s="53"/>
      <c r="E51" s="6"/>
      <c r="F51" s="19"/>
      <c r="G51" s="24"/>
      <c r="H51" s="24"/>
      <c r="I51" s="31"/>
      <c r="J51" s="35"/>
    </row>
    <row r="52" spans="3:10" x14ac:dyDescent="0.25">
      <c r="C52" s="57" t="s">
        <v>8</v>
      </c>
      <c r="D52" s="53"/>
      <c r="E52" s="6"/>
      <c r="F52" s="19"/>
      <c r="G52" s="24" t="s">
        <v>2</v>
      </c>
      <c r="H52" s="24" t="s">
        <v>2</v>
      </c>
      <c r="I52" s="31"/>
      <c r="J52" s="35"/>
    </row>
    <row r="53" spans="3:10" x14ac:dyDescent="0.25">
      <c r="C53" s="56"/>
      <c r="D53" s="53"/>
      <c r="E53" s="6"/>
      <c r="F53" s="19"/>
      <c r="G53" s="24"/>
      <c r="H53" s="24"/>
      <c r="I53" s="31"/>
      <c r="J53" s="35"/>
    </row>
    <row r="54" spans="3:10" x14ac:dyDescent="0.25">
      <c r="C54" s="57" t="s">
        <v>9</v>
      </c>
      <c r="D54" s="53"/>
      <c r="E54" s="6"/>
      <c r="F54" s="19"/>
      <c r="G54" s="24" t="s">
        <v>2</v>
      </c>
      <c r="H54" s="24" t="s">
        <v>2</v>
      </c>
      <c r="I54" s="31"/>
      <c r="J54" s="35"/>
    </row>
    <row r="55" spans="3:10" x14ac:dyDescent="0.25">
      <c r="C55" s="56"/>
      <c r="D55" s="53"/>
      <c r="E55" s="6"/>
      <c r="F55" s="19"/>
      <c r="G55" s="24"/>
      <c r="H55" s="24"/>
      <c r="I55" s="31"/>
      <c r="J55" s="35"/>
    </row>
    <row r="56" spans="3:10" x14ac:dyDescent="0.25">
      <c r="C56" s="57" t="s">
        <v>10</v>
      </c>
      <c r="D56" s="53"/>
      <c r="E56" s="6"/>
      <c r="F56" s="19"/>
      <c r="G56" s="24" t="s">
        <v>2</v>
      </c>
      <c r="H56" s="24" t="s">
        <v>2</v>
      </c>
      <c r="I56" s="31"/>
      <c r="J56" s="35"/>
    </row>
    <row r="57" spans="3:10" x14ac:dyDescent="0.25">
      <c r="C57" s="56"/>
      <c r="D57" s="53"/>
      <c r="E57" s="6"/>
      <c r="F57" s="19"/>
      <c r="G57" s="24"/>
      <c r="H57" s="24"/>
      <c r="I57" s="31"/>
      <c r="J57" s="35"/>
    </row>
    <row r="58" spans="3:10" x14ac:dyDescent="0.25">
      <c r="C58" s="57" t="s">
        <v>11</v>
      </c>
      <c r="D58" s="53"/>
      <c r="E58" s="6"/>
      <c r="F58" s="19"/>
      <c r="G58" s="24"/>
      <c r="H58" s="24"/>
      <c r="I58" s="31"/>
      <c r="J58" s="35"/>
    </row>
    <row r="59" spans="3:10" x14ac:dyDescent="0.25">
      <c r="C59" s="56"/>
      <c r="D59" s="53"/>
      <c r="E59" s="6"/>
      <c r="F59" s="19"/>
      <c r="G59" s="24"/>
      <c r="H59" s="24"/>
      <c r="I59" s="31"/>
      <c r="J59" s="35"/>
    </row>
    <row r="60" spans="3:10" x14ac:dyDescent="0.25">
      <c r="C60" s="57" t="s">
        <v>13</v>
      </c>
      <c r="D60" s="53"/>
      <c r="E60" s="6"/>
      <c r="F60" s="19"/>
      <c r="G60" s="24" t="s">
        <v>2</v>
      </c>
      <c r="H60" s="24" t="s">
        <v>2</v>
      </c>
      <c r="I60" s="31"/>
      <c r="J60" s="35"/>
    </row>
    <row r="61" spans="3:10" x14ac:dyDescent="0.25">
      <c r="C61" s="56"/>
      <c r="D61" s="53"/>
      <c r="E61" s="6"/>
      <c r="F61" s="19"/>
      <c r="G61" s="24"/>
      <c r="H61" s="24"/>
      <c r="I61" s="31"/>
      <c r="J61" s="35"/>
    </row>
    <row r="62" spans="3:10" x14ac:dyDescent="0.25">
      <c r="C62" s="57" t="s">
        <v>14</v>
      </c>
      <c r="D62" s="53"/>
      <c r="E62" s="6"/>
      <c r="F62" s="19"/>
      <c r="G62" s="24" t="s">
        <v>2</v>
      </c>
      <c r="H62" s="24" t="s">
        <v>2</v>
      </c>
      <c r="I62" s="31"/>
      <c r="J62" s="35"/>
    </row>
    <row r="63" spans="3:10" x14ac:dyDescent="0.25">
      <c r="C63" s="56"/>
      <c r="D63" s="53"/>
      <c r="E63" s="6"/>
      <c r="F63" s="19"/>
      <c r="G63" s="24"/>
      <c r="H63" s="24"/>
      <c r="I63" s="31"/>
      <c r="J63" s="35"/>
    </row>
    <row r="64" spans="3:10" x14ac:dyDescent="0.25">
      <c r="C64" s="57" t="s">
        <v>15</v>
      </c>
      <c r="D64" s="53"/>
      <c r="E64" s="6"/>
      <c r="F64" s="19"/>
      <c r="G64" s="24" t="s">
        <v>2</v>
      </c>
      <c r="H64" s="24" t="s">
        <v>2</v>
      </c>
      <c r="I64" s="31"/>
      <c r="J64" s="35"/>
    </row>
    <row r="65" spans="1:10" x14ac:dyDescent="0.25">
      <c r="C65" s="56"/>
      <c r="D65" s="53"/>
      <c r="E65" s="6"/>
      <c r="F65" s="19"/>
      <c r="G65" s="24"/>
      <c r="H65" s="24"/>
      <c r="I65" s="31"/>
      <c r="J65" s="35"/>
    </row>
    <row r="66" spans="1:10" x14ac:dyDescent="0.25">
      <c r="C66" s="57" t="s">
        <v>16</v>
      </c>
      <c r="D66" s="53"/>
      <c r="E66" s="6"/>
      <c r="F66" s="19"/>
      <c r="G66" s="24" t="s">
        <v>2</v>
      </c>
      <c r="H66" s="24" t="s">
        <v>2</v>
      </c>
      <c r="I66" s="31"/>
      <c r="J66" s="35"/>
    </row>
    <row r="67" spans="1:10" x14ac:dyDescent="0.25">
      <c r="C67" s="56"/>
      <c r="D67" s="53"/>
      <c r="E67" s="6"/>
      <c r="F67" s="19"/>
      <c r="G67" s="24"/>
      <c r="H67" s="24"/>
      <c r="I67" s="31"/>
      <c r="J67" s="35"/>
    </row>
    <row r="68" spans="1:10" x14ac:dyDescent="0.25">
      <c r="A68" s="10"/>
      <c r="B68" s="28"/>
      <c r="C68" s="58" t="s">
        <v>17</v>
      </c>
      <c r="D68" s="53"/>
      <c r="E68" s="6"/>
      <c r="F68" s="19"/>
      <c r="G68" s="24"/>
      <c r="H68" s="24"/>
      <c r="I68" s="31"/>
      <c r="J68" s="35"/>
    </row>
    <row r="69" spans="1:10" x14ac:dyDescent="0.25">
      <c r="A69" s="28"/>
      <c r="B69" s="28"/>
      <c r="C69" s="58" t="s">
        <v>18</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19</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20</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A75" s="28"/>
      <c r="B75" s="28"/>
      <c r="C75" s="58" t="s">
        <v>21</v>
      </c>
      <c r="D75" s="53"/>
      <c r="E75" s="6"/>
      <c r="F75" s="19"/>
      <c r="G75" s="24" t="s">
        <v>2</v>
      </c>
      <c r="H75" s="24" t="s">
        <v>2</v>
      </c>
      <c r="I75" s="31"/>
      <c r="J75" s="35"/>
    </row>
    <row r="76" spans="1:10" x14ac:dyDescent="0.25">
      <c r="A76" s="28"/>
      <c r="B76" s="28"/>
      <c r="C76" s="58"/>
      <c r="D76" s="53"/>
      <c r="E76" s="6"/>
      <c r="F76" s="19"/>
      <c r="G76" s="24"/>
      <c r="H76" s="24"/>
      <c r="I76" s="31"/>
      <c r="J76" s="35"/>
    </row>
    <row r="77" spans="1:10" x14ac:dyDescent="0.25">
      <c r="C77" s="59" t="s">
        <v>22</v>
      </c>
      <c r="D77" s="53"/>
      <c r="E77" s="6"/>
      <c r="F77" s="19"/>
      <c r="G77" s="24"/>
      <c r="H77" s="24"/>
      <c r="I77" s="31"/>
      <c r="J77" s="35"/>
    </row>
    <row r="78" spans="1:10" x14ac:dyDescent="0.25">
      <c r="B78" s="8" t="s">
        <v>33</v>
      </c>
      <c r="C78" s="56" t="s">
        <v>34</v>
      </c>
      <c r="D78" s="53"/>
      <c r="E78" s="6"/>
      <c r="F78" s="19"/>
      <c r="G78" s="24">
        <v>1515.8</v>
      </c>
      <c r="H78" s="24">
        <v>0.05</v>
      </c>
      <c r="I78" s="31"/>
      <c r="J78" s="35"/>
    </row>
    <row r="79" spans="1:10" x14ac:dyDescent="0.25">
      <c r="C79" s="57" t="s">
        <v>35</v>
      </c>
      <c r="D79" s="53"/>
      <c r="E79" s="6"/>
      <c r="F79" s="19"/>
      <c r="G79" s="25">
        <v>1515.8</v>
      </c>
      <c r="H79" s="25">
        <v>0.05</v>
      </c>
      <c r="I79" s="31"/>
      <c r="J79" s="35"/>
    </row>
    <row r="80" spans="1:10" x14ac:dyDescent="0.25">
      <c r="C80" s="56"/>
      <c r="D80" s="53"/>
      <c r="E80" s="6"/>
      <c r="F80" s="19"/>
      <c r="G80" s="24"/>
      <c r="H80" s="24"/>
      <c r="I80" s="31"/>
      <c r="J80" s="35"/>
    </row>
    <row r="81" spans="1:10" x14ac:dyDescent="0.25">
      <c r="A81" s="10"/>
      <c r="B81" s="28"/>
      <c r="C81" s="58" t="s">
        <v>23</v>
      </c>
      <c r="D81" s="53"/>
      <c r="E81" s="6"/>
      <c r="F81" s="19"/>
      <c r="G81" s="24"/>
      <c r="H81" s="24"/>
      <c r="I81" s="31"/>
      <c r="J81" s="35"/>
    </row>
    <row r="82" spans="1:10" x14ac:dyDescent="0.25">
      <c r="A82" s="28"/>
      <c r="B82" s="28"/>
      <c r="C82" s="60" t="s">
        <v>3398</v>
      </c>
      <c r="D82" s="53"/>
      <c r="E82" s="6"/>
      <c r="F82" s="19"/>
      <c r="G82" s="24" t="s">
        <v>2</v>
      </c>
      <c r="H82" s="24" t="s">
        <v>2</v>
      </c>
      <c r="I82" s="31"/>
      <c r="J82" s="35"/>
    </row>
    <row r="83" spans="1:10" x14ac:dyDescent="0.25">
      <c r="B83" s="8"/>
      <c r="C83" s="56" t="s">
        <v>36</v>
      </c>
      <c r="D83" s="53"/>
      <c r="E83" s="6"/>
      <c r="F83" s="19"/>
      <c r="G83" s="24">
        <v>80.95</v>
      </c>
      <c r="H83" s="24" t="s">
        <v>3399</v>
      </c>
      <c r="I83" s="31"/>
      <c r="J83" s="35"/>
    </row>
    <row r="84" spans="1:10" x14ac:dyDescent="0.25">
      <c r="C84" s="57" t="s">
        <v>35</v>
      </c>
      <c r="D84" s="53"/>
      <c r="E84" s="6"/>
      <c r="F84" s="19"/>
      <c r="G84" s="25">
        <v>80.95</v>
      </c>
      <c r="H84" s="25" t="s">
        <v>3399</v>
      </c>
      <c r="I84" s="31"/>
      <c r="J84" s="35"/>
    </row>
    <row r="85" spans="1:10" x14ac:dyDescent="0.25">
      <c r="C85" s="56"/>
      <c r="D85" s="53"/>
      <c r="E85" s="6"/>
      <c r="F85" s="19"/>
      <c r="G85" s="24"/>
      <c r="H85" s="24"/>
      <c r="I85" s="31"/>
      <c r="J85" s="35"/>
    </row>
    <row r="86" spans="1:10" x14ac:dyDescent="0.25">
      <c r="C86" s="61" t="s">
        <v>37</v>
      </c>
      <c r="D86" s="54"/>
      <c r="E86" s="5"/>
      <c r="F86" s="20"/>
      <c r="G86" s="26">
        <v>3031871.92</v>
      </c>
      <c r="H86" s="26">
        <f>SUMIFS(H:H,C:C,"Total")</f>
        <v>100</v>
      </c>
      <c r="I86" s="32"/>
      <c r="J86" s="36"/>
    </row>
    <row r="89" spans="1:10" x14ac:dyDescent="0.25">
      <c r="C89" s="1" t="s">
        <v>38</v>
      </c>
    </row>
    <row r="90" spans="1:10" x14ac:dyDescent="0.25">
      <c r="C90" s="2" t="s">
        <v>39</v>
      </c>
    </row>
    <row r="91" spans="1:10" x14ac:dyDescent="0.25">
      <c r="C91" s="2" t="s">
        <v>40</v>
      </c>
    </row>
    <row r="92" spans="1:10" x14ac:dyDescent="0.25">
      <c r="C92" s="2" t="s">
        <v>3430</v>
      </c>
    </row>
  </sheetData>
  <hyperlinks>
    <hyperlink ref="J2" location="'Index'!A1" display="'Index'!A1"/>
  </hyperlinks>
  <pageMargins left="0.7" right="0.7" top="0.75" bottom="0.75" header="0.3" footer="0.3"/>
  <pageSetup orientation="portrait" horizontalDpi="4294967293"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7"/>
  <dimension ref="A1:J114"/>
  <sheetViews>
    <sheetView showGridLines="0" zoomScale="90" zoomScaleNormal="90" workbookViewId="0">
      <pane ySplit="6" topLeftCell="A55" activePane="bottomLeft" state="frozen"/>
      <selection pane="bottomLeft" activeCell="C62" sqref="C62"/>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2029</v>
      </c>
      <c r="J2" s="37" t="s">
        <v>3307</v>
      </c>
    </row>
    <row r="3" spans="1:10" ht="16.5" x14ac:dyDescent="0.3">
      <c r="C3" s="1" t="s">
        <v>24</v>
      </c>
      <c r="D3" s="21" t="s">
        <v>2030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206</v>
      </c>
      <c r="C10" s="56" t="s">
        <v>207</v>
      </c>
      <c r="D10" s="53" t="s">
        <v>208</v>
      </c>
      <c r="E10" s="6" t="s">
        <v>41</v>
      </c>
      <c r="F10" s="19">
        <v>1800700</v>
      </c>
      <c r="G10" s="24">
        <v>27133.85</v>
      </c>
      <c r="H10" s="24">
        <v>5.0999999999999996</v>
      </c>
      <c r="I10" s="31"/>
      <c r="J10" s="35"/>
    </row>
    <row r="11" spans="1:10" x14ac:dyDescent="0.25">
      <c r="B11" s="8" t="s">
        <v>451</v>
      </c>
      <c r="C11" s="56" t="s">
        <v>452</v>
      </c>
      <c r="D11" s="53" t="s">
        <v>453</v>
      </c>
      <c r="E11" s="6" t="s">
        <v>157</v>
      </c>
      <c r="F11" s="19">
        <v>22000000</v>
      </c>
      <c r="G11" s="24">
        <v>26697</v>
      </c>
      <c r="H11" s="24">
        <v>5.0199999999999996</v>
      </c>
      <c r="I11" s="31"/>
      <c r="J11" s="35"/>
    </row>
    <row r="12" spans="1:10" x14ac:dyDescent="0.25">
      <c r="B12" s="8" t="s">
        <v>698</v>
      </c>
      <c r="C12" s="56" t="s">
        <v>699</v>
      </c>
      <c r="D12" s="53" t="s">
        <v>700</v>
      </c>
      <c r="E12" s="6" t="s">
        <v>90</v>
      </c>
      <c r="F12" s="19">
        <v>370000</v>
      </c>
      <c r="G12" s="24">
        <v>19094.04</v>
      </c>
      <c r="H12" s="24">
        <v>3.59</v>
      </c>
      <c r="I12" s="31"/>
      <c r="J12" s="35"/>
    </row>
    <row r="13" spans="1:10" x14ac:dyDescent="0.25">
      <c r="B13" s="8" t="s">
        <v>1360</v>
      </c>
      <c r="C13" s="56" t="s">
        <v>1361</v>
      </c>
      <c r="D13" s="53" t="s">
        <v>1362</v>
      </c>
      <c r="E13" s="6" t="s">
        <v>83</v>
      </c>
      <c r="F13" s="19">
        <v>2900000</v>
      </c>
      <c r="G13" s="24">
        <v>18593.349999999999</v>
      </c>
      <c r="H13" s="24">
        <v>3.49</v>
      </c>
      <c r="I13" s="31"/>
      <c r="J13" s="35"/>
    </row>
    <row r="14" spans="1:10" x14ac:dyDescent="0.25">
      <c r="B14" s="8" t="s">
        <v>1512</v>
      </c>
      <c r="C14" s="56" t="s">
        <v>1513</v>
      </c>
      <c r="D14" s="53" t="s">
        <v>1514</v>
      </c>
      <c r="E14" s="6" t="s">
        <v>51</v>
      </c>
      <c r="F14" s="19">
        <v>13000000</v>
      </c>
      <c r="G14" s="24">
        <v>18167.5</v>
      </c>
      <c r="H14" s="24">
        <v>3.41</v>
      </c>
      <c r="I14" s="31"/>
      <c r="J14" s="35"/>
    </row>
    <row r="15" spans="1:10" x14ac:dyDescent="0.25">
      <c r="B15" s="8" t="s">
        <v>2024</v>
      </c>
      <c r="C15" s="56" t="s">
        <v>2025</v>
      </c>
      <c r="D15" s="53" t="s">
        <v>2026</v>
      </c>
      <c r="E15" s="6" t="s">
        <v>79</v>
      </c>
      <c r="F15" s="19">
        <v>9000000</v>
      </c>
      <c r="G15" s="24">
        <v>18139.5</v>
      </c>
      <c r="H15" s="24">
        <v>3.41</v>
      </c>
      <c r="I15" s="31"/>
      <c r="J15" s="35"/>
    </row>
    <row r="16" spans="1:10" x14ac:dyDescent="0.25">
      <c r="B16" s="8" t="s">
        <v>2031</v>
      </c>
      <c r="C16" s="56" t="s">
        <v>2032</v>
      </c>
      <c r="D16" s="53" t="s">
        <v>2033</v>
      </c>
      <c r="E16" s="6" t="s">
        <v>195</v>
      </c>
      <c r="F16" s="19">
        <v>790000</v>
      </c>
      <c r="G16" s="24">
        <v>17398.57</v>
      </c>
      <c r="H16" s="24">
        <v>3.27</v>
      </c>
      <c r="I16" s="31"/>
      <c r="J16" s="35"/>
    </row>
    <row r="17" spans="2:10" x14ac:dyDescent="0.25">
      <c r="B17" s="8" t="s">
        <v>222</v>
      </c>
      <c r="C17" s="56" t="s">
        <v>223</v>
      </c>
      <c r="D17" s="53" t="s">
        <v>224</v>
      </c>
      <c r="E17" s="6" t="s">
        <v>83</v>
      </c>
      <c r="F17" s="19">
        <v>1300000</v>
      </c>
      <c r="G17" s="24">
        <v>17247.099999999999</v>
      </c>
      <c r="H17" s="24">
        <v>3.24</v>
      </c>
      <c r="I17" s="31"/>
      <c r="J17" s="35"/>
    </row>
    <row r="18" spans="2:10" x14ac:dyDescent="0.25">
      <c r="B18" s="8" t="s">
        <v>307</v>
      </c>
      <c r="C18" s="56" t="s">
        <v>308</v>
      </c>
      <c r="D18" s="53" t="s">
        <v>309</v>
      </c>
      <c r="E18" s="6" t="s">
        <v>90</v>
      </c>
      <c r="F18" s="19">
        <v>2135000</v>
      </c>
      <c r="G18" s="24">
        <v>16651.93</v>
      </c>
      <c r="H18" s="24">
        <v>3.13</v>
      </c>
      <c r="I18" s="31"/>
      <c r="J18" s="35"/>
    </row>
    <row r="19" spans="2:10" x14ac:dyDescent="0.25">
      <c r="B19" s="8" t="s">
        <v>225</v>
      </c>
      <c r="C19" s="56" t="s">
        <v>226</v>
      </c>
      <c r="D19" s="53" t="s">
        <v>227</v>
      </c>
      <c r="E19" s="6" t="s">
        <v>228</v>
      </c>
      <c r="F19" s="19">
        <v>790000</v>
      </c>
      <c r="G19" s="24">
        <v>15574.85</v>
      </c>
      <c r="H19" s="24">
        <v>2.93</v>
      </c>
      <c r="I19" s="31"/>
      <c r="J19" s="35"/>
    </row>
    <row r="20" spans="2:10" x14ac:dyDescent="0.25">
      <c r="B20" s="8" t="s">
        <v>424</v>
      </c>
      <c r="C20" s="56" t="s">
        <v>425</v>
      </c>
      <c r="D20" s="53" t="s">
        <v>426</v>
      </c>
      <c r="E20" s="6" t="s">
        <v>83</v>
      </c>
      <c r="F20" s="19">
        <v>170000</v>
      </c>
      <c r="G20" s="24">
        <v>14895.49</v>
      </c>
      <c r="H20" s="24">
        <v>2.8</v>
      </c>
      <c r="I20" s="31"/>
      <c r="J20" s="35"/>
    </row>
    <row r="21" spans="2:10" x14ac:dyDescent="0.25">
      <c r="B21" s="8" t="s">
        <v>811</v>
      </c>
      <c r="C21" s="56" t="s">
        <v>812</v>
      </c>
      <c r="D21" s="53" t="s">
        <v>813</v>
      </c>
      <c r="E21" s="6" t="s">
        <v>157</v>
      </c>
      <c r="F21" s="19">
        <v>5300000</v>
      </c>
      <c r="G21" s="24">
        <v>14270.25</v>
      </c>
      <c r="H21" s="24">
        <v>2.68</v>
      </c>
      <c r="I21" s="31"/>
      <c r="J21" s="35"/>
    </row>
    <row r="22" spans="2:10" x14ac:dyDescent="0.25">
      <c r="B22" s="8" t="s">
        <v>235</v>
      </c>
      <c r="C22" s="56" t="s">
        <v>236</v>
      </c>
      <c r="D22" s="53" t="s">
        <v>3424</v>
      </c>
      <c r="E22" s="6" t="s">
        <v>90</v>
      </c>
      <c r="F22" s="19">
        <v>770000</v>
      </c>
      <c r="G22" s="24">
        <v>14163.77</v>
      </c>
      <c r="H22" s="24">
        <v>2.66</v>
      </c>
      <c r="I22" s="31"/>
      <c r="J22" s="35"/>
    </row>
    <row r="23" spans="2:10" x14ac:dyDescent="0.25">
      <c r="B23" s="8" t="s">
        <v>275</v>
      </c>
      <c r="C23" s="56" t="s">
        <v>276</v>
      </c>
      <c r="D23" s="53" t="s">
        <v>277</v>
      </c>
      <c r="E23" s="6" t="s">
        <v>218</v>
      </c>
      <c r="F23" s="19">
        <v>50000000</v>
      </c>
      <c r="G23" s="24">
        <v>13950</v>
      </c>
      <c r="H23" s="24">
        <v>2.62</v>
      </c>
      <c r="I23" s="31"/>
      <c r="J23" s="35"/>
    </row>
    <row r="24" spans="2:10" x14ac:dyDescent="0.25">
      <c r="B24" s="8" t="s">
        <v>1357</v>
      </c>
      <c r="C24" s="56" t="s">
        <v>1358</v>
      </c>
      <c r="D24" s="53" t="s">
        <v>1359</v>
      </c>
      <c r="E24" s="6" t="s">
        <v>196</v>
      </c>
      <c r="F24" s="19">
        <v>2234000</v>
      </c>
      <c r="G24" s="24">
        <v>13500.06</v>
      </c>
      <c r="H24" s="24">
        <v>2.54</v>
      </c>
      <c r="I24" s="31"/>
      <c r="J24" s="35"/>
    </row>
    <row r="25" spans="2:10" x14ac:dyDescent="0.25">
      <c r="B25" s="8" t="s">
        <v>363</v>
      </c>
      <c r="C25" s="56" t="s">
        <v>364</v>
      </c>
      <c r="D25" s="53" t="s">
        <v>365</v>
      </c>
      <c r="E25" s="6" t="s">
        <v>366</v>
      </c>
      <c r="F25" s="19">
        <v>3700000</v>
      </c>
      <c r="G25" s="24">
        <v>13246</v>
      </c>
      <c r="H25" s="24">
        <v>2.4900000000000002</v>
      </c>
      <c r="I25" s="31"/>
      <c r="J25" s="35"/>
    </row>
    <row r="26" spans="2:10" x14ac:dyDescent="0.25">
      <c r="B26" s="8" t="s">
        <v>814</v>
      </c>
      <c r="C26" s="56" t="s">
        <v>815</v>
      </c>
      <c r="D26" s="53" t="s">
        <v>816</v>
      </c>
      <c r="E26" s="6" t="s">
        <v>83</v>
      </c>
      <c r="F26" s="19">
        <v>7700000</v>
      </c>
      <c r="G26" s="24">
        <v>13124.65</v>
      </c>
      <c r="H26" s="24">
        <v>2.4700000000000002</v>
      </c>
      <c r="I26" s="31"/>
      <c r="J26" s="35"/>
    </row>
    <row r="27" spans="2:10" x14ac:dyDescent="0.25">
      <c r="B27" s="8" t="s">
        <v>448</v>
      </c>
      <c r="C27" s="56" t="s">
        <v>449</v>
      </c>
      <c r="D27" s="53" t="s">
        <v>450</v>
      </c>
      <c r="E27" s="6" t="s">
        <v>157</v>
      </c>
      <c r="F27" s="19">
        <v>1183382</v>
      </c>
      <c r="G27" s="24">
        <v>13092.94</v>
      </c>
      <c r="H27" s="24">
        <v>2.46</v>
      </c>
      <c r="I27" s="31"/>
      <c r="J27" s="35"/>
    </row>
    <row r="28" spans="2:10" x14ac:dyDescent="0.25">
      <c r="B28" s="8" t="s">
        <v>243</v>
      </c>
      <c r="C28" s="56" t="s">
        <v>197</v>
      </c>
      <c r="D28" s="53" t="s">
        <v>244</v>
      </c>
      <c r="E28" s="6" t="s">
        <v>142</v>
      </c>
      <c r="F28" s="19">
        <v>5424681</v>
      </c>
      <c r="G28" s="24">
        <v>12742.58</v>
      </c>
      <c r="H28" s="24">
        <v>2.39</v>
      </c>
      <c r="I28" s="31"/>
      <c r="J28" s="35"/>
    </row>
    <row r="29" spans="2:10" x14ac:dyDescent="0.25">
      <c r="B29" s="8" t="s">
        <v>707</v>
      </c>
      <c r="C29" s="56" t="s">
        <v>708</v>
      </c>
      <c r="D29" s="53" t="s">
        <v>709</v>
      </c>
      <c r="E29" s="6" t="s">
        <v>218</v>
      </c>
      <c r="F29" s="19">
        <v>9000000</v>
      </c>
      <c r="G29" s="24">
        <v>12451.5</v>
      </c>
      <c r="H29" s="24">
        <v>2.34</v>
      </c>
      <c r="I29" s="31"/>
      <c r="J29" s="35"/>
    </row>
    <row r="30" spans="2:10" x14ac:dyDescent="0.25">
      <c r="B30" s="8" t="s">
        <v>460</v>
      </c>
      <c r="C30" s="56" t="s">
        <v>461</v>
      </c>
      <c r="D30" s="53" t="s">
        <v>462</v>
      </c>
      <c r="E30" s="6" t="s">
        <v>51</v>
      </c>
      <c r="F30" s="19">
        <v>5500000</v>
      </c>
      <c r="G30" s="24">
        <v>12449.25</v>
      </c>
      <c r="H30" s="24">
        <v>2.34</v>
      </c>
      <c r="I30" s="31"/>
      <c r="J30" s="35"/>
    </row>
    <row r="31" spans="2:10" x14ac:dyDescent="0.25">
      <c r="B31" s="8" t="s">
        <v>1530</v>
      </c>
      <c r="C31" s="56" t="s">
        <v>1531</v>
      </c>
      <c r="D31" s="53" t="s">
        <v>1532</v>
      </c>
      <c r="E31" s="6" t="s">
        <v>195</v>
      </c>
      <c r="F31" s="19">
        <v>1514790</v>
      </c>
      <c r="G31" s="24">
        <v>12077.42</v>
      </c>
      <c r="H31" s="24">
        <v>2.27</v>
      </c>
      <c r="I31" s="31"/>
      <c r="J31" s="35"/>
    </row>
    <row r="32" spans="2:10" x14ac:dyDescent="0.25">
      <c r="B32" s="8" t="s">
        <v>209</v>
      </c>
      <c r="C32" s="56" t="s">
        <v>210</v>
      </c>
      <c r="D32" s="53" t="s">
        <v>211</v>
      </c>
      <c r="E32" s="6" t="s">
        <v>83</v>
      </c>
      <c r="F32" s="19">
        <v>1800000</v>
      </c>
      <c r="G32" s="24">
        <v>11999.7</v>
      </c>
      <c r="H32" s="24">
        <v>2.2599999999999998</v>
      </c>
      <c r="I32" s="31"/>
      <c r="J32" s="35"/>
    </row>
    <row r="33" spans="2:10" x14ac:dyDescent="0.25">
      <c r="B33" s="8" t="s">
        <v>1351</v>
      </c>
      <c r="C33" s="56" t="s">
        <v>1352</v>
      </c>
      <c r="D33" s="53" t="s">
        <v>1353</v>
      </c>
      <c r="E33" s="6" t="s">
        <v>195</v>
      </c>
      <c r="F33" s="19">
        <v>410632</v>
      </c>
      <c r="G33" s="24">
        <v>10974.96</v>
      </c>
      <c r="H33" s="24">
        <v>2.06</v>
      </c>
      <c r="I33" s="31"/>
      <c r="J33" s="35"/>
    </row>
    <row r="34" spans="2:10" x14ac:dyDescent="0.25">
      <c r="B34" s="8" t="s">
        <v>251</v>
      </c>
      <c r="C34" s="56" t="s">
        <v>252</v>
      </c>
      <c r="D34" s="53" t="s">
        <v>253</v>
      </c>
      <c r="E34" s="6" t="s">
        <v>254</v>
      </c>
      <c r="F34" s="19">
        <v>15395320</v>
      </c>
      <c r="G34" s="24">
        <v>10561.19</v>
      </c>
      <c r="H34" s="24">
        <v>1.98</v>
      </c>
      <c r="I34" s="31"/>
      <c r="J34" s="35"/>
    </row>
    <row r="35" spans="2:10" x14ac:dyDescent="0.25">
      <c r="B35" s="8" t="s">
        <v>2034</v>
      </c>
      <c r="C35" s="56" t="s">
        <v>2035</v>
      </c>
      <c r="D35" s="53" t="s">
        <v>2036</v>
      </c>
      <c r="E35" s="6" t="s">
        <v>111</v>
      </c>
      <c r="F35" s="19">
        <v>10000000</v>
      </c>
      <c r="G35" s="24">
        <v>10500</v>
      </c>
      <c r="H35" s="24">
        <v>1.97</v>
      </c>
      <c r="I35" s="31"/>
      <c r="J35" s="35"/>
    </row>
    <row r="36" spans="2:10" x14ac:dyDescent="0.25">
      <c r="B36" s="8" t="s">
        <v>902</v>
      </c>
      <c r="C36" s="56" t="s">
        <v>903</v>
      </c>
      <c r="D36" s="53" t="s">
        <v>904</v>
      </c>
      <c r="E36" s="6" t="s">
        <v>79</v>
      </c>
      <c r="F36" s="19">
        <v>15701235</v>
      </c>
      <c r="G36" s="24">
        <v>10103.74</v>
      </c>
      <c r="H36" s="24">
        <v>1.9</v>
      </c>
      <c r="I36" s="31"/>
      <c r="J36" s="35"/>
    </row>
    <row r="37" spans="2:10" x14ac:dyDescent="0.25">
      <c r="B37" s="8" t="s">
        <v>430</v>
      </c>
      <c r="C37" s="56" t="s">
        <v>431</v>
      </c>
      <c r="D37" s="53" t="s">
        <v>432</v>
      </c>
      <c r="E37" s="6" t="s">
        <v>195</v>
      </c>
      <c r="F37" s="19">
        <v>500000</v>
      </c>
      <c r="G37" s="24">
        <v>9479.5</v>
      </c>
      <c r="H37" s="24">
        <v>1.78</v>
      </c>
      <c r="I37" s="31"/>
      <c r="J37" s="35"/>
    </row>
    <row r="38" spans="2:10" x14ac:dyDescent="0.25">
      <c r="B38" s="8" t="s">
        <v>1565</v>
      </c>
      <c r="C38" s="56" t="s">
        <v>1566</v>
      </c>
      <c r="D38" s="53" t="s">
        <v>1567</v>
      </c>
      <c r="E38" s="6" t="s">
        <v>41</v>
      </c>
      <c r="F38" s="19">
        <v>11261603</v>
      </c>
      <c r="G38" s="24">
        <v>9454.1200000000008</v>
      </c>
      <c r="H38" s="24">
        <v>1.78</v>
      </c>
      <c r="I38" s="31"/>
      <c r="J38" s="35"/>
    </row>
    <row r="39" spans="2:10" x14ac:dyDescent="0.25">
      <c r="B39" s="8" t="s">
        <v>418</v>
      </c>
      <c r="C39" s="56" t="s">
        <v>419</v>
      </c>
      <c r="D39" s="53" t="s">
        <v>420</v>
      </c>
      <c r="E39" s="6" t="s">
        <v>157</v>
      </c>
      <c r="F39" s="19">
        <v>1418409</v>
      </c>
      <c r="G39" s="24">
        <v>7732.46</v>
      </c>
      <c r="H39" s="24">
        <v>1.45</v>
      </c>
      <c r="I39" s="31"/>
      <c r="J39" s="35"/>
    </row>
    <row r="40" spans="2:10" x14ac:dyDescent="0.25">
      <c r="B40" s="8" t="s">
        <v>316</v>
      </c>
      <c r="C40" s="56" t="s">
        <v>317</v>
      </c>
      <c r="D40" s="53" t="s">
        <v>318</v>
      </c>
      <c r="E40" s="6" t="s">
        <v>94</v>
      </c>
      <c r="F40" s="19">
        <v>608859</v>
      </c>
      <c r="G40" s="24">
        <v>7488.97</v>
      </c>
      <c r="H40" s="24">
        <v>1.41</v>
      </c>
      <c r="I40" s="31"/>
      <c r="J40" s="35" t="s">
        <v>3431</v>
      </c>
    </row>
    <row r="41" spans="2:10" x14ac:dyDescent="0.25">
      <c r="B41" s="8" t="s">
        <v>367</v>
      </c>
      <c r="C41" s="56" t="s">
        <v>368</v>
      </c>
      <c r="D41" s="53" t="s">
        <v>369</v>
      </c>
      <c r="E41" s="6" t="s">
        <v>254</v>
      </c>
      <c r="F41" s="19">
        <v>7634430</v>
      </c>
      <c r="G41" s="24">
        <v>6878.62</v>
      </c>
      <c r="H41" s="24">
        <v>1.29</v>
      </c>
      <c r="I41" s="31"/>
      <c r="J41" s="35"/>
    </row>
    <row r="42" spans="2:10" x14ac:dyDescent="0.25">
      <c r="B42" s="8" t="s">
        <v>2037</v>
      </c>
      <c r="C42" s="56" t="s">
        <v>2038</v>
      </c>
      <c r="D42" s="53" t="s">
        <v>2039</v>
      </c>
      <c r="E42" s="6" t="s">
        <v>47</v>
      </c>
      <c r="F42" s="19">
        <v>959922</v>
      </c>
      <c r="G42" s="24">
        <v>6730.01</v>
      </c>
      <c r="H42" s="24">
        <v>1.26</v>
      </c>
      <c r="I42" s="31"/>
      <c r="J42" s="35"/>
    </row>
    <row r="43" spans="2:10" x14ac:dyDescent="0.25">
      <c r="B43" s="8" t="s">
        <v>288</v>
      </c>
      <c r="C43" s="56" t="s">
        <v>289</v>
      </c>
      <c r="D43" s="53" t="s">
        <v>290</v>
      </c>
      <c r="E43" s="6" t="s">
        <v>157</v>
      </c>
      <c r="F43" s="19">
        <v>5100000</v>
      </c>
      <c r="G43" s="24">
        <v>5495.25</v>
      </c>
      <c r="H43" s="24">
        <v>1.03</v>
      </c>
      <c r="I43" s="31"/>
      <c r="J43" s="35"/>
    </row>
    <row r="44" spans="2:10" x14ac:dyDescent="0.25">
      <c r="B44" s="8" t="s">
        <v>2021</v>
      </c>
      <c r="C44" s="56" t="s">
        <v>2022</v>
      </c>
      <c r="D44" s="53" t="s">
        <v>2023</v>
      </c>
      <c r="E44" s="6" t="s">
        <v>153</v>
      </c>
      <c r="F44" s="19">
        <v>391486</v>
      </c>
      <c r="G44" s="24">
        <v>4835.6400000000003</v>
      </c>
      <c r="H44" s="24">
        <v>0.91</v>
      </c>
      <c r="I44" s="31"/>
      <c r="J44" s="35"/>
    </row>
    <row r="45" spans="2:10" x14ac:dyDescent="0.25">
      <c r="B45" s="8" t="s">
        <v>2040</v>
      </c>
      <c r="C45" s="56" t="s">
        <v>2041</v>
      </c>
      <c r="D45" s="53" t="s">
        <v>2042</v>
      </c>
      <c r="E45" s="6" t="s">
        <v>146</v>
      </c>
      <c r="F45" s="19">
        <v>243467</v>
      </c>
      <c r="G45" s="24">
        <v>4815.41</v>
      </c>
      <c r="H45" s="24">
        <v>0.91</v>
      </c>
      <c r="I45" s="31"/>
      <c r="J45" s="35"/>
    </row>
    <row r="46" spans="2:10" x14ac:dyDescent="0.25">
      <c r="B46" s="8" t="s">
        <v>2043</v>
      </c>
      <c r="C46" s="56" t="s">
        <v>2044</v>
      </c>
      <c r="D46" s="53" t="s">
        <v>2045</v>
      </c>
      <c r="E46" s="6" t="s">
        <v>90</v>
      </c>
      <c r="F46" s="19">
        <v>679573</v>
      </c>
      <c r="G46" s="24">
        <v>4689.7299999999996</v>
      </c>
      <c r="H46" s="24">
        <v>0.88</v>
      </c>
      <c r="I46" s="31"/>
      <c r="J46" s="35"/>
    </row>
    <row r="47" spans="2:10" x14ac:dyDescent="0.25">
      <c r="B47" s="8" t="s">
        <v>2046</v>
      </c>
      <c r="C47" s="56" t="s">
        <v>2047</v>
      </c>
      <c r="D47" s="53" t="s">
        <v>2048</v>
      </c>
      <c r="E47" s="6" t="s">
        <v>306</v>
      </c>
      <c r="F47" s="19">
        <v>214131</v>
      </c>
      <c r="G47" s="24">
        <v>4566.88</v>
      </c>
      <c r="H47" s="24">
        <v>0.86</v>
      </c>
      <c r="I47" s="31"/>
      <c r="J47" s="35"/>
    </row>
    <row r="48" spans="2:10" x14ac:dyDescent="0.25">
      <c r="B48" s="8" t="s">
        <v>713</v>
      </c>
      <c r="C48" s="56" t="s">
        <v>714</v>
      </c>
      <c r="D48" s="53" t="s">
        <v>715</v>
      </c>
      <c r="E48" s="6" t="s">
        <v>72</v>
      </c>
      <c r="F48" s="19">
        <v>525470</v>
      </c>
      <c r="G48" s="24">
        <v>3885.33</v>
      </c>
      <c r="H48" s="24">
        <v>0.73</v>
      </c>
      <c r="I48" s="31"/>
      <c r="J48" s="35"/>
    </row>
    <row r="49" spans="2:10" x14ac:dyDescent="0.25">
      <c r="B49" s="8" t="s">
        <v>258</v>
      </c>
      <c r="C49" s="56" t="s">
        <v>259</v>
      </c>
      <c r="D49" s="53" t="s">
        <v>260</v>
      </c>
      <c r="E49" s="6" t="s">
        <v>261</v>
      </c>
      <c r="F49" s="19">
        <v>5627002</v>
      </c>
      <c r="G49" s="24">
        <v>3173.63</v>
      </c>
      <c r="H49" s="24">
        <v>0.6</v>
      </c>
      <c r="I49" s="31"/>
      <c r="J49" s="35"/>
    </row>
    <row r="50" spans="2:10" x14ac:dyDescent="0.25">
      <c r="B50" s="8" t="s">
        <v>2049</v>
      </c>
      <c r="C50" s="56" t="s">
        <v>2050</v>
      </c>
      <c r="D50" s="53" t="s">
        <v>2051</v>
      </c>
      <c r="E50" s="6" t="s">
        <v>90</v>
      </c>
      <c r="F50" s="19">
        <v>88226</v>
      </c>
      <c r="G50" s="24">
        <v>2882.92</v>
      </c>
      <c r="H50" s="24">
        <v>0.54</v>
      </c>
      <c r="I50" s="31"/>
      <c r="J50" s="35"/>
    </row>
    <row r="51" spans="2:10" x14ac:dyDescent="0.25">
      <c r="B51" s="8" t="s">
        <v>2052</v>
      </c>
      <c r="C51" s="56" t="s">
        <v>2053</v>
      </c>
      <c r="D51" s="53" t="s">
        <v>2054</v>
      </c>
      <c r="E51" s="6" t="s">
        <v>261</v>
      </c>
      <c r="F51" s="19">
        <v>984090</v>
      </c>
      <c r="G51" s="24">
        <v>2410.5300000000002</v>
      </c>
      <c r="H51" s="24">
        <v>0.45</v>
      </c>
      <c r="I51" s="31"/>
      <c r="J51" s="35"/>
    </row>
    <row r="52" spans="2:10" x14ac:dyDescent="0.25">
      <c r="B52" s="8" t="s">
        <v>2055</v>
      </c>
      <c r="C52" s="56" t="s">
        <v>2056</v>
      </c>
      <c r="D52" s="53" t="s">
        <v>2057</v>
      </c>
      <c r="E52" s="6" t="s">
        <v>157</v>
      </c>
      <c r="F52" s="19">
        <v>70000</v>
      </c>
      <c r="G52" s="24">
        <v>2381.5100000000002</v>
      </c>
      <c r="H52" s="24">
        <v>0.45</v>
      </c>
      <c r="I52" s="31"/>
      <c r="J52" s="35"/>
    </row>
    <row r="53" spans="2:10" x14ac:dyDescent="0.25">
      <c r="B53" s="8" t="s">
        <v>2015</v>
      </c>
      <c r="C53" s="56" t="s">
        <v>2016</v>
      </c>
      <c r="D53" s="53" t="s">
        <v>2017</v>
      </c>
      <c r="E53" s="6" t="s">
        <v>196</v>
      </c>
      <c r="F53" s="19">
        <v>750752</v>
      </c>
      <c r="G53" s="24">
        <v>2353.23</v>
      </c>
      <c r="H53" s="24">
        <v>0.44</v>
      </c>
      <c r="I53" s="31"/>
      <c r="J53" s="35"/>
    </row>
    <row r="54" spans="2:10" x14ac:dyDescent="0.25">
      <c r="B54" s="8" t="s">
        <v>716</v>
      </c>
      <c r="C54" s="56" t="s">
        <v>717</v>
      </c>
      <c r="D54" s="53" t="s">
        <v>718</v>
      </c>
      <c r="E54" s="6" t="s">
        <v>83</v>
      </c>
      <c r="F54" s="19">
        <v>570000</v>
      </c>
      <c r="G54" s="24">
        <v>2327.0300000000002</v>
      </c>
      <c r="H54" s="24">
        <v>0.44</v>
      </c>
      <c r="I54" s="31"/>
      <c r="J54" s="35"/>
    </row>
    <row r="55" spans="2:10" x14ac:dyDescent="0.25">
      <c r="B55" s="8" t="s">
        <v>2058</v>
      </c>
      <c r="C55" s="56" t="s">
        <v>2059</v>
      </c>
      <c r="D55" s="53" t="s">
        <v>2060</v>
      </c>
      <c r="E55" s="6" t="s">
        <v>194</v>
      </c>
      <c r="F55" s="19">
        <v>2161032</v>
      </c>
      <c r="G55" s="24">
        <v>2266.92</v>
      </c>
      <c r="H55" s="24">
        <v>0.43</v>
      </c>
      <c r="I55" s="31"/>
      <c r="J55" s="35"/>
    </row>
    <row r="56" spans="2:10" x14ac:dyDescent="0.25">
      <c r="B56" s="8" t="s">
        <v>2061</v>
      </c>
      <c r="C56" s="56" t="s">
        <v>2062</v>
      </c>
      <c r="D56" s="53" t="s">
        <v>2063</v>
      </c>
      <c r="E56" s="6" t="s">
        <v>274</v>
      </c>
      <c r="F56" s="19">
        <v>2329821</v>
      </c>
      <c r="G56" s="24">
        <v>1701.93</v>
      </c>
      <c r="H56" s="24">
        <v>0.32</v>
      </c>
      <c r="I56" s="31"/>
      <c r="J56" s="35"/>
    </row>
    <row r="57" spans="2:10" x14ac:dyDescent="0.25">
      <c r="B57" s="8" t="s">
        <v>2064</v>
      </c>
      <c r="C57" s="56" t="s">
        <v>2065</v>
      </c>
      <c r="D57" s="53" t="s">
        <v>2066</v>
      </c>
      <c r="E57" s="6" t="s">
        <v>157</v>
      </c>
      <c r="F57" s="19">
        <v>251357</v>
      </c>
      <c r="G57" s="24">
        <v>1261.94</v>
      </c>
      <c r="H57" s="24">
        <v>0.24</v>
      </c>
      <c r="I57" s="31"/>
      <c r="J57" s="35"/>
    </row>
    <row r="58" spans="2:10" x14ac:dyDescent="0.25">
      <c r="C58" s="57" t="s">
        <v>35</v>
      </c>
      <c r="D58" s="53"/>
      <c r="E58" s="6"/>
      <c r="F58" s="19"/>
      <c r="G58" s="25">
        <f>SUM(G10:G57)</f>
        <v>505612.75000000006</v>
      </c>
      <c r="H58" s="25">
        <f>SUM(H10:H57)</f>
        <v>95.020000000000024</v>
      </c>
      <c r="I58" s="31"/>
      <c r="J58" s="35"/>
    </row>
    <row r="59" spans="2:10" x14ac:dyDescent="0.25">
      <c r="C59" s="56"/>
      <c r="D59" s="53"/>
      <c r="E59" s="6"/>
      <c r="F59" s="19"/>
      <c r="G59" s="24"/>
      <c r="H59" s="24"/>
      <c r="I59" s="31"/>
      <c r="J59" s="35"/>
    </row>
    <row r="60" spans="2:10" x14ac:dyDescent="0.25">
      <c r="C60" s="59" t="s">
        <v>3</v>
      </c>
      <c r="D60" s="53"/>
      <c r="E60" s="6"/>
      <c r="F60" s="19"/>
      <c r="G60" s="24"/>
      <c r="H60" s="24"/>
      <c r="I60" s="31"/>
      <c r="J60" s="35"/>
    </row>
    <row r="61" spans="2:10" x14ac:dyDescent="0.25">
      <c r="B61" s="8" t="s">
        <v>796</v>
      </c>
      <c r="C61" s="56" t="s">
        <v>797</v>
      </c>
      <c r="D61" s="53" t="s">
        <v>798</v>
      </c>
      <c r="E61" s="6" t="s">
        <v>274</v>
      </c>
      <c r="F61" s="19">
        <v>10000000</v>
      </c>
      <c r="G61" s="24">
        <v>1363.93</v>
      </c>
      <c r="H61" s="24">
        <v>0.26</v>
      </c>
      <c r="I61" s="31"/>
      <c r="J61" s="35" t="s">
        <v>799</v>
      </c>
    </row>
    <row r="62" spans="2:10" x14ac:dyDescent="0.25">
      <c r="B62" s="8" t="s">
        <v>2067</v>
      </c>
      <c r="C62" s="56" t="s">
        <v>2068</v>
      </c>
      <c r="D62" s="53" t="s">
        <v>2069</v>
      </c>
      <c r="E62" s="6" t="s">
        <v>195</v>
      </c>
      <c r="F62" s="19">
        <v>129576</v>
      </c>
      <c r="G62" s="24">
        <v>613.41</v>
      </c>
      <c r="H62" s="24">
        <v>0.12</v>
      </c>
      <c r="I62" s="31"/>
      <c r="J62" s="35"/>
    </row>
    <row r="63" spans="2:10" x14ac:dyDescent="0.25">
      <c r="C63" s="57" t="s">
        <v>35</v>
      </c>
      <c r="D63" s="53"/>
      <c r="E63" s="6"/>
      <c r="F63" s="19"/>
      <c r="G63" s="25">
        <f>SUM(G61:G62)</f>
        <v>1977.3400000000001</v>
      </c>
      <c r="H63" s="25">
        <f>SUM(H61:H62)</f>
        <v>0.38</v>
      </c>
      <c r="I63" s="31"/>
      <c r="J63" s="35"/>
    </row>
    <row r="64" spans="2:10" x14ac:dyDescent="0.25">
      <c r="C64" s="56"/>
      <c r="D64" s="53"/>
      <c r="E64" s="6"/>
      <c r="F64" s="19"/>
      <c r="G64" s="24"/>
      <c r="H64" s="24"/>
      <c r="I64" s="31"/>
      <c r="J64" s="35"/>
    </row>
    <row r="65" spans="3:10" x14ac:dyDescent="0.25">
      <c r="C65" s="57" t="s">
        <v>4</v>
      </c>
      <c r="D65" s="53"/>
      <c r="E65" s="6"/>
      <c r="F65" s="19"/>
      <c r="G65" s="24" t="s">
        <v>2</v>
      </c>
      <c r="H65" s="24" t="s">
        <v>2</v>
      </c>
      <c r="I65" s="31"/>
      <c r="J65" s="35"/>
    </row>
    <row r="66" spans="3:10" x14ac:dyDescent="0.25">
      <c r="C66" s="56"/>
      <c r="D66" s="53"/>
      <c r="E66" s="6"/>
      <c r="F66" s="19"/>
      <c r="G66" s="24"/>
      <c r="H66" s="24"/>
      <c r="I66" s="31"/>
      <c r="J66" s="35"/>
    </row>
    <row r="67" spans="3:10" x14ac:dyDescent="0.25">
      <c r="C67" s="57" t="s">
        <v>5</v>
      </c>
      <c r="D67" s="53"/>
      <c r="E67" s="6"/>
      <c r="F67" s="19"/>
      <c r="G67" s="24"/>
      <c r="H67" s="24"/>
      <c r="I67" s="31"/>
      <c r="J67" s="35"/>
    </row>
    <row r="68" spans="3:10" x14ac:dyDescent="0.25">
      <c r="C68" s="56"/>
      <c r="D68" s="53"/>
      <c r="E68" s="6"/>
      <c r="F68" s="19"/>
      <c r="G68" s="24"/>
      <c r="H68" s="24"/>
      <c r="I68" s="31"/>
      <c r="J68" s="35"/>
    </row>
    <row r="69" spans="3:10" x14ac:dyDescent="0.25">
      <c r="C69" s="57" t="s">
        <v>6</v>
      </c>
      <c r="D69" s="53"/>
      <c r="E69" s="6"/>
      <c r="F69" s="19"/>
      <c r="G69" s="24" t="s">
        <v>2</v>
      </c>
      <c r="H69" s="24" t="s">
        <v>2</v>
      </c>
      <c r="I69" s="31"/>
      <c r="J69" s="35"/>
    </row>
    <row r="70" spans="3:10" x14ac:dyDescent="0.25">
      <c r="C70" s="56"/>
      <c r="D70" s="53"/>
      <c r="E70" s="6"/>
      <c r="F70" s="19"/>
      <c r="G70" s="24"/>
      <c r="H70" s="24"/>
      <c r="I70" s="31"/>
      <c r="J70" s="35"/>
    </row>
    <row r="71" spans="3:10" x14ac:dyDescent="0.25">
      <c r="C71" s="57" t="s">
        <v>7</v>
      </c>
      <c r="D71" s="53"/>
      <c r="E71" s="6"/>
      <c r="F71" s="19"/>
      <c r="G71" s="24" t="s">
        <v>2</v>
      </c>
      <c r="H71" s="24" t="s">
        <v>2</v>
      </c>
      <c r="I71" s="31"/>
      <c r="J71" s="35"/>
    </row>
    <row r="72" spans="3:10" x14ac:dyDescent="0.25">
      <c r="C72" s="56"/>
      <c r="D72" s="53"/>
      <c r="E72" s="6"/>
      <c r="F72" s="19"/>
      <c r="G72" s="24"/>
      <c r="H72" s="24"/>
      <c r="I72" s="31"/>
      <c r="J72" s="35"/>
    </row>
    <row r="73" spans="3:10" x14ac:dyDescent="0.25">
      <c r="C73" s="57" t="s">
        <v>8</v>
      </c>
      <c r="D73" s="53"/>
      <c r="E73" s="6"/>
      <c r="F73" s="19"/>
      <c r="G73" s="24" t="s">
        <v>2</v>
      </c>
      <c r="H73" s="24" t="s">
        <v>2</v>
      </c>
      <c r="I73" s="31"/>
      <c r="J73" s="35"/>
    </row>
    <row r="74" spans="3:10" x14ac:dyDescent="0.25">
      <c r="C74" s="56"/>
      <c r="D74" s="53"/>
      <c r="E74" s="6"/>
      <c r="F74" s="19"/>
      <c r="G74" s="24"/>
      <c r="H74" s="24"/>
      <c r="I74" s="31"/>
      <c r="J74" s="35"/>
    </row>
    <row r="75" spans="3:10" x14ac:dyDescent="0.25">
      <c r="C75" s="57" t="s">
        <v>9</v>
      </c>
      <c r="D75" s="53"/>
      <c r="E75" s="6"/>
      <c r="F75" s="19"/>
      <c r="G75" s="24" t="s">
        <v>2</v>
      </c>
      <c r="H75" s="24" t="s">
        <v>2</v>
      </c>
      <c r="I75" s="31"/>
      <c r="J75" s="35"/>
    </row>
    <row r="76" spans="3:10" x14ac:dyDescent="0.25">
      <c r="C76" s="56"/>
      <c r="D76" s="53"/>
      <c r="E76" s="6"/>
      <c r="F76" s="19"/>
      <c r="G76" s="24"/>
      <c r="H76" s="24"/>
      <c r="I76" s="31"/>
      <c r="J76" s="35"/>
    </row>
    <row r="77" spans="3:10" x14ac:dyDescent="0.25">
      <c r="C77" s="57" t="s">
        <v>10</v>
      </c>
      <c r="D77" s="53"/>
      <c r="E77" s="6"/>
      <c r="F77" s="19"/>
      <c r="G77" s="24" t="s">
        <v>2</v>
      </c>
      <c r="H77" s="24" t="s">
        <v>2</v>
      </c>
      <c r="I77" s="31"/>
      <c r="J77" s="35"/>
    </row>
    <row r="78" spans="3:10" x14ac:dyDescent="0.25">
      <c r="C78" s="56"/>
      <c r="D78" s="53"/>
      <c r="E78" s="6"/>
      <c r="F78" s="19"/>
      <c r="G78" s="24"/>
      <c r="H78" s="24"/>
      <c r="I78" s="31"/>
      <c r="J78" s="35"/>
    </row>
    <row r="79" spans="3:10" x14ac:dyDescent="0.25">
      <c r="C79" s="57" t="s">
        <v>11</v>
      </c>
      <c r="D79" s="53"/>
      <c r="E79" s="6"/>
      <c r="F79" s="19"/>
      <c r="G79" s="24"/>
      <c r="H79" s="24"/>
      <c r="I79" s="31"/>
      <c r="J79" s="35"/>
    </row>
    <row r="80" spans="3:10" x14ac:dyDescent="0.25">
      <c r="C80" s="56"/>
      <c r="D80" s="53"/>
      <c r="E80" s="6"/>
      <c r="F80" s="19"/>
      <c r="G80" s="24"/>
      <c r="H80" s="24"/>
      <c r="I80" s="31"/>
      <c r="J80" s="35"/>
    </row>
    <row r="81" spans="1:10" x14ac:dyDescent="0.25">
      <c r="C81" s="57" t="s">
        <v>13</v>
      </c>
      <c r="D81" s="53"/>
      <c r="E81" s="6"/>
      <c r="F81" s="19"/>
      <c r="G81" s="24" t="s">
        <v>2</v>
      </c>
      <c r="H81" s="24" t="s">
        <v>2</v>
      </c>
      <c r="I81" s="31"/>
      <c r="J81" s="35"/>
    </row>
    <row r="82" spans="1:10" x14ac:dyDescent="0.25">
      <c r="C82" s="56"/>
      <c r="D82" s="53"/>
      <c r="E82" s="6"/>
      <c r="F82" s="19"/>
      <c r="G82" s="24"/>
      <c r="H82" s="24"/>
      <c r="I82" s="31"/>
      <c r="J82" s="35"/>
    </row>
    <row r="83" spans="1:10" x14ac:dyDescent="0.25">
      <c r="C83" s="57" t="s">
        <v>14</v>
      </c>
      <c r="D83" s="53"/>
      <c r="E83" s="6"/>
      <c r="F83" s="19"/>
      <c r="G83" s="24" t="s">
        <v>2</v>
      </c>
      <c r="H83" s="24" t="s">
        <v>2</v>
      </c>
      <c r="I83" s="31"/>
      <c r="J83" s="35"/>
    </row>
    <row r="84" spans="1:10" x14ac:dyDescent="0.25">
      <c r="C84" s="56"/>
      <c r="D84" s="53"/>
      <c r="E84" s="6"/>
      <c r="F84" s="19"/>
      <c r="G84" s="24"/>
      <c r="H84" s="24"/>
      <c r="I84" s="31"/>
      <c r="J84" s="35"/>
    </row>
    <row r="85" spans="1:10" x14ac:dyDescent="0.25">
      <c r="C85" s="57" t="s">
        <v>15</v>
      </c>
      <c r="D85" s="53"/>
      <c r="E85" s="6"/>
      <c r="F85" s="19"/>
      <c r="G85" s="24" t="s">
        <v>2</v>
      </c>
      <c r="H85" s="24" t="s">
        <v>2</v>
      </c>
      <c r="I85" s="31"/>
      <c r="J85" s="35"/>
    </row>
    <row r="86" spans="1:10" x14ac:dyDescent="0.25">
      <c r="C86" s="56"/>
      <c r="D86" s="53"/>
      <c r="E86" s="6"/>
      <c r="F86" s="19"/>
      <c r="G86" s="24"/>
      <c r="H86" s="24"/>
      <c r="I86" s="31"/>
      <c r="J86" s="35"/>
    </row>
    <row r="87" spans="1:10" x14ac:dyDescent="0.25">
      <c r="C87" s="57" t="s">
        <v>16</v>
      </c>
      <c r="D87" s="53"/>
      <c r="E87" s="6"/>
      <c r="F87" s="19"/>
      <c r="G87" s="24" t="s">
        <v>2</v>
      </c>
      <c r="H87" s="24" t="s">
        <v>2</v>
      </c>
      <c r="I87" s="31"/>
      <c r="J87" s="35"/>
    </row>
    <row r="88" spans="1:10" x14ac:dyDescent="0.25">
      <c r="C88" s="56"/>
      <c r="D88" s="53"/>
      <c r="E88" s="6"/>
      <c r="F88" s="19"/>
      <c r="G88" s="24"/>
      <c r="H88" s="24"/>
      <c r="I88" s="31"/>
      <c r="J88" s="35"/>
    </row>
    <row r="89" spans="1:10" x14ac:dyDescent="0.25">
      <c r="A89" s="10"/>
      <c r="B89" s="28"/>
      <c r="C89" s="58" t="s">
        <v>17</v>
      </c>
      <c r="D89" s="53"/>
      <c r="E89" s="6"/>
      <c r="F89" s="19"/>
      <c r="G89" s="24"/>
      <c r="H89" s="24"/>
      <c r="I89" s="31"/>
      <c r="J89" s="35"/>
    </row>
    <row r="90" spans="1:10" x14ac:dyDescent="0.25">
      <c r="A90" s="28"/>
      <c r="B90" s="28"/>
      <c r="C90" s="58" t="s">
        <v>18</v>
      </c>
      <c r="D90" s="53"/>
      <c r="E90" s="6"/>
      <c r="F90" s="19"/>
      <c r="G90" s="24" t="s">
        <v>2</v>
      </c>
      <c r="H90" s="24" t="s">
        <v>2</v>
      </c>
      <c r="I90" s="31"/>
      <c r="J90" s="35"/>
    </row>
    <row r="91" spans="1:10" x14ac:dyDescent="0.25">
      <c r="A91" s="28"/>
      <c r="B91" s="28"/>
      <c r="C91" s="58"/>
      <c r="D91" s="53"/>
      <c r="E91" s="6"/>
      <c r="F91" s="19"/>
      <c r="G91" s="24"/>
      <c r="H91" s="24"/>
      <c r="I91" s="31"/>
      <c r="J91" s="35"/>
    </row>
    <row r="92" spans="1:10" x14ac:dyDescent="0.25">
      <c r="A92" s="28"/>
      <c r="B92" s="28"/>
      <c r="C92" s="58" t="s">
        <v>19</v>
      </c>
      <c r="D92" s="53"/>
      <c r="E92" s="6"/>
      <c r="F92" s="19"/>
      <c r="G92" s="24" t="s">
        <v>2</v>
      </c>
      <c r="H92" s="24" t="s">
        <v>2</v>
      </c>
      <c r="I92" s="31"/>
      <c r="J92" s="35"/>
    </row>
    <row r="93" spans="1:10" x14ac:dyDescent="0.25">
      <c r="A93" s="28"/>
      <c r="B93" s="28"/>
      <c r="C93" s="58"/>
      <c r="D93" s="53"/>
      <c r="E93" s="6"/>
      <c r="F93" s="19"/>
      <c r="G93" s="24"/>
      <c r="H93" s="24"/>
      <c r="I93" s="31"/>
      <c r="J93" s="35"/>
    </row>
    <row r="94" spans="1:10" x14ac:dyDescent="0.25">
      <c r="A94" s="28"/>
      <c r="B94" s="28"/>
      <c r="C94" s="58" t="s">
        <v>20</v>
      </c>
      <c r="D94" s="53"/>
      <c r="E94" s="6"/>
      <c r="F94" s="19"/>
      <c r="G94" s="24" t="s">
        <v>2</v>
      </c>
      <c r="H94" s="24" t="s">
        <v>2</v>
      </c>
      <c r="I94" s="31"/>
      <c r="J94" s="35"/>
    </row>
    <row r="95" spans="1:10" x14ac:dyDescent="0.25">
      <c r="A95" s="28"/>
      <c r="B95" s="28"/>
      <c r="C95" s="58"/>
      <c r="D95" s="53"/>
      <c r="E95" s="6"/>
      <c r="F95" s="19"/>
      <c r="G95" s="24"/>
      <c r="H95" s="24"/>
      <c r="I95" s="31"/>
      <c r="J95" s="35"/>
    </row>
    <row r="96" spans="1:10" x14ac:dyDescent="0.25">
      <c r="A96" s="28"/>
      <c r="B96" s="28"/>
      <c r="C96" s="58" t="s">
        <v>21</v>
      </c>
      <c r="D96" s="53"/>
      <c r="E96" s="6"/>
      <c r="F96" s="19"/>
      <c r="G96" s="24" t="s">
        <v>2</v>
      </c>
      <c r="H96" s="24" t="s">
        <v>2</v>
      </c>
      <c r="I96" s="31"/>
      <c r="J96" s="35"/>
    </row>
    <row r="97" spans="1:10" x14ac:dyDescent="0.25">
      <c r="A97" s="28"/>
      <c r="B97" s="28"/>
      <c r="C97" s="58"/>
      <c r="D97" s="53"/>
      <c r="E97" s="6"/>
      <c r="F97" s="19"/>
      <c r="G97" s="24"/>
      <c r="H97" s="24"/>
      <c r="I97" s="31"/>
      <c r="J97" s="35"/>
    </row>
    <row r="98" spans="1:10" x14ac:dyDescent="0.25">
      <c r="C98" s="59" t="s">
        <v>22</v>
      </c>
      <c r="D98" s="53"/>
      <c r="E98" s="6"/>
      <c r="F98" s="19"/>
      <c r="G98" s="24"/>
      <c r="H98" s="24"/>
      <c r="I98" s="31"/>
      <c r="J98" s="35"/>
    </row>
    <row r="99" spans="1:10" x14ac:dyDescent="0.25">
      <c r="B99" s="8" t="s">
        <v>33</v>
      </c>
      <c r="C99" s="56" t="s">
        <v>34</v>
      </c>
      <c r="D99" s="53"/>
      <c r="E99" s="6"/>
      <c r="F99" s="19"/>
      <c r="G99" s="24">
        <v>25796.62</v>
      </c>
      <c r="H99" s="24">
        <v>4.8499999999999996</v>
      </c>
      <c r="I99" s="31"/>
      <c r="J99" s="35"/>
    </row>
    <row r="100" spans="1:10" x14ac:dyDescent="0.25">
      <c r="C100" s="57" t="s">
        <v>35</v>
      </c>
      <c r="D100" s="53"/>
      <c r="E100" s="6"/>
      <c r="F100" s="19"/>
      <c r="G100" s="25">
        <v>25796.62</v>
      </c>
      <c r="H100" s="25">
        <v>4.8499999999999996</v>
      </c>
      <c r="I100" s="31"/>
      <c r="J100" s="35"/>
    </row>
    <row r="101" spans="1:10" x14ac:dyDescent="0.25">
      <c r="C101" s="56"/>
      <c r="D101" s="53"/>
      <c r="E101" s="6"/>
      <c r="F101" s="19"/>
      <c r="G101" s="24"/>
      <c r="H101" s="24"/>
      <c r="I101" s="31"/>
      <c r="J101" s="35"/>
    </row>
    <row r="102" spans="1:10" x14ac:dyDescent="0.25">
      <c r="A102" s="10"/>
      <c r="B102" s="28"/>
      <c r="C102" s="58" t="s">
        <v>23</v>
      </c>
      <c r="D102" s="53"/>
      <c r="E102" s="6"/>
      <c r="F102" s="19"/>
      <c r="G102" s="24"/>
      <c r="H102" s="24"/>
      <c r="I102" s="31"/>
      <c r="J102" s="35"/>
    </row>
    <row r="103" spans="1:10" x14ac:dyDescent="0.25">
      <c r="A103" s="28"/>
      <c r="B103" s="28"/>
      <c r="C103" s="60" t="s">
        <v>3398</v>
      </c>
      <c r="D103" s="53"/>
      <c r="E103" s="6"/>
      <c r="F103" s="19"/>
      <c r="G103" s="24">
        <v>80</v>
      </c>
      <c r="H103" s="24">
        <v>0.02</v>
      </c>
      <c r="I103" s="31"/>
      <c r="J103" s="35"/>
    </row>
    <row r="104" spans="1:10" x14ac:dyDescent="0.25">
      <c r="B104" s="8"/>
      <c r="C104" s="56" t="s">
        <v>36</v>
      </c>
      <c r="D104" s="53"/>
      <c r="E104" s="6"/>
      <c r="F104" s="19"/>
      <c r="G104" s="24">
        <v>-1387.64</v>
      </c>
      <c r="H104" s="24">
        <v>-0.27</v>
      </c>
      <c r="I104" s="31"/>
      <c r="J104" s="35"/>
    </row>
    <row r="105" spans="1:10" x14ac:dyDescent="0.25">
      <c r="C105" s="57" t="s">
        <v>35</v>
      </c>
      <c r="D105" s="53"/>
      <c r="E105" s="6"/>
      <c r="F105" s="19"/>
      <c r="G105" s="25">
        <v>-1307.6400000000001</v>
      </c>
      <c r="H105" s="25">
        <v>-0.25</v>
      </c>
      <c r="I105" s="31"/>
      <c r="J105" s="35"/>
    </row>
    <row r="106" spans="1:10" x14ac:dyDescent="0.25">
      <c r="C106" s="56"/>
      <c r="D106" s="53"/>
      <c r="E106" s="6"/>
      <c r="F106" s="19"/>
      <c r="G106" s="24"/>
      <c r="H106" s="24"/>
      <c r="I106" s="31"/>
      <c r="J106" s="35"/>
    </row>
    <row r="107" spans="1:10" x14ac:dyDescent="0.25">
      <c r="C107" s="61" t="s">
        <v>37</v>
      </c>
      <c r="D107" s="54"/>
      <c r="E107" s="5"/>
      <c r="F107" s="20"/>
      <c r="G107" s="26">
        <v>532079.06999999995</v>
      </c>
      <c r="H107" s="26">
        <f>SUMIFS(H:H,C:C,"Total")</f>
        <v>100.00000000000001</v>
      </c>
      <c r="I107" s="32"/>
      <c r="J107" s="36"/>
    </row>
    <row r="110" spans="1:10" x14ac:dyDescent="0.25">
      <c r="C110" s="1" t="s">
        <v>38</v>
      </c>
    </row>
    <row r="111" spans="1:10" x14ac:dyDescent="0.25">
      <c r="C111" s="2" t="s">
        <v>39</v>
      </c>
    </row>
    <row r="112" spans="1:10" x14ac:dyDescent="0.25">
      <c r="C112" s="2" t="s">
        <v>40</v>
      </c>
    </row>
    <row r="113" spans="3:3" x14ac:dyDescent="0.25">
      <c r="C113" s="2" t="s">
        <v>3430</v>
      </c>
    </row>
    <row r="114" spans="3:3" x14ac:dyDescent="0.25">
      <c r="C114" s="2" t="s">
        <v>3435</v>
      </c>
    </row>
  </sheetData>
  <hyperlinks>
    <hyperlink ref="J2" location="'Index'!A1" display="'Index'!A1"/>
  </hyperlinks>
  <pageMargins left="0.7" right="0.7" top="0.75" bottom="0.75" header="0.3" footer="0.3"/>
  <pageSetup orientation="portrait" horizontalDpi="4294967293"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8"/>
  <dimension ref="A1:J15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2070</v>
      </c>
      <c r="J2" s="37" t="s">
        <v>3307</v>
      </c>
    </row>
    <row r="3" spans="1:10" ht="16.5" x14ac:dyDescent="0.3">
      <c r="C3" s="1" t="s">
        <v>24</v>
      </c>
      <c r="D3" s="21" t="s">
        <v>2071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511</v>
      </c>
      <c r="C18" s="56" t="s">
        <v>3428</v>
      </c>
      <c r="D18" s="53" t="s">
        <v>512</v>
      </c>
      <c r="E18" s="6" t="s">
        <v>513</v>
      </c>
      <c r="F18" s="19">
        <v>3100</v>
      </c>
      <c r="G18" s="24">
        <v>33851.230000000003</v>
      </c>
      <c r="H18" s="24">
        <v>3.78</v>
      </c>
      <c r="I18" s="31">
        <v>6.9349999999999996</v>
      </c>
      <c r="J18" s="35" t="s">
        <v>514</v>
      </c>
    </row>
    <row r="19" spans="2:10" x14ac:dyDescent="0.25">
      <c r="B19" s="8" t="s">
        <v>1748</v>
      </c>
      <c r="C19" s="56" t="s">
        <v>1749</v>
      </c>
      <c r="D19" s="53" t="s">
        <v>1750</v>
      </c>
      <c r="E19" s="6" t="s">
        <v>911</v>
      </c>
      <c r="F19" s="19">
        <v>3250</v>
      </c>
      <c r="G19" s="24">
        <v>33773.22</v>
      </c>
      <c r="H19" s="24">
        <v>3.77</v>
      </c>
      <c r="I19" s="31">
        <v>5.1607000000000003</v>
      </c>
      <c r="J19" s="35" t="s">
        <v>514</v>
      </c>
    </row>
    <row r="20" spans="2:10" x14ac:dyDescent="0.25">
      <c r="B20" s="8" t="s">
        <v>1371</v>
      </c>
      <c r="C20" s="56" t="s">
        <v>906</v>
      </c>
      <c r="D20" s="53" t="s">
        <v>1372</v>
      </c>
      <c r="E20" s="6" t="s">
        <v>534</v>
      </c>
      <c r="F20" s="19">
        <v>2800</v>
      </c>
      <c r="G20" s="24">
        <v>30631.919999999998</v>
      </c>
      <c r="H20" s="24">
        <v>3.42</v>
      </c>
      <c r="I20" s="31">
        <v>5.5</v>
      </c>
      <c r="J20" s="35"/>
    </row>
    <row r="21" spans="2:10" x14ac:dyDescent="0.25">
      <c r="B21" s="8" t="s">
        <v>1928</v>
      </c>
      <c r="C21" s="56" t="s">
        <v>74</v>
      </c>
      <c r="D21" s="53" t="s">
        <v>1929</v>
      </c>
      <c r="E21" s="6" t="s">
        <v>534</v>
      </c>
      <c r="F21" s="19">
        <v>2450</v>
      </c>
      <c r="G21" s="24">
        <v>25806.81</v>
      </c>
      <c r="H21" s="24">
        <v>2.88</v>
      </c>
      <c r="I21" s="31">
        <v>5.6448999999999998</v>
      </c>
      <c r="J21" s="35" t="s">
        <v>514</v>
      </c>
    </row>
    <row r="22" spans="2:10" x14ac:dyDescent="0.25">
      <c r="B22" s="8" t="s">
        <v>1717</v>
      </c>
      <c r="C22" s="56" t="s">
        <v>909</v>
      </c>
      <c r="D22" s="53" t="s">
        <v>1718</v>
      </c>
      <c r="E22" s="6" t="s">
        <v>911</v>
      </c>
      <c r="F22" s="19">
        <v>2000</v>
      </c>
      <c r="G22" s="24">
        <v>20628.099999999999</v>
      </c>
      <c r="H22" s="24">
        <v>2.2999999999999998</v>
      </c>
      <c r="I22" s="31">
        <v>5.17</v>
      </c>
      <c r="J22" s="35" t="s">
        <v>514</v>
      </c>
    </row>
    <row r="23" spans="2:10" x14ac:dyDescent="0.25">
      <c r="B23" s="8" t="s">
        <v>2072</v>
      </c>
      <c r="C23" s="56" t="s">
        <v>2073</v>
      </c>
      <c r="D23" s="53" t="s">
        <v>2074</v>
      </c>
      <c r="E23" s="6" t="s">
        <v>534</v>
      </c>
      <c r="F23" s="19">
        <v>2000</v>
      </c>
      <c r="G23" s="24">
        <v>20157.64</v>
      </c>
      <c r="H23" s="24">
        <v>2.25</v>
      </c>
      <c r="I23" s="31">
        <v>5.0199999999999996</v>
      </c>
      <c r="J23" s="35" t="s">
        <v>514</v>
      </c>
    </row>
    <row r="24" spans="2:10" x14ac:dyDescent="0.25">
      <c r="B24" s="8" t="s">
        <v>2075</v>
      </c>
      <c r="C24" s="56" t="s">
        <v>74</v>
      </c>
      <c r="D24" s="53" t="s">
        <v>2076</v>
      </c>
      <c r="E24" s="6" t="s">
        <v>534</v>
      </c>
      <c r="F24" s="19">
        <v>1500</v>
      </c>
      <c r="G24" s="24">
        <v>16493.39</v>
      </c>
      <c r="H24" s="24">
        <v>1.84</v>
      </c>
      <c r="I24" s="31">
        <v>6.07</v>
      </c>
      <c r="J24" s="35"/>
    </row>
    <row r="25" spans="2:10" x14ac:dyDescent="0.25">
      <c r="B25" s="8" t="s">
        <v>2077</v>
      </c>
      <c r="C25" s="56" t="s">
        <v>854</v>
      </c>
      <c r="D25" s="53" t="s">
        <v>2078</v>
      </c>
      <c r="E25" s="6" t="s">
        <v>534</v>
      </c>
      <c r="F25" s="19">
        <v>1500</v>
      </c>
      <c r="G25" s="24">
        <v>15613.29</v>
      </c>
      <c r="H25" s="24">
        <v>1.74</v>
      </c>
      <c r="I25" s="31">
        <v>6.52</v>
      </c>
      <c r="J25" s="35" t="s">
        <v>514</v>
      </c>
    </row>
    <row r="26" spans="2:10" x14ac:dyDescent="0.25">
      <c r="B26" s="8" t="s">
        <v>2079</v>
      </c>
      <c r="C26" s="56" t="s">
        <v>1376</v>
      </c>
      <c r="D26" s="53" t="s">
        <v>2080</v>
      </c>
      <c r="E26" s="6" t="s">
        <v>534</v>
      </c>
      <c r="F26" s="19">
        <v>1200</v>
      </c>
      <c r="G26" s="24">
        <v>12456.12</v>
      </c>
      <c r="H26" s="24">
        <v>1.39</v>
      </c>
      <c r="I26" s="31">
        <v>5.43</v>
      </c>
      <c r="J26" s="35" t="s">
        <v>514</v>
      </c>
    </row>
    <row r="27" spans="2:10" x14ac:dyDescent="0.25">
      <c r="B27" s="8" t="s">
        <v>1725</v>
      </c>
      <c r="C27" s="56" t="s">
        <v>806</v>
      </c>
      <c r="D27" s="53" t="s">
        <v>1726</v>
      </c>
      <c r="E27" s="6" t="s">
        <v>534</v>
      </c>
      <c r="F27" s="19">
        <v>1150</v>
      </c>
      <c r="G27" s="24">
        <v>11979.76</v>
      </c>
      <c r="H27" s="24">
        <v>1.34</v>
      </c>
      <c r="I27" s="31">
        <v>4.75</v>
      </c>
      <c r="J27" s="35" t="s">
        <v>514</v>
      </c>
    </row>
    <row r="28" spans="2:10" x14ac:dyDescent="0.25">
      <c r="B28" s="8" t="s">
        <v>2081</v>
      </c>
      <c r="C28" s="56" t="s">
        <v>2082</v>
      </c>
      <c r="D28" s="53" t="s">
        <v>2083</v>
      </c>
      <c r="E28" s="6" t="s">
        <v>534</v>
      </c>
      <c r="F28" s="19">
        <v>1000</v>
      </c>
      <c r="G28" s="24">
        <v>11362.29</v>
      </c>
      <c r="H28" s="24">
        <v>1.27</v>
      </c>
      <c r="I28" s="31">
        <v>5.65</v>
      </c>
      <c r="J28" s="35" t="s">
        <v>514</v>
      </c>
    </row>
    <row r="29" spans="2:10" x14ac:dyDescent="0.25">
      <c r="B29" s="8" t="s">
        <v>2084</v>
      </c>
      <c r="C29" s="56" t="s">
        <v>909</v>
      </c>
      <c r="D29" s="53" t="s">
        <v>2085</v>
      </c>
      <c r="E29" s="6" t="s">
        <v>911</v>
      </c>
      <c r="F29" s="19">
        <v>1050</v>
      </c>
      <c r="G29" s="24">
        <v>10885.63</v>
      </c>
      <c r="H29" s="24">
        <v>1.22</v>
      </c>
      <c r="I29" s="31">
        <v>5.12</v>
      </c>
      <c r="J29" s="35" t="s">
        <v>514</v>
      </c>
    </row>
    <row r="30" spans="2:10" x14ac:dyDescent="0.25">
      <c r="B30" s="8" t="s">
        <v>2086</v>
      </c>
      <c r="C30" s="56" t="s">
        <v>1376</v>
      </c>
      <c r="D30" s="53" t="s">
        <v>2087</v>
      </c>
      <c r="E30" s="6" t="s">
        <v>534</v>
      </c>
      <c r="F30" s="19">
        <v>1000</v>
      </c>
      <c r="G30" s="24">
        <v>10874.32</v>
      </c>
      <c r="H30" s="24">
        <v>1.21</v>
      </c>
      <c r="I30" s="31">
        <v>6.51</v>
      </c>
      <c r="J30" s="35" t="s">
        <v>514</v>
      </c>
    </row>
    <row r="31" spans="2:10" x14ac:dyDescent="0.25">
      <c r="B31" s="8" t="s">
        <v>905</v>
      </c>
      <c r="C31" s="56" t="s">
        <v>906</v>
      </c>
      <c r="D31" s="53" t="s">
        <v>907</v>
      </c>
      <c r="E31" s="6" t="s">
        <v>534</v>
      </c>
      <c r="F31" s="19">
        <v>1000</v>
      </c>
      <c r="G31" s="24">
        <v>10743.04</v>
      </c>
      <c r="H31" s="24">
        <v>1.2</v>
      </c>
      <c r="I31" s="31">
        <v>5.7142999999999997</v>
      </c>
      <c r="J31" s="35" t="s">
        <v>514</v>
      </c>
    </row>
    <row r="32" spans="2:10" x14ac:dyDescent="0.25">
      <c r="B32" s="8" t="s">
        <v>1880</v>
      </c>
      <c r="C32" s="56" t="s">
        <v>601</v>
      </c>
      <c r="D32" s="53" t="s">
        <v>1881</v>
      </c>
      <c r="E32" s="6" t="s">
        <v>534</v>
      </c>
      <c r="F32" s="19">
        <v>1000</v>
      </c>
      <c r="G32" s="24">
        <v>10609.1</v>
      </c>
      <c r="H32" s="24">
        <v>1.18</v>
      </c>
      <c r="I32" s="31">
        <v>4.9400000000000004</v>
      </c>
      <c r="J32" s="35" t="s">
        <v>514</v>
      </c>
    </row>
    <row r="33" spans="2:10" x14ac:dyDescent="0.25">
      <c r="B33" s="8" t="s">
        <v>2088</v>
      </c>
      <c r="C33" s="56" t="s">
        <v>2089</v>
      </c>
      <c r="D33" s="53" t="s">
        <v>2090</v>
      </c>
      <c r="E33" s="6" t="s">
        <v>1383</v>
      </c>
      <c r="F33" s="19">
        <v>1000</v>
      </c>
      <c r="G33" s="24">
        <v>10415.65</v>
      </c>
      <c r="H33" s="24">
        <v>1.1599999999999999</v>
      </c>
      <c r="I33" s="31">
        <v>6.2850000000000001</v>
      </c>
      <c r="J33" s="35" t="s">
        <v>514</v>
      </c>
    </row>
    <row r="34" spans="2:10" x14ac:dyDescent="0.25">
      <c r="B34" s="8" t="s">
        <v>1909</v>
      </c>
      <c r="C34" s="56" t="s">
        <v>1130</v>
      </c>
      <c r="D34" s="53" t="s">
        <v>1910</v>
      </c>
      <c r="E34" s="6" t="s">
        <v>911</v>
      </c>
      <c r="F34" s="19">
        <v>1000</v>
      </c>
      <c r="G34" s="24">
        <v>10409.959999999999</v>
      </c>
      <c r="H34" s="24">
        <v>1.1599999999999999</v>
      </c>
      <c r="I34" s="31">
        <v>4.88</v>
      </c>
      <c r="J34" s="35" t="s">
        <v>514</v>
      </c>
    </row>
    <row r="35" spans="2:10" x14ac:dyDescent="0.25">
      <c r="B35" s="8" t="s">
        <v>2091</v>
      </c>
      <c r="C35" s="56" t="s">
        <v>380</v>
      </c>
      <c r="D35" s="53" t="s">
        <v>2092</v>
      </c>
      <c r="E35" s="6" t="s">
        <v>534</v>
      </c>
      <c r="F35" s="19">
        <v>1000</v>
      </c>
      <c r="G35" s="24">
        <v>10218.370000000001</v>
      </c>
      <c r="H35" s="24">
        <v>1.1399999999999999</v>
      </c>
      <c r="I35" s="31">
        <v>5.8049999999999997</v>
      </c>
      <c r="J35" s="35" t="s">
        <v>514</v>
      </c>
    </row>
    <row r="36" spans="2:10" x14ac:dyDescent="0.25">
      <c r="B36" s="8" t="s">
        <v>2093</v>
      </c>
      <c r="C36" s="56" t="s">
        <v>3426</v>
      </c>
      <c r="D36" s="53" t="s">
        <v>2094</v>
      </c>
      <c r="E36" s="6" t="s">
        <v>573</v>
      </c>
      <c r="F36" s="19">
        <v>1000</v>
      </c>
      <c r="G36" s="24">
        <v>10037.02</v>
      </c>
      <c r="H36" s="24">
        <v>1.1200000000000001</v>
      </c>
      <c r="I36" s="31">
        <v>7.3258000000000001</v>
      </c>
      <c r="J36" s="35" t="s">
        <v>514</v>
      </c>
    </row>
    <row r="37" spans="2:10" x14ac:dyDescent="0.25">
      <c r="B37" s="8" t="s">
        <v>2095</v>
      </c>
      <c r="C37" s="56" t="s">
        <v>1738</v>
      </c>
      <c r="D37" s="53" t="s">
        <v>2096</v>
      </c>
      <c r="E37" s="6" t="s">
        <v>534</v>
      </c>
      <c r="F37" s="19">
        <v>950</v>
      </c>
      <c r="G37" s="24">
        <v>10007.01</v>
      </c>
      <c r="H37" s="24">
        <v>1.1200000000000001</v>
      </c>
      <c r="I37" s="31">
        <v>6.4696999999999996</v>
      </c>
      <c r="J37" s="35" t="s">
        <v>514</v>
      </c>
    </row>
    <row r="38" spans="2:10" x14ac:dyDescent="0.25">
      <c r="B38" s="8" t="s">
        <v>2097</v>
      </c>
      <c r="C38" s="56" t="s">
        <v>2089</v>
      </c>
      <c r="D38" s="53" t="s">
        <v>2098</v>
      </c>
      <c r="E38" s="6" t="s">
        <v>1383</v>
      </c>
      <c r="F38" s="19">
        <v>900</v>
      </c>
      <c r="G38" s="24">
        <v>9684.92</v>
      </c>
      <c r="H38" s="24">
        <v>1.08</v>
      </c>
      <c r="I38" s="31">
        <v>5.7298999999999998</v>
      </c>
      <c r="J38" s="35" t="s">
        <v>514</v>
      </c>
    </row>
    <row r="39" spans="2:10" x14ac:dyDescent="0.25">
      <c r="B39" s="8" t="s">
        <v>2099</v>
      </c>
      <c r="C39" s="56" t="s">
        <v>2089</v>
      </c>
      <c r="D39" s="53" t="s">
        <v>2100</v>
      </c>
      <c r="E39" s="6" t="s">
        <v>1383</v>
      </c>
      <c r="F39" s="19">
        <v>850</v>
      </c>
      <c r="G39" s="24">
        <v>9152.89</v>
      </c>
      <c r="H39" s="24">
        <v>1.02</v>
      </c>
      <c r="I39" s="31">
        <v>5.9493999999999998</v>
      </c>
      <c r="J39" s="35" t="s">
        <v>514</v>
      </c>
    </row>
    <row r="40" spans="2:10" x14ac:dyDescent="0.25">
      <c r="B40" s="8" t="s">
        <v>2101</v>
      </c>
      <c r="C40" s="56" t="s">
        <v>1376</v>
      </c>
      <c r="D40" s="53" t="s">
        <v>2102</v>
      </c>
      <c r="E40" s="6" t="s">
        <v>534</v>
      </c>
      <c r="F40" s="19">
        <v>875</v>
      </c>
      <c r="G40" s="24">
        <v>9013.8700000000008</v>
      </c>
      <c r="H40" s="24">
        <v>1.01</v>
      </c>
      <c r="I40" s="31">
        <v>5.6</v>
      </c>
      <c r="J40" s="35" t="s">
        <v>514</v>
      </c>
    </row>
    <row r="41" spans="2:10" x14ac:dyDescent="0.25">
      <c r="B41" s="8" t="s">
        <v>2103</v>
      </c>
      <c r="C41" s="56" t="s">
        <v>1738</v>
      </c>
      <c r="D41" s="53" t="s">
        <v>2104</v>
      </c>
      <c r="E41" s="6" t="s">
        <v>534</v>
      </c>
      <c r="F41" s="19">
        <v>750</v>
      </c>
      <c r="G41" s="24">
        <v>8240.9</v>
      </c>
      <c r="H41" s="24">
        <v>0.92</v>
      </c>
      <c r="I41" s="31">
        <v>6.78</v>
      </c>
      <c r="J41" s="35" t="s">
        <v>514</v>
      </c>
    </row>
    <row r="42" spans="2:10" x14ac:dyDescent="0.25">
      <c r="B42" s="8" t="s">
        <v>1324</v>
      </c>
      <c r="C42" s="56" t="s">
        <v>601</v>
      </c>
      <c r="D42" s="53" t="s">
        <v>1325</v>
      </c>
      <c r="E42" s="6" t="s">
        <v>534</v>
      </c>
      <c r="F42" s="19">
        <v>800</v>
      </c>
      <c r="G42" s="24">
        <v>8237.18</v>
      </c>
      <c r="H42" s="24">
        <v>0.92</v>
      </c>
      <c r="I42" s="31">
        <v>5.4950000000000001</v>
      </c>
      <c r="J42" s="35" t="s">
        <v>514</v>
      </c>
    </row>
    <row r="43" spans="2:10" x14ac:dyDescent="0.25">
      <c r="B43" s="8" t="s">
        <v>2105</v>
      </c>
      <c r="C43" s="56" t="s">
        <v>1738</v>
      </c>
      <c r="D43" s="53" t="s">
        <v>2106</v>
      </c>
      <c r="E43" s="6" t="s">
        <v>534</v>
      </c>
      <c r="F43" s="19">
        <v>750</v>
      </c>
      <c r="G43" s="24">
        <v>7848.68</v>
      </c>
      <c r="H43" s="24">
        <v>0.88</v>
      </c>
      <c r="I43" s="31">
        <v>6.4696999999999996</v>
      </c>
      <c r="J43" s="35" t="s">
        <v>514</v>
      </c>
    </row>
    <row r="44" spans="2:10" x14ac:dyDescent="0.25">
      <c r="B44" s="8" t="s">
        <v>1876</v>
      </c>
      <c r="C44" s="56" t="s">
        <v>601</v>
      </c>
      <c r="D44" s="53" t="s">
        <v>1877</v>
      </c>
      <c r="E44" s="6" t="s">
        <v>534</v>
      </c>
      <c r="F44" s="19">
        <v>750</v>
      </c>
      <c r="G44" s="24">
        <v>7809.26</v>
      </c>
      <c r="H44" s="24">
        <v>0.87</v>
      </c>
      <c r="I44" s="31">
        <v>6.25</v>
      </c>
      <c r="J44" s="35"/>
    </row>
    <row r="45" spans="2:10" x14ac:dyDescent="0.25">
      <c r="B45" s="8" t="s">
        <v>2107</v>
      </c>
      <c r="C45" s="56" t="s">
        <v>1376</v>
      </c>
      <c r="D45" s="53" t="s">
        <v>2108</v>
      </c>
      <c r="E45" s="6" t="s">
        <v>534</v>
      </c>
      <c r="F45" s="19">
        <v>750</v>
      </c>
      <c r="G45" s="24">
        <v>7679.63</v>
      </c>
      <c r="H45" s="24">
        <v>0.86</v>
      </c>
      <c r="I45" s="31">
        <v>6.29</v>
      </c>
      <c r="J45" s="35" t="s">
        <v>514</v>
      </c>
    </row>
    <row r="46" spans="2:10" x14ac:dyDescent="0.25">
      <c r="B46" s="8" t="s">
        <v>1317</v>
      </c>
      <c r="C46" s="56" t="s">
        <v>806</v>
      </c>
      <c r="D46" s="53" t="s">
        <v>1318</v>
      </c>
      <c r="E46" s="6" t="s">
        <v>534</v>
      </c>
      <c r="F46" s="19">
        <v>700</v>
      </c>
      <c r="G46" s="24">
        <v>7347.17</v>
      </c>
      <c r="H46" s="24">
        <v>0.82</v>
      </c>
      <c r="I46" s="31">
        <v>5.5345000000000004</v>
      </c>
      <c r="J46" s="35" t="s">
        <v>514</v>
      </c>
    </row>
    <row r="47" spans="2:10" x14ac:dyDescent="0.25">
      <c r="B47" s="8" t="s">
        <v>2109</v>
      </c>
      <c r="C47" s="56" t="s">
        <v>1230</v>
      </c>
      <c r="D47" s="53" t="s">
        <v>2110</v>
      </c>
      <c r="E47" s="6" t="s">
        <v>534</v>
      </c>
      <c r="F47" s="19">
        <v>650</v>
      </c>
      <c r="G47" s="24">
        <v>7154.06</v>
      </c>
      <c r="H47" s="24">
        <v>0.8</v>
      </c>
      <c r="I47" s="31">
        <v>5.8647</v>
      </c>
      <c r="J47" s="35" t="s">
        <v>514</v>
      </c>
    </row>
    <row r="48" spans="2:10" x14ac:dyDescent="0.25">
      <c r="B48" s="8" t="s">
        <v>605</v>
      </c>
      <c r="C48" s="56" t="s">
        <v>571</v>
      </c>
      <c r="D48" s="53" t="s">
        <v>606</v>
      </c>
      <c r="E48" s="6" t="s">
        <v>557</v>
      </c>
      <c r="F48" s="19">
        <v>590</v>
      </c>
      <c r="G48" s="24">
        <v>5996.97</v>
      </c>
      <c r="H48" s="24">
        <v>0.67</v>
      </c>
      <c r="I48" s="31">
        <v>7.8497000000000003</v>
      </c>
      <c r="J48" s="35" t="s">
        <v>514</v>
      </c>
    </row>
    <row r="49" spans="2:10" x14ac:dyDescent="0.25">
      <c r="B49" s="8" t="s">
        <v>2111</v>
      </c>
      <c r="C49" s="56" t="s">
        <v>1230</v>
      </c>
      <c r="D49" s="53" t="s">
        <v>2112</v>
      </c>
      <c r="E49" s="6" t="s">
        <v>534</v>
      </c>
      <c r="F49" s="19">
        <v>500</v>
      </c>
      <c r="G49" s="24">
        <v>5511.42</v>
      </c>
      <c r="H49" s="24">
        <v>0.62</v>
      </c>
      <c r="I49" s="31">
        <v>5.8647</v>
      </c>
      <c r="J49" s="35" t="s">
        <v>514</v>
      </c>
    </row>
    <row r="50" spans="2:10" x14ac:dyDescent="0.25">
      <c r="B50" s="8" t="s">
        <v>2113</v>
      </c>
      <c r="C50" s="56" t="s">
        <v>1738</v>
      </c>
      <c r="D50" s="53" t="s">
        <v>2114</v>
      </c>
      <c r="E50" s="6" t="s">
        <v>534</v>
      </c>
      <c r="F50" s="19">
        <v>500</v>
      </c>
      <c r="G50" s="24">
        <v>5461.67</v>
      </c>
      <c r="H50" s="24">
        <v>0.61</v>
      </c>
      <c r="I50" s="31">
        <v>5.2350000000000003</v>
      </c>
      <c r="J50" s="35" t="s">
        <v>514</v>
      </c>
    </row>
    <row r="51" spans="2:10" x14ac:dyDescent="0.25">
      <c r="B51" s="8" t="s">
        <v>2115</v>
      </c>
      <c r="C51" s="56" t="s">
        <v>909</v>
      </c>
      <c r="D51" s="53" t="s">
        <v>2116</v>
      </c>
      <c r="E51" s="6" t="s">
        <v>534</v>
      </c>
      <c r="F51" s="19">
        <v>500</v>
      </c>
      <c r="G51" s="24">
        <v>5384.14</v>
      </c>
      <c r="H51" s="24">
        <v>0.6</v>
      </c>
      <c r="I51" s="31">
        <v>5.31</v>
      </c>
      <c r="J51" s="35" t="s">
        <v>514</v>
      </c>
    </row>
    <row r="52" spans="2:10" x14ac:dyDescent="0.25">
      <c r="B52" s="8" t="s">
        <v>2117</v>
      </c>
      <c r="C52" s="56" t="s">
        <v>854</v>
      </c>
      <c r="D52" s="53" t="s">
        <v>2118</v>
      </c>
      <c r="E52" s="6" t="s">
        <v>534</v>
      </c>
      <c r="F52" s="19">
        <v>500</v>
      </c>
      <c r="G52" s="24">
        <v>5326.96</v>
      </c>
      <c r="H52" s="24">
        <v>0.59</v>
      </c>
      <c r="I52" s="31">
        <v>5.3757999999999999</v>
      </c>
      <c r="J52" s="35" t="s">
        <v>514</v>
      </c>
    </row>
    <row r="53" spans="2:10" x14ac:dyDescent="0.25">
      <c r="B53" s="8" t="s">
        <v>1930</v>
      </c>
      <c r="C53" s="56" t="s">
        <v>601</v>
      </c>
      <c r="D53" s="53" t="s">
        <v>1931</v>
      </c>
      <c r="E53" s="6" t="s">
        <v>534</v>
      </c>
      <c r="F53" s="19">
        <v>500</v>
      </c>
      <c r="G53" s="24">
        <v>5230.05</v>
      </c>
      <c r="H53" s="24">
        <v>0.57999999999999996</v>
      </c>
      <c r="I53" s="31">
        <v>5.0199999999999996</v>
      </c>
      <c r="J53" s="35" t="s">
        <v>514</v>
      </c>
    </row>
    <row r="54" spans="2:10" x14ac:dyDescent="0.25">
      <c r="B54" s="8" t="s">
        <v>1887</v>
      </c>
      <c r="C54" s="56" t="s">
        <v>909</v>
      </c>
      <c r="D54" s="53" t="s">
        <v>1888</v>
      </c>
      <c r="E54" s="6" t="s">
        <v>534</v>
      </c>
      <c r="F54" s="19">
        <v>500</v>
      </c>
      <c r="G54" s="24">
        <v>5213.08</v>
      </c>
      <c r="H54" s="24">
        <v>0.57999999999999996</v>
      </c>
      <c r="I54" s="31">
        <v>4.66</v>
      </c>
      <c r="J54" s="35" t="s">
        <v>514</v>
      </c>
    </row>
    <row r="55" spans="2:10" x14ac:dyDescent="0.25">
      <c r="B55" s="8" t="s">
        <v>2119</v>
      </c>
      <c r="C55" s="56" t="s">
        <v>1230</v>
      </c>
      <c r="D55" s="53" t="s">
        <v>2120</v>
      </c>
      <c r="E55" s="6" t="s">
        <v>534</v>
      </c>
      <c r="F55" s="19">
        <v>500</v>
      </c>
      <c r="G55" s="24">
        <v>5200.5600000000004</v>
      </c>
      <c r="H55" s="24">
        <v>0.57999999999999996</v>
      </c>
      <c r="I55" s="31">
        <v>6.47</v>
      </c>
      <c r="J55" s="35" t="s">
        <v>514</v>
      </c>
    </row>
    <row r="56" spans="2:10" x14ac:dyDescent="0.25">
      <c r="B56" s="8" t="s">
        <v>2121</v>
      </c>
      <c r="C56" s="56" t="s">
        <v>1376</v>
      </c>
      <c r="D56" s="53" t="s">
        <v>2122</v>
      </c>
      <c r="E56" s="6" t="s">
        <v>534</v>
      </c>
      <c r="F56" s="19">
        <v>500</v>
      </c>
      <c r="G56" s="24">
        <v>5196</v>
      </c>
      <c r="H56" s="24">
        <v>0.57999999999999996</v>
      </c>
      <c r="I56" s="31">
        <v>6.29</v>
      </c>
      <c r="J56" s="35"/>
    </row>
    <row r="57" spans="2:10" x14ac:dyDescent="0.25">
      <c r="B57" s="8" t="s">
        <v>2123</v>
      </c>
      <c r="C57" s="56" t="s">
        <v>2082</v>
      </c>
      <c r="D57" s="53" t="s">
        <v>2124</v>
      </c>
      <c r="E57" s="6" t="s">
        <v>534</v>
      </c>
      <c r="F57" s="19">
        <v>475</v>
      </c>
      <c r="G57" s="24">
        <v>5153.5200000000004</v>
      </c>
      <c r="H57" s="24">
        <v>0.57999999999999996</v>
      </c>
      <c r="I57" s="31">
        <v>4.915</v>
      </c>
      <c r="J57" s="35" t="s">
        <v>514</v>
      </c>
    </row>
    <row r="58" spans="2:10" x14ac:dyDescent="0.25">
      <c r="B58" s="8" t="s">
        <v>1870</v>
      </c>
      <c r="C58" s="56" t="s">
        <v>1376</v>
      </c>
      <c r="D58" s="53" t="s">
        <v>1871</v>
      </c>
      <c r="E58" s="6" t="s">
        <v>534</v>
      </c>
      <c r="F58" s="19">
        <v>500</v>
      </c>
      <c r="G58" s="24">
        <v>5148.2700000000004</v>
      </c>
      <c r="H58" s="24">
        <v>0.57999999999999996</v>
      </c>
      <c r="I58" s="31">
        <v>5.6</v>
      </c>
      <c r="J58" s="35" t="s">
        <v>514</v>
      </c>
    </row>
    <row r="59" spans="2:10" x14ac:dyDescent="0.25">
      <c r="B59" s="8" t="s">
        <v>2125</v>
      </c>
      <c r="C59" s="56" t="s">
        <v>1376</v>
      </c>
      <c r="D59" s="53" t="s">
        <v>2126</v>
      </c>
      <c r="E59" s="6" t="s">
        <v>534</v>
      </c>
      <c r="F59" s="19">
        <v>500</v>
      </c>
      <c r="G59" s="24">
        <v>5010.7299999999996</v>
      </c>
      <c r="H59" s="24">
        <v>0.56000000000000005</v>
      </c>
      <c r="I59" s="31">
        <v>5.6</v>
      </c>
      <c r="J59" s="35"/>
    </row>
    <row r="60" spans="2:10" x14ac:dyDescent="0.25">
      <c r="B60" s="8" t="s">
        <v>2127</v>
      </c>
      <c r="C60" s="56" t="s">
        <v>909</v>
      </c>
      <c r="D60" s="53" t="s">
        <v>2128</v>
      </c>
      <c r="E60" s="6" t="s">
        <v>911</v>
      </c>
      <c r="F60" s="19">
        <v>475</v>
      </c>
      <c r="G60" s="24">
        <v>4900.7299999999996</v>
      </c>
      <c r="H60" s="24">
        <v>0.55000000000000004</v>
      </c>
      <c r="I60" s="31">
        <v>5.12</v>
      </c>
      <c r="J60" s="35"/>
    </row>
    <row r="61" spans="2:10" x14ac:dyDescent="0.25">
      <c r="B61" s="8" t="s">
        <v>1911</v>
      </c>
      <c r="C61" s="56" t="s">
        <v>857</v>
      </c>
      <c r="D61" s="53" t="s">
        <v>1912</v>
      </c>
      <c r="E61" s="6" t="s">
        <v>534</v>
      </c>
      <c r="F61" s="19">
        <v>450</v>
      </c>
      <c r="G61" s="24">
        <v>4663.1099999999997</v>
      </c>
      <c r="H61" s="24">
        <v>0.52</v>
      </c>
      <c r="I61" s="31">
        <v>4.9800000000000004</v>
      </c>
      <c r="J61" s="35" t="s">
        <v>514</v>
      </c>
    </row>
    <row r="62" spans="2:10" x14ac:dyDescent="0.25">
      <c r="B62" s="8" t="s">
        <v>2129</v>
      </c>
      <c r="C62" s="56" t="s">
        <v>601</v>
      </c>
      <c r="D62" s="53" t="s">
        <v>2130</v>
      </c>
      <c r="E62" s="6" t="s">
        <v>534</v>
      </c>
      <c r="F62" s="19">
        <v>450</v>
      </c>
      <c r="G62" s="24">
        <v>4542.76</v>
      </c>
      <c r="H62" s="24">
        <v>0.51</v>
      </c>
      <c r="I62" s="31">
        <v>7.25</v>
      </c>
      <c r="J62" s="35" t="s">
        <v>514</v>
      </c>
    </row>
    <row r="63" spans="2:10" x14ac:dyDescent="0.25">
      <c r="B63" s="8" t="s">
        <v>1890</v>
      </c>
      <c r="C63" s="56" t="s">
        <v>571</v>
      </c>
      <c r="D63" s="53" t="s">
        <v>1891</v>
      </c>
      <c r="E63" s="6" t="s">
        <v>557</v>
      </c>
      <c r="F63" s="19">
        <v>450</v>
      </c>
      <c r="G63" s="24">
        <v>4534.91</v>
      </c>
      <c r="H63" s="24">
        <v>0.51</v>
      </c>
      <c r="I63" s="31">
        <v>7.7392000000000003</v>
      </c>
      <c r="J63" s="35" t="s">
        <v>514</v>
      </c>
    </row>
    <row r="64" spans="2:10" x14ac:dyDescent="0.25">
      <c r="B64" s="8" t="s">
        <v>1905</v>
      </c>
      <c r="C64" s="56" t="s">
        <v>909</v>
      </c>
      <c r="D64" s="53" t="s">
        <v>1906</v>
      </c>
      <c r="E64" s="6" t="s">
        <v>534</v>
      </c>
      <c r="F64" s="19">
        <v>400</v>
      </c>
      <c r="G64" s="24">
        <v>4298.53</v>
      </c>
      <c r="H64" s="24">
        <v>0.48</v>
      </c>
      <c r="I64" s="31">
        <v>5.01</v>
      </c>
      <c r="J64" s="35"/>
    </row>
    <row r="65" spans="2:10" x14ac:dyDescent="0.25">
      <c r="B65" s="8" t="s">
        <v>2131</v>
      </c>
      <c r="C65" s="56" t="s">
        <v>63</v>
      </c>
      <c r="D65" s="53" t="s">
        <v>2132</v>
      </c>
      <c r="E65" s="6" t="s">
        <v>911</v>
      </c>
      <c r="F65" s="19">
        <v>400</v>
      </c>
      <c r="G65" s="24">
        <v>4220.88</v>
      </c>
      <c r="H65" s="24">
        <v>0.47</v>
      </c>
      <c r="I65" s="31">
        <v>5.56</v>
      </c>
      <c r="J65" s="35" t="s">
        <v>514</v>
      </c>
    </row>
    <row r="66" spans="2:10" x14ac:dyDescent="0.25">
      <c r="B66" s="8" t="s">
        <v>908</v>
      </c>
      <c r="C66" s="56" t="s">
        <v>909</v>
      </c>
      <c r="D66" s="53" t="s">
        <v>910</v>
      </c>
      <c r="E66" s="6" t="s">
        <v>911</v>
      </c>
      <c r="F66" s="19">
        <v>400</v>
      </c>
      <c r="G66" s="24">
        <v>4209.87</v>
      </c>
      <c r="H66" s="24">
        <v>0.47</v>
      </c>
      <c r="I66" s="31">
        <v>6.7750000000000004</v>
      </c>
      <c r="J66" s="35" t="s">
        <v>514</v>
      </c>
    </row>
    <row r="67" spans="2:10" x14ac:dyDescent="0.25">
      <c r="B67" s="8" t="s">
        <v>570</v>
      </c>
      <c r="C67" s="56" t="s">
        <v>571</v>
      </c>
      <c r="D67" s="53" t="s">
        <v>572</v>
      </c>
      <c r="E67" s="6" t="s">
        <v>573</v>
      </c>
      <c r="F67" s="19">
        <v>400</v>
      </c>
      <c r="G67" s="24">
        <v>4041.31</v>
      </c>
      <c r="H67" s="24">
        <v>0.45</v>
      </c>
      <c r="I67" s="31">
        <v>7.9448999999999996</v>
      </c>
      <c r="J67" s="35" t="s">
        <v>514</v>
      </c>
    </row>
    <row r="68" spans="2:10" x14ac:dyDescent="0.25">
      <c r="B68" s="8" t="s">
        <v>2133</v>
      </c>
      <c r="C68" s="56" t="s">
        <v>1230</v>
      </c>
      <c r="D68" s="53" t="s">
        <v>2134</v>
      </c>
      <c r="E68" s="6" t="s">
        <v>534</v>
      </c>
      <c r="F68" s="19">
        <v>350</v>
      </c>
      <c r="G68" s="24">
        <v>3822.57</v>
      </c>
      <c r="H68" s="24">
        <v>0.43</v>
      </c>
      <c r="I68" s="31">
        <v>5.8647</v>
      </c>
      <c r="J68" s="35" t="s">
        <v>514</v>
      </c>
    </row>
    <row r="69" spans="2:10" x14ac:dyDescent="0.25">
      <c r="B69" s="8" t="s">
        <v>2135</v>
      </c>
      <c r="C69" s="56" t="s">
        <v>601</v>
      </c>
      <c r="D69" s="53" t="s">
        <v>2136</v>
      </c>
      <c r="E69" s="6" t="s">
        <v>534</v>
      </c>
      <c r="F69" s="19">
        <v>350</v>
      </c>
      <c r="G69" s="24">
        <v>3535.06</v>
      </c>
      <c r="H69" s="24">
        <v>0.39</v>
      </c>
      <c r="I69" s="31">
        <v>7.25</v>
      </c>
      <c r="J69" s="35" t="s">
        <v>514</v>
      </c>
    </row>
    <row r="70" spans="2:10" x14ac:dyDescent="0.25">
      <c r="B70" s="8" t="s">
        <v>2137</v>
      </c>
      <c r="C70" s="56" t="s">
        <v>894</v>
      </c>
      <c r="D70" s="53" t="s">
        <v>2138</v>
      </c>
      <c r="E70" s="6" t="s">
        <v>911</v>
      </c>
      <c r="F70" s="19">
        <v>1650</v>
      </c>
      <c r="G70" s="24">
        <v>3438.55</v>
      </c>
      <c r="H70" s="24">
        <v>0.38</v>
      </c>
      <c r="I70" s="31">
        <v>6.6246</v>
      </c>
      <c r="J70" s="35" t="s">
        <v>514</v>
      </c>
    </row>
    <row r="71" spans="2:10" x14ac:dyDescent="0.25">
      <c r="B71" s="8" t="s">
        <v>1740</v>
      </c>
      <c r="C71" s="56" t="s">
        <v>854</v>
      </c>
      <c r="D71" s="53" t="s">
        <v>1741</v>
      </c>
      <c r="E71" s="6" t="s">
        <v>534</v>
      </c>
      <c r="F71" s="19">
        <v>290</v>
      </c>
      <c r="G71" s="24">
        <v>3292.89</v>
      </c>
      <c r="H71" s="24">
        <v>0.37</v>
      </c>
      <c r="I71" s="31">
        <v>5.3757999999999999</v>
      </c>
      <c r="J71" s="35" t="s">
        <v>514</v>
      </c>
    </row>
    <row r="72" spans="2:10" x14ac:dyDescent="0.25">
      <c r="B72" s="8" t="s">
        <v>2139</v>
      </c>
      <c r="C72" s="56" t="s">
        <v>1738</v>
      </c>
      <c r="D72" s="53" t="s">
        <v>2140</v>
      </c>
      <c r="E72" s="6" t="s">
        <v>534</v>
      </c>
      <c r="F72" s="19">
        <v>275</v>
      </c>
      <c r="G72" s="24">
        <v>2854.58</v>
      </c>
      <c r="H72" s="24">
        <v>0.32</v>
      </c>
      <c r="I72" s="31">
        <v>4.97</v>
      </c>
      <c r="J72" s="35" t="s">
        <v>514</v>
      </c>
    </row>
    <row r="73" spans="2:10" x14ac:dyDescent="0.25">
      <c r="B73" s="8" t="s">
        <v>2141</v>
      </c>
      <c r="C73" s="56" t="s">
        <v>1752</v>
      </c>
      <c r="D73" s="53" t="s">
        <v>2142</v>
      </c>
      <c r="E73" s="6" t="s">
        <v>911</v>
      </c>
      <c r="F73" s="19">
        <v>275</v>
      </c>
      <c r="G73" s="24">
        <v>2832.63</v>
      </c>
      <c r="H73" s="24">
        <v>0.32</v>
      </c>
      <c r="I73" s="31">
        <v>4.9000000000000004</v>
      </c>
      <c r="J73" s="35"/>
    </row>
    <row r="74" spans="2:10" x14ac:dyDescent="0.25">
      <c r="B74" s="8" t="s">
        <v>2143</v>
      </c>
      <c r="C74" s="56" t="s">
        <v>854</v>
      </c>
      <c r="D74" s="53" t="s">
        <v>2144</v>
      </c>
      <c r="E74" s="6" t="s">
        <v>534</v>
      </c>
      <c r="F74" s="19">
        <v>250</v>
      </c>
      <c r="G74" s="24">
        <v>2721.08</v>
      </c>
      <c r="H74" s="24">
        <v>0.3</v>
      </c>
      <c r="I74" s="31">
        <v>5.3249000000000004</v>
      </c>
      <c r="J74" s="35" t="s">
        <v>514</v>
      </c>
    </row>
    <row r="75" spans="2:10" x14ac:dyDescent="0.25">
      <c r="B75" s="8" t="s">
        <v>2145</v>
      </c>
      <c r="C75" s="56" t="s">
        <v>1376</v>
      </c>
      <c r="D75" s="53" t="s">
        <v>2146</v>
      </c>
      <c r="E75" s="6" t="s">
        <v>534</v>
      </c>
      <c r="F75" s="19">
        <v>250</v>
      </c>
      <c r="G75" s="24">
        <v>2664.15</v>
      </c>
      <c r="H75" s="24">
        <v>0.3</v>
      </c>
      <c r="I75" s="31">
        <v>7.25</v>
      </c>
      <c r="J75" s="35" t="s">
        <v>514</v>
      </c>
    </row>
    <row r="76" spans="2:10" x14ac:dyDescent="0.25">
      <c r="B76" s="8" t="s">
        <v>600</v>
      </c>
      <c r="C76" s="56" t="s">
        <v>601</v>
      </c>
      <c r="D76" s="53" t="s">
        <v>602</v>
      </c>
      <c r="E76" s="6" t="s">
        <v>534</v>
      </c>
      <c r="F76" s="19">
        <v>250</v>
      </c>
      <c r="G76" s="24">
        <v>2646.41</v>
      </c>
      <c r="H76" s="24">
        <v>0.3</v>
      </c>
      <c r="I76" s="31">
        <v>6.25</v>
      </c>
      <c r="J76" s="35" t="s">
        <v>514</v>
      </c>
    </row>
    <row r="77" spans="2:10" x14ac:dyDescent="0.25">
      <c r="B77" s="8" t="s">
        <v>2147</v>
      </c>
      <c r="C77" s="56" t="s">
        <v>1738</v>
      </c>
      <c r="D77" s="53" t="s">
        <v>2148</v>
      </c>
      <c r="E77" s="6" t="s">
        <v>534</v>
      </c>
      <c r="F77" s="19">
        <v>250</v>
      </c>
      <c r="G77" s="24">
        <v>2630.18</v>
      </c>
      <c r="H77" s="24">
        <v>0.28999999999999998</v>
      </c>
      <c r="I77" s="31">
        <v>6.7649999999999997</v>
      </c>
      <c r="J77" s="35" t="s">
        <v>514</v>
      </c>
    </row>
    <row r="78" spans="2:10" x14ac:dyDescent="0.25">
      <c r="B78" s="8" t="s">
        <v>2149</v>
      </c>
      <c r="C78" s="56" t="s">
        <v>824</v>
      </c>
      <c r="D78" s="53" t="s">
        <v>2150</v>
      </c>
      <c r="E78" s="6" t="s">
        <v>1383</v>
      </c>
      <c r="F78" s="19">
        <v>250</v>
      </c>
      <c r="G78" s="24">
        <v>2621.62</v>
      </c>
      <c r="H78" s="24">
        <v>0.28999999999999998</v>
      </c>
      <c r="I78" s="31">
        <v>4.5899000000000001</v>
      </c>
      <c r="J78" s="35" t="s">
        <v>514</v>
      </c>
    </row>
    <row r="79" spans="2:10" x14ac:dyDescent="0.25">
      <c r="B79" s="8" t="s">
        <v>2151</v>
      </c>
      <c r="C79" s="56" t="s">
        <v>1738</v>
      </c>
      <c r="D79" s="53" t="s">
        <v>2152</v>
      </c>
      <c r="E79" s="6" t="s">
        <v>534</v>
      </c>
      <c r="F79" s="19">
        <v>250</v>
      </c>
      <c r="G79" s="24">
        <v>2605.2199999999998</v>
      </c>
      <c r="H79" s="24">
        <v>0.28999999999999998</v>
      </c>
      <c r="I79" s="31">
        <v>6.4696999999999996</v>
      </c>
      <c r="J79" s="35" t="s">
        <v>514</v>
      </c>
    </row>
    <row r="80" spans="2:10" x14ac:dyDescent="0.25">
      <c r="B80" s="8" t="s">
        <v>2153</v>
      </c>
      <c r="C80" s="56" t="s">
        <v>1376</v>
      </c>
      <c r="D80" s="53" t="s">
        <v>2154</v>
      </c>
      <c r="E80" s="6" t="s">
        <v>534</v>
      </c>
      <c r="F80" s="19">
        <v>250</v>
      </c>
      <c r="G80" s="24">
        <v>2592.54</v>
      </c>
      <c r="H80" s="24">
        <v>0.28999999999999998</v>
      </c>
      <c r="I80" s="31">
        <v>4.97</v>
      </c>
      <c r="J80" s="35" t="s">
        <v>514</v>
      </c>
    </row>
    <row r="81" spans="2:10" x14ac:dyDescent="0.25">
      <c r="B81" s="8" t="s">
        <v>2155</v>
      </c>
      <c r="C81" s="56" t="s">
        <v>854</v>
      </c>
      <c r="D81" s="53" t="s">
        <v>2156</v>
      </c>
      <c r="E81" s="6" t="s">
        <v>534</v>
      </c>
      <c r="F81" s="19">
        <v>250</v>
      </c>
      <c r="G81" s="24">
        <v>2590.9299999999998</v>
      </c>
      <c r="H81" s="24">
        <v>0.28999999999999998</v>
      </c>
      <c r="I81" s="31">
        <v>6.52</v>
      </c>
      <c r="J81" s="35" t="s">
        <v>514</v>
      </c>
    </row>
    <row r="82" spans="2:10" x14ac:dyDescent="0.25">
      <c r="B82" s="8" t="s">
        <v>2157</v>
      </c>
      <c r="C82" s="56" t="s">
        <v>601</v>
      </c>
      <c r="D82" s="53" t="s">
        <v>2158</v>
      </c>
      <c r="E82" s="6" t="s">
        <v>534</v>
      </c>
      <c r="F82" s="19">
        <v>250</v>
      </c>
      <c r="G82" s="24">
        <v>2583.5300000000002</v>
      </c>
      <c r="H82" s="24">
        <v>0.28999999999999998</v>
      </c>
      <c r="I82" s="31">
        <v>5.52</v>
      </c>
      <c r="J82" s="35"/>
    </row>
    <row r="83" spans="2:10" x14ac:dyDescent="0.25">
      <c r="B83" s="8" t="s">
        <v>2159</v>
      </c>
      <c r="C83" s="56" t="s">
        <v>1738</v>
      </c>
      <c r="D83" s="53" t="s">
        <v>2160</v>
      </c>
      <c r="E83" s="6" t="s">
        <v>534</v>
      </c>
      <c r="F83" s="19">
        <v>250</v>
      </c>
      <c r="G83" s="24">
        <v>2554.2199999999998</v>
      </c>
      <c r="H83" s="24">
        <v>0.28999999999999998</v>
      </c>
      <c r="I83" s="31">
        <v>6.7649999999999997</v>
      </c>
      <c r="J83" s="35" t="s">
        <v>514</v>
      </c>
    </row>
    <row r="84" spans="2:10" x14ac:dyDescent="0.25">
      <c r="B84" s="8" t="s">
        <v>1729</v>
      </c>
      <c r="C84" s="56" t="s">
        <v>1230</v>
      </c>
      <c r="D84" s="53" t="s">
        <v>1730</v>
      </c>
      <c r="E84" s="6" t="s">
        <v>534</v>
      </c>
      <c r="F84" s="19">
        <v>250</v>
      </c>
      <c r="G84" s="24">
        <v>2544.65</v>
      </c>
      <c r="H84" s="24">
        <v>0.28000000000000003</v>
      </c>
      <c r="I84" s="31">
        <v>5.8647</v>
      </c>
      <c r="J84" s="35" t="s">
        <v>514</v>
      </c>
    </row>
    <row r="85" spans="2:10" x14ac:dyDescent="0.25">
      <c r="B85" s="8" t="s">
        <v>2161</v>
      </c>
      <c r="C85" s="56" t="s">
        <v>2162</v>
      </c>
      <c r="D85" s="53" t="s">
        <v>2163</v>
      </c>
      <c r="E85" s="6" t="s">
        <v>911</v>
      </c>
      <c r="F85" s="19">
        <v>250</v>
      </c>
      <c r="G85" s="24">
        <v>2543.0700000000002</v>
      </c>
      <c r="H85" s="24">
        <v>0.28000000000000003</v>
      </c>
      <c r="I85" s="31">
        <v>6.62</v>
      </c>
      <c r="J85" s="35" t="s">
        <v>514</v>
      </c>
    </row>
    <row r="86" spans="2:10" x14ac:dyDescent="0.25">
      <c r="B86" s="8" t="s">
        <v>2164</v>
      </c>
      <c r="C86" s="56" t="s">
        <v>1230</v>
      </c>
      <c r="D86" s="53" t="s">
        <v>2165</v>
      </c>
      <c r="E86" s="6" t="s">
        <v>534</v>
      </c>
      <c r="F86" s="19">
        <v>250</v>
      </c>
      <c r="G86" s="24">
        <v>2474.63</v>
      </c>
      <c r="H86" s="24">
        <v>0.28000000000000003</v>
      </c>
      <c r="I86" s="31">
        <v>5.8647</v>
      </c>
      <c r="J86" s="35" t="s">
        <v>514</v>
      </c>
    </row>
    <row r="87" spans="2:10" x14ac:dyDescent="0.25">
      <c r="B87" s="8" t="s">
        <v>2166</v>
      </c>
      <c r="C87" s="56" t="s">
        <v>1130</v>
      </c>
      <c r="D87" s="53" t="s">
        <v>2167</v>
      </c>
      <c r="E87" s="6" t="s">
        <v>911</v>
      </c>
      <c r="F87" s="19">
        <v>225</v>
      </c>
      <c r="G87" s="24">
        <v>2333.5300000000002</v>
      </c>
      <c r="H87" s="24">
        <v>0.26</v>
      </c>
      <c r="I87" s="31">
        <v>5.1849999999999996</v>
      </c>
      <c r="J87" s="35" t="s">
        <v>514</v>
      </c>
    </row>
    <row r="88" spans="2:10" x14ac:dyDescent="0.25">
      <c r="B88" s="8" t="s">
        <v>2168</v>
      </c>
      <c r="C88" s="56" t="s">
        <v>854</v>
      </c>
      <c r="D88" s="53" t="s">
        <v>2169</v>
      </c>
      <c r="E88" s="6" t="s">
        <v>534</v>
      </c>
      <c r="F88" s="19">
        <v>160</v>
      </c>
      <c r="G88" s="24">
        <v>2291.0300000000002</v>
      </c>
      <c r="H88" s="24">
        <v>0.26</v>
      </c>
      <c r="I88" s="31">
        <v>6.5499000000000001</v>
      </c>
      <c r="J88" s="35" t="s">
        <v>514</v>
      </c>
    </row>
    <row r="89" spans="2:10" x14ac:dyDescent="0.25">
      <c r="B89" s="8" t="s">
        <v>2170</v>
      </c>
      <c r="C89" s="56" t="s">
        <v>1376</v>
      </c>
      <c r="D89" s="53" t="s">
        <v>2171</v>
      </c>
      <c r="E89" s="6" t="s">
        <v>534</v>
      </c>
      <c r="F89" s="19">
        <v>200</v>
      </c>
      <c r="G89" s="24">
        <v>2197.0500000000002</v>
      </c>
      <c r="H89" s="24">
        <v>0.25</v>
      </c>
      <c r="I89" s="31">
        <v>7.25</v>
      </c>
      <c r="J89" s="35" t="s">
        <v>514</v>
      </c>
    </row>
    <row r="90" spans="2:10" x14ac:dyDescent="0.25">
      <c r="B90" s="8" t="s">
        <v>2172</v>
      </c>
      <c r="C90" s="56" t="s">
        <v>1738</v>
      </c>
      <c r="D90" s="53" t="s">
        <v>2173</v>
      </c>
      <c r="E90" s="6" t="s">
        <v>534</v>
      </c>
      <c r="F90" s="19">
        <v>200</v>
      </c>
      <c r="G90" s="24">
        <v>2118.48</v>
      </c>
      <c r="H90" s="24">
        <v>0.24</v>
      </c>
      <c r="I90" s="31">
        <v>6.4696999999999996</v>
      </c>
      <c r="J90" s="35" t="s">
        <v>514</v>
      </c>
    </row>
    <row r="91" spans="2:10" x14ac:dyDescent="0.25">
      <c r="B91" s="8" t="s">
        <v>2174</v>
      </c>
      <c r="C91" s="56" t="s">
        <v>909</v>
      </c>
      <c r="D91" s="53" t="s">
        <v>2175</v>
      </c>
      <c r="E91" s="6" t="s">
        <v>534</v>
      </c>
      <c r="F91" s="19">
        <v>200</v>
      </c>
      <c r="G91" s="24">
        <v>2076.34</v>
      </c>
      <c r="H91" s="24">
        <v>0.23</v>
      </c>
      <c r="I91" s="31">
        <v>4.75</v>
      </c>
      <c r="J91" s="35" t="s">
        <v>514</v>
      </c>
    </row>
    <row r="92" spans="2:10" x14ac:dyDescent="0.25">
      <c r="B92" s="8" t="s">
        <v>2176</v>
      </c>
      <c r="C92" s="56" t="s">
        <v>516</v>
      </c>
      <c r="D92" s="53" t="s">
        <v>2177</v>
      </c>
      <c r="E92" s="6" t="s">
        <v>2178</v>
      </c>
      <c r="F92" s="19">
        <v>162</v>
      </c>
      <c r="G92" s="24">
        <v>1631.28</v>
      </c>
      <c r="H92" s="24">
        <v>0.18</v>
      </c>
      <c r="I92" s="31">
        <v>8.5147999999999993</v>
      </c>
      <c r="J92" s="35" t="s">
        <v>514</v>
      </c>
    </row>
    <row r="93" spans="2:10" x14ac:dyDescent="0.25">
      <c r="B93" s="8" t="s">
        <v>2179</v>
      </c>
      <c r="C93" s="56" t="s">
        <v>854</v>
      </c>
      <c r="D93" s="53" t="s">
        <v>2180</v>
      </c>
      <c r="E93" s="6" t="s">
        <v>534</v>
      </c>
      <c r="F93" s="19">
        <v>500</v>
      </c>
      <c r="G93" s="24">
        <v>1612.94</v>
      </c>
      <c r="H93" s="24">
        <v>0.18</v>
      </c>
      <c r="I93" s="31">
        <v>5.3757999999999999</v>
      </c>
      <c r="J93" s="35" t="s">
        <v>514</v>
      </c>
    </row>
    <row r="94" spans="2:10" x14ac:dyDescent="0.25">
      <c r="B94" s="8" t="s">
        <v>2181</v>
      </c>
      <c r="C94" s="56" t="s">
        <v>894</v>
      </c>
      <c r="D94" s="53" t="s">
        <v>2182</v>
      </c>
      <c r="E94" s="6" t="s">
        <v>911</v>
      </c>
      <c r="F94" s="19">
        <v>650</v>
      </c>
      <c r="G94" s="24">
        <v>1352.46</v>
      </c>
      <c r="H94" s="24">
        <v>0.15</v>
      </c>
      <c r="I94" s="31">
        <v>6.7199</v>
      </c>
      <c r="J94" s="35" t="s">
        <v>514</v>
      </c>
    </row>
    <row r="95" spans="2:10" x14ac:dyDescent="0.25">
      <c r="B95" s="8" t="s">
        <v>2183</v>
      </c>
      <c r="C95" s="56" t="s">
        <v>2089</v>
      </c>
      <c r="D95" s="53" t="s">
        <v>2184</v>
      </c>
      <c r="E95" s="6" t="s">
        <v>1383</v>
      </c>
      <c r="F95" s="19">
        <v>100</v>
      </c>
      <c r="G95" s="24">
        <v>1076.3499999999999</v>
      </c>
      <c r="H95" s="24">
        <v>0.12</v>
      </c>
      <c r="I95" s="31">
        <v>5.9493999999999998</v>
      </c>
      <c r="J95" s="35" t="s">
        <v>514</v>
      </c>
    </row>
    <row r="96" spans="2:10" x14ac:dyDescent="0.25">
      <c r="B96" s="8" t="s">
        <v>2185</v>
      </c>
      <c r="C96" s="56" t="s">
        <v>1738</v>
      </c>
      <c r="D96" s="53" t="s">
        <v>2186</v>
      </c>
      <c r="E96" s="6" t="s">
        <v>534</v>
      </c>
      <c r="F96" s="19">
        <v>80</v>
      </c>
      <c r="G96" s="24">
        <v>871.23</v>
      </c>
      <c r="H96" s="24">
        <v>0.1</v>
      </c>
      <c r="I96" s="31">
        <v>4.91</v>
      </c>
      <c r="J96" s="35" t="s">
        <v>514</v>
      </c>
    </row>
    <row r="97" spans="2:10" x14ac:dyDescent="0.25">
      <c r="C97" s="57" t="s">
        <v>35</v>
      </c>
      <c r="D97" s="53"/>
      <c r="E97" s="6"/>
      <c r="F97" s="19"/>
      <c r="G97" s="25">
        <v>579477.1</v>
      </c>
      <c r="H97" s="25">
        <v>64.709999999999994</v>
      </c>
      <c r="I97" s="31"/>
      <c r="J97" s="35"/>
    </row>
    <row r="98" spans="2:10" x14ac:dyDescent="0.25">
      <c r="C98" s="56"/>
      <c r="D98" s="53"/>
      <c r="E98" s="6"/>
      <c r="F98" s="19"/>
      <c r="G98" s="24"/>
      <c r="H98" s="24"/>
      <c r="I98" s="31"/>
      <c r="J98" s="35"/>
    </row>
    <row r="99" spans="2:10" x14ac:dyDescent="0.25">
      <c r="C99" s="59" t="s">
        <v>7</v>
      </c>
      <c r="D99" s="53"/>
      <c r="E99" s="6"/>
      <c r="F99" s="19"/>
      <c r="G99" s="24"/>
      <c r="H99" s="24"/>
      <c r="I99" s="31"/>
      <c r="J99" s="35"/>
    </row>
    <row r="100" spans="2:10" x14ac:dyDescent="0.25">
      <c r="B100" s="8" t="s">
        <v>1782</v>
      </c>
      <c r="C100" s="56" t="s">
        <v>1783</v>
      </c>
      <c r="D100" s="53" t="s">
        <v>1784</v>
      </c>
      <c r="E100" s="6" t="s">
        <v>551</v>
      </c>
      <c r="F100" s="19">
        <v>150</v>
      </c>
      <c r="G100" s="24">
        <v>15033.32</v>
      </c>
      <c r="H100" s="24">
        <v>1.68</v>
      </c>
      <c r="I100" s="31">
        <v>7.0080999999999998</v>
      </c>
      <c r="J100" s="35" t="s">
        <v>514</v>
      </c>
    </row>
    <row r="101" spans="2:10" x14ac:dyDescent="0.25">
      <c r="B101" s="8" t="s">
        <v>2187</v>
      </c>
      <c r="C101" s="56" t="s">
        <v>1783</v>
      </c>
      <c r="D101" s="53" t="s">
        <v>2188</v>
      </c>
      <c r="E101" s="6" t="s">
        <v>2189</v>
      </c>
      <c r="F101" s="19">
        <v>100</v>
      </c>
      <c r="G101" s="24">
        <v>10053.700000000001</v>
      </c>
      <c r="H101" s="24">
        <v>1.1200000000000001</v>
      </c>
      <c r="I101" s="31">
        <v>6.41</v>
      </c>
      <c r="J101" s="35" t="s">
        <v>514</v>
      </c>
    </row>
    <row r="102" spans="2:10" x14ac:dyDescent="0.25">
      <c r="C102" s="57" t="s">
        <v>35</v>
      </c>
      <c r="D102" s="53"/>
      <c r="E102" s="6"/>
      <c r="F102" s="19"/>
      <c r="G102" s="25">
        <v>25087.02</v>
      </c>
      <c r="H102" s="25">
        <v>2.8</v>
      </c>
      <c r="I102" s="31"/>
      <c r="J102" s="35"/>
    </row>
    <row r="103" spans="2:10" x14ac:dyDescent="0.25">
      <c r="C103" s="56"/>
      <c r="D103" s="53"/>
      <c r="E103" s="6"/>
      <c r="F103" s="19"/>
      <c r="G103" s="24"/>
      <c r="H103" s="24"/>
      <c r="I103" s="31"/>
      <c r="J103" s="35"/>
    </row>
    <row r="104" spans="2:10" x14ac:dyDescent="0.25">
      <c r="C104" s="57" t="s">
        <v>8</v>
      </c>
      <c r="D104" s="53"/>
      <c r="E104" s="6"/>
      <c r="F104" s="19"/>
      <c r="G104" s="24" t="s">
        <v>2</v>
      </c>
      <c r="H104" s="24" t="s">
        <v>2</v>
      </c>
      <c r="I104" s="31"/>
      <c r="J104" s="35"/>
    </row>
    <row r="105" spans="2:10" x14ac:dyDescent="0.25">
      <c r="C105" s="56"/>
      <c r="D105" s="53"/>
      <c r="E105" s="6"/>
      <c r="F105" s="19"/>
      <c r="G105" s="24"/>
      <c r="H105" s="24"/>
      <c r="I105" s="31"/>
      <c r="J105" s="35"/>
    </row>
    <row r="106" spans="2:10" x14ac:dyDescent="0.25">
      <c r="C106" s="59" t="s">
        <v>9</v>
      </c>
      <c r="D106" s="53"/>
      <c r="E106" s="6"/>
      <c r="F106" s="19"/>
      <c r="G106" s="24"/>
      <c r="H106" s="24"/>
      <c r="I106" s="31"/>
      <c r="J106" s="35"/>
    </row>
    <row r="107" spans="2:10" x14ac:dyDescent="0.25">
      <c r="B107" s="8" t="s">
        <v>967</v>
      </c>
      <c r="C107" s="56" t="s">
        <v>968</v>
      </c>
      <c r="D107" s="53" t="s">
        <v>969</v>
      </c>
      <c r="E107" s="6" t="s">
        <v>655</v>
      </c>
      <c r="F107" s="19">
        <v>72000000</v>
      </c>
      <c r="G107" s="24">
        <v>71486.210000000006</v>
      </c>
      <c r="H107" s="24">
        <v>7.98</v>
      </c>
      <c r="I107" s="31">
        <v>5.3917000000000002</v>
      </c>
      <c r="J107" s="35"/>
    </row>
    <row r="108" spans="2:10" x14ac:dyDescent="0.25">
      <c r="B108" s="8" t="s">
        <v>964</v>
      </c>
      <c r="C108" s="56" t="s">
        <v>965</v>
      </c>
      <c r="D108" s="53" t="s">
        <v>966</v>
      </c>
      <c r="E108" s="6" t="s">
        <v>655</v>
      </c>
      <c r="F108" s="19">
        <v>51500000</v>
      </c>
      <c r="G108" s="24">
        <v>55284.07</v>
      </c>
      <c r="H108" s="24">
        <v>6.17</v>
      </c>
      <c r="I108" s="31">
        <v>5.6993</v>
      </c>
      <c r="J108" s="35"/>
    </row>
    <row r="109" spans="2:10" x14ac:dyDescent="0.25">
      <c r="B109" s="8" t="s">
        <v>1346</v>
      </c>
      <c r="C109" s="56" t="s">
        <v>1347</v>
      </c>
      <c r="D109" s="53" t="s">
        <v>1348</v>
      </c>
      <c r="E109" s="6" t="s">
        <v>655</v>
      </c>
      <c r="F109" s="19">
        <v>30000000</v>
      </c>
      <c r="G109" s="24">
        <v>32559.99</v>
      </c>
      <c r="H109" s="24">
        <v>3.64</v>
      </c>
      <c r="I109" s="31">
        <v>5.6924999999999999</v>
      </c>
      <c r="J109" s="35"/>
    </row>
    <row r="110" spans="2:10" x14ac:dyDescent="0.25">
      <c r="B110" s="8" t="s">
        <v>1797</v>
      </c>
      <c r="C110" s="56" t="s">
        <v>1798</v>
      </c>
      <c r="D110" s="53" t="s">
        <v>1799</v>
      </c>
      <c r="E110" s="6" t="s">
        <v>655</v>
      </c>
      <c r="F110" s="19">
        <v>25000000</v>
      </c>
      <c r="G110" s="24">
        <v>26790.03</v>
      </c>
      <c r="H110" s="24">
        <v>2.99</v>
      </c>
      <c r="I110" s="31">
        <v>4.9545000000000003</v>
      </c>
      <c r="J110" s="35"/>
    </row>
    <row r="111" spans="2:10" x14ac:dyDescent="0.25">
      <c r="B111" s="8" t="s">
        <v>671</v>
      </c>
      <c r="C111" s="56" t="s">
        <v>672</v>
      </c>
      <c r="D111" s="53" t="s">
        <v>673</v>
      </c>
      <c r="E111" s="6" t="s">
        <v>655</v>
      </c>
      <c r="F111" s="19">
        <v>11000000</v>
      </c>
      <c r="G111" s="24">
        <v>10802.28</v>
      </c>
      <c r="H111" s="24">
        <v>1.21</v>
      </c>
      <c r="I111" s="31">
        <v>6.0133999999999999</v>
      </c>
      <c r="J111" s="35"/>
    </row>
    <row r="112" spans="2:10" x14ac:dyDescent="0.25">
      <c r="C112" s="57" t="s">
        <v>35</v>
      </c>
      <c r="D112" s="53"/>
      <c r="E112" s="6"/>
      <c r="F112" s="19"/>
      <c r="G112" s="25">
        <v>196922.58</v>
      </c>
      <c r="H112" s="25">
        <v>21.99</v>
      </c>
      <c r="I112" s="31"/>
      <c r="J112" s="35"/>
    </row>
    <row r="113" spans="2:10" x14ac:dyDescent="0.25">
      <c r="C113" s="56"/>
      <c r="D113" s="53"/>
      <c r="E113" s="6"/>
      <c r="F113" s="19"/>
      <c r="G113" s="24"/>
      <c r="H113" s="24"/>
      <c r="I113" s="31"/>
      <c r="J113" s="35"/>
    </row>
    <row r="114" spans="2:10" x14ac:dyDescent="0.25">
      <c r="C114" s="59" t="s">
        <v>10</v>
      </c>
      <c r="D114" s="53"/>
      <c r="E114" s="6"/>
      <c r="F114" s="19"/>
      <c r="G114" s="24"/>
      <c r="H114" s="24"/>
      <c r="I114" s="31"/>
      <c r="J114" s="35"/>
    </row>
    <row r="115" spans="2:10" x14ac:dyDescent="0.25">
      <c r="B115" s="8" t="s">
        <v>2190</v>
      </c>
      <c r="C115" s="56" t="s">
        <v>2191</v>
      </c>
      <c r="D115" s="53" t="s">
        <v>2192</v>
      </c>
      <c r="E115" s="6" t="s">
        <v>655</v>
      </c>
      <c r="F115" s="19">
        <v>20000000</v>
      </c>
      <c r="G115" s="24">
        <v>20647</v>
      </c>
      <c r="H115" s="24">
        <v>2.31</v>
      </c>
      <c r="I115" s="31">
        <v>5.8094000000000001</v>
      </c>
      <c r="J115" s="35"/>
    </row>
    <row r="116" spans="2:10" x14ac:dyDescent="0.25">
      <c r="B116" s="8" t="s">
        <v>2193</v>
      </c>
      <c r="C116" s="56" t="s">
        <v>2194</v>
      </c>
      <c r="D116" s="53" t="s">
        <v>2195</v>
      </c>
      <c r="E116" s="6" t="s">
        <v>655</v>
      </c>
      <c r="F116" s="19">
        <v>10000000</v>
      </c>
      <c r="G116" s="24">
        <v>10302.799999999999</v>
      </c>
      <c r="H116" s="24">
        <v>1.1499999999999999</v>
      </c>
      <c r="I116" s="31">
        <v>5.9923000000000002</v>
      </c>
      <c r="J116" s="35"/>
    </row>
    <row r="117" spans="2:10" x14ac:dyDescent="0.25">
      <c r="B117" s="8" t="s">
        <v>2196</v>
      </c>
      <c r="C117" s="56" t="s">
        <v>2197</v>
      </c>
      <c r="D117" s="53" t="s">
        <v>2198</v>
      </c>
      <c r="E117" s="6" t="s">
        <v>655</v>
      </c>
      <c r="F117" s="19">
        <v>3000000</v>
      </c>
      <c r="G117" s="24">
        <v>3263.03</v>
      </c>
      <c r="H117" s="24">
        <v>0.36</v>
      </c>
      <c r="I117" s="31">
        <v>6.4444999999999997</v>
      </c>
      <c r="J117" s="35"/>
    </row>
    <row r="118" spans="2:10" x14ac:dyDescent="0.25">
      <c r="C118" s="57" t="s">
        <v>35</v>
      </c>
      <c r="D118" s="53"/>
      <c r="E118" s="6"/>
      <c r="F118" s="19"/>
      <c r="G118" s="25">
        <v>34212.83</v>
      </c>
      <c r="H118" s="25">
        <v>3.82</v>
      </c>
      <c r="I118" s="31"/>
      <c r="J118" s="35"/>
    </row>
    <row r="119" spans="2:10" x14ac:dyDescent="0.25">
      <c r="C119" s="56"/>
      <c r="D119" s="53"/>
      <c r="E119" s="6"/>
      <c r="F119" s="19"/>
      <c r="G119" s="24"/>
      <c r="H119" s="24"/>
      <c r="I119" s="31"/>
      <c r="J119" s="35"/>
    </row>
    <row r="120" spans="2:10" x14ac:dyDescent="0.25">
      <c r="C120" s="57" t="s">
        <v>11</v>
      </c>
      <c r="D120" s="53"/>
      <c r="E120" s="6"/>
      <c r="F120" s="19"/>
      <c r="G120" s="24"/>
      <c r="H120" s="24"/>
      <c r="I120" s="31"/>
      <c r="J120" s="35"/>
    </row>
    <row r="121" spans="2:10" x14ac:dyDescent="0.25">
      <c r="C121" s="56"/>
      <c r="D121" s="53"/>
      <c r="E121" s="6"/>
      <c r="F121" s="19"/>
      <c r="G121" s="24"/>
      <c r="H121" s="24"/>
      <c r="I121" s="31"/>
      <c r="J121" s="35"/>
    </row>
    <row r="122" spans="2:10" x14ac:dyDescent="0.25">
      <c r="C122" s="57" t="s">
        <v>13</v>
      </c>
      <c r="D122" s="53"/>
      <c r="E122" s="6"/>
      <c r="F122" s="19"/>
      <c r="G122" s="24" t="s">
        <v>2</v>
      </c>
      <c r="H122" s="24" t="s">
        <v>2</v>
      </c>
      <c r="I122" s="31"/>
      <c r="J122" s="35"/>
    </row>
    <row r="123" spans="2:10" x14ac:dyDescent="0.25">
      <c r="C123" s="56"/>
      <c r="D123" s="53"/>
      <c r="E123" s="6"/>
      <c r="F123" s="19"/>
      <c r="G123" s="24"/>
      <c r="H123" s="24"/>
      <c r="I123" s="31"/>
      <c r="J123" s="35"/>
    </row>
    <row r="124" spans="2:10" x14ac:dyDescent="0.25">
      <c r="C124" s="57" t="s">
        <v>14</v>
      </c>
      <c r="D124" s="53"/>
      <c r="E124" s="6"/>
      <c r="F124" s="19"/>
      <c r="G124" s="24" t="s">
        <v>2</v>
      </c>
      <c r="H124" s="24" t="s">
        <v>2</v>
      </c>
      <c r="I124" s="31"/>
      <c r="J124" s="35"/>
    </row>
    <row r="125" spans="2:10" x14ac:dyDescent="0.25">
      <c r="C125" s="56"/>
      <c r="D125" s="53"/>
      <c r="E125" s="6"/>
      <c r="F125" s="19"/>
      <c r="G125" s="24"/>
      <c r="H125" s="24"/>
      <c r="I125" s="31"/>
      <c r="J125" s="35"/>
    </row>
    <row r="126" spans="2:10" x14ac:dyDescent="0.25">
      <c r="C126" s="57" t="s">
        <v>15</v>
      </c>
      <c r="D126" s="53"/>
      <c r="E126" s="6"/>
      <c r="F126" s="19"/>
      <c r="G126" s="24" t="s">
        <v>2</v>
      </c>
      <c r="H126" s="24" t="s">
        <v>2</v>
      </c>
      <c r="I126" s="31"/>
      <c r="J126" s="35"/>
    </row>
    <row r="127" spans="2:10" x14ac:dyDescent="0.25">
      <c r="C127" s="56"/>
      <c r="D127" s="53"/>
      <c r="E127" s="6"/>
      <c r="F127" s="19"/>
      <c r="G127" s="24"/>
      <c r="H127" s="24"/>
      <c r="I127" s="31"/>
      <c r="J127" s="35"/>
    </row>
    <row r="128" spans="2:10" x14ac:dyDescent="0.25">
      <c r="C128" s="57" t="s">
        <v>16</v>
      </c>
      <c r="D128" s="53"/>
      <c r="E128" s="6"/>
      <c r="F128" s="19"/>
      <c r="G128" s="24" t="s">
        <v>2</v>
      </c>
      <c r="H128" s="24" t="s">
        <v>2</v>
      </c>
      <c r="I128" s="31"/>
      <c r="J128" s="35"/>
    </row>
    <row r="129" spans="1:10" x14ac:dyDescent="0.25">
      <c r="C129" s="56"/>
      <c r="D129" s="53"/>
      <c r="E129" s="6"/>
      <c r="F129" s="19"/>
      <c r="G129" s="24"/>
      <c r="H129" s="24"/>
      <c r="I129" s="31"/>
      <c r="J129" s="35"/>
    </row>
    <row r="130" spans="1:10" x14ac:dyDescent="0.25">
      <c r="A130" s="10"/>
      <c r="B130" s="28"/>
      <c r="C130" s="58" t="s">
        <v>17</v>
      </c>
      <c r="D130" s="53"/>
      <c r="E130" s="6"/>
      <c r="F130" s="19"/>
      <c r="G130" s="24"/>
      <c r="H130" s="24"/>
      <c r="I130" s="31"/>
      <c r="J130" s="35"/>
    </row>
    <row r="131" spans="1:10" x14ac:dyDescent="0.25">
      <c r="A131" s="28"/>
      <c r="B131" s="28"/>
      <c r="C131" s="58" t="s">
        <v>18</v>
      </c>
      <c r="D131" s="53"/>
      <c r="E131" s="6"/>
      <c r="F131" s="19"/>
      <c r="G131" s="24" t="s">
        <v>2</v>
      </c>
      <c r="H131" s="24" t="s">
        <v>2</v>
      </c>
      <c r="I131" s="31"/>
      <c r="J131" s="35"/>
    </row>
    <row r="132" spans="1:10" x14ac:dyDescent="0.25">
      <c r="A132" s="28"/>
      <c r="B132" s="28"/>
      <c r="C132" s="58"/>
      <c r="D132" s="53"/>
      <c r="E132" s="6"/>
      <c r="F132" s="19"/>
      <c r="G132" s="24"/>
      <c r="H132" s="24"/>
      <c r="I132" s="31"/>
      <c r="J132" s="35"/>
    </row>
    <row r="133" spans="1:10" x14ac:dyDescent="0.25">
      <c r="A133" s="28"/>
      <c r="B133" s="28"/>
      <c r="C133" s="58" t="s">
        <v>19</v>
      </c>
      <c r="D133" s="53"/>
      <c r="E133" s="6"/>
      <c r="F133" s="19"/>
      <c r="G133" s="24" t="s">
        <v>2</v>
      </c>
      <c r="H133" s="24" t="s">
        <v>2</v>
      </c>
      <c r="I133" s="31"/>
      <c r="J133" s="35"/>
    </row>
    <row r="134" spans="1:10" x14ac:dyDescent="0.25">
      <c r="A134" s="28"/>
      <c r="B134" s="28"/>
      <c r="C134" s="58"/>
      <c r="D134" s="53"/>
      <c r="E134" s="6"/>
      <c r="F134" s="19"/>
      <c r="G134" s="24"/>
      <c r="H134" s="24"/>
      <c r="I134" s="31"/>
      <c r="J134" s="35"/>
    </row>
    <row r="135" spans="1:10" x14ac:dyDescent="0.25">
      <c r="A135" s="28"/>
      <c r="B135" s="28"/>
      <c r="C135" s="58" t="s">
        <v>20</v>
      </c>
      <c r="D135" s="53"/>
      <c r="E135" s="6"/>
      <c r="F135" s="19"/>
      <c r="G135" s="24" t="s">
        <v>2</v>
      </c>
      <c r="H135" s="24" t="s">
        <v>2</v>
      </c>
      <c r="I135" s="31"/>
      <c r="J135" s="35"/>
    </row>
    <row r="136" spans="1:10" x14ac:dyDescent="0.25">
      <c r="A136" s="28"/>
      <c r="B136" s="28"/>
      <c r="C136" s="58"/>
      <c r="D136" s="53"/>
      <c r="E136" s="6"/>
      <c r="F136" s="19"/>
      <c r="G136" s="24"/>
      <c r="H136" s="24"/>
      <c r="I136" s="31"/>
      <c r="J136" s="35"/>
    </row>
    <row r="137" spans="1:10" x14ac:dyDescent="0.25">
      <c r="A137" s="28"/>
      <c r="B137" s="28"/>
      <c r="C137" s="58" t="s">
        <v>21</v>
      </c>
      <c r="D137" s="53"/>
      <c r="E137" s="6"/>
      <c r="F137" s="19"/>
      <c r="G137" s="24" t="s">
        <v>2</v>
      </c>
      <c r="H137" s="24" t="s">
        <v>2</v>
      </c>
      <c r="I137" s="31"/>
      <c r="J137" s="35"/>
    </row>
    <row r="138" spans="1:10" x14ac:dyDescent="0.25">
      <c r="A138" s="28"/>
      <c r="B138" s="28"/>
      <c r="C138" s="58"/>
      <c r="D138" s="53"/>
      <c r="E138" s="6"/>
      <c r="F138" s="19"/>
      <c r="G138" s="24"/>
      <c r="H138" s="24"/>
      <c r="I138" s="31"/>
      <c r="J138" s="35"/>
    </row>
    <row r="139" spans="1:10" x14ac:dyDescent="0.25">
      <c r="C139" s="59" t="s">
        <v>22</v>
      </c>
      <c r="D139" s="53"/>
      <c r="E139" s="6"/>
      <c r="F139" s="19"/>
      <c r="G139" s="24"/>
      <c r="H139" s="24"/>
      <c r="I139" s="31"/>
      <c r="J139" s="35"/>
    </row>
    <row r="140" spans="1:10" x14ac:dyDescent="0.25">
      <c r="B140" s="8" t="s">
        <v>33</v>
      </c>
      <c r="C140" s="56" t="s">
        <v>34</v>
      </c>
      <c r="D140" s="53"/>
      <c r="E140" s="6"/>
      <c r="F140" s="19"/>
      <c r="G140" s="24">
        <v>32233.79</v>
      </c>
      <c r="H140" s="24">
        <v>3.6</v>
      </c>
      <c r="I140" s="31"/>
      <c r="J140" s="35"/>
    </row>
    <row r="141" spans="1:10" x14ac:dyDescent="0.25">
      <c r="C141" s="57" t="s">
        <v>35</v>
      </c>
      <c r="D141" s="53"/>
      <c r="E141" s="6"/>
      <c r="F141" s="19"/>
      <c r="G141" s="25">
        <v>32233.79</v>
      </c>
      <c r="H141" s="25">
        <v>3.6</v>
      </c>
      <c r="I141" s="31"/>
      <c r="J141" s="35"/>
    </row>
    <row r="142" spans="1:10" x14ac:dyDescent="0.25">
      <c r="C142" s="56"/>
      <c r="D142" s="53"/>
      <c r="E142" s="6"/>
      <c r="F142" s="19"/>
      <c r="G142" s="24"/>
      <c r="H142" s="24"/>
      <c r="I142" s="31"/>
      <c r="J142" s="35"/>
    </row>
    <row r="143" spans="1:10" x14ac:dyDescent="0.25">
      <c r="A143" s="10"/>
      <c r="B143" s="28"/>
      <c r="C143" s="58" t="s">
        <v>23</v>
      </c>
      <c r="D143" s="53"/>
      <c r="E143" s="6"/>
      <c r="F143" s="19"/>
      <c r="G143" s="24"/>
      <c r="H143" s="24"/>
      <c r="I143" s="31"/>
      <c r="J143" s="35"/>
    </row>
    <row r="144" spans="1:10" x14ac:dyDescent="0.25">
      <c r="A144" s="28"/>
      <c r="B144" s="28"/>
      <c r="C144" s="60" t="s">
        <v>3398</v>
      </c>
      <c r="D144" s="53"/>
      <c r="E144" s="6"/>
      <c r="F144" s="19"/>
      <c r="G144" s="24" t="s">
        <v>2</v>
      </c>
      <c r="H144" s="24" t="s">
        <v>2</v>
      </c>
      <c r="I144" s="31"/>
      <c r="J144" s="35"/>
    </row>
    <row r="145" spans="2:10" x14ac:dyDescent="0.25">
      <c r="B145" s="8"/>
      <c r="C145" s="56" t="s">
        <v>36</v>
      </c>
      <c r="D145" s="53"/>
      <c r="E145" s="6"/>
      <c r="F145" s="19"/>
      <c r="G145" s="24">
        <v>27390.15</v>
      </c>
      <c r="H145" s="24">
        <v>3.08</v>
      </c>
      <c r="I145" s="31"/>
      <c r="J145" s="35"/>
    </row>
    <row r="146" spans="2:10" x14ac:dyDescent="0.25">
      <c r="C146" s="57" t="s">
        <v>35</v>
      </c>
      <c r="D146" s="53"/>
      <c r="E146" s="6"/>
      <c r="F146" s="19"/>
      <c r="G146" s="25">
        <v>27390.15</v>
      </c>
      <c r="H146" s="25">
        <v>3.08</v>
      </c>
      <c r="I146" s="31"/>
      <c r="J146" s="35"/>
    </row>
    <row r="147" spans="2:10" x14ac:dyDescent="0.25">
      <c r="C147" s="56"/>
      <c r="D147" s="53"/>
      <c r="E147" s="6"/>
      <c r="F147" s="19"/>
      <c r="G147" s="24"/>
      <c r="H147" s="24"/>
      <c r="I147" s="31"/>
      <c r="J147" s="35"/>
    </row>
    <row r="148" spans="2:10" x14ac:dyDescent="0.25">
      <c r="C148" s="61" t="s">
        <v>37</v>
      </c>
      <c r="D148" s="54"/>
      <c r="E148" s="5"/>
      <c r="F148" s="20"/>
      <c r="G148" s="26">
        <v>895323.47</v>
      </c>
      <c r="H148" s="26">
        <f>SUMIFS(H:H,C:C,"Total")</f>
        <v>99.999999999999972</v>
      </c>
      <c r="I148" s="32"/>
      <c r="J148" s="36"/>
    </row>
    <row r="151" spans="2:10" x14ac:dyDescent="0.25">
      <c r="C151" s="1" t="s">
        <v>38</v>
      </c>
    </row>
    <row r="152" spans="2:10" x14ac:dyDescent="0.25">
      <c r="C152" s="2" t="s">
        <v>39</v>
      </c>
    </row>
    <row r="153" spans="2:10" x14ac:dyDescent="0.25">
      <c r="C153" s="2" t="s">
        <v>40</v>
      </c>
    </row>
    <row r="154" spans="2:10" x14ac:dyDescent="0.25">
      <c r="C154" s="2" t="s">
        <v>3430</v>
      </c>
    </row>
  </sheetData>
  <hyperlinks>
    <hyperlink ref="J2" location="'Index'!A1" display="'Index'!A1"/>
  </hyperlinks>
  <pageMargins left="0.7" right="0.7" top="0.75" bottom="0.75" header="0.3" footer="0.3"/>
  <pageSetup orientation="portrait" horizontalDpi="4294967293"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9"/>
  <dimension ref="A1:J8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2199</v>
      </c>
      <c r="J2" s="37" t="s">
        <v>3307</v>
      </c>
    </row>
    <row r="3" spans="1:10" ht="16.5" x14ac:dyDescent="0.3">
      <c r="C3" s="1" t="s">
        <v>24</v>
      </c>
      <c r="D3" s="21" t="s">
        <v>2200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285</v>
      </c>
      <c r="C10" s="56" t="s">
        <v>286</v>
      </c>
      <c r="D10" s="53" t="s">
        <v>287</v>
      </c>
      <c r="E10" s="6" t="s">
        <v>47</v>
      </c>
      <c r="F10" s="19">
        <v>45180</v>
      </c>
      <c r="G10" s="24">
        <v>157.61000000000001</v>
      </c>
      <c r="H10" s="24">
        <v>6.8</v>
      </c>
      <c r="I10" s="31"/>
      <c r="J10" s="35"/>
    </row>
    <row r="11" spans="1:10" x14ac:dyDescent="0.25">
      <c r="B11" s="8" t="s">
        <v>48</v>
      </c>
      <c r="C11" s="56" t="s">
        <v>49</v>
      </c>
      <c r="D11" s="53" t="s">
        <v>50</v>
      </c>
      <c r="E11" s="6" t="s">
        <v>51</v>
      </c>
      <c r="F11" s="19">
        <v>14000</v>
      </c>
      <c r="G11" s="24">
        <v>151</v>
      </c>
      <c r="H11" s="24">
        <v>6.52</v>
      </c>
      <c r="I11" s="31"/>
      <c r="J11" s="35"/>
    </row>
    <row r="12" spans="1:10" x14ac:dyDescent="0.25">
      <c r="B12" s="8" t="s">
        <v>112</v>
      </c>
      <c r="C12" s="56" t="s">
        <v>113</v>
      </c>
      <c r="D12" s="53" t="s">
        <v>114</v>
      </c>
      <c r="E12" s="6" t="s">
        <v>111</v>
      </c>
      <c r="F12" s="19">
        <v>4400</v>
      </c>
      <c r="G12" s="24">
        <v>134.11000000000001</v>
      </c>
      <c r="H12" s="24">
        <v>5.79</v>
      </c>
      <c r="I12" s="31"/>
      <c r="J12" s="35"/>
    </row>
    <row r="13" spans="1:10" x14ac:dyDescent="0.25">
      <c r="B13" s="8" t="s">
        <v>698</v>
      </c>
      <c r="C13" s="56" t="s">
        <v>699</v>
      </c>
      <c r="D13" s="53" t="s">
        <v>700</v>
      </c>
      <c r="E13" s="6" t="s">
        <v>90</v>
      </c>
      <c r="F13" s="19">
        <v>2400</v>
      </c>
      <c r="G13" s="24">
        <v>123.85</v>
      </c>
      <c r="H13" s="24">
        <v>5.34</v>
      </c>
      <c r="I13" s="31"/>
      <c r="J13" s="35"/>
    </row>
    <row r="14" spans="1:10" x14ac:dyDescent="0.25">
      <c r="B14" s="8" t="s">
        <v>229</v>
      </c>
      <c r="C14" s="56" t="s">
        <v>230</v>
      </c>
      <c r="D14" s="53" t="s">
        <v>231</v>
      </c>
      <c r="E14" s="6" t="s">
        <v>94</v>
      </c>
      <c r="F14" s="19">
        <v>10000</v>
      </c>
      <c r="G14" s="24">
        <v>113.21</v>
      </c>
      <c r="H14" s="24">
        <v>4.8899999999999997</v>
      </c>
      <c r="I14" s="31"/>
      <c r="J14" s="35"/>
    </row>
    <row r="15" spans="1:10" x14ac:dyDescent="0.25">
      <c r="B15" s="8" t="s">
        <v>2046</v>
      </c>
      <c r="C15" s="56" t="s">
        <v>2047</v>
      </c>
      <c r="D15" s="53" t="s">
        <v>2048</v>
      </c>
      <c r="E15" s="6" t="s">
        <v>306</v>
      </c>
      <c r="F15" s="19">
        <v>5093</v>
      </c>
      <c r="G15" s="24">
        <v>108.62</v>
      </c>
      <c r="H15" s="24">
        <v>4.6900000000000004</v>
      </c>
      <c r="I15" s="31"/>
      <c r="J15" s="35"/>
    </row>
    <row r="16" spans="1:10" x14ac:dyDescent="0.25">
      <c r="B16" s="8" t="s">
        <v>1351</v>
      </c>
      <c r="C16" s="56" t="s">
        <v>1352</v>
      </c>
      <c r="D16" s="53" t="s">
        <v>1353</v>
      </c>
      <c r="E16" s="6" t="s">
        <v>195</v>
      </c>
      <c r="F16" s="19">
        <v>4000</v>
      </c>
      <c r="G16" s="24">
        <v>106.91</v>
      </c>
      <c r="H16" s="24">
        <v>4.6100000000000003</v>
      </c>
      <c r="I16" s="31"/>
      <c r="J16" s="35"/>
    </row>
    <row r="17" spans="2:10" x14ac:dyDescent="0.25">
      <c r="B17" s="8" t="s">
        <v>206</v>
      </c>
      <c r="C17" s="56" t="s">
        <v>207</v>
      </c>
      <c r="D17" s="53" t="s">
        <v>208</v>
      </c>
      <c r="E17" s="6" t="s">
        <v>41</v>
      </c>
      <c r="F17" s="19">
        <v>7000</v>
      </c>
      <c r="G17" s="24">
        <v>105.48</v>
      </c>
      <c r="H17" s="24">
        <v>4.55</v>
      </c>
      <c r="I17" s="31"/>
      <c r="J17" s="35"/>
    </row>
    <row r="18" spans="2:10" x14ac:dyDescent="0.25">
      <c r="B18" s="8" t="s">
        <v>1530</v>
      </c>
      <c r="C18" s="56" t="s">
        <v>1531</v>
      </c>
      <c r="D18" s="53" t="s">
        <v>1532</v>
      </c>
      <c r="E18" s="6" t="s">
        <v>195</v>
      </c>
      <c r="F18" s="19">
        <v>13000</v>
      </c>
      <c r="G18" s="24">
        <v>103.65</v>
      </c>
      <c r="H18" s="24">
        <v>4.47</v>
      </c>
      <c r="I18" s="31"/>
      <c r="J18" s="35"/>
    </row>
    <row r="19" spans="2:10" x14ac:dyDescent="0.25">
      <c r="B19" s="8" t="s">
        <v>2018</v>
      </c>
      <c r="C19" s="56" t="s">
        <v>2019</v>
      </c>
      <c r="D19" s="53" t="s">
        <v>2020</v>
      </c>
      <c r="E19" s="6" t="s">
        <v>157</v>
      </c>
      <c r="F19" s="19">
        <v>29000</v>
      </c>
      <c r="G19" s="24">
        <v>93.22</v>
      </c>
      <c r="H19" s="24">
        <v>4.0199999999999996</v>
      </c>
      <c r="I19" s="31"/>
      <c r="J19" s="35"/>
    </row>
    <row r="20" spans="2:10" x14ac:dyDescent="0.25">
      <c r="B20" s="8" t="s">
        <v>415</v>
      </c>
      <c r="C20" s="56" t="s">
        <v>416</v>
      </c>
      <c r="D20" s="53" t="s">
        <v>417</v>
      </c>
      <c r="E20" s="6" t="s">
        <v>90</v>
      </c>
      <c r="F20" s="19">
        <v>900</v>
      </c>
      <c r="G20" s="24">
        <v>89.52</v>
      </c>
      <c r="H20" s="24">
        <v>3.86</v>
      </c>
      <c r="I20" s="31"/>
      <c r="J20" s="35"/>
    </row>
    <row r="21" spans="2:10" x14ac:dyDescent="0.25">
      <c r="B21" s="8" t="s">
        <v>2021</v>
      </c>
      <c r="C21" s="56" t="s">
        <v>2022</v>
      </c>
      <c r="D21" s="53" t="s">
        <v>2023</v>
      </c>
      <c r="E21" s="6" t="s">
        <v>153</v>
      </c>
      <c r="F21" s="19">
        <v>7000</v>
      </c>
      <c r="G21" s="24">
        <v>86.46</v>
      </c>
      <c r="H21" s="24">
        <v>3.73</v>
      </c>
      <c r="I21" s="31"/>
      <c r="J21" s="35"/>
    </row>
    <row r="22" spans="2:10" x14ac:dyDescent="0.25">
      <c r="B22" s="8" t="s">
        <v>65</v>
      </c>
      <c r="C22" s="56" t="s">
        <v>66</v>
      </c>
      <c r="D22" s="53" t="s">
        <v>67</v>
      </c>
      <c r="E22" s="6" t="s">
        <v>68</v>
      </c>
      <c r="F22" s="19">
        <v>20000</v>
      </c>
      <c r="G22" s="24">
        <v>84.19</v>
      </c>
      <c r="H22" s="24">
        <v>3.63</v>
      </c>
      <c r="I22" s="31"/>
      <c r="J22" s="35"/>
    </row>
    <row r="23" spans="2:10" x14ac:dyDescent="0.25">
      <c r="B23" s="8" t="s">
        <v>225</v>
      </c>
      <c r="C23" s="56" t="s">
        <v>226</v>
      </c>
      <c r="D23" s="53" t="s">
        <v>227</v>
      </c>
      <c r="E23" s="6" t="s">
        <v>228</v>
      </c>
      <c r="F23" s="19">
        <v>4000</v>
      </c>
      <c r="G23" s="24">
        <v>78.86</v>
      </c>
      <c r="H23" s="24">
        <v>3.4</v>
      </c>
      <c r="I23" s="31"/>
      <c r="J23" s="35"/>
    </row>
    <row r="24" spans="2:10" x14ac:dyDescent="0.25">
      <c r="B24" s="8" t="s">
        <v>262</v>
      </c>
      <c r="C24" s="56" t="s">
        <v>263</v>
      </c>
      <c r="D24" s="53" t="s">
        <v>264</v>
      </c>
      <c r="E24" s="6" t="s">
        <v>194</v>
      </c>
      <c r="F24" s="19">
        <v>40000</v>
      </c>
      <c r="G24" s="24">
        <v>77.180000000000007</v>
      </c>
      <c r="H24" s="24">
        <v>3.33</v>
      </c>
      <c r="I24" s="31"/>
      <c r="J24" s="35"/>
    </row>
    <row r="25" spans="2:10" x14ac:dyDescent="0.25">
      <c r="B25" s="8" t="s">
        <v>2024</v>
      </c>
      <c r="C25" s="56" t="s">
        <v>2025</v>
      </c>
      <c r="D25" s="53" t="s">
        <v>2026</v>
      </c>
      <c r="E25" s="6" t="s">
        <v>79</v>
      </c>
      <c r="F25" s="19">
        <v>37940</v>
      </c>
      <c r="G25" s="24">
        <v>76.47</v>
      </c>
      <c r="H25" s="24">
        <v>3.3</v>
      </c>
      <c r="I25" s="31"/>
      <c r="J25" s="35"/>
    </row>
    <row r="26" spans="2:10" x14ac:dyDescent="0.25">
      <c r="B26" s="8" t="s">
        <v>91</v>
      </c>
      <c r="C26" s="56" t="s">
        <v>92</v>
      </c>
      <c r="D26" s="53" t="s">
        <v>93</v>
      </c>
      <c r="E26" s="6" t="s">
        <v>94</v>
      </c>
      <c r="F26" s="19">
        <v>2300</v>
      </c>
      <c r="G26" s="24">
        <v>75.41</v>
      </c>
      <c r="H26" s="24">
        <v>3.25</v>
      </c>
      <c r="I26" s="31"/>
      <c r="J26" s="35"/>
    </row>
    <row r="27" spans="2:10" x14ac:dyDescent="0.25">
      <c r="B27" s="8" t="s">
        <v>802</v>
      </c>
      <c r="C27" s="56" t="s">
        <v>803</v>
      </c>
      <c r="D27" s="53" t="s">
        <v>804</v>
      </c>
      <c r="E27" s="6" t="s">
        <v>195</v>
      </c>
      <c r="F27" s="19">
        <v>11000</v>
      </c>
      <c r="G27" s="24">
        <v>73.8</v>
      </c>
      <c r="H27" s="24">
        <v>3.18</v>
      </c>
      <c r="I27" s="31"/>
      <c r="J27" s="35"/>
    </row>
    <row r="28" spans="2:10" x14ac:dyDescent="0.25">
      <c r="B28" s="8" t="s">
        <v>164</v>
      </c>
      <c r="C28" s="56" t="s">
        <v>165</v>
      </c>
      <c r="D28" s="53" t="s">
        <v>166</v>
      </c>
      <c r="E28" s="6" t="s">
        <v>51</v>
      </c>
      <c r="F28" s="19">
        <v>35000</v>
      </c>
      <c r="G28" s="24">
        <v>64.89</v>
      </c>
      <c r="H28" s="24">
        <v>2.8</v>
      </c>
      <c r="I28" s="31"/>
      <c r="J28" s="35"/>
    </row>
    <row r="29" spans="2:10" x14ac:dyDescent="0.25">
      <c r="B29" s="8" t="s">
        <v>2015</v>
      </c>
      <c r="C29" s="56" t="s">
        <v>2016</v>
      </c>
      <c r="D29" s="53" t="s">
        <v>2017</v>
      </c>
      <c r="E29" s="6" t="s">
        <v>196</v>
      </c>
      <c r="F29" s="19">
        <v>20000</v>
      </c>
      <c r="G29" s="24">
        <v>62.69</v>
      </c>
      <c r="H29" s="24">
        <v>2.71</v>
      </c>
      <c r="I29" s="31"/>
      <c r="J29" s="35"/>
    </row>
    <row r="30" spans="2:10" x14ac:dyDescent="0.25">
      <c r="B30" s="8" t="s">
        <v>307</v>
      </c>
      <c r="C30" s="56" t="s">
        <v>308</v>
      </c>
      <c r="D30" s="53" t="s">
        <v>309</v>
      </c>
      <c r="E30" s="6" t="s">
        <v>90</v>
      </c>
      <c r="F30" s="19">
        <v>7700</v>
      </c>
      <c r="G30" s="24">
        <v>60.06</v>
      </c>
      <c r="H30" s="24">
        <v>2.59</v>
      </c>
      <c r="I30" s="31"/>
      <c r="J30" s="35"/>
    </row>
    <row r="31" spans="2:10" x14ac:dyDescent="0.25">
      <c r="B31" s="8" t="s">
        <v>171</v>
      </c>
      <c r="C31" s="56" t="s">
        <v>172</v>
      </c>
      <c r="D31" s="53" t="s">
        <v>173</v>
      </c>
      <c r="E31" s="6" t="s">
        <v>55</v>
      </c>
      <c r="F31" s="19">
        <v>17000</v>
      </c>
      <c r="G31" s="24">
        <v>60.02</v>
      </c>
      <c r="H31" s="24">
        <v>2.59</v>
      </c>
      <c r="I31" s="31"/>
      <c r="J31" s="35"/>
    </row>
    <row r="32" spans="2:10" x14ac:dyDescent="0.25">
      <c r="B32" s="8" t="s">
        <v>180</v>
      </c>
      <c r="C32" s="56" t="s">
        <v>53</v>
      </c>
      <c r="D32" s="53" t="s">
        <v>181</v>
      </c>
      <c r="E32" s="6" t="s">
        <v>55</v>
      </c>
      <c r="F32" s="19">
        <v>3700</v>
      </c>
      <c r="G32" s="24">
        <v>49.71</v>
      </c>
      <c r="H32" s="24">
        <v>2.15</v>
      </c>
      <c r="I32" s="31"/>
      <c r="J32" s="35" t="s">
        <v>182</v>
      </c>
    </row>
    <row r="33" spans="2:10" x14ac:dyDescent="0.25">
      <c r="B33" s="8" t="s">
        <v>251</v>
      </c>
      <c r="C33" s="56" t="s">
        <v>252</v>
      </c>
      <c r="D33" s="53" t="s">
        <v>253</v>
      </c>
      <c r="E33" s="6" t="s">
        <v>254</v>
      </c>
      <c r="F33" s="19">
        <v>59000</v>
      </c>
      <c r="G33" s="24">
        <v>40.47</v>
      </c>
      <c r="H33" s="24">
        <v>1.75</v>
      </c>
      <c r="I33" s="31"/>
      <c r="J33" s="35"/>
    </row>
    <row r="34" spans="2:10" x14ac:dyDescent="0.25">
      <c r="B34" s="8" t="s">
        <v>282</v>
      </c>
      <c r="C34" s="56" t="s">
        <v>283</v>
      </c>
      <c r="D34" s="53" t="s">
        <v>284</v>
      </c>
      <c r="E34" s="6" t="s">
        <v>254</v>
      </c>
      <c r="F34" s="19">
        <v>2623</v>
      </c>
      <c r="G34" s="24">
        <v>22.54</v>
      </c>
      <c r="H34" s="24">
        <v>0.97</v>
      </c>
      <c r="I34" s="31"/>
      <c r="J34" s="35"/>
    </row>
    <row r="35" spans="2:10" x14ac:dyDescent="0.25">
      <c r="B35" s="8" t="s">
        <v>1360</v>
      </c>
      <c r="C35" s="56" t="s">
        <v>1361</v>
      </c>
      <c r="D35" s="53" t="s">
        <v>1362</v>
      </c>
      <c r="E35" s="6" t="s">
        <v>83</v>
      </c>
      <c r="F35" s="19">
        <v>700</v>
      </c>
      <c r="G35" s="24">
        <v>4.49</v>
      </c>
      <c r="H35" s="24">
        <v>0.19</v>
      </c>
      <c r="I35" s="31"/>
      <c r="J35" s="35"/>
    </row>
    <row r="36" spans="2:10" x14ac:dyDescent="0.25">
      <c r="B36" s="8" t="s">
        <v>59</v>
      </c>
      <c r="C36" s="56" t="s">
        <v>60</v>
      </c>
      <c r="D36" s="53" t="s">
        <v>61</v>
      </c>
      <c r="E36" s="6" t="s">
        <v>51</v>
      </c>
      <c r="F36" s="19">
        <v>100</v>
      </c>
      <c r="G36" s="24">
        <v>1.27</v>
      </c>
      <c r="H36" s="24">
        <v>0.05</v>
      </c>
      <c r="I36" s="31"/>
      <c r="J36" s="35"/>
    </row>
    <row r="37" spans="2:10" x14ac:dyDescent="0.25">
      <c r="C37" s="57" t="s">
        <v>35</v>
      </c>
      <c r="D37" s="53"/>
      <c r="E37" s="6"/>
      <c r="F37" s="19"/>
      <c r="G37" s="25">
        <v>2205.69</v>
      </c>
      <c r="H37" s="25">
        <v>95.16</v>
      </c>
      <c r="I37" s="31"/>
      <c r="J37" s="35"/>
    </row>
    <row r="38" spans="2:10" x14ac:dyDescent="0.25">
      <c r="C38" s="56"/>
      <c r="D38" s="53"/>
      <c r="E38" s="6"/>
      <c r="F38" s="19"/>
      <c r="G38" s="24"/>
      <c r="H38" s="24"/>
      <c r="I38" s="31"/>
      <c r="J38" s="35"/>
    </row>
    <row r="39" spans="2:10" x14ac:dyDescent="0.25">
      <c r="C39" s="57" t="s">
        <v>3</v>
      </c>
      <c r="D39" s="53"/>
      <c r="E39" s="6"/>
      <c r="F39" s="19"/>
      <c r="G39" s="24" t="s">
        <v>2</v>
      </c>
      <c r="H39" s="24" t="s">
        <v>2</v>
      </c>
      <c r="I39" s="31"/>
      <c r="J39" s="35"/>
    </row>
    <row r="40" spans="2:10" x14ac:dyDescent="0.25">
      <c r="C40" s="56"/>
      <c r="D40" s="53"/>
      <c r="E40" s="6"/>
      <c r="F40" s="19"/>
      <c r="G40" s="24"/>
      <c r="H40" s="24"/>
      <c r="I40" s="31"/>
      <c r="J40" s="35"/>
    </row>
    <row r="41" spans="2:10" x14ac:dyDescent="0.25">
      <c r="C41" s="57" t="s">
        <v>4</v>
      </c>
      <c r="D41" s="53"/>
      <c r="E41" s="6"/>
      <c r="F41" s="19"/>
      <c r="G41" s="24" t="s">
        <v>2</v>
      </c>
      <c r="H41" s="24" t="s">
        <v>2</v>
      </c>
      <c r="I41" s="31"/>
      <c r="J41" s="35"/>
    </row>
    <row r="42" spans="2:10" x14ac:dyDescent="0.25">
      <c r="C42" s="56"/>
      <c r="D42" s="53"/>
      <c r="E42" s="6"/>
      <c r="F42" s="19"/>
      <c r="G42" s="24"/>
      <c r="H42" s="24"/>
      <c r="I42" s="31"/>
      <c r="J42" s="35"/>
    </row>
    <row r="43" spans="2:10" x14ac:dyDescent="0.25">
      <c r="C43" s="57" t="s">
        <v>5</v>
      </c>
      <c r="D43" s="53"/>
      <c r="E43" s="6"/>
      <c r="F43" s="19"/>
      <c r="G43" s="24"/>
      <c r="H43" s="24"/>
      <c r="I43" s="31"/>
      <c r="J43" s="35"/>
    </row>
    <row r="44" spans="2:10" x14ac:dyDescent="0.25">
      <c r="C44" s="56"/>
      <c r="D44" s="53"/>
      <c r="E44" s="6"/>
      <c r="F44" s="19"/>
      <c r="G44" s="24"/>
      <c r="H44" s="24"/>
      <c r="I44" s="31"/>
      <c r="J44" s="35"/>
    </row>
    <row r="45" spans="2:10" x14ac:dyDescent="0.25">
      <c r="C45" s="57" t="s">
        <v>6</v>
      </c>
      <c r="D45" s="53"/>
      <c r="E45" s="6"/>
      <c r="F45" s="19"/>
      <c r="G45" s="24" t="s">
        <v>2</v>
      </c>
      <c r="H45" s="24" t="s">
        <v>2</v>
      </c>
      <c r="I45" s="31"/>
      <c r="J45" s="35"/>
    </row>
    <row r="46" spans="2:10" x14ac:dyDescent="0.25">
      <c r="C46" s="56"/>
      <c r="D46" s="53"/>
      <c r="E46" s="6"/>
      <c r="F46" s="19"/>
      <c r="G46" s="24"/>
      <c r="H46" s="24"/>
      <c r="I46" s="31"/>
      <c r="J46" s="35"/>
    </row>
    <row r="47" spans="2:10" x14ac:dyDescent="0.25">
      <c r="C47" s="57" t="s">
        <v>7</v>
      </c>
      <c r="D47" s="53"/>
      <c r="E47" s="6"/>
      <c r="F47" s="19"/>
      <c r="G47" s="24" t="s">
        <v>2</v>
      </c>
      <c r="H47" s="24" t="s">
        <v>2</v>
      </c>
      <c r="I47" s="31"/>
      <c r="J47" s="35"/>
    </row>
    <row r="48" spans="2:10" x14ac:dyDescent="0.25">
      <c r="C48" s="56"/>
      <c r="D48" s="53"/>
      <c r="E48" s="6"/>
      <c r="F48" s="19"/>
      <c r="G48" s="24"/>
      <c r="H48" s="24"/>
      <c r="I48" s="31"/>
      <c r="J48" s="35"/>
    </row>
    <row r="49" spans="3:10" x14ac:dyDescent="0.25">
      <c r="C49" s="57" t="s">
        <v>8</v>
      </c>
      <c r="D49" s="53"/>
      <c r="E49" s="6"/>
      <c r="F49" s="19"/>
      <c r="G49" s="24" t="s">
        <v>2</v>
      </c>
      <c r="H49" s="24" t="s">
        <v>2</v>
      </c>
      <c r="I49" s="31"/>
      <c r="J49" s="35"/>
    </row>
    <row r="50" spans="3:10" x14ac:dyDescent="0.25">
      <c r="C50" s="56"/>
      <c r="D50" s="53"/>
      <c r="E50" s="6"/>
      <c r="F50" s="19"/>
      <c r="G50" s="24"/>
      <c r="H50" s="24"/>
      <c r="I50" s="31"/>
      <c r="J50" s="35"/>
    </row>
    <row r="51" spans="3:10" x14ac:dyDescent="0.25">
      <c r="C51" s="57" t="s">
        <v>9</v>
      </c>
      <c r="D51" s="53"/>
      <c r="E51" s="6"/>
      <c r="F51" s="19"/>
      <c r="G51" s="24" t="s">
        <v>2</v>
      </c>
      <c r="H51" s="24" t="s">
        <v>2</v>
      </c>
      <c r="I51" s="31"/>
      <c r="J51" s="35"/>
    </row>
    <row r="52" spans="3:10" x14ac:dyDescent="0.25">
      <c r="C52" s="56"/>
      <c r="D52" s="53"/>
      <c r="E52" s="6"/>
      <c r="F52" s="19"/>
      <c r="G52" s="24"/>
      <c r="H52" s="24"/>
      <c r="I52" s="31"/>
      <c r="J52" s="35"/>
    </row>
    <row r="53" spans="3:10" x14ac:dyDescent="0.25">
      <c r="C53" s="57" t="s">
        <v>10</v>
      </c>
      <c r="D53" s="53"/>
      <c r="E53" s="6"/>
      <c r="F53" s="19"/>
      <c r="G53" s="24" t="s">
        <v>2</v>
      </c>
      <c r="H53" s="24" t="s">
        <v>2</v>
      </c>
      <c r="I53" s="31"/>
      <c r="J53" s="35"/>
    </row>
    <row r="54" spans="3:10" x14ac:dyDescent="0.25">
      <c r="C54" s="56"/>
      <c r="D54" s="53"/>
      <c r="E54" s="6"/>
      <c r="F54" s="19"/>
      <c r="G54" s="24"/>
      <c r="H54" s="24"/>
      <c r="I54" s="31"/>
      <c r="J54" s="35"/>
    </row>
    <row r="55" spans="3:10" x14ac:dyDescent="0.25">
      <c r="C55" s="57" t="s">
        <v>11</v>
      </c>
      <c r="D55" s="53"/>
      <c r="E55" s="6"/>
      <c r="F55" s="19"/>
      <c r="G55" s="24"/>
      <c r="H55" s="24"/>
      <c r="I55" s="31"/>
      <c r="J55" s="35"/>
    </row>
    <row r="56" spans="3:10" x14ac:dyDescent="0.25">
      <c r="C56" s="56"/>
      <c r="D56" s="53"/>
      <c r="E56" s="6"/>
      <c r="F56" s="19"/>
      <c r="G56" s="24"/>
      <c r="H56" s="24"/>
      <c r="I56" s="31"/>
      <c r="J56" s="35"/>
    </row>
    <row r="57" spans="3:10" x14ac:dyDescent="0.25">
      <c r="C57" s="57" t="s">
        <v>13</v>
      </c>
      <c r="D57" s="53"/>
      <c r="E57" s="6"/>
      <c r="F57" s="19"/>
      <c r="G57" s="24" t="s">
        <v>2</v>
      </c>
      <c r="H57" s="24" t="s">
        <v>2</v>
      </c>
      <c r="I57" s="31"/>
      <c r="J57" s="35"/>
    </row>
    <row r="58" spans="3:10" x14ac:dyDescent="0.25">
      <c r="C58" s="56"/>
      <c r="D58" s="53"/>
      <c r="E58" s="6"/>
      <c r="F58" s="19"/>
      <c r="G58" s="24"/>
      <c r="H58" s="24"/>
      <c r="I58" s="31"/>
      <c r="J58" s="35"/>
    </row>
    <row r="59" spans="3:10" x14ac:dyDescent="0.25">
      <c r="C59" s="57" t="s">
        <v>14</v>
      </c>
      <c r="D59" s="53"/>
      <c r="E59" s="6"/>
      <c r="F59" s="19"/>
      <c r="G59" s="24" t="s">
        <v>2</v>
      </c>
      <c r="H59" s="24" t="s">
        <v>2</v>
      </c>
      <c r="I59" s="31"/>
      <c r="J59" s="35"/>
    </row>
    <row r="60" spans="3:10" x14ac:dyDescent="0.25">
      <c r="C60" s="56"/>
      <c r="D60" s="53"/>
      <c r="E60" s="6"/>
      <c r="F60" s="19"/>
      <c r="G60" s="24"/>
      <c r="H60" s="24"/>
      <c r="I60" s="31"/>
      <c r="J60" s="35"/>
    </row>
    <row r="61" spans="3:10" x14ac:dyDescent="0.25">
      <c r="C61" s="57" t="s">
        <v>15</v>
      </c>
      <c r="D61" s="53"/>
      <c r="E61" s="6"/>
      <c r="F61" s="19"/>
      <c r="G61" s="24" t="s">
        <v>2</v>
      </c>
      <c r="H61" s="24" t="s">
        <v>2</v>
      </c>
      <c r="I61" s="31"/>
      <c r="J61" s="35"/>
    </row>
    <row r="62" spans="3:10" x14ac:dyDescent="0.25">
      <c r="C62" s="56"/>
      <c r="D62" s="53"/>
      <c r="E62" s="6"/>
      <c r="F62" s="19"/>
      <c r="G62" s="24"/>
      <c r="H62" s="24"/>
      <c r="I62" s="31"/>
      <c r="J62" s="35"/>
    </row>
    <row r="63" spans="3:10" x14ac:dyDescent="0.25">
      <c r="C63" s="57" t="s">
        <v>16</v>
      </c>
      <c r="D63" s="53"/>
      <c r="E63" s="6"/>
      <c r="F63" s="19"/>
      <c r="G63" s="24" t="s">
        <v>2</v>
      </c>
      <c r="H63" s="24" t="s">
        <v>2</v>
      </c>
      <c r="I63" s="31"/>
      <c r="J63" s="35"/>
    </row>
    <row r="64" spans="3:10" x14ac:dyDescent="0.25">
      <c r="C64" s="56"/>
      <c r="D64" s="53"/>
      <c r="E64" s="6"/>
      <c r="F64" s="19"/>
      <c r="G64" s="24"/>
      <c r="H64" s="24"/>
      <c r="I64" s="31"/>
      <c r="J64" s="35"/>
    </row>
    <row r="65" spans="1:10" x14ac:dyDescent="0.25">
      <c r="A65" s="10"/>
      <c r="B65" s="28"/>
      <c r="C65" s="58" t="s">
        <v>17</v>
      </c>
      <c r="D65" s="53"/>
      <c r="E65" s="6"/>
      <c r="F65" s="19"/>
      <c r="G65" s="24"/>
      <c r="H65" s="24"/>
      <c r="I65" s="31"/>
      <c r="J65" s="35"/>
    </row>
    <row r="66" spans="1:10" x14ac:dyDescent="0.25">
      <c r="A66" s="28"/>
      <c r="B66" s="28"/>
      <c r="C66" s="58" t="s">
        <v>18</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19</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A70" s="28"/>
      <c r="B70" s="28"/>
      <c r="C70" s="58" t="s">
        <v>20</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21</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C74" s="59" t="s">
        <v>22</v>
      </c>
      <c r="D74" s="53"/>
      <c r="E74" s="6"/>
      <c r="F74" s="19"/>
      <c r="G74" s="24"/>
      <c r="H74" s="24"/>
      <c r="I74" s="31"/>
      <c r="J74" s="35"/>
    </row>
    <row r="75" spans="1:10" x14ac:dyDescent="0.25">
      <c r="B75" s="8" t="s">
        <v>33</v>
      </c>
      <c r="C75" s="56" t="s">
        <v>34</v>
      </c>
      <c r="D75" s="53"/>
      <c r="E75" s="6"/>
      <c r="F75" s="19"/>
      <c r="G75" s="24">
        <v>117.93</v>
      </c>
      <c r="H75" s="24">
        <v>5.09</v>
      </c>
      <c r="I75" s="31"/>
      <c r="J75" s="35"/>
    </row>
    <row r="76" spans="1:10" x14ac:dyDescent="0.25">
      <c r="C76" s="57" t="s">
        <v>35</v>
      </c>
      <c r="D76" s="53"/>
      <c r="E76" s="6"/>
      <c r="F76" s="19"/>
      <c r="G76" s="25">
        <v>117.93</v>
      </c>
      <c r="H76" s="25">
        <v>5.09</v>
      </c>
      <c r="I76" s="31"/>
      <c r="J76" s="35"/>
    </row>
    <row r="77" spans="1:10" x14ac:dyDescent="0.25">
      <c r="C77" s="56"/>
      <c r="D77" s="53"/>
      <c r="E77" s="6"/>
      <c r="F77" s="19"/>
      <c r="G77" s="24"/>
      <c r="H77" s="24"/>
      <c r="I77" s="31"/>
      <c r="J77" s="35"/>
    </row>
    <row r="78" spans="1:10" x14ac:dyDescent="0.25">
      <c r="A78" s="10"/>
      <c r="B78" s="28"/>
      <c r="C78" s="58" t="s">
        <v>23</v>
      </c>
      <c r="D78" s="53"/>
      <c r="E78" s="6"/>
      <c r="F78" s="19"/>
      <c r="G78" s="24"/>
      <c r="H78" s="24"/>
      <c r="I78" s="31"/>
      <c r="J78" s="35"/>
    </row>
    <row r="79" spans="1:10" x14ac:dyDescent="0.25">
      <c r="A79" s="28"/>
      <c r="B79" s="28"/>
      <c r="C79" s="60" t="s">
        <v>3398</v>
      </c>
      <c r="D79" s="53"/>
      <c r="E79" s="6"/>
      <c r="F79" s="19"/>
      <c r="G79" s="24" t="s">
        <v>2</v>
      </c>
      <c r="H79" s="24" t="s">
        <v>2</v>
      </c>
      <c r="I79" s="31"/>
      <c r="J79" s="35"/>
    </row>
    <row r="80" spans="1:10" x14ac:dyDescent="0.25">
      <c r="B80" s="8"/>
      <c r="C80" s="56" t="s">
        <v>36</v>
      </c>
      <c r="D80" s="53"/>
      <c r="E80" s="6"/>
      <c r="F80" s="19"/>
      <c r="G80" s="24">
        <v>-6.22</v>
      </c>
      <c r="H80" s="24">
        <v>-0.25</v>
      </c>
      <c r="I80" s="31"/>
      <c r="J80" s="35"/>
    </row>
    <row r="81" spans="3:10" x14ac:dyDescent="0.25">
      <c r="C81" s="57" t="s">
        <v>35</v>
      </c>
      <c r="D81" s="53"/>
      <c r="E81" s="6"/>
      <c r="F81" s="19"/>
      <c r="G81" s="25">
        <v>-6.22</v>
      </c>
      <c r="H81" s="25">
        <v>-0.25</v>
      </c>
      <c r="I81" s="31"/>
      <c r="J81" s="35"/>
    </row>
    <row r="82" spans="3:10" x14ac:dyDescent="0.25">
      <c r="C82" s="56"/>
      <c r="D82" s="53"/>
      <c r="E82" s="6"/>
      <c r="F82" s="19"/>
      <c r="G82" s="24"/>
      <c r="H82" s="24"/>
      <c r="I82" s="31"/>
      <c r="J82" s="35"/>
    </row>
    <row r="83" spans="3:10" x14ac:dyDescent="0.25">
      <c r="C83" s="61" t="s">
        <v>37</v>
      </c>
      <c r="D83" s="54"/>
      <c r="E83" s="5"/>
      <c r="F83" s="20"/>
      <c r="G83" s="26">
        <v>2317.4</v>
      </c>
      <c r="H83" s="26">
        <f>SUMIFS(H:H,C:C,"Total")</f>
        <v>100</v>
      </c>
      <c r="I83" s="32"/>
      <c r="J83" s="36"/>
    </row>
    <row r="86" spans="3:10" x14ac:dyDescent="0.25">
      <c r="C86" s="1" t="s">
        <v>38</v>
      </c>
    </row>
    <row r="87" spans="3:10" x14ac:dyDescent="0.25">
      <c r="C87" s="2" t="s">
        <v>39</v>
      </c>
    </row>
    <row r="88" spans="3:10" x14ac:dyDescent="0.25">
      <c r="C88" s="2" t="s">
        <v>40</v>
      </c>
    </row>
    <row r="89" spans="3:10" x14ac:dyDescent="0.25">
      <c r="C89" s="2" t="s">
        <v>3430</v>
      </c>
    </row>
  </sheetData>
  <hyperlinks>
    <hyperlink ref="J2" location="'Index'!A1" display="'Index'!A1"/>
  </hyperlinks>
  <pageMargins left="0.7" right="0.7" top="0.75" bottom="0.75" header="0.3" footer="0.3"/>
  <pageSetup orientation="portrait" horizontalDpi="4294967293"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0"/>
  <dimension ref="A1:J9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2201</v>
      </c>
      <c r="J2" s="37" t="s">
        <v>3307</v>
      </c>
    </row>
    <row r="3" spans="1:10" ht="16.5" x14ac:dyDescent="0.3">
      <c r="C3" s="1" t="s">
        <v>24</v>
      </c>
      <c r="D3" s="21" t="s">
        <v>2202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26148</v>
      </c>
      <c r="G10" s="24">
        <v>282.02999999999997</v>
      </c>
      <c r="H10" s="24">
        <v>8.7200000000000006</v>
      </c>
      <c r="I10" s="31"/>
      <c r="J10" s="35"/>
    </row>
    <row r="11" spans="1:10" x14ac:dyDescent="0.25">
      <c r="B11" s="8" t="s">
        <v>52</v>
      </c>
      <c r="C11" s="56" t="s">
        <v>53</v>
      </c>
      <c r="D11" s="53" t="s">
        <v>54</v>
      </c>
      <c r="E11" s="6" t="s">
        <v>55</v>
      </c>
      <c r="F11" s="19">
        <v>9458</v>
      </c>
      <c r="G11" s="24">
        <v>211.32</v>
      </c>
      <c r="H11" s="24">
        <v>6.53</v>
      </c>
      <c r="I11" s="31"/>
      <c r="J11" s="35"/>
    </row>
    <row r="12" spans="1:10" x14ac:dyDescent="0.25">
      <c r="B12" s="8" t="s">
        <v>112</v>
      </c>
      <c r="C12" s="56" t="s">
        <v>113</v>
      </c>
      <c r="D12" s="53" t="s">
        <v>114</v>
      </c>
      <c r="E12" s="6" t="s">
        <v>111</v>
      </c>
      <c r="F12" s="19">
        <v>5850</v>
      </c>
      <c r="G12" s="24">
        <v>178.31</v>
      </c>
      <c r="H12" s="24">
        <v>5.51</v>
      </c>
      <c r="I12" s="31"/>
      <c r="J12" s="35"/>
    </row>
    <row r="13" spans="1:10" x14ac:dyDescent="0.25">
      <c r="B13" s="8" t="s">
        <v>62</v>
      </c>
      <c r="C13" s="56" t="s">
        <v>63</v>
      </c>
      <c r="D13" s="53" t="s">
        <v>64</v>
      </c>
      <c r="E13" s="6" t="s">
        <v>51</v>
      </c>
      <c r="F13" s="19">
        <v>50000</v>
      </c>
      <c r="G13" s="24">
        <v>177.38</v>
      </c>
      <c r="H13" s="24">
        <v>5.48</v>
      </c>
      <c r="I13" s="31"/>
      <c r="J13" s="35"/>
    </row>
    <row r="14" spans="1:10" x14ac:dyDescent="0.25">
      <c r="B14" s="8" t="s">
        <v>1530</v>
      </c>
      <c r="C14" s="56" t="s">
        <v>1531</v>
      </c>
      <c r="D14" s="53" t="s">
        <v>1532</v>
      </c>
      <c r="E14" s="6" t="s">
        <v>195</v>
      </c>
      <c r="F14" s="19">
        <v>17185</v>
      </c>
      <c r="G14" s="24">
        <v>137.02000000000001</v>
      </c>
      <c r="H14" s="24">
        <v>4.24</v>
      </c>
      <c r="I14" s="31"/>
      <c r="J14" s="35"/>
    </row>
    <row r="15" spans="1:10" x14ac:dyDescent="0.25">
      <c r="B15" s="8" t="s">
        <v>56</v>
      </c>
      <c r="C15" s="56" t="s">
        <v>57</v>
      </c>
      <c r="D15" s="53" t="s">
        <v>58</v>
      </c>
      <c r="E15" s="6" t="s">
        <v>47</v>
      </c>
      <c r="F15" s="19">
        <v>5100</v>
      </c>
      <c r="G15" s="24">
        <v>127.11</v>
      </c>
      <c r="H15" s="24">
        <v>3.93</v>
      </c>
      <c r="I15" s="31"/>
      <c r="J15" s="35"/>
    </row>
    <row r="16" spans="1:10" x14ac:dyDescent="0.25">
      <c r="B16" s="8" t="s">
        <v>206</v>
      </c>
      <c r="C16" s="56" t="s">
        <v>207</v>
      </c>
      <c r="D16" s="53" t="s">
        <v>208</v>
      </c>
      <c r="E16" s="6" t="s">
        <v>41</v>
      </c>
      <c r="F16" s="19">
        <v>7480</v>
      </c>
      <c r="G16" s="24">
        <v>112.71</v>
      </c>
      <c r="H16" s="24">
        <v>3.48</v>
      </c>
      <c r="I16" s="31"/>
      <c r="J16" s="35"/>
    </row>
    <row r="17" spans="2:10" x14ac:dyDescent="0.25">
      <c r="B17" s="8" t="s">
        <v>65</v>
      </c>
      <c r="C17" s="56" t="s">
        <v>66</v>
      </c>
      <c r="D17" s="53" t="s">
        <v>67</v>
      </c>
      <c r="E17" s="6" t="s">
        <v>68</v>
      </c>
      <c r="F17" s="19">
        <v>25188</v>
      </c>
      <c r="G17" s="24">
        <v>106.03</v>
      </c>
      <c r="H17" s="24">
        <v>3.28</v>
      </c>
      <c r="I17" s="31"/>
      <c r="J17" s="35"/>
    </row>
    <row r="18" spans="2:10" x14ac:dyDescent="0.25">
      <c r="B18" s="8" t="s">
        <v>164</v>
      </c>
      <c r="C18" s="56" t="s">
        <v>165</v>
      </c>
      <c r="D18" s="53" t="s">
        <v>166</v>
      </c>
      <c r="E18" s="6" t="s">
        <v>51</v>
      </c>
      <c r="F18" s="19">
        <v>49900</v>
      </c>
      <c r="G18" s="24">
        <v>92.51</v>
      </c>
      <c r="H18" s="24">
        <v>2.86</v>
      </c>
      <c r="I18" s="31"/>
      <c r="J18" s="35"/>
    </row>
    <row r="19" spans="2:10" x14ac:dyDescent="0.25">
      <c r="B19" s="8" t="s">
        <v>127</v>
      </c>
      <c r="C19" s="56" t="s">
        <v>128</v>
      </c>
      <c r="D19" s="53" t="s">
        <v>129</v>
      </c>
      <c r="E19" s="6" t="s">
        <v>90</v>
      </c>
      <c r="F19" s="19">
        <v>4302</v>
      </c>
      <c r="G19" s="24">
        <v>88.98</v>
      </c>
      <c r="H19" s="24">
        <v>2.75</v>
      </c>
      <c r="I19" s="31"/>
      <c r="J19" s="35"/>
    </row>
    <row r="20" spans="2:10" x14ac:dyDescent="0.25">
      <c r="B20" s="8" t="s">
        <v>87</v>
      </c>
      <c r="C20" s="56" t="s">
        <v>88</v>
      </c>
      <c r="D20" s="53" t="s">
        <v>89</v>
      </c>
      <c r="E20" s="6" t="s">
        <v>90</v>
      </c>
      <c r="F20" s="19">
        <v>6155</v>
      </c>
      <c r="G20" s="24">
        <v>88.23</v>
      </c>
      <c r="H20" s="24">
        <v>2.73</v>
      </c>
      <c r="I20" s="31"/>
      <c r="J20" s="35"/>
    </row>
    <row r="21" spans="2:10" x14ac:dyDescent="0.25">
      <c r="B21" s="8" t="s">
        <v>424</v>
      </c>
      <c r="C21" s="56" t="s">
        <v>425</v>
      </c>
      <c r="D21" s="53" t="s">
        <v>426</v>
      </c>
      <c r="E21" s="6" t="s">
        <v>83</v>
      </c>
      <c r="F21" s="19">
        <v>1000</v>
      </c>
      <c r="G21" s="24">
        <v>87.62</v>
      </c>
      <c r="H21" s="24">
        <v>2.71</v>
      </c>
      <c r="I21" s="31"/>
      <c r="J21" s="35"/>
    </row>
    <row r="22" spans="2:10" x14ac:dyDescent="0.25">
      <c r="B22" s="8" t="s">
        <v>133</v>
      </c>
      <c r="C22" s="56" t="s">
        <v>134</v>
      </c>
      <c r="D22" s="53" t="s">
        <v>135</v>
      </c>
      <c r="E22" s="6" t="s">
        <v>47</v>
      </c>
      <c r="F22" s="19">
        <v>10000</v>
      </c>
      <c r="G22" s="24">
        <v>81.16</v>
      </c>
      <c r="H22" s="24">
        <v>2.5099999999999998</v>
      </c>
      <c r="I22" s="31"/>
      <c r="J22" s="35"/>
    </row>
    <row r="23" spans="2:10" x14ac:dyDescent="0.25">
      <c r="B23" s="8" t="s">
        <v>1351</v>
      </c>
      <c r="C23" s="56" t="s">
        <v>1352</v>
      </c>
      <c r="D23" s="53" t="s">
        <v>1353</v>
      </c>
      <c r="E23" s="6" t="s">
        <v>195</v>
      </c>
      <c r="F23" s="19">
        <v>2784</v>
      </c>
      <c r="G23" s="24">
        <v>74.41</v>
      </c>
      <c r="H23" s="24">
        <v>2.2999999999999998</v>
      </c>
      <c r="I23" s="31"/>
      <c r="J23" s="35"/>
    </row>
    <row r="24" spans="2:10" x14ac:dyDescent="0.25">
      <c r="B24" s="8" t="s">
        <v>802</v>
      </c>
      <c r="C24" s="56" t="s">
        <v>803</v>
      </c>
      <c r="D24" s="53" t="s">
        <v>804</v>
      </c>
      <c r="E24" s="6" t="s">
        <v>195</v>
      </c>
      <c r="F24" s="19">
        <v>11000</v>
      </c>
      <c r="G24" s="24">
        <v>73.8</v>
      </c>
      <c r="H24" s="24">
        <v>2.2799999999999998</v>
      </c>
      <c r="I24" s="31"/>
      <c r="J24" s="35"/>
    </row>
    <row r="25" spans="2:10" x14ac:dyDescent="0.25">
      <c r="B25" s="8" t="s">
        <v>80</v>
      </c>
      <c r="C25" s="56" t="s">
        <v>81</v>
      </c>
      <c r="D25" s="53" t="s">
        <v>82</v>
      </c>
      <c r="E25" s="6" t="s">
        <v>83</v>
      </c>
      <c r="F25" s="19">
        <v>6100</v>
      </c>
      <c r="G25" s="24">
        <v>73.28</v>
      </c>
      <c r="H25" s="24">
        <v>2.27</v>
      </c>
      <c r="I25" s="31"/>
      <c r="J25" s="35"/>
    </row>
    <row r="26" spans="2:10" x14ac:dyDescent="0.25">
      <c r="B26" s="8" t="s">
        <v>115</v>
      </c>
      <c r="C26" s="56" t="s">
        <v>116</v>
      </c>
      <c r="D26" s="53" t="s">
        <v>117</v>
      </c>
      <c r="E26" s="6" t="s">
        <v>94</v>
      </c>
      <c r="F26" s="19">
        <v>5600</v>
      </c>
      <c r="G26" s="24">
        <v>72.77</v>
      </c>
      <c r="H26" s="24">
        <v>2.25</v>
      </c>
      <c r="I26" s="31"/>
      <c r="J26" s="35"/>
    </row>
    <row r="27" spans="2:10" x14ac:dyDescent="0.25">
      <c r="B27" s="8" t="s">
        <v>460</v>
      </c>
      <c r="C27" s="56" t="s">
        <v>461</v>
      </c>
      <c r="D27" s="53" t="s">
        <v>462</v>
      </c>
      <c r="E27" s="6" t="s">
        <v>51</v>
      </c>
      <c r="F27" s="19">
        <v>30750</v>
      </c>
      <c r="G27" s="24">
        <v>69.599999999999994</v>
      </c>
      <c r="H27" s="24">
        <v>2.15</v>
      </c>
      <c r="I27" s="31"/>
      <c r="J27" s="35"/>
    </row>
    <row r="28" spans="2:10" x14ac:dyDescent="0.25">
      <c r="B28" s="8" t="s">
        <v>2203</v>
      </c>
      <c r="C28" s="56" t="s">
        <v>2204</v>
      </c>
      <c r="D28" s="53" t="s">
        <v>2205</v>
      </c>
      <c r="E28" s="6" t="s">
        <v>83</v>
      </c>
      <c r="F28" s="19">
        <v>26250</v>
      </c>
      <c r="G28" s="24">
        <v>68.239999999999995</v>
      </c>
      <c r="H28" s="24">
        <v>2.11</v>
      </c>
      <c r="I28" s="31"/>
      <c r="J28" s="35"/>
    </row>
    <row r="29" spans="2:10" x14ac:dyDescent="0.25">
      <c r="B29" s="8" t="s">
        <v>171</v>
      </c>
      <c r="C29" s="56" t="s">
        <v>172</v>
      </c>
      <c r="D29" s="53" t="s">
        <v>173</v>
      </c>
      <c r="E29" s="6" t="s">
        <v>55</v>
      </c>
      <c r="F29" s="19">
        <v>19000</v>
      </c>
      <c r="G29" s="24">
        <v>67.08</v>
      </c>
      <c r="H29" s="24">
        <v>2.0699999999999998</v>
      </c>
      <c r="I29" s="31"/>
      <c r="J29" s="35"/>
    </row>
    <row r="30" spans="2:10" x14ac:dyDescent="0.25">
      <c r="B30" s="8" t="s">
        <v>439</v>
      </c>
      <c r="C30" s="56" t="s">
        <v>440</v>
      </c>
      <c r="D30" s="53" t="s">
        <v>441</v>
      </c>
      <c r="E30" s="6" t="s">
        <v>111</v>
      </c>
      <c r="F30" s="19">
        <v>14800</v>
      </c>
      <c r="G30" s="24">
        <v>66.260000000000005</v>
      </c>
      <c r="H30" s="24">
        <v>2.0499999999999998</v>
      </c>
      <c r="I30" s="31"/>
      <c r="J30" s="35"/>
    </row>
    <row r="31" spans="2:10" x14ac:dyDescent="0.25">
      <c r="B31" s="8" t="s">
        <v>1354</v>
      </c>
      <c r="C31" s="56" t="s">
        <v>1355</v>
      </c>
      <c r="D31" s="53" t="s">
        <v>1356</v>
      </c>
      <c r="E31" s="6" t="s">
        <v>826</v>
      </c>
      <c r="F31" s="19">
        <v>29800</v>
      </c>
      <c r="G31" s="24">
        <v>65.75</v>
      </c>
      <c r="H31" s="24">
        <v>2.0299999999999998</v>
      </c>
      <c r="I31" s="31"/>
      <c r="J31" s="35"/>
    </row>
    <row r="32" spans="2:10" x14ac:dyDescent="0.25">
      <c r="B32" s="8" t="s">
        <v>1997</v>
      </c>
      <c r="C32" s="56" t="s">
        <v>1150</v>
      </c>
      <c r="D32" s="53" t="s">
        <v>1998</v>
      </c>
      <c r="E32" s="6" t="s">
        <v>94</v>
      </c>
      <c r="F32" s="19">
        <v>14900</v>
      </c>
      <c r="G32" s="24">
        <v>61.95</v>
      </c>
      <c r="H32" s="24">
        <v>1.91</v>
      </c>
      <c r="I32" s="31"/>
      <c r="J32" s="35"/>
    </row>
    <row r="33" spans="2:10" x14ac:dyDescent="0.25">
      <c r="B33" s="8" t="s">
        <v>436</v>
      </c>
      <c r="C33" s="56" t="s">
        <v>437</v>
      </c>
      <c r="D33" s="53" t="s">
        <v>438</v>
      </c>
      <c r="E33" s="6" t="s">
        <v>111</v>
      </c>
      <c r="F33" s="19">
        <v>3600</v>
      </c>
      <c r="G33" s="24">
        <v>58.09</v>
      </c>
      <c r="H33" s="24">
        <v>1.8</v>
      </c>
      <c r="I33" s="31"/>
      <c r="J33" s="35"/>
    </row>
    <row r="34" spans="2:10" x14ac:dyDescent="0.25">
      <c r="B34" s="8" t="s">
        <v>856</v>
      </c>
      <c r="C34" s="56" t="s">
        <v>857</v>
      </c>
      <c r="D34" s="53" t="s">
        <v>858</v>
      </c>
      <c r="E34" s="6" t="s">
        <v>261</v>
      </c>
      <c r="F34" s="19">
        <v>67400</v>
      </c>
      <c r="G34" s="24">
        <v>57.36</v>
      </c>
      <c r="H34" s="24">
        <v>1.77</v>
      </c>
      <c r="I34" s="31"/>
      <c r="J34" s="35"/>
    </row>
    <row r="35" spans="2:10" x14ac:dyDescent="0.25">
      <c r="B35" s="8" t="s">
        <v>222</v>
      </c>
      <c r="C35" s="56" t="s">
        <v>223</v>
      </c>
      <c r="D35" s="53" t="s">
        <v>224</v>
      </c>
      <c r="E35" s="6" t="s">
        <v>83</v>
      </c>
      <c r="F35" s="19">
        <v>4317</v>
      </c>
      <c r="G35" s="24">
        <v>57.27</v>
      </c>
      <c r="H35" s="24">
        <v>1.77</v>
      </c>
      <c r="I35" s="31"/>
      <c r="J35" s="35"/>
    </row>
    <row r="36" spans="2:10" x14ac:dyDescent="0.25">
      <c r="B36" s="8" t="s">
        <v>209</v>
      </c>
      <c r="C36" s="56" t="s">
        <v>210</v>
      </c>
      <c r="D36" s="53" t="s">
        <v>211</v>
      </c>
      <c r="E36" s="6" t="s">
        <v>83</v>
      </c>
      <c r="F36" s="19">
        <v>8400</v>
      </c>
      <c r="G36" s="24">
        <v>56</v>
      </c>
      <c r="H36" s="24">
        <v>1.73</v>
      </c>
      <c r="I36" s="31"/>
      <c r="J36" s="35"/>
    </row>
    <row r="37" spans="2:10" x14ac:dyDescent="0.25">
      <c r="B37" s="8" t="s">
        <v>339</v>
      </c>
      <c r="C37" s="56" t="s">
        <v>340</v>
      </c>
      <c r="D37" s="53" t="s">
        <v>341</v>
      </c>
      <c r="E37" s="6" t="s">
        <v>261</v>
      </c>
      <c r="F37" s="19">
        <v>17400</v>
      </c>
      <c r="G37" s="24">
        <v>54.52</v>
      </c>
      <c r="H37" s="24">
        <v>1.69</v>
      </c>
      <c r="I37" s="31"/>
      <c r="J37" s="35"/>
    </row>
    <row r="38" spans="2:10" x14ac:dyDescent="0.25">
      <c r="B38" s="8" t="s">
        <v>883</v>
      </c>
      <c r="C38" s="56" t="s">
        <v>884</v>
      </c>
      <c r="D38" s="53" t="s">
        <v>885</v>
      </c>
      <c r="E38" s="6" t="s">
        <v>886</v>
      </c>
      <c r="F38" s="19">
        <v>45350</v>
      </c>
      <c r="G38" s="24">
        <v>52.61</v>
      </c>
      <c r="H38" s="24">
        <v>1.63</v>
      </c>
      <c r="I38" s="31"/>
      <c r="J38" s="35"/>
    </row>
    <row r="39" spans="2:10" x14ac:dyDescent="0.25">
      <c r="B39" s="8" t="s">
        <v>755</v>
      </c>
      <c r="C39" s="56" t="s">
        <v>756</v>
      </c>
      <c r="D39" s="53" t="s">
        <v>757</v>
      </c>
      <c r="E39" s="6" t="s">
        <v>47</v>
      </c>
      <c r="F39" s="19">
        <v>24062</v>
      </c>
      <c r="G39" s="24">
        <v>52.15</v>
      </c>
      <c r="H39" s="24">
        <v>1.61</v>
      </c>
      <c r="I39" s="31"/>
      <c r="J39" s="35"/>
    </row>
    <row r="40" spans="2:10" x14ac:dyDescent="0.25">
      <c r="B40" s="8" t="s">
        <v>59</v>
      </c>
      <c r="C40" s="56" t="s">
        <v>60</v>
      </c>
      <c r="D40" s="53" t="s">
        <v>61</v>
      </c>
      <c r="E40" s="6" t="s">
        <v>51</v>
      </c>
      <c r="F40" s="19">
        <v>3950</v>
      </c>
      <c r="G40" s="24">
        <v>50.09</v>
      </c>
      <c r="H40" s="24">
        <v>1.55</v>
      </c>
      <c r="I40" s="31"/>
      <c r="J40" s="35"/>
    </row>
    <row r="41" spans="2:10" x14ac:dyDescent="0.25">
      <c r="B41" s="8" t="s">
        <v>354</v>
      </c>
      <c r="C41" s="56" t="s">
        <v>355</v>
      </c>
      <c r="D41" s="53" t="s">
        <v>356</v>
      </c>
      <c r="E41" s="6" t="s">
        <v>90</v>
      </c>
      <c r="F41" s="19">
        <v>28000</v>
      </c>
      <c r="G41" s="24">
        <v>48.08</v>
      </c>
      <c r="H41" s="24">
        <v>1.49</v>
      </c>
      <c r="I41" s="31"/>
      <c r="J41" s="35"/>
    </row>
    <row r="42" spans="2:10" x14ac:dyDescent="0.25">
      <c r="B42" s="8" t="s">
        <v>73</v>
      </c>
      <c r="C42" s="56" t="s">
        <v>74</v>
      </c>
      <c r="D42" s="53" t="s">
        <v>75</v>
      </c>
      <c r="E42" s="6" t="s">
        <v>51</v>
      </c>
      <c r="F42" s="19">
        <v>11270</v>
      </c>
      <c r="G42" s="24">
        <v>47.86</v>
      </c>
      <c r="H42" s="24">
        <v>1.48</v>
      </c>
      <c r="I42" s="31"/>
      <c r="J42" s="35"/>
    </row>
    <row r="43" spans="2:10" x14ac:dyDescent="0.25">
      <c r="B43" s="8" t="s">
        <v>406</v>
      </c>
      <c r="C43" s="56" t="s">
        <v>407</v>
      </c>
      <c r="D43" s="53" t="s">
        <v>408</v>
      </c>
      <c r="E43" s="6" t="s">
        <v>90</v>
      </c>
      <c r="F43" s="19">
        <v>291</v>
      </c>
      <c r="G43" s="24">
        <v>46.32</v>
      </c>
      <c r="H43" s="24">
        <v>1.43</v>
      </c>
      <c r="I43" s="31"/>
      <c r="J43" s="35"/>
    </row>
    <row r="44" spans="2:10" x14ac:dyDescent="0.25">
      <c r="B44" s="8" t="s">
        <v>1527</v>
      </c>
      <c r="C44" s="56" t="s">
        <v>1528</v>
      </c>
      <c r="D44" s="53" t="s">
        <v>1529</v>
      </c>
      <c r="E44" s="6" t="s">
        <v>157</v>
      </c>
      <c r="F44" s="19">
        <v>41400</v>
      </c>
      <c r="G44" s="24">
        <v>30.12</v>
      </c>
      <c r="H44" s="24">
        <v>0.93</v>
      </c>
      <c r="I44" s="31"/>
      <c r="J44" s="35"/>
    </row>
    <row r="45" spans="2:10" x14ac:dyDescent="0.25">
      <c r="B45" s="8" t="s">
        <v>180</v>
      </c>
      <c r="C45" s="56" t="s">
        <v>53</v>
      </c>
      <c r="D45" s="53" t="s">
        <v>181</v>
      </c>
      <c r="E45" s="6" t="s">
        <v>55</v>
      </c>
      <c r="F45" s="19">
        <v>630</v>
      </c>
      <c r="G45" s="24">
        <v>8.4600000000000009</v>
      </c>
      <c r="H45" s="24">
        <v>0.26</v>
      </c>
      <c r="I45" s="31"/>
      <c r="J45" s="35" t="s">
        <v>182</v>
      </c>
    </row>
    <row r="46" spans="2:10" x14ac:dyDescent="0.25">
      <c r="C46" s="57" t="s">
        <v>35</v>
      </c>
      <c r="D46" s="53"/>
      <c r="E46" s="6"/>
      <c r="F46" s="19"/>
      <c r="G46" s="25">
        <v>3082.48</v>
      </c>
      <c r="H46" s="25">
        <v>95.29</v>
      </c>
      <c r="I46" s="31"/>
      <c r="J46" s="35"/>
    </row>
    <row r="47" spans="2:10" x14ac:dyDescent="0.25">
      <c r="C47" s="56"/>
      <c r="D47" s="53"/>
      <c r="E47" s="6"/>
      <c r="F47" s="19"/>
      <c r="G47" s="24"/>
      <c r="H47" s="24"/>
      <c r="I47" s="31"/>
      <c r="J47" s="35"/>
    </row>
    <row r="48" spans="2:10" x14ac:dyDescent="0.25">
      <c r="C48" s="57" t="s">
        <v>3</v>
      </c>
      <c r="D48" s="53"/>
      <c r="E48" s="6"/>
      <c r="F48" s="19"/>
      <c r="G48" s="24" t="s">
        <v>2</v>
      </c>
      <c r="H48" s="24" t="s">
        <v>2</v>
      </c>
      <c r="I48" s="31"/>
      <c r="J48" s="35"/>
    </row>
    <row r="49" spans="3:10" x14ac:dyDescent="0.25">
      <c r="C49" s="56"/>
      <c r="D49" s="53"/>
      <c r="E49" s="6"/>
      <c r="F49" s="19"/>
      <c r="G49" s="24"/>
      <c r="H49" s="24"/>
      <c r="I49" s="31"/>
      <c r="J49" s="35"/>
    </row>
    <row r="50" spans="3:10" x14ac:dyDescent="0.25">
      <c r="C50" s="57" t="s">
        <v>4</v>
      </c>
      <c r="D50" s="53"/>
      <c r="E50" s="6"/>
      <c r="F50" s="19"/>
      <c r="G50" s="24" t="s">
        <v>2</v>
      </c>
      <c r="H50" s="24" t="s">
        <v>2</v>
      </c>
      <c r="I50" s="31"/>
      <c r="J50" s="35"/>
    </row>
    <row r="51" spans="3:10" x14ac:dyDescent="0.25">
      <c r="C51" s="56"/>
      <c r="D51" s="53"/>
      <c r="E51" s="6"/>
      <c r="F51" s="19"/>
      <c r="G51" s="24"/>
      <c r="H51" s="24"/>
      <c r="I51" s="31"/>
      <c r="J51" s="35"/>
    </row>
    <row r="52" spans="3:10" x14ac:dyDescent="0.25">
      <c r="C52" s="57" t="s">
        <v>5</v>
      </c>
      <c r="D52" s="53"/>
      <c r="E52" s="6"/>
      <c r="F52" s="19"/>
      <c r="G52" s="24"/>
      <c r="H52" s="24"/>
      <c r="I52" s="31"/>
      <c r="J52" s="35"/>
    </row>
    <row r="53" spans="3:10" x14ac:dyDescent="0.25">
      <c r="C53" s="56"/>
      <c r="D53" s="53"/>
      <c r="E53" s="6"/>
      <c r="F53" s="19"/>
      <c r="G53" s="24"/>
      <c r="H53" s="24"/>
      <c r="I53" s="31"/>
      <c r="J53" s="35"/>
    </row>
    <row r="54" spans="3:10" x14ac:dyDescent="0.25">
      <c r="C54" s="57" t="s">
        <v>6</v>
      </c>
      <c r="D54" s="53"/>
      <c r="E54" s="6"/>
      <c r="F54" s="19"/>
      <c r="G54" s="24" t="s">
        <v>2</v>
      </c>
      <c r="H54" s="24" t="s">
        <v>2</v>
      </c>
      <c r="I54" s="31"/>
      <c r="J54" s="35"/>
    </row>
    <row r="55" spans="3:10" x14ac:dyDescent="0.25">
      <c r="C55" s="56"/>
      <c r="D55" s="53"/>
      <c r="E55" s="6"/>
      <c r="F55" s="19"/>
      <c r="G55" s="24"/>
      <c r="H55" s="24"/>
      <c r="I55" s="31"/>
      <c r="J55" s="35"/>
    </row>
    <row r="56" spans="3:10" x14ac:dyDescent="0.25">
      <c r="C56" s="57" t="s">
        <v>7</v>
      </c>
      <c r="D56" s="53"/>
      <c r="E56" s="6"/>
      <c r="F56" s="19"/>
      <c r="G56" s="24" t="s">
        <v>2</v>
      </c>
      <c r="H56" s="24" t="s">
        <v>2</v>
      </c>
      <c r="I56" s="31"/>
      <c r="J56" s="35"/>
    </row>
    <row r="57" spans="3:10" x14ac:dyDescent="0.25">
      <c r="C57" s="56"/>
      <c r="D57" s="53"/>
      <c r="E57" s="6"/>
      <c r="F57" s="19"/>
      <c r="G57" s="24"/>
      <c r="H57" s="24"/>
      <c r="I57" s="31"/>
      <c r="J57" s="35"/>
    </row>
    <row r="58" spans="3:10" x14ac:dyDescent="0.25">
      <c r="C58" s="57" t="s">
        <v>8</v>
      </c>
      <c r="D58" s="53"/>
      <c r="E58" s="6"/>
      <c r="F58" s="19"/>
      <c r="G58" s="24" t="s">
        <v>2</v>
      </c>
      <c r="H58" s="24" t="s">
        <v>2</v>
      </c>
      <c r="I58" s="31"/>
      <c r="J58" s="35"/>
    </row>
    <row r="59" spans="3:10" x14ac:dyDescent="0.25">
      <c r="C59" s="56"/>
      <c r="D59" s="53"/>
      <c r="E59" s="6"/>
      <c r="F59" s="19"/>
      <c r="G59" s="24"/>
      <c r="H59" s="24"/>
      <c r="I59" s="31"/>
      <c r="J59" s="35"/>
    </row>
    <row r="60" spans="3:10" x14ac:dyDescent="0.25">
      <c r="C60" s="57" t="s">
        <v>9</v>
      </c>
      <c r="D60" s="53"/>
      <c r="E60" s="6"/>
      <c r="F60" s="19"/>
      <c r="G60" s="24" t="s">
        <v>2</v>
      </c>
      <c r="H60" s="24" t="s">
        <v>2</v>
      </c>
      <c r="I60" s="31"/>
      <c r="J60" s="35"/>
    </row>
    <row r="61" spans="3:10" x14ac:dyDescent="0.25">
      <c r="C61" s="56"/>
      <c r="D61" s="53"/>
      <c r="E61" s="6"/>
      <c r="F61" s="19"/>
      <c r="G61" s="24"/>
      <c r="H61" s="24"/>
      <c r="I61" s="31"/>
      <c r="J61" s="35"/>
    </row>
    <row r="62" spans="3:10" x14ac:dyDescent="0.25">
      <c r="C62" s="57" t="s">
        <v>10</v>
      </c>
      <c r="D62" s="53"/>
      <c r="E62" s="6"/>
      <c r="F62" s="19"/>
      <c r="G62" s="24" t="s">
        <v>2</v>
      </c>
      <c r="H62" s="24" t="s">
        <v>2</v>
      </c>
      <c r="I62" s="31"/>
      <c r="J62" s="35"/>
    </row>
    <row r="63" spans="3:10" x14ac:dyDescent="0.25">
      <c r="C63" s="56"/>
      <c r="D63" s="53"/>
      <c r="E63" s="6"/>
      <c r="F63" s="19"/>
      <c r="G63" s="24"/>
      <c r="H63" s="24"/>
      <c r="I63" s="31"/>
      <c r="J63" s="35"/>
    </row>
    <row r="64" spans="3:10" x14ac:dyDescent="0.25">
      <c r="C64" s="57" t="s">
        <v>11</v>
      </c>
      <c r="D64" s="53"/>
      <c r="E64" s="6"/>
      <c r="F64" s="19"/>
      <c r="G64" s="24"/>
      <c r="H64" s="24"/>
      <c r="I64" s="31"/>
      <c r="J64" s="35"/>
    </row>
    <row r="65" spans="1:10" x14ac:dyDescent="0.25">
      <c r="C65" s="56"/>
      <c r="D65" s="53"/>
      <c r="E65" s="6"/>
      <c r="F65" s="19"/>
      <c r="G65" s="24"/>
      <c r="H65" s="24"/>
      <c r="I65" s="31"/>
      <c r="J65" s="35"/>
    </row>
    <row r="66" spans="1:10" x14ac:dyDescent="0.25">
      <c r="C66" s="57" t="s">
        <v>13</v>
      </c>
      <c r="D66" s="53"/>
      <c r="E66" s="6"/>
      <c r="F66" s="19"/>
      <c r="G66" s="24" t="s">
        <v>2</v>
      </c>
      <c r="H66" s="24" t="s">
        <v>2</v>
      </c>
      <c r="I66" s="31"/>
      <c r="J66" s="35"/>
    </row>
    <row r="67" spans="1:10" x14ac:dyDescent="0.25">
      <c r="C67" s="56"/>
      <c r="D67" s="53"/>
      <c r="E67" s="6"/>
      <c r="F67" s="19"/>
      <c r="G67" s="24"/>
      <c r="H67" s="24"/>
      <c r="I67" s="31"/>
      <c r="J67" s="35"/>
    </row>
    <row r="68" spans="1:10" x14ac:dyDescent="0.25">
      <c r="C68" s="57" t="s">
        <v>14</v>
      </c>
      <c r="D68" s="53"/>
      <c r="E68" s="6"/>
      <c r="F68" s="19"/>
      <c r="G68" s="24" t="s">
        <v>2</v>
      </c>
      <c r="H68" s="24" t="s">
        <v>2</v>
      </c>
      <c r="I68" s="31"/>
      <c r="J68" s="35"/>
    </row>
    <row r="69" spans="1:10" x14ac:dyDescent="0.25">
      <c r="C69" s="56"/>
      <c r="D69" s="53"/>
      <c r="E69" s="6"/>
      <c r="F69" s="19"/>
      <c r="G69" s="24"/>
      <c r="H69" s="24"/>
      <c r="I69" s="31"/>
      <c r="J69" s="35"/>
    </row>
    <row r="70" spans="1:10" x14ac:dyDescent="0.25">
      <c r="C70" s="57" t="s">
        <v>15</v>
      </c>
      <c r="D70" s="53"/>
      <c r="E70" s="6"/>
      <c r="F70" s="19"/>
      <c r="G70" s="24" t="s">
        <v>2</v>
      </c>
      <c r="H70" s="24" t="s">
        <v>2</v>
      </c>
      <c r="I70" s="31"/>
      <c r="J70" s="35"/>
    </row>
    <row r="71" spans="1:10" x14ac:dyDescent="0.25">
      <c r="C71" s="56"/>
      <c r="D71" s="53"/>
      <c r="E71" s="6"/>
      <c r="F71" s="19"/>
      <c r="G71" s="24"/>
      <c r="H71" s="24"/>
      <c r="I71" s="31"/>
      <c r="J71" s="35"/>
    </row>
    <row r="72" spans="1:10" x14ac:dyDescent="0.25">
      <c r="C72" s="57" t="s">
        <v>16</v>
      </c>
      <c r="D72" s="53"/>
      <c r="E72" s="6"/>
      <c r="F72" s="19"/>
      <c r="G72" s="24" t="s">
        <v>2</v>
      </c>
      <c r="H72" s="24" t="s">
        <v>2</v>
      </c>
      <c r="I72" s="31"/>
      <c r="J72" s="35"/>
    </row>
    <row r="73" spans="1:10" x14ac:dyDescent="0.25">
      <c r="C73" s="56"/>
      <c r="D73" s="53"/>
      <c r="E73" s="6"/>
      <c r="F73" s="19"/>
      <c r="G73" s="24"/>
      <c r="H73" s="24"/>
      <c r="I73" s="31"/>
      <c r="J73" s="35"/>
    </row>
    <row r="74" spans="1:10" x14ac:dyDescent="0.25">
      <c r="A74" s="10"/>
      <c r="B74" s="28"/>
      <c r="C74" s="58" t="s">
        <v>17</v>
      </c>
      <c r="D74" s="53"/>
      <c r="E74" s="6"/>
      <c r="F74" s="19"/>
      <c r="G74" s="24"/>
      <c r="H74" s="24"/>
      <c r="I74" s="31"/>
      <c r="J74" s="35"/>
    </row>
    <row r="75" spans="1:10" x14ac:dyDescent="0.25">
      <c r="A75" s="28"/>
      <c r="B75" s="28"/>
      <c r="C75" s="58" t="s">
        <v>18</v>
      </c>
      <c r="D75" s="53"/>
      <c r="E75" s="6"/>
      <c r="F75" s="19"/>
      <c r="G75" s="24" t="s">
        <v>2</v>
      </c>
      <c r="H75" s="24" t="s">
        <v>2</v>
      </c>
      <c r="I75" s="31"/>
      <c r="J75" s="35"/>
    </row>
    <row r="76" spans="1:10" x14ac:dyDescent="0.25">
      <c r="A76" s="28"/>
      <c r="B76" s="28"/>
      <c r="C76" s="58"/>
      <c r="D76" s="53"/>
      <c r="E76" s="6"/>
      <c r="F76" s="19"/>
      <c r="G76" s="24"/>
      <c r="H76" s="24"/>
      <c r="I76" s="31"/>
      <c r="J76" s="35"/>
    </row>
    <row r="77" spans="1:10" x14ac:dyDescent="0.25">
      <c r="A77" s="28"/>
      <c r="B77" s="28"/>
      <c r="C77" s="58" t="s">
        <v>19</v>
      </c>
      <c r="D77" s="53"/>
      <c r="E77" s="6"/>
      <c r="F77" s="19"/>
      <c r="G77" s="24" t="s">
        <v>2</v>
      </c>
      <c r="H77" s="24" t="s">
        <v>2</v>
      </c>
      <c r="I77" s="31"/>
      <c r="J77" s="35"/>
    </row>
    <row r="78" spans="1:10" x14ac:dyDescent="0.25">
      <c r="A78" s="28"/>
      <c r="B78" s="28"/>
      <c r="C78" s="58"/>
      <c r="D78" s="53"/>
      <c r="E78" s="6"/>
      <c r="F78" s="19"/>
      <c r="G78" s="24"/>
      <c r="H78" s="24"/>
      <c r="I78" s="31"/>
      <c r="J78" s="35"/>
    </row>
    <row r="79" spans="1:10" x14ac:dyDescent="0.25">
      <c r="A79" s="28"/>
      <c r="B79" s="28"/>
      <c r="C79" s="58" t="s">
        <v>20</v>
      </c>
      <c r="D79" s="53"/>
      <c r="E79" s="6"/>
      <c r="F79" s="19"/>
      <c r="G79" s="24" t="s">
        <v>2</v>
      </c>
      <c r="H79" s="24" t="s">
        <v>2</v>
      </c>
      <c r="I79" s="31"/>
      <c r="J79" s="35"/>
    </row>
    <row r="80" spans="1:10" x14ac:dyDescent="0.25">
      <c r="A80" s="28"/>
      <c r="B80" s="28"/>
      <c r="C80" s="58"/>
      <c r="D80" s="53"/>
      <c r="E80" s="6"/>
      <c r="F80" s="19"/>
      <c r="G80" s="24"/>
      <c r="H80" s="24"/>
      <c r="I80" s="31"/>
      <c r="J80" s="35"/>
    </row>
    <row r="81" spans="1:10" x14ac:dyDescent="0.25">
      <c r="A81" s="28"/>
      <c r="B81" s="28"/>
      <c r="C81" s="58" t="s">
        <v>21</v>
      </c>
      <c r="D81" s="53"/>
      <c r="E81" s="6"/>
      <c r="F81" s="19"/>
      <c r="G81" s="24" t="s">
        <v>2</v>
      </c>
      <c r="H81" s="24" t="s">
        <v>2</v>
      </c>
      <c r="I81" s="31"/>
      <c r="J81" s="35"/>
    </row>
    <row r="82" spans="1:10" x14ac:dyDescent="0.25">
      <c r="A82" s="28"/>
      <c r="B82" s="28"/>
      <c r="C82" s="58"/>
      <c r="D82" s="53"/>
      <c r="E82" s="6"/>
      <c r="F82" s="19"/>
      <c r="G82" s="24"/>
      <c r="H82" s="24"/>
      <c r="I82" s="31"/>
      <c r="J82" s="35"/>
    </row>
    <row r="83" spans="1:10" x14ac:dyDescent="0.25">
      <c r="C83" s="59" t="s">
        <v>22</v>
      </c>
      <c r="D83" s="53"/>
      <c r="E83" s="6"/>
      <c r="F83" s="19"/>
      <c r="G83" s="24"/>
      <c r="H83" s="24"/>
      <c r="I83" s="31"/>
      <c r="J83" s="35"/>
    </row>
    <row r="84" spans="1:10" x14ac:dyDescent="0.25">
      <c r="B84" s="8" t="s">
        <v>33</v>
      </c>
      <c r="C84" s="56" t="s">
        <v>34</v>
      </c>
      <c r="D84" s="53"/>
      <c r="E84" s="6"/>
      <c r="F84" s="19"/>
      <c r="G84" s="24">
        <v>159.94</v>
      </c>
      <c r="H84" s="24">
        <v>4.9400000000000004</v>
      </c>
      <c r="I84" s="31"/>
      <c r="J84" s="35"/>
    </row>
    <row r="85" spans="1:10" x14ac:dyDescent="0.25">
      <c r="C85" s="57" t="s">
        <v>35</v>
      </c>
      <c r="D85" s="53"/>
      <c r="E85" s="6"/>
      <c r="F85" s="19"/>
      <c r="G85" s="25">
        <v>159.94</v>
      </c>
      <c r="H85" s="25">
        <v>4.9400000000000004</v>
      </c>
      <c r="I85" s="31"/>
      <c r="J85" s="35"/>
    </row>
    <row r="86" spans="1:10" x14ac:dyDescent="0.25">
      <c r="C86" s="56"/>
      <c r="D86" s="53"/>
      <c r="E86" s="6"/>
      <c r="F86" s="19"/>
      <c r="G86" s="24"/>
      <c r="H86" s="24"/>
      <c r="I86" s="31"/>
      <c r="J86" s="35"/>
    </row>
    <row r="87" spans="1:10" x14ac:dyDescent="0.25">
      <c r="A87" s="10"/>
      <c r="B87" s="28"/>
      <c r="C87" s="58" t="s">
        <v>23</v>
      </c>
      <c r="D87" s="53"/>
      <c r="E87" s="6"/>
      <c r="F87" s="19"/>
      <c r="G87" s="24"/>
      <c r="H87" s="24"/>
      <c r="I87" s="31"/>
      <c r="J87" s="35"/>
    </row>
    <row r="88" spans="1:10" x14ac:dyDescent="0.25">
      <c r="A88" s="28"/>
      <c r="B88" s="28"/>
      <c r="C88" s="60" t="s">
        <v>3398</v>
      </c>
      <c r="D88" s="53"/>
      <c r="E88" s="6"/>
      <c r="F88" s="19"/>
      <c r="G88" s="24" t="s">
        <v>2</v>
      </c>
      <c r="H88" s="24" t="s">
        <v>2</v>
      </c>
      <c r="I88" s="31"/>
      <c r="J88" s="35"/>
    </row>
    <row r="89" spans="1:10" x14ac:dyDescent="0.25">
      <c r="B89" s="8"/>
      <c r="C89" s="56" t="s">
        <v>36</v>
      </c>
      <c r="D89" s="53"/>
      <c r="E89" s="6"/>
      <c r="F89" s="19"/>
      <c r="G89" s="24">
        <v>-7.37</v>
      </c>
      <c r="H89" s="24">
        <v>-0.23</v>
      </c>
      <c r="I89" s="31"/>
      <c r="J89" s="35"/>
    </row>
    <row r="90" spans="1:10" x14ac:dyDescent="0.25">
      <c r="C90" s="57" t="s">
        <v>35</v>
      </c>
      <c r="D90" s="53"/>
      <c r="E90" s="6"/>
      <c r="F90" s="19"/>
      <c r="G90" s="25">
        <v>-7.37</v>
      </c>
      <c r="H90" s="25">
        <v>-0.23</v>
      </c>
      <c r="I90" s="31"/>
      <c r="J90" s="35"/>
    </row>
    <row r="91" spans="1:10" x14ac:dyDescent="0.25">
      <c r="C91" s="56"/>
      <c r="D91" s="53"/>
      <c r="E91" s="6"/>
      <c r="F91" s="19"/>
      <c r="G91" s="24"/>
      <c r="H91" s="24"/>
      <c r="I91" s="31"/>
      <c r="J91" s="35"/>
    </row>
    <row r="92" spans="1:10" x14ac:dyDescent="0.25">
      <c r="C92" s="61" t="s">
        <v>37</v>
      </c>
      <c r="D92" s="54"/>
      <c r="E92" s="5"/>
      <c r="F92" s="20"/>
      <c r="G92" s="26">
        <v>3235.05</v>
      </c>
      <c r="H92" s="26">
        <f>SUMIFS(H:H,C:C,"Total")</f>
        <v>100</v>
      </c>
      <c r="I92" s="32"/>
      <c r="J92" s="36"/>
    </row>
    <row r="95" spans="1:10" x14ac:dyDescent="0.25">
      <c r="C95" s="1" t="s">
        <v>38</v>
      </c>
    </row>
    <row r="96" spans="1:10" x14ac:dyDescent="0.25">
      <c r="C96" s="2" t="s">
        <v>39</v>
      </c>
    </row>
    <row r="97" spans="3:3" x14ac:dyDescent="0.25">
      <c r="C97" s="2" t="s">
        <v>40</v>
      </c>
    </row>
    <row r="98" spans="3:3" x14ac:dyDescent="0.25">
      <c r="C98" s="2" t="s">
        <v>3430</v>
      </c>
    </row>
  </sheetData>
  <hyperlinks>
    <hyperlink ref="J2" location="'Index'!A1" display="'Index'!A1"/>
  </hyperlinks>
  <pageMargins left="0.7" right="0.7" top="0.75" bottom="0.75" header="0.3" footer="0.3"/>
  <pageSetup orientation="portrait" horizontalDpi="4294967293"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1"/>
  <dimension ref="A1:J90"/>
  <sheetViews>
    <sheetView showGridLines="0" zoomScale="90" zoomScaleNormal="90" workbookViewId="0">
      <pane ySplit="6" topLeftCell="A7" activePane="bottomLeft" state="frozen"/>
      <selection pane="bottomLeft" activeCell="D15" sqref="D15"/>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2206</v>
      </c>
      <c r="J2" s="37" t="s">
        <v>3307</v>
      </c>
    </row>
    <row r="3" spans="1:10" ht="16.5" x14ac:dyDescent="0.3">
      <c r="C3" s="1" t="s">
        <v>24</v>
      </c>
      <c r="D3" s="21" t="s">
        <v>2207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13000</v>
      </c>
      <c r="G10" s="24">
        <v>290.47000000000003</v>
      </c>
      <c r="H10" s="24">
        <v>10.1</v>
      </c>
      <c r="I10" s="31"/>
      <c r="J10" s="35"/>
    </row>
    <row r="11" spans="1:10" x14ac:dyDescent="0.25">
      <c r="B11" s="8" t="s">
        <v>1357</v>
      </c>
      <c r="C11" s="56" t="s">
        <v>1358</v>
      </c>
      <c r="D11" s="53" t="s">
        <v>1359</v>
      </c>
      <c r="E11" s="6" t="s">
        <v>196</v>
      </c>
      <c r="F11" s="19">
        <v>32750</v>
      </c>
      <c r="G11" s="24">
        <v>197.91</v>
      </c>
      <c r="H11" s="24">
        <v>6.88</v>
      </c>
      <c r="I11" s="31"/>
      <c r="J11" s="35"/>
    </row>
    <row r="12" spans="1:10" x14ac:dyDescent="0.25">
      <c r="B12" s="8" t="s">
        <v>307</v>
      </c>
      <c r="C12" s="56" t="s">
        <v>308</v>
      </c>
      <c r="D12" s="53" t="s">
        <v>309</v>
      </c>
      <c r="E12" s="6" t="s">
        <v>90</v>
      </c>
      <c r="F12" s="19">
        <v>24500</v>
      </c>
      <c r="G12" s="24">
        <v>191.09</v>
      </c>
      <c r="H12" s="24">
        <v>6.64</v>
      </c>
      <c r="I12" s="31"/>
      <c r="J12" s="35"/>
    </row>
    <row r="13" spans="1:10" x14ac:dyDescent="0.25">
      <c r="B13" s="8" t="s">
        <v>802</v>
      </c>
      <c r="C13" s="56" t="s">
        <v>803</v>
      </c>
      <c r="D13" s="53" t="s">
        <v>804</v>
      </c>
      <c r="E13" s="6" t="s">
        <v>195</v>
      </c>
      <c r="F13" s="19">
        <v>23606</v>
      </c>
      <c r="G13" s="24">
        <v>158.38</v>
      </c>
      <c r="H13" s="24">
        <v>5.51</v>
      </c>
      <c r="I13" s="31"/>
      <c r="J13" s="35"/>
    </row>
    <row r="14" spans="1:10" x14ac:dyDescent="0.25">
      <c r="B14" s="8" t="s">
        <v>48</v>
      </c>
      <c r="C14" s="56" t="s">
        <v>49</v>
      </c>
      <c r="D14" s="53" t="s">
        <v>50</v>
      </c>
      <c r="E14" s="6" t="s">
        <v>51</v>
      </c>
      <c r="F14" s="19">
        <v>13650</v>
      </c>
      <c r="G14" s="24">
        <v>147.22999999999999</v>
      </c>
      <c r="H14" s="24">
        <v>5.12</v>
      </c>
      <c r="I14" s="31"/>
      <c r="J14" s="35"/>
    </row>
    <row r="15" spans="1:10" x14ac:dyDescent="0.25">
      <c r="B15" s="8" t="s">
        <v>451</v>
      </c>
      <c r="C15" s="56" t="s">
        <v>452</v>
      </c>
      <c r="D15" s="53" t="s">
        <v>453</v>
      </c>
      <c r="E15" s="6" t="s">
        <v>157</v>
      </c>
      <c r="F15" s="19">
        <v>120000</v>
      </c>
      <c r="G15" s="24">
        <v>145.62</v>
      </c>
      <c r="H15" s="24">
        <v>5.0599999999999996</v>
      </c>
      <c r="I15" s="31"/>
      <c r="J15" s="35"/>
    </row>
    <row r="16" spans="1:10" x14ac:dyDescent="0.25">
      <c r="B16" s="8" t="s">
        <v>412</v>
      </c>
      <c r="C16" s="56" t="s">
        <v>413</v>
      </c>
      <c r="D16" s="53" t="s">
        <v>414</v>
      </c>
      <c r="E16" s="6" t="s">
        <v>111</v>
      </c>
      <c r="F16" s="19">
        <v>2500</v>
      </c>
      <c r="G16" s="24">
        <v>129.69999999999999</v>
      </c>
      <c r="H16" s="24">
        <v>4.51</v>
      </c>
      <c r="I16" s="31"/>
      <c r="J16" s="35"/>
    </row>
    <row r="17" spans="2:10" x14ac:dyDescent="0.25">
      <c r="B17" s="8" t="s">
        <v>76</v>
      </c>
      <c r="C17" s="56" t="s">
        <v>77</v>
      </c>
      <c r="D17" s="53" t="s">
        <v>78</v>
      </c>
      <c r="E17" s="6" t="s">
        <v>79</v>
      </c>
      <c r="F17" s="19">
        <v>13250</v>
      </c>
      <c r="G17" s="24">
        <v>119.46</v>
      </c>
      <c r="H17" s="24">
        <v>4.1500000000000004</v>
      </c>
      <c r="I17" s="31"/>
      <c r="J17" s="35"/>
    </row>
    <row r="18" spans="2:10" x14ac:dyDescent="0.25">
      <c r="B18" s="8" t="s">
        <v>1537</v>
      </c>
      <c r="C18" s="56" t="s">
        <v>1538</v>
      </c>
      <c r="D18" s="53" t="s">
        <v>1539</v>
      </c>
      <c r="E18" s="6" t="s">
        <v>195</v>
      </c>
      <c r="F18" s="19">
        <v>103500</v>
      </c>
      <c r="G18" s="24">
        <v>118.77</v>
      </c>
      <c r="H18" s="24">
        <v>4.13</v>
      </c>
      <c r="I18" s="31"/>
      <c r="J18" s="35"/>
    </row>
    <row r="19" spans="2:10" x14ac:dyDescent="0.25">
      <c r="B19" s="8" t="s">
        <v>56</v>
      </c>
      <c r="C19" s="56" t="s">
        <v>57</v>
      </c>
      <c r="D19" s="53" t="s">
        <v>58</v>
      </c>
      <c r="E19" s="6" t="s">
        <v>47</v>
      </c>
      <c r="F19" s="19">
        <v>4250</v>
      </c>
      <c r="G19" s="24">
        <v>105.92</v>
      </c>
      <c r="H19" s="24">
        <v>3.68</v>
      </c>
      <c r="I19" s="31"/>
      <c r="J19" s="35"/>
    </row>
    <row r="20" spans="2:10" x14ac:dyDescent="0.25">
      <c r="B20" s="8" t="s">
        <v>336</v>
      </c>
      <c r="C20" s="56" t="s">
        <v>337</v>
      </c>
      <c r="D20" s="53" t="s">
        <v>338</v>
      </c>
      <c r="E20" s="6" t="s">
        <v>94</v>
      </c>
      <c r="F20" s="19">
        <v>6125</v>
      </c>
      <c r="G20" s="24">
        <v>105.52</v>
      </c>
      <c r="H20" s="24">
        <v>3.67</v>
      </c>
      <c r="I20" s="31"/>
      <c r="J20" s="35"/>
    </row>
    <row r="21" spans="2:10" x14ac:dyDescent="0.25">
      <c r="B21" s="8" t="s">
        <v>460</v>
      </c>
      <c r="C21" s="56" t="s">
        <v>461</v>
      </c>
      <c r="D21" s="53" t="s">
        <v>462</v>
      </c>
      <c r="E21" s="6" t="s">
        <v>51</v>
      </c>
      <c r="F21" s="19">
        <v>44550</v>
      </c>
      <c r="G21" s="24">
        <v>100.84</v>
      </c>
      <c r="H21" s="24">
        <v>3.51</v>
      </c>
      <c r="I21" s="31"/>
      <c r="J21" s="35"/>
    </row>
    <row r="22" spans="2:10" x14ac:dyDescent="0.25">
      <c r="B22" s="8" t="s">
        <v>209</v>
      </c>
      <c r="C22" s="56" t="s">
        <v>210</v>
      </c>
      <c r="D22" s="53" t="s">
        <v>211</v>
      </c>
      <c r="E22" s="6" t="s">
        <v>83</v>
      </c>
      <c r="F22" s="19">
        <v>14000</v>
      </c>
      <c r="G22" s="24">
        <v>93.33</v>
      </c>
      <c r="H22" s="24">
        <v>3.25</v>
      </c>
      <c r="I22" s="31"/>
      <c r="J22" s="35"/>
    </row>
    <row r="23" spans="2:10" x14ac:dyDescent="0.25">
      <c r="B23" s="8" t="s">
        <v>136</v>
      </c>
      <c r="C23" s="56" t="s">
        <v>137</v>
      </c>
      <c r="D23" s="53" t="s">
        <v>138</v>
      </c>
      <c r="E23" s="6" t="s">
        <v>41</v>
      </c>
      <c r="F23" s="19">
        <v>2300</v>
      </c>
      <c r="G23" s="24">
        <v>93.14</v>
      </c>
      <c r="H23" s="24">
        <v>3.24</v>
      </c>
      <c r="I23" s="31"/>
      <c r="J23" s="35"/>
    </row>
    <row r="24" spans="2:10" x14ac:dyDescent="0.25">
      <c r="B24" s="8" t="s">
        <v>363</v>
      </c>
      <c r="C24" s="56" t="s">
        <v>364</v>
      </c>
      <c r="D24" s="53" t="s">
        <v>365</v>
      </c>
      <c r="E24" s="6" t="s">
        <v>366</v>
      </c>
      <c r="F24" s="19">
        <v>26000</v>
      </c>
      <c r="G24" s="24">
        <v>93.08</v>
      </c>
      <c r="H24" s="24">
        <v>3.24</v>
      </c>
      <c r="I24" s="31"/>
      <c r="J24" s="35"/>
    </row>
    <row r="25" spans="2:10" x14ac:dyDescent="0.25">
      <c r="B25" s="8" t="s">
        <v>1530</v>
      </c>
      <c r="C25" s="56" t="s">
        <v>1531</v>
      </c>
      <c r="D25" s="53" t="s">
        <v>1532</v>
      </c>
      <c r="E25" s="6" t="s">
        <v>195</v>
      </c>
      <c r="F25" s="19">
        <v>11500</v>
      </c>
      <c r="G25" s="24">
        <v>91.69</v>
      </c>
      <c r="H25" s="24">
        <v>3.19</v>
      </c>
      <c r="I25" s="31"/>
      <c r="J25" s="35"/>
    </row>
    <row r="26" spans="2:10" x14ac:dyDescent="0.25">
      <c r="B26" s="8" t="s">
        <v>472</v>
      </c>
      <c r="C26" s="56" t="s">
        <v>473</v>
      </c>
      <c r="D26" s="53" t="s">
        <v>474</v>
      </c>
      <c r="E26" s="6" t="s">
        <v>254</v>
      </c>
      <c r="F26" s="19">
        <v>12500</v>
      </c>
      <c r="G26" s="24">
        <v>91.13</v>
      </c>
      <c r="H26" s="24">
        <v>3.17</v>
      </c>
      <c r="I26" s="31"/>
      <c r="J26" s="35"/>
    </row>
    <row r="27" spans="2:10" x14ac:dyDescent="0.25">
      <c r="B27" s="8" t="s">
        <v>769</v>
      </c>
      <c r="C27" s="56" t="s">
        <v>770</v>
      </c>
      <c r="D27" s="53" t="s">
        <v>771</v>
      </c>
      <c r="E27" s="6" t="s">
        <v>111</v>
      </c>
      <c r="F27" s="19">
        <v>11000</v>
      </c>
      <c r="G27" s="24">
        <v>87.62</v>
      </c>
      <c r="H27" s="24">
        <v>3.05</v>
      </c>
      <c r="I27" s="31"/>
      <c r="J27" s="35"/>
    </row>
    <row r="28" spans="2:10" x14ac:dyDescent="0.25">
      <c r="B28" s="8" t="s">
        <v>161</v>
      </c>
      <c r="C28" s="56" t="s">
        <v>162</v>
      </c>
      <c r="D28" s="53" t="s">
        <v>163</v>
      </c>
      <c r="E28" s="6" t="s">
        <v>94</v>
      </c>
      <c r="F28" s="19">
        <v>20000</v>
      </c>
      <c r="G28" s="24">
        <v>84.18</v>
      </c>
      <c r="H28" s="24">
        <v>2.93</v>
      </c>
      <c r="I28" s="31"/>
      <c r="J28" s="35"/>
    </row>
    <row r="29" spans="2:10" x14ac:dyDescent="0.25">
      <c r="B29" s="8" t="s">
        <v>112</v>
      </c>
      <c r="C29" s="56" t="s">
        <v>113</v>
      </c>
      <c r="D29" s="53" t="s">
        <v>114</v>
      </c>
      <c r="E29" s="6" t="s">
        <v>111</v>
      </c>
      <c r="F29" s="19">
        <v>2750</v>
      </c>
      <c r="G29" s="24">
        <v>83.82</v>
      </c>
      <c r="H29" s="24">
        <v>2.91</v>
      </c>
      <c r="I29" s="31"/>
      <c r="J29" s="35"/>
    </row>
    <row r="30" spans="2:10" x14ac:dyDescent="0.25">
      <c r="B30" s="8" t="s">
        <v>164</v>
      </c>
      <c r="C30" s="56" t="s">
        <v>165</v>
      </c>
      <c r="D30" s="53" t="s">
        <v>166</v>
      </c>
      <c r="E30" s="6" t="s">
        <v>51</v>
      </c>
      <c r="F30" s="19">
        <v>38600</v>
      </c>
      <c r="G30" s="24">
        <v>71.56</v>
      </c>
      <c r="H30" s="24">
        <v>2.4900000000000002</v>
      </c>
      <c r="I30" s="31"/>
      <c r="J30" s="35"/>
    </row>
    <row r="31" spans="2:10" x14ac:dyDescent="0.25">
      <c r="B31" s="8" t="s">
        <v>871</v>
      </c>
      <c r="C31" s="56" t="s">
        <v>872</v>
      </c>
      <c r="D31" s="53" t="s">
        <v>873</v>
      </c>
      <c r="E31" s="6" t="s">
        <v>51</v>
      </c>
      <c r="F31" s="19">
        <v>13500</v>
      </c>
      <c r="G31" s="24">
        <v>71.2</v>
      </c>
      <c r="H31" s="24">
        <v>2.48</v>
      </c>
      <c r="I31" s="31"/>
      <c r="J31" s="35"/>
    </row>
    <row r="32" spans="2:10" x14ac:dyDescent="0.25">
      <c r="B32" s="8" t="s">
        <v>1491</v>
      </c>
      <c r="C32" s="56" t="s">
        <v>691</v>
      </c>
      <c r="D32" s="53" t="s">
        <v>1492</v>
      </c>
      <c r="E32" s="6" t="s">
        <v>94</v>
      </c>
      <c r="F32" s="19">
        <v>26250</v>
      </c>
      <c r="G32" s="24">
        <v>65.400000000000006</v>
      </c>
      <c r="H32" s="24">
        <v>2.27</v>
      </c>
      <c r="I32" s="31"/>
      <c r="J32" s="35"/>
    </row>
    <row r="33" spans="2:10" x14ac:dyDescent="0.25">
      <c r="B33" s="8" t="s">
        <v>180</v>
      </c>
      <c r="C33" s="56" t="s">
        <v>53</v>
      </c>
      <c r="D33" s="53" t="s">
        <v>181</v>
      </c>
      <c r="E33" s="6" t="s">
        <v>55</v>
      </c>
      <c r="F33" s="19">
        <v>866</v>
      </c>
      <c r="G33" s="24">
        <v>11.63</v>
      </c>
      <c r="H33" s="24">
        <v>0.4</v>
      </c>
      <c r="I33" s="31"/>
      <c r="J33" s="35" t="s">
        <v>182</v>
      </c>
    </row>
    <row r="34" spans="2:10" x14ac:dyDescent="0.25">
      <c r="B34" s="8" t="s">
        <v>2208</v>
      </c>
      <c r="C34" s="56" t="s">
        <v>2209</v>
      </c>
      <c r="D34" s="53" t="s">
        <v>2210</v>
      </c>
      <c r="E34" s="6" t="s">
        <v>254</v>
      </c>
      <c r="F34" s="19">
        <v>5000</v>
      </c>
      <c r="G34" s="24">
        <v>5.27</v>
      </c>
      <c r="H34" s="24">
        <v>0.18</v>
      </c>
      <c r="I34" s="31"/>
      <c r="J34" s="35"/>
    </row>
    <row r="35" spans="2:10" x14ac:dyDescent="0.25">
      <c r="B35" s="8" t="s">
        <v>1997</v>
      </c>
      <c r="C35" s="56" t="s">
        <v>1150</v>
      </c>
      <c r="D35" s="53" t="s">
        <v>1998</v>
      </c>
      <c r="E35" s="6" t="s">
        <v>94</v>
      </c>
      <c r="F35" s="19">
        <v>1000</v>
      </c>
      <c r="G35" s="24">
        <v>4.16</v>
      </c>
      <c r="H35" s="24">
        <v>0.14000000000000001</v>
      </c>
      <c r="I35" s="31"/>
      <c r="J35" s="35"/>
    </row>
    <row r="36" spans="2:10" x14ac:dyDescent="0.25">
      <c r="B36" s="8" t="s">
        <v>44</v>
      </c>
      <c r="C36" s="56" t="s">
        <v>45</v>
      </c>
      <c r="D36" s="53" t="s">
        <v>46</v>
      </c>
      <c r="E36" s="6" t="s">
        <v>47</v>
      </c>
      <c r="F36" s="19">
        <v>250</v>
      </c>
      <c r="G36" s="24">
        <v>2.52</v>
      </c>
      <c r="H36" s="24">
        <v>0.09</v>
      </c>
      <c r="I36" s="31"/>
      <c r="J36" s="35"/>
    </row>
    <row r="37" spans="2:10" x14ac:dyDescent="0.25">
      <c r="B37" s="8" t="s">
        <v>1499</v>
      </c>
      <c r="C37" s="56" t="s">
        <v>1381</v>
      </c>
      <c r="D37" s="53" t="s">
        <v>1500</v>
      </c>
      <c r="E37" s="6" t="s">
        <v>94</v>
      </c>
      <c r="F37" s="19">
        <v>1400</v>
      </c>
      <c r="G37" s="24">
        <v>1.72</v>
      </c>
      <c r="H37" s="24">
        <v>0.06</v>
      </c>
      <c r="I37" s="31"/>
      <c r="J37" s="35"/>
    </row>
    <row r="38" spans="2:10" x14ac:dyDescent="0.25">
      <c r="C38" s="57" t="s">
        <v>35</v>
      </c>
      <c r="D38" s="53"/>
      <c r="E38" s="6"/>
      <c r="F38" s="19"/>
      <c r="G38" s="25">
        <v>2762.36</v>
      </c>
      <c r="H38" s="25">
        <v>96.05</v>
      </c>
      <c r="I38" s="31"/>
      <c r="J38" s="35"/>
    </row>
    <row r="39" spans="2:10" x14ac:dyDescent="0.25">
      <c r="C39" s="56"/>
      <c r="D39" s="53"/>
      <c r="E39" s="6"/>
      <c r="F39" s="19"/>
      <c r="G39" s="24"/>
      <c r="H39" s="24"/>
      <c r="I39" s="31"/>
      <c r="J39" s="35"/>
    </row>
    <row r="40" spans="2:10" x14ac:dyDescent="0.25">
      <c r="C40" s="57" t="s">
        <v>3</v>
      </c>
      <c r="D40" s="53"/>
      <c r="E40" s="6"/>
      <c r="F40" s="19"/>
      <c r="G40" s="24" t="s">
        <v>2</v>
      </c>
      <c r="H40" s="24" t="s">
        <v>2</v>
      </c>
      <c r="I40" s="31"/>
      <c r="J40" s="35"/>
    </row>
    <row r="41" spans="2:10" x14ac:dyDescent="0.25">
      <c r="C41" s="56"/>
      <c r="D41" s="53"/>
      <c r="E41" s="6"/>
      <c r="F41" s="19"/>
      <c r="G41" s="24"/>
      <c r="H41" s="24"/>
      <c r="I41" s="31"/>
      <c r="J41" s="35"/>
    </row>
    <row r="42" spans="2:10" x14ac:dyDescent="0.25">
      <c r="C42" s="57" t="s">
        <v>4</v>
      </c>
      <c r="D42" s="53"/>
      <c r="E42" s="6"/>
      <c r="F42" s="19"/>
      <c r="G42" s="24" t="s">
        <v>2</v>
      </c>
      <c r="H42" s="24" t="s">
        <v>2</v>
      </c>
      <c r="I42" s="31"/>
      <c r="J42" s="35"/>
    </row>
    <row r="43" spans="2:10" x14ac:dyDescent="0.25">
      <c r="C43" s="56"/>
      <c r="D43" s="53"/>
      <c r="E43" s="6"/>
      <c r="F43" s="19"/>
      <c r="G43" s="24"/>
      <c r="H43" s="24"/>
      <c r="I43" s="31"/>
      <c r="J43" s="35"/>
    </row>
    <row r="44" spans="2:10" x14ac:dyDescent="0.25">
      <c r="C44" s="57" t="s">
        <v>5</v>
      </c>
      <c r="D44" s="53"/>
      <c r="E44" s="6"/>
      <c r="F44" s="19"/>
      <c r="G44" s="24"/>
      <c r="H44" s="24"/>
      <c r="I44" s="31"/>
      <c r="J44" s="35"/>
    </row>
    <row r="45" spans="2:10" x14ac:dyDescent="0.25">
      <c r="C45" s="56"/>
      <c r="D45" s="53"/>
      <c r="E45" s="6"/>
      <c r="F45" s="19"/>
      <c r="G45" s="24"/>
      <c r="H45" s="24"/>
      <c r="I45" s="31"/>
      <c r="J45" s="35"/>
    </row>
    <row r="46" spans="2:10" x14ac:dyDescent="0.25">
      <c r="C46" s="57" t="s">
        <v>6</v>
      </c>
      <c r="D46" s="53"/>
      <c r="E46" s="6"/>
      <c r="F46" s="19"/>
      <c r="G46" s="24" t="s">
        <v>2</v>
      </c>
      <c r="H46" s="24" t="s">
        <v>2</v>
      </c>
      <c r="I46" s="31"/>
      <c r="J46" s="35"/>
    </row>
    <row r="47" spans="2:10" x14ac:dyDescent="0.25">
      <c r="C47" s="56"/>
      <c r="D47" s="53"/>
      <c r="E47" s="6"/>
      <c r="F47" s="19"/>
      <c r="G47" s="24"/>
      <c r="H47" s="24"/>
      <c r="I47" s="31"/>
      <c r="J47" s="35"/>
    </row>
    <row r="48" spans="2:10" x14ac:dyDescent="0.25">
      <c r="C48" s="57" t="s">
        <v>7</v>
      </c>
      <c r="D48" s="53"/>
      <c r="E48" s="6"/>
      <c r="F48" s="19"/>
      <c r="G48" s="24" t="s">
        <v>2</v>
      </c>
      <c r="H48" s="24" t="s">
        <v>2</v>
      </c>
      <c r="I48" s="31"/>
      <c r="J48" s="35"/>
    </row>
    <row r="49" spans="3:10" x14ac:dyDescent="0.25">
      <c r="C49" s="56"/>
      <c r="D49" s="53"/>
      <c r="E49" s="6"/>
      <c r="F49" s="19"/>
      <c r="G49" s="24"/>
      <c r="H49" s="24"/>
      <c r="I49" s="31"/>
      <c r="J49" s="35"/>
    </row>
    <row r="50" spans="3:10" x14ac:dyDescent="0.25">
      <c r="C50" s="57" t="s">
        <v>8</v>
      </c>
      <c r="D50" s="53"/>
      <c r="E50" s="6"/>
      <c r="F50" s="19"/>
      <c r="G50" s="24" t="s">
        <v>2</v>
      </c>
      <c r="H50" s="24" t="s">
        <v>2</v>
      </c>
      <c r="I50" s="31"/>
      <c r="J50" s="35"/>
    </row>
    <row r="51" spans="3:10" x14ac:dyDescent="0.25">
      <c r="C51" s="56"/>
      <c r="D51" s="53"/>
      <c r="E51" s="6"/>
      <c r="F51" s="19"/>
      <c r="G51" s="24"/>
      <c r="H51" s="24"/>
      <c r="I51" s="31"/>
      <c r="J51" s="35"/>
    </row>
    <row r="52" spans="3:10" x14ac:dyDescent="0.25">
      <c r="C52" s="57" t="s">
        <v>9</v>
      </c>
      <c r="D52" s="53"/>
      <c r="E52" s="6"/>
      <c r="F52" s="19"/>
      <c r="G52" s="24" t="s">
        <v>2</v>
      </c>
      <c r="H52" s="24" t="s">
        <v>2</v>
      </c>
      <c r="I52" s="31"/>
      <c r="J52" s="35"/>
    </row>
    <row r="53" spans="3:10" x14ac:dyDescent="0.25">
      <c r="C53" s="56"/>
      <c r="D53" s="53"/>
      <c r="E53" s="6"/>
      <c r="F53" s="19"/>
      <c r="G53" s="24"/>
      <c r="H53" s="24"/>
      <c r="I53" s="31"/>
      <c r="J53" s="35"/>
    </row>
    <row r="54" spans="3:10" x14ac:dyDescent="0.25">
      <c r="C54" s="57" t="s">
        <v>10</v>
      </c>
      <c r="D54" s="53"/>
      <c r="E54" s="6"/>
      <c r="F54" s="19"/>
      <c r="G54" s="24" t="s">
        <v>2</v>
      </c>
      <c r="H54" s="24" t="s">
        <v>2</v>
      </c>
      <c r="I54" s="31"/>
      <c r="J54" s="35"/>
    </row>
    <row r="55" spans="3:10" x14ac:dyDescent="0.25">
      <c r="C55" s="56"/>
      <c r="D55" s="53"/>
      <c r="E55" s="6"/>
      <c r="F55" s="19"/>
      <c r="G55" s="24"/>
      <c r="H55" s="24"/>
      <c r="I55" s="31"/>
      <c r="J55" s="35"/>
    </row>
    <row r="56" spans="3:10" x14ac:dyDescent="0.25">
      <c r="C56" s="57" t="s">
        <v>11</v>
      </c>
      <c r="D56" s="53"/>
      <c r="E56" s="6"/>
      <c r="F56" s="19"/>
      <c r="G56" s="24"/>
      <c r="H56" s="24"/>
      <c r="I56" s="31"/>
      <c r="J56" s="35"/>
    </row>
    <row r="57" spans="3:10" x14ac:dyDescent="0.25">
      <c r="C57" s="56"/>
      <c r="D57" s="53"/>
      <c r="E57" s="6"/>
      <c r="F57" s="19"/>
      <c r="G57" s="24"/>
      <c r="H57" s="24"/>
      <c r="I57" s="31"/>
      <c r="J57" s="35"/>
    </row>
    <row r="58" spans="3:10" x14ac:dyDescent="0.25">
      <c r="C58" s="57" t="s">
        <v>13</v>
      </c>
      <c r="D58" s="53"/>
      <c r="E58" s="6"/>
      <c r="F58" s="19"/>
      <c r="G58" s="24" t="s">
        <v>2</v>
      </c>
      <c r="H58" s="24" t="s">
        <v>2</v>
      </c>
      <c r="I58" s="31"/>
      <c r="J58" s="35"/>
    </row>
    <row r="59" spans="3:10" x14ac:dyDescent="0.25">
      <c r="C59" s="56"/>
      <c r="D59" s="53"/>
      <c r="E59" s="6"/>
      <c r="F59" s="19"/>
      <c r="G59" s="24"/>
      <c r="H59" s="24"/>
      <c r="I59" s="31"/>
      <c r="J59" s="35"/>
    </row>
    <row r="60" spans="3:10" x14ac:dyDescent="0.25">
      <c r="C60" s="57" t="s">
        <v>14</v>
      </c>
      <c r="D60" s="53"/>
      <c r="E60" s="6"/>
      <c r="F60" s="19"/>
      <c r="G60" s="24" t="s">
        <v>2</v>
      </c>
      <c r="H60" s="24" t="s">
        <v>2</v>
      </c>
      <c r="I60" s="31"/>
      <c r="J60" s="35"/>
    </row>
    <row r="61" spans="3:10" x14ac:dyDescent="0.25">
      <c r="C61" s="56"/>
      <c r="D61" s="53"/>
      <c r="E61" s="6"/>
      <c r="F61" s="19"/>
      <c r="G61" s="24"/>
      <c r="H61" s="24"/>
      <c r="I61" s="31"/>
      <c r="J61" s="35"/>
    </row>
    <row r="62" spans="3:10" x14ac:dyDescent="0.25">
      <c r="C62" s="57" t="s">
        <v>15</v>
      </c>
      <c r="D62" s="53"/>
      <c r="E62" s="6"/>
      <c r="F62" s="19"/>
      <c r="G62" s="24" t="s">
        <v>2</v>
      </c>
      <c r="H62" s="24" t="s">
        <v>2</v>
      </c>
      <c r="I62" s="31"/>
      <c r="J62" s="35"/>
    </row>
    <row r="63" spans="3:10" x14ac:dyDescent="0.25">
      <c r="C63" s="56"/>
      <c r="D63" s="53"/>
      <c r="E63" s="6"/>
      <c r="F63" s="19"/>
      <c r="G63" s="24"/>
      <c r="H63" s="24"/>
      <c r="I63" s="31"/>
      <c r="J63" s="35"/>
    </row>
    <row r="64" spans="3:10" x14ac:dyDescent="0.25">
      <c r="C64" s="57" t="s">
        <v>16</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17</v>
      </c>
      <c r="D66" s="53"/>
      <c r="E66" s="6"/>
      <c r="F66" s="19"/>
      <c r="G66" s="24"/>
      <c r="H66" s="24"/>
      <c r="I66" s="31"/>
      <c r="J66" s="35"/>
    </row>
    <row r="67" spans="1:10" x14ac:dyDescent="0.25">
      <c r="A67" s="28"/>
      <c r="B67" s="28"/>
      <c r="C67" s="58" t="s">
        <v>18</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19</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20</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21</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C75" s="59" t="s">
        <v>22</v>
      </c>
      <c r="D75" s="53"/>
      <c r="E75" s="6"/>
      <c r="F75" s="19"/>
      <c r="G75" s="24"/>
      <c r="H75" s="24"/>
      <c r="I75" s="31"/>
      <c r="J75" s="35"/>
    </row>
    <row r="76" spans="1:10" x14ac:dyDescent="0.25">
      <c r="B76" s="8" t="s">
        <v>33</v>
      </c>
      <c r="C76" s="56" t="s">
        <v>34</v>
      </c>
      <c r="D76" s="53"/>
      <c r="E76" s="6"/>
      <c r="F76" s="19"/>
      <c r="G76" s="24">
        <v>77.010000000000005</v>
      </c>
      <c r="H76" s="24">
        <v>2.68</v>
      </c>
      <c r="I76" s="31"/>
      <c r="J76" s="35"/>
    </row>
    <row r="77" spans="1:10" x14ac:dyDescent="0.25">
      <c r="C77" s="57" t="s">
        <v>35</v>
      </c>
      <c r="D77" s="53"/>
      <c r="E77" s="6"/>
      <c r="F77" s="19"/>
      <c r="G77" s="25">
        <v>77.010000000000005</v>
      </c>
      <c r="H77" s="25">
        <v>2.68</v>
      </c>
      <c r="I77" s="31"/>
      <c r="J77" s="35"/>
    </row>
    <row r="78" spans="1:10" x14ac:dyDescent="0.25">
      <c r="C78" s="56"/>
      <c r="D78" s="53"/>
      <c r="E78" s="6"/>
      <c r="F78" s="19"/>
      <c r="G78" s="24"/>
      <c r="H78" s="24"/>
      <c r="I78" s="31"/>
      <c r="J78" s="35"/>
    </row>
    <row r="79" spans="1:10" x14ac:dyDescent="0.25">
      <c r="A79" s="10"/>
      <c r="B79" s="28"/>
      <c r="C79" s="58" t="s">
        <v>23</v>
      </c>
      <c r="D79" s="53"/>
      <c r="E79" s="6"/>
      <c r="F79" s="19"/>
      <c r="G79" s="24"/>
      <c r="H79" s="24"/>
      <c r="I79" s="31"/>
      <c r="J79" s="35"/>
    </row>
    <row r="80" spans="1:10" x14ac:dyDescent="0.25">
      <c r="A80" s="28"/>
      <c r="B80" s="28"/>
      <c r="C80" s="60" t="s">
        <v>3398</v>
      </c>
      <c r="D80" s="53"/>
      <c r="E80" s="6"/>
      <c r="F80" s="19"/>
      <c r="G80" s="24" t="s">
        <v>2</v>
      </c>
      <c r="H80" s="24" t="s">
        <v>2</v>
      </c>
      <c r="I80" s="31"/>
      <c r="J80" s="35"/>
    </row>
    <row r="81" spans="2:10" x14ac:dyDescent="0.25">
      <c r="B81" s="8"/>
      <c r="C81" s="56" t="s">
        <v>36</v>
      </c>
      <c r="D81" s="53"/>
      <c r="E81" s="6"/>
      <c r="F81" s="19"/>
      <c r="G81" s="24">
        <v>36.67</v>
      </c>
      <c r="H81" s="24">
        <v>1.27</v>
      </c>
      <c r="I81" s="31"/>
      <c r="J81" s="35"/>
    </row>
    <row r="82" spans="2:10" x14ac:dyDescent="0.25">
      <c r="C82" s="57" t="s">
        <v>35</v>
      </c>
      <c r="D82" s="53"/>
      <c r="E82" s="6"/>
      <c r="F82" s="19"/>
      <c r="G82" s="25">
        <v>36.67</v>
      </c>
      <c r="H82" s="25">
        <v>1.27</v>
      </c>
      <c r="I82" s="31"/>
      <c r="J82" s="35"/>
    </row>
    <row r="83" spans="2:10" x14ac:dyDescent="0.25">
      <c r="C83" s="56"/>
      <c r="D83" s="53"/>
      <c r="E83" s="6"/>
      <c r="F83" s="19"/>
      <c r="G83" s="24"/>
      <c r="H83" s="24"/>
      <c r="I83" s="31"/>
      <c r="J83" s="35"/>
    </row>
    <row r="84" spans="2:10" x14ac:dyDescent="0.25">
      <c r="C84" s="61" t="s">
        <v>37</v>
      </c>
      <c r="D84" s="54"/>
      <c r="E84" s="5"/>
      <c r="F84" s="20"/>
      <c r="G84" s="26">
        <v>2876.04</v>
      </c>
      <c r="H84" s="26">
        <f>SUMIFS(H:H,C:C,"Total")</f>
        <v>100</v>
      </c>
      <c r="I84" s="32"/>
      <c r="J84" s="36"/>
    </row>
    <row r="87" spans="2:10" x14ac:dyDescent="0.25">
      <c r="C87" s="1" t="s">
        <v>38</v>
      </c>
    </row>
    <row r="88" spans="2:10" x14ac:dyDescent="0.25">
      <c r="C88" s="2" t="s">
        <v>39</v>
      </c>
    </row>
    <row r="89" spans="2:10" x14ac:dyDescent="0.25">
      <c r="C89" s="2" t="s">
        <v>40</v>
      </c>
    </row>
    <row r="90" spans="2:10" x14ac:dyDescent="0.25">
      <c r="C90" s="2" t="s">
        <v>3430</v>
      </c>
    </row>
  </sheetData>
  <hyperlinks>
    <hyperlink ref="J2" location="'Index'!A1" display="'Index'!A1"/>
  </hyperlinks>
  <pageMargins left="0.7" right="0.7" top="0.75" bottom="0.75" header="0.3" footer="0.3"/>
  <pageSetup orientation="portrait" horizontalDpi="4294967293"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2"/>
  <dimension ref="A1:J92"/>
  <sheetViews>
    <sheetView showGridLines="0" zoomScale="90" zoomScaleNormal="90" workbookViewId="0">
      <pane ySplit="6" topLeftCell="A7" activePane="bottomLeft" state="frozen"/>
      <selection pane="bottomLeft" activeCell="D18" sqref="D18"/>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2211</v>
      </c>
      <c r="J2" s="37" t="s">
        <v>3307</v>
      </c>
    </row>
    <row r="3" spans="1:10" ht="16.5" x14ac:dyDescent="0.3">
      <c r="C3" s="1" t="s">
        <v>24</v>
      </c>
      <c r="D3" s="21" t="s">
        <v>2212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11750</v>
      </c>
      <c r="G10" s="24">
        <v>262.54000000000002</v>
      </c>
      <c r="H10" s="24">
        <v>10.35</v>
      </c>
      <c r="I10" s="31"/>
      <c r="J10" s="35"/>
    </row>
    <row r="11" spans="1:10" x14ac:dyDescent="0.25">
      <c r="B11" s="8" t="s">
        <v>1357</v>
      </c>
      <c r="C11" s="56" t="s">
        <v>1358</v>
      </c>
      <c r="D11" s="53" t="s">
        <v>1359</v>
      </c>
      <c r="E11" s="6" t="s">
        <v>196</v>
      </c>
      <c r="F11" s="19">
        <v>29800</v>
      </c>
      <c r="G11" s="24">
        <v>180.08</v>
      </c>
      <c r="H11" s="24">
        <v>7.1</v>
      </c>
      <c r="I11" s="31"/>
      <c r="J11" s="35"/>
    </row>
    <row r="12" spans="1:10" x14ac:dyDescent="0.25">
      <c r="B12" s="8" t="s">
        <v>307</v>
      </c>
      <c r="C12" s="56" t="s">
        <v>308</v>
      </c>
      <c r="D12" s="53" t="s">
        <v>309</v>
      </c>
      <c r="E12" s="6" t="s">
        <v>90</v>
      </c>
      <c r="F12" s="19">
        <v>21700</v>
      </c>
      <c r="G12" s="24">
        <v>169.25</v>
      </c>
      <c r="H12" s="24">
        <v>6.67</v>
      </c>
      <c r="I12" s="31"/>
      <c r="J12" s="35"/>
    </row>
    <row r="13" spans="1:10" x14ac:dyDescent="0.25">
      <c r="B13" s="8" t="s">
        <v>802</v>
      </c>
      <c r="C13" s="56" t="s">
        <v>803</v>
      </c>
      <c r="D13" s="53" t="s">
        <v>804</v>
      </c>
      <c r="E13" s="6" t="s">
        <v>195</v>
      </c>
      <c r="F13" s="19">
        <v>20537</v>
      </c>
      <c r="G13" s="24">
        <v>137.79</v>
      </c>
      <c r="H13" s="24">
        <v>5.43</v>
      </c>
      <c r="I13" s="31"/>
      <c r="J13" s="35"/>
    </row>
    <row r="14" spans="1:10" x14ac:dyDescent="0.25">
      <c r="B14" s="8" t="s">
        <v>48</v>
      </c>
      <c r="C14" s="56" t="s">
        <v>49</v>
      </c>
      <c r="D14" s="53" t="s">
        <v>50</v>
      </c>
      <c r="E14" s="6" t="s">
        <v>51</v>
      </c>
      <c r="F14" s="19">
        <v>11994</v>
      </c>
      <c r="G14" s="24">
        <v>129.37</v>
      </c>
      <c r="H14" s="24">
        <v>5.0999999999999996</v>
      </c>
      <c r="I14" s="31"/>
      <c r="J14" s="35"/>
    </row>
    <row r="15" spans="1:10" x14ac:dyDescent="0.25">
      <c r="B15" s="8" t="s">
        <v>412</v>
      </c>
      <c r="C15" s="56" t="s">
        <v>413</v>
      </c>
      <c r="D15" s="53" t="s">
        <v>414</v>
      </c>
      <c r="E15" s="6" t="s">
        <v>111</v>
      </c>
      <c r="F15" s="19">
        <v>2200</v>
      </c>
      <c r="G15" s="24">
        <v>114.13</v>
      </c>
      <c r="H15" s="24">
        <v>4.5</v>
      </c>
      <c r="I15" s="31"/>
      <c r="J15" s="35"/>
    </row>
    <row r="16" spans="1:10" x14ac:dyDescent="0.25">
      <c r="B16" s="8" t="s">
        <v>76</v>
      </c>
      <c r="C16" s="56" t="s">
        <v>77</v>
      </c>
      <c r="D16" s="53" t="s">
        <v>78</v>
      </c>
      <c r="E16" s="6" t="s">
        <v>79</v>
      </c>
      <c r="F16" s="19">
        <v>11225</v>
      </c>
      <c r="G16" s="24">
        <v>101.2</v>
      </c>
      <c r="H16" s="24">
        <v>3.99</v>
      </c>
      <c r="I16" s="31"/>
      <c r="J16" s="35"/>
    </row>
    <row r="17" spans="2:10" x14ac:dyDescent="0.25">
      <c r="B17" s="8" t="s">
        <v>1537</v>
      </c>
      <c r="C17" s="56" t="s">
        <v>1538</v>
      </c>
      <c r="D17" s="53" t="s">
        <v>1539</v>
      </c>
      <c r="E17" s="6" t="s">
        <v>195</v>
      </c>
      <c r="F17" s="19">
        <v>86500</v>
      </c>
      <c r="G17" s="24">
        <v>99.26</v>
      </c>
      <c r="H17" s="24">
        <v>3.91</v>
      </c>
      <c r="I17" s="31"/>
      <c r="J17" s="35"/>
    </row>
    <row r="18" spans="2:10" x14ac:dyDescent="0.25">
      <c r="B18" s="8" t="s">
        <v>451</v>
      </c>
      <c r="C18" s="56" t="s">
        <v>452</v>
      </c>
      <c r="D18" s="53" t="s">
        <v>453</v>
      </c>
      <c r="E18" s="6" t="s">
        <v>157</v>
      </c>
      <c r="F18" s="19">
        <v>80000</v>
      </c>
      <c r="G18" s="24">
        <v>97.08</v>
      </c>
      <c r="H18" s="24">
        <v>3.83</v>
      </c>
      <c r="I18" s="31"/>
      <c r="J18" s="35"/>
    </row>
    <row r="19" spans="2:10" x14ac:dyDescent="0.25">
      <c r="B19" s="8" t="s">
        <v>336</v>
      </c>
      <c r="C19" s="56" t="s">
        <v>337</v>
      </c>
      <c r="D19" s="53" t="s">
        <v>338</v>
      </c>
      <c r="E19" s="6" t="s">
        <v>94</v>
      </c>
      <c r="F19" s="19">
        <v>5500</v>
      </c>
      <c r="G19" s="24">
        <v>94.75</v>
      </c>
      <c r="H19" s="24">
        <v>3.74</v>
      </c>
      <c r="I19" s="31"/>
      <c r="J19" s="35"/>
    </row>
    <row r="20" spans="2:10" x14ac:dyDescent="0.25">
      <c r="B20" s="8" t="s">
        <v>460</v>
      </c>
      <c r="C20" s="56" t="s">
        <v>461</v>
      </c>
      <c r="D20" s="53" t="s">
        <v>462</v>
      </c>
      <c r="E20" s="6" t="s">
        <v>51</v>
      </c>
      <c r="F20" s="19">
        <v>39575</v>
      </c>
      <c r="G20" s="24">
        <v>89.58</v>
      </c>
      <c r="H20" s="24">
        <v>3.53</v>
      </c>
      <c r="I20" s="31"/>
      <c r="J20" s="35"/>
    </row>
    <row r="21" spans="2:10" x14ac:dyDescent="0.25">
      <c r="B21" s="8" t="s">
        <v>56</v>
      </c>
      <c r="C21" s="56" t="s">
        <v>57</v>
      </c>
      <c r="D21" s="53" t="s">
        <v>58</v>
      </c>
      <c r="E21" s="6" t="s">
        <v>47</v>
      </c>
      <c r="F21" s="19">
        <v>3550</v>
      </c>
      <c r="G21" s="24">
        <v>88.48</v>
      </c>
      <c r="H21" s="24">
        <v>3.49</v>
      </c>
      <c r="I21" s="31"/>
      <c r="J21" s="35"/>
    </row>
    <row r="22" spans="2:10" x14ac:dyDescent="0.25">
      <c r="B22" s="8" t="s">
        <v>209</v>
      </c>
      <c r="C22" s="56" t="s">
        <v>210</v>
      </c>
      <c r="D22" s="53" t="s">
        <v>211</v>
      </c>
      <c r="E22" s="6" t="s">
        <v>83</v>
      </c>
      <c r="F22" s="19">
        <v>12750</v>
      </c>
      <c r="G22" s="24">
        <v>85</v>
      </c>
      <c r="H22" s="24">
        <v>3.35</v>
      </c>
      <c r="I22" s="31"/>
      <c r="J22" s="35"/>
    </row>
    <row r="23" spans="2:10" x14ac:dyDescent="0.25">
      <c r="B23" s="8" t="s">
        <v>1530</v>
      </c>
      <c r="C23" s="56" t="s">
        <v>1531</v>
      </c>
      <c r="D23" s="53" t="s">
        <v>1532</v>
      </c>
      <c r="E23" s="6" t="s">
        <v>195</v>
      </c>
      <c r="F23" s="19">
        <v>10500</v>
      </c>
      <c r="G23" s="24">
        <v>83.72</v>
      </c>
      <c r="H23" s="24">
        <v>3.3</v>
      </c>
      <c r="I23" s="31"/>
      <c r="J23" s="35"/>
    </row>
    <row r="24" spans="2:10" x14ac:dyDescent="0.25">
      <c r="B24" s="8" t="s">
        <v>136</v>
      </c>
      <c r="C24" s="56" t="s">
        <v>137</v>
      </c>
      <c r="D24" s="53" t="s">
        <v>138</v>
      </c>
      <c r="E24" s="6" t="s">
        <v>41</v>
      </c>
      <c r="F24" s="19">
        <v>2000</v>
      </c>
      <c r="G24" s="24">
        <v>80.989999999999995</v>
      </c>
      <c r="H24" s="24">
        <v>3.19</v>
      </c>
      <c r="I24" s="31"/>
      <c r="J24" s="35"/>
    </row>
    <row r="25" spans="2:10" x14ac:dyDescent="0.25">
      <c r="B25" s="8" t="s">
        <v>769</v>
      </c>
      <c r="C25" s="56" t="s">
        <v>770</v>
      </c>
      <c r="D25" s="53" t="s">
        <v>771</v>
      </c>
      <c r="E25" s="6" t="s">
        <v>111</v>
      </c>
      <c r="F25" s="19">
        <v>10000</v>
      </c>
      <c r="G25" s="24">
        <v>79.650000000000006</v>
      </c>
      <c r="H25" s="24">
        <v>3.14</v>
      </c>
      <c r="I25" s="31"/>
      <c r="J25" s="35"/>
    </row>
    <row r="26" spans="2:10" x14ac:dyDescent="0.25">
      <c r="B26" s="8" t="s">
        <v>363</v>
      </c>
      <c r="C26" s="56" t="s">
        <v>364</v>
      </c>
      <c r="D26" s="53" t="s">
        <v>365</v>
      </c>
      <c r="E26" s="6" t="s">
        <v>366</v>
      </c>
      <c r="F26" s="19">
        <v>22000</v>
      </c>
      <c r="G26" s="24">
        <v>78.760000000000005</v>
      </c>
      <c r="H26" s="24">
        <v>3.11</v>
      </c>
      <c r="I26" s="31"/>
      <c r="J26" s="35"/>
    </row>
    <row r="27" spans="2:10" x14ac:dyDescent="0.25">
      <c r="B27" s="8" t="s">
        <v>112</v>
      </c>
      <c r="C27" s="56" t="s">
        <v>113</v>
      </c>
      <c r="D27" s="53" t="s">
        <v>114</v>
      </c>
      <c r="E27" s="6" t="s">
        <v>111</v>
      </c>
      <c r="F27" s="19">
        <v>2500</v>
      </c>
      <c r="G27" s="24">
        <v>76.2</v>
      </c>
      <c r="H27" s="24">
        <v>3</v>
      </c>
      <c r="I27" s="31"/>
      <c r="J27" s="35"/>
    </row>
    <row r="28" spans="2:10" x14ac:dyDescent="0.25">
      <c r="B28" s="8" t="s">
        <v>161</v>
      </c>
      <c r="C28" s="56" t="s">
        <v>162</v>
      </c>
      <c r="D28" s="53" t="s">
        <v>163</v>
      </c>
      <c r="E28" s="6" t="s">
        <v>94</v>
      </c>
      <c r="F28" s="19">
        <v>17000</v>
      </c>
      <c r="G28" s="24">
        <v>71.55</v>
      </c>
      <c r="H28" s="24">
        <v>2.82</v>
      </c>
      <c r="I28" s="31"/>
      <c r="J28" s="35"/>
    </row>
    <row r="29" spans="2:10" x14ac:dyDescent="0.25">
      <c r="B29" s="8" t="s">
        <v>871</v>
      </c>
      <c r="C29" s="56" t="s">
        <v>872</v>
      </c>
      <c r="D29" s="53" t="s">
        <v>873</v>
      </c>
      <c r="E29" s="6" t="s">
        <v>51</v>
      </c>
      <c r="F29" s="19">
        <v>12000</v>
      </c>
      <c r="G29" s="24">
        <v>63.29</v>
      </c>
      <c r="H29" s="24">
        <v>2.5</v>
      </c>
      <c r="I29" s="31"/>
      <c r="J29" s="35"/>
    </row>
    <row r="30" spans="2:10" x14ac:dyDescent="0.25">
      <c r="B30" s="8" t="s">
        <v>1491</v>
      </c>
      <c r="C30" s="56" t="s">
        <v>691</v>
      </c>
      <c r="D30" s="53" t="s">
        <v>1492</v>
      </c>
      <c r="E30" s="6" t="s">
        <v>94</v>
      </c>
      <c r="F30" s="19">
        <v>23500</v>
      </c>
      <c r="G30" s="24">
        <v>58.55</v>
      </c>
      <c r="H30" s="24">
        <v>2.31</v>
      </c>
      <c r="I30" s="31"/>
      <c r="J30" s="35"/>
    </row>
    <row r="31" spans="2:10" x14ac:dyDescent="0.25">
      <c r="B31" s="8" t="s">
        <v>164</v>
      </c>
      <c r="C31" s="56" t="s">
        <v>165</v>
      </c>
      <c r="D31" s="53" t="s">
        <v>166</v>
      </c>
      <c r="E31" s="6" t="s">
        <v>51</v>
      </c>
      <c r="F31" s="19">
        <v>31000</v>
      </c>
      <c r="G31" s="24">
        <v>57.47</v>
      </c>
      <c r="H31" s="24">
        <v>2.27</v>
      </c>
      <c r="I31" s="31"/>
      <c r="J31" s="35"/>
    </row>
    <row r="32" spans="2:10" x14ac:dyDescent="0.25">
      <c r="B32" s="8" t="s">
        <v>472</v>
      </c>
      <c r="C32" s="56" t="s">
        <v>473</v>
      </c>
      <c r="D32" s="53" t="s">
        <v>474</v>
      </c>
      <c r="E32" s="6" t="s">
        <v>254</v>
      </c>
      <c r="F32" s="19">
        <v>7500</v>
      </c>
      <c r="G32" s="24">
        <v>54.68</v>
      </c>
      <c r="H32" s="24">
        <v>2.16</v>
      </c>
      <c r="I32" s="31"/>
      <c r="J32" s="35"/>
    </row>
    <row r="33" spans="2:10" x14ac:dyDescent="0.25">
      <c r="B33" s="8" t="s">
        <v>180</v>
      </c>
      <c r="C33" s="56" t="s">
        <v>53</v>
      </c>
      <c r="D33" s="53" t="s">
        <v>181</v>
      </c>
      <c r="E33" s="6" t="s">
        <v>55</v>
      </c>
      <c r="F33" s="19">
        <v>783</v>
      </c>
      <c r="G33" s="24">
        <v>10.52</v>
      </c>
      <c r="H33" s="24">
        <v>0.41</v>
      </c>
      <c r="I33" s="31"/>
      <c r="J33" s="35" t="s">
        <v>182</v>
      </c>
    </row>
    <row r="34" spans="2:10" x14ac:dyDescent="0.25">
      <c r="B34" s="8" t="s">
        <v>229</v>
      </c>
      <c r="C34" s="56" t="s">
        <v>230</v>
      </c>
      <c r="D34" s="53" t="s">
        <v>231</v>
      </c>
      <c r="E34" s="6" t="s">
        <v>94</v>
      </c>
      <c r="F34" s="19">
        <v>700</v>
      </c>
      <c r="G34" s="24">
        <v>7.92</v>
      </c>
      <c r="H34" s="24">
        <v>0.31</v>
      </c>
      <c r="I34" s="31"/>
      <c r="J34" s="35"/>
    </row>
    <row r="35" spans="2:10" x14ac:dyDescent="0.25">
      <c r="B35" s="8" t="s">
        <v>150</v>
      </c>
      <c r="C35" s="56" t="s">
        <v>151</v>
      </c>
      <c r="D35" s="53" t="s">
        <v>152</v>
      </c>
      <c r="E35" s="6" t="s">
        <v>153</v>
      </c>
      <c r="F35" s="19">
        <v>2000</v>
      </c>
      <c r="G35" s="24">
        <v>7.2</v>
      </c>
      <c r="H35" s="24">
        <v>0.28000000000000003</v>
      </c>
      <c r="I35" s="31"/>
      <c r="J35" s="35"/>
    </row>
    <row r="36" spans="2:10" x14ac:dyDescent="0.25">
      <c r="B36" s="8" t="s">
        <v>139</v>
      </c>
      <c r="C36" s="56" t="s">
        <v>140</v>
      </c>
      <c r="D36" s="53" t="s">
        <v>141</v>
      </c>
      <c r="E36" s="6" t="s">
        <v>142</v>
      </c>
      <c r="F36" s="19">
        <v>500</v>
      </c>
      <c r="G36" s="24">
        <v>6.25</v>
      </c>
      <c r="H36" s="24">
        <v>0.25</v>
      </c>
      <c r="I36" s="31"/>
      <c r="J36" s="35"/>
    </row>
    <row r="37" spans="2:10" x14ac:dyDescent="0.25">
      <c r="B37" s="8" t="s">
        <v>2208</v>
      </c>
      <c r="C37" s="56" t="s">
        <v>2209</v>
      </c>
      <c r="D37" s="53" t="s">
        <v>2210</v>
      </c>
      <c r="E37" s="6" t="s">
        <v>254</v>
      </c>
      <c r="F37" s="19">
        <v>5000</v>
      </c>
      <c r="G37" s="24">
        <v>5.27</v>
      </c>
      <c r="H37" s="24">
        <v>0.21</v>
      </c>
      <c r="I37" s="31"/>
      <c r="J37" s="35"/>
    </row>
    <row r="38" spans="2:10" x14ac:dyDescent="0.25">
      <c r="B38" s="8" t="s">
        <v>44</v>
      </c>
      <c r="C38" s="56" t="s">
        <v>45</v>
      </c>
      <c r="D38" s="53" t="s">
        <v>46</v>
      </c>
      <c r="E38" s="6" t="s">
        <v>47</v>
      </c>
      <c r="F38" s="19">
        <v>500</v>
      </c>
      <c r="G38" s="24">
        <v>5.04</v>
      </c>
      <c r="H38" s="24">
        <v>0.2</v>
      </c>
      <c r="I38" s="31"/>
      <c r="J38" s="35"/>
    </row>
    <row r="39" spans="2:10" x14ac:dyDescent="0.25">
      <c r="B39" s="8" t="s">
        <v>1997</v>
      </c>
      <c r="C39" s="56" t="s">
        <v>1150</v>
      </c>
      <c r="D39" s="53" t="s">
        <v>1998</v>
      </c>
      <c r="E39" s="6" t="s">
        <v>94</v>
      </c>
      <c r="F39" s="19">
        <v>1000</v>
      </c>
      <c r="G39" s="24">
        <v>4.16</v>
      </c>
      <c r="H39" s="24">
        <v>0.16</v>
      </c>
      <c r="I39" s="31"/>
      <c r="J39" s="35"/>
    </row>
    <row r="40" spans="2:10" x14ac:dyDescent="0.25">
      <c r="C40" s="57" t="s">
        <v>35</v>
      </c>
      <c r="D40" s="53"/>
      <c r="E40" s="6"/>
      <c r="F40" s="19"/>
      <c r="G40" s="25">
        <v>2399.73</v>
      </c>
      <c r="H40" s="25">
        <v>94.61</v>
      </c>
      <c r="I40" s="31"/>
      <c r="J40" s="35"/>
    </row>
    <row r="41" spans="2:10" x14ac:dyDescent="0.25">
      <c r="C41" s="56"/>
      <c r="D41" s="53"/>
      <c r="E41" s="6"/>
      <c r="F41" s="19"/>
      <c r="G41" s="24"/>
      <c r="H41" s="24"/>
      <c r="I41" s="31"/>
      <c r="J41" s="35"/>
    </row>
    <row r="42" spans="2:10" x14ac:dyDescent="0.25">
      <c r="C42" s="57" t="s">
        <v>3</v>
      </c>
      <c r="D42" s="53"/>
      <c r="E42" s="6"/>
      <c r="F42" s="19"/>
      <c r="G42" s="24" t="s">
        <v>2</v>
      </c>
      <c r="H42" s="24" t="s">
        <v>2</v>
      </c>
      <c r="I42" s="31"/>
      <c r="J42" s="35"/>
    </row>
    <row r="43" spans="2:10" x14ac:dyDescent="0.25">
      <c r="C43" s="56"/>
      <c r="D43" s="53"/>
      <c r="E43" s="6"/>
      <c r="F43" s="19"/>
      <c r="G43" s="24"/>
      <c r="H43" s="24"/>
      <c r="I43" s="31"/>
      <c r="J43" s="35"/>
    </row>
    <row r="44" spans="2:10" x14ac:dyDescent="0.25">
      <c r="C44" s="57" t="s">
        <v>4</v>
      </c>
      <c r="D44" s="53"/>
      <c r="E44" s="6"/>
      <c r="F44" s="19"/>
      <c r="G44" s="24" t="s">
        <v>2</v>
      </c>
      <c r="H44" s="24" t="s">
        <v>2</v>
      </c>
      <c r="I44" s="31"/>
      <c r="J44" s="35"/>
    </row>
    <row r="45" spans="2:10" x14ac:dyDescent="0.25">
      <c r="C45" s="56"/>
      <c r="D45" s="53"/>
      <c r="E45" s="6"/>
      <c r="F45" s="19"/>
      <c r="G45" s="24"/>
      <c r="H45" s="24"/>
      <c r="I45" s="31"/>
      <c r="J45" s="35"/>
    </row>
    <row r="46" spans="2:10" x14ac:dyDescent="0.25">
      <c r="C46" s="57" t="s">
        <v>5</v>
      </c>
      <c r="D46" s="53"/>
      <c r="E46" s="6"/>
      <c r="F46" s="19"/>
      <c r="G46" s="24"/>
      <c r="H46" s="24"/>
      <c r="I46" s="31"/>
      <c r="J46" s="35"/>
    </row>
    <row r="47" spans="2:10" x14ac:dyDescent="0.25">
      <c r="C47" s="56"/>
      <c r="D47" s="53"/>
      <c r="E47" s="6"/>
      <c r="F47" s="19"/>
      <c r="G47" s="24"/>
      <c r="H47" s="24"/>
      <c r="I47" s="31"/>
      <c r="J47" s="35"/>
    </row>
    <row r="48" spans="2:10" x14ac:dyDescent="0.25">
      <c r="C48" s="57" t="s">
        <v>6</v>
      </c>
      <c r="D48" s="53"/>
      <c r="E48" s="6"/>
      <c r="F48" s="19"/>
      <c r="G48" s="24" t="s">
        <v>2</v>
      </c>
      <c r="H48" s="24" t="s">
        <v>2</v>
      </c>
      <c r="I48" s="31"/>
      <c r="J48" s="35"/>
    </row>
    <row r="49" spans="3:10" x14ac:dyDescent="0.25">
      <c r="C49" s="56"/>
      <c r="D49" s="53"/>
      <c r="E49" s="6"/>
      <c r="F49" s="19"/>
      <c r="G49" s="24"/>
      <c r="H49" s="24"/>
      <c r="I49" s="31"/>
      <c r="J49" s="35"/>
    </row>
    <row r="50" spans="3:10" x14ac:dyDescent="0.25">
      <c r="C50" s="57" t="s">
        <v>7</v>
      </c>
      <c r="D50" s="53"/>
      <c r="E50" s="6"/>
      <c r="F50" s="19"/>
      <c r="G50" s="24" t="s">
        <v>2</v>
      </c>
      <c r="H50" s="24" t="s">
        <v>2</v>
      </c>
      <c r="I50" s="31"/>
      <c r="J50" s="35"/>
    </row>
    <row r="51" spans="3:10" x14ac:dyDescent="0.25">
      <c r="C51" s="56"/>
      <c r="D51" s="53"/>
      <c r="E51" s="6"/>
      <c r="F51" s="19"/>
      <c r="G51" s="24"/>
      <c r="H51" s="24"/>
      <c r="I51" s="31"/>
      <c r="J51" s="35"/>
    </row>
    <row r="52" spans="3:10" x14ac:dyDescent="0.25">
      <c r="C52" s="57" t="s">
        <v>8</v>
      </c>
      <c r="D52" s="53"/>
      <c r="E52" s="6"/>
      <c r="F52" s="19"/>
      <c r="G52" s="24" t="s">
        <v>2</v>
      </c>
      <c r="H52" s="24" t="s">
        <v>2</v>
      </c>
      <c r="I52" s="31"/>
      <c r="J52" s="35"/>
    </row>
    <row r="53" spans="3:10" x14ac:dyDescent="0.25">
      <c r="C53" s="56"/>
      <c r="D53" s="53"/>
      <c r="E53" s="6"/>
      <c r="F53" s="19"/>
      <c r="G53" s="24"/>
      <c r="H53" s="24"/>
      <c r="I53" s="31"/>
      <c r="J53" s="35"/>
    </row>
    <row r="54" spans="3:10" x14ac:dyDescent="0.25">
      <c r="C54" s="57" t="s">
        <v>9</v>
      </c>
      <c r="D54" s="53"/>
      <c r="E54" s="6"/>
      <c r="F54" s="19"/>
      <c r="G54" s="24" t="s">
        <v>2</v>
      </c>
      <c r="H54" s="24" t="s">
        <v>2</v>
      </c>
      <c r="I54" s="31"/>
      <c r="J54" s="35"/>
    </row>
    <row r="55" spans="3:10" x14ac:dyDescent="0.25">
      <c r="C55" s="56"/>
      <c r="D55" s="53"/>
      <c r="E55" s="6"/>
      <c r="F55" s="19"/>
      <c r="G55" s="24"/>
      <c r="H55" s="24"/>
      <c r="I55" s="31"/>
      <c r="J55" s="35"/>
    </row>
    <row r="56" spans="3:10" x14ac:dyDescent="0.25">
      <c r="C56" s="57" t="s">
        <v>10</v>
      </c>
      <c r="D56" s="53"/>
      <c r="E56" s="6"/>
      <c r="F56" s="19"/>
      <c r="G56" s="24" t="s">
        <v>2</v>
      </c>
      <c r="H56" s="24" t="s">
        <v>2</v>
      </c>
      <c r="I56" s="31"/>
      <c r="J56" s="35"/>
    </row>
    <row r="57" spans="3:10" x14ac:dyDescent="0.25">
      <c r="C57" s="56"/>
      <c r="D57" s="53"/>
      <c r="E57" s="6"/>
      <c r="F57" s="19"/>
      <c r="G57" s="24"/>
      <c r="H57" s="24"/>
      <c r="I57" s="31"/>
      <c r="J57" s="35"/>
    </row>
    <row r="58" spans="3:10" x14ac:dyDescent="0.25">
      <c r="C58" s="57" t="s">
        <v>11</v>
      </c>
      <c r="D58" s="53"/>
      <c r="E58" s="6"/>
      <c r="F58" s="19"/>
      <c r="G58" s="24"/>
      <c r="H58" s="24"/>
      <c r="I58" s="31"/>
      <c r="J58" s="35"/>
    </row>
    <row r="59" spans="3:10" x14ac:dyDescent="0.25">
      <c r="C59" s="56"/>
      <c r="D59" s="53"/>
      <c r="E59" s="6"/>
      <c r="F59" s="19"/>
      <c r="G59" s="24"/>
      <c r="H59" s="24"/>
      <c r="I59" s="31"/>
      <c r="J59" s="35"/>
    </row>
    <row r="60" spans="3:10" x14ac:dyDescent="0.25">
      <c r="C60" s="57" t="s">
        <v>13</v>
      </c>
      <c r="D60" s="53"/>
      <c r="E60" s="6"/>
      <c r="F60" s="19"/>
      <c r="G60" s="24" t="s">
        <v>2</v>
      </c>
      <c r="H60" s="24" t="s">
        <v>2</v>
      </c>
      <c r="I60" s="31"/>
      <c r="J60" s="35"/>
    </row>
    <row r="61" spans="3:10" x14ac:dyDescent="0.25">
      <c r="C61" s="56"/>
      <c r="D61" s="53"/>
      <c r="E61" s="6"/>
      <c r="F61" s="19"/>
      <c r="G61" s="24"/>
      <c r="H61" s="24"/>
      <c r="I61" s="31"/>
      <c r="J61" s="35"/>
    </row>
    <row r="62" spans="3:10" x14ac:dyDescent="0.25">
      <c r="C62" s="57" t="s">
        <v>14</v>
      </c>
      <c r="D62" s="53"/>
      <c r="E62" s="6"/>
      <c r="F62" s="19"/>
      <c r="G62" s="24" t="s">
        <v>2</v>
      </c>
      <c r="H62" s="24" t="s">
        <v>2</v>
      </c>
      <c r="I62" s="31"/>
      <c r="J62" s="35"/>
    </row>
    <row r="63" spans="3:10" x14ac:dyDescent="0.25">
      <c r="C63" s="56"/>
      <c r="D63" s="53"/>
      <c r="E63" s="6"/>
      <c r="F63" s="19"/>
      <c r="G63" s="24"/>
      <c r="H63" s="24"/>
      <c r="I63" s="31"/>
      <c r="J63" s="35"/>
    </row>
    <row r="64" spans="3:10" x14ac:dyDescent="0.25">
      <c r="C64" s="57" t="s">
        <v>15</v>
      </c>
      <c r="D64" s="53"/>
      <c r="E64" s="6"/>
      <c r="F64" s="19"/>
      <c r="G64" s="24" t="s">
        <v>2</v>
      </c>
      <c r="H64" s="24" t="s">
        <v>2</v>
      </c>
      <c r="I64" s="31"/>
      <c r="J64" s="35"/>
    </row>
    <row r="65" spans="1:10" x14ac:dyDescent="0.25">
      <c r="C65" s="56"/>
      <c r="D65" s="53"/>
      <c r="E65" s="6"/>
      <c r="F65" s="19"/>
      <c r="G65" s="24"/>
      <c r="H65" s="24"/>
      <c r="I65" s="31"/>
      <c r="J65" s="35"/>
    </row>
    <row r="66" spans="1:10" x14ac:dyDescent="0.25">
      <c r="C66" s="57" t="s">
        <v>16</v>
      </c>
      <c r="D66" s="53"/>
      <c r="E66" s="6"/>
      <c r="F66" s="19"/>
      <c r="G66" s="24" t="s">
        <v>2</v>
      </c>
      <c r="H66" s="24" t="s">
        <v>2</v>
      </c>
      <c r="I66" s="31"/>
      <c r="J66" s="35"/>
    </row>
    <row r="67" spans="1:10" x14ac:dyDescent="0.25">
      <c r="C67" s="56"/>
      <c r="D67" s="53"/>
      <c r="E67" s="6"/>
      <c r="F67" s="19"/>
      <c r="G67" s="24"/>
      <c r="H67" s="24"/>
      <c r="I67" s="31"/>
      <c r="J67" s="35"/>
    </row>
    <row r="68" spans="1:10" x14ac:dyDescent="0.25">
      <c r="A68" s="10"/>
      <c r="B68" s="28"/>
      <c r="C68" s="58" t="s">
        <v>17</v>
      </c>
      <c r="D68" s="53"/>
      <c r="E68" s="6"/>
      <c r="F68" s="19"/>
      <c r="G68" s="24"/>
      <c r="H68" s="24"/>
      <c r="I68" s="31"/>
      <c r="J68" s="35"/>
    </row>
    <row r="69" spans="1:10" x14ac:dyDescent="0.25">
      <c r="A69" s="28"/>
      <c r="B69" s="28"/>
      <c r="C69" s="58" t="s">
        <v>18</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19</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20</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A75" s="28"/>
      <c r="B75" s="28"/>
      <c r="C75" s="58" t="s">
        <v>21</v>
      </c>
      <c r="D75" s="53"/>
      <c r="E75" s="6"/>
      <c r="F75" s="19"/>
      <c r="G75" s="24" t="s">
        <v>2</v>
      </c>
      <c r="H75" s="24" t="s">
        <v>2</v>
      </c>
      <c r="I75" s="31"/>
      <c r="J75" s="35"/>
    </row>
    <row r="76" spans="1:10" x14ac:dyDescent="0.25">
      <c r="A76" s="28"/>
      <c r="B76" s="28"/>
      <c r="C76" s="58"/>
      <c r="D76" s="53"/>
      <c r="E76" s="6"/>
      <c r="F76" s="19"/>
      <c r="G76" s="24"/>
      <c r="H76" s="24"/>
      <c r="I76" s="31"/>
      <c r="J76" s="35"/>
    </row>
    <row r="77" spans="1:10" x14ac:dyDescent="0.25">
      <c r="C77" s="59" t="s">
        <v>22</v>
      </c>
      <c r="D77" s="53"/>
      <c r="E77" s="6"/>
      <c r="F77" s="19"/>
      <c r="G77" s="24"/>
      <c r="H77" s="24"/>
      <c r="I77" s="31"/>
      <c r="J77" s="35"/>
    </row>
    <row r="78" spans="1:10" x14ac:dyDescent="0.25">
      <c r="B78" s="8" t="s">
        <v>33</v>
      </c>
      <c r="C78" s="56" t="s">
        <v>34</v>
      </c>
      <c r="D78" s="53"/>
      <c r="E78" s="6"/>
      <c r="F78" s="19"/>
      <c r="G78" s="24">
        <v>105.79</v>
      </c>
      <c r="H78" s="24">
        <v>4.17</v>
      </c>
      <c r="I78" s="31"/>
      <c r="J78" s="35"/>
    </row>
    <row r="79" spans="1:10" x14ac:dyDescent="0.25">
      <c r="C79" s="57" t="s">
        <v>35</v>
      </c>
      <c r="D79" s="53"/>
      <c r="E79" s="6"/>
      <c r="F79" s="19"/>
      <c r="G79" s="25">
        <v>105.79</v>
      </c>
      <c r="H79" s="25">
        <v>4.17</v>
      </c>
      <c r="I79" s="31"/>
      <c r="J79" s="35"/>
    </row>
    <row r="80" spans="1:10" x14ac:dyDescent="0.25">
      <c r="C80" s="56"/>
      <c r="D80" s="53"/>
      <c r="E80" s="6"/>
      <c r="F80" s="19"/>
      <c r="G80" s="24"/>
      <c r="H80" s="24"/>
      <c r="I80" s="31"/>
      <c r="J80" s="35"/>
    </row>
    <row r="81" spans="1:10" x14ac:dyDescent="0.25">
      <c r="A81" s="10"/>
      <c r="B81" s="28"/>
      <c r="C81" s="58" t="s">
        <v>23</v>
      </c>
      <c r="D81" s="53"/>
      <c r="E81" s="6"/>
      <c r="F81" s="19"/>
      <c r="G81" s="24"/>
      <c r="H81" s="24"/>
      <c r="I81" s="31"/>
      <c r="J81" s="35"/>
    </row>
    <row r="82" spans="1:10" x14ac:dyDescent="0.25">
      <c r="A82" s="28"/>
      <c r="B82" s="28"/>
      <c r="C82" s="60" t="s">
        <v>3398</v>
      </c>
      <c r="D82" s="53"/>
      <c r="E82" s="6"/>
      <c r="F82" s="19"/>
      <c r="G82" s="24" t="s">
        <v>2</v>
      </c>
      <c r="H82" s="24" t="s">
        <v>2</v>
      </c>
      <c r="I82" s="31"/>
      <c r="J82" s="35"/>
    </row>
    <row r="83" spans="1:10" x14ac:dyDescent="0.25">
      <c r="B83" s="8"/>
      <c r="C83" s="56" t="s">
        <v>36</v>
      </c>
      <c r="D83" s="53"/>
      <c r="E83" s="6"/>
      <c r="F83" s="19"/>
      <c r="G83" s="24">
        <v>30.71</v>
      </c>
      <c r="H83" s="24">
        <v>1.22</v>
      </c>
      <c r="I83" s="31"/>
      <c r="J83" s="35"/>
    </row>
    <row r="84" spans="1:10" x14ac:dyDescent="0.25">
      <c r="C84" s="57" t="s">
        <v>35</v>
      </c>
      <c r="D84" s="53"/>
      <c r="E84" s="6"/>
      <c r="F84" s="19"/>
      <c r="G84" s="25">
        <v>30.71</v>
      </c>
      <c r="H84" s="25">
        <v>1.22</v>
      </c>
      <c r="I84" s="31"/>
      <c r="J84" s="35"/>
    </row>
    <row r="85" spans="1:10" x14ac:dyDescent="0.25">
      <c r="C85" s="56"/>
      <c r="D85" s="53"/>
      <c r="E85" s="6"/>
      <c r="F85" s="19"/>
      <c r="G85" s="24"/>
      <c r="H85" s="24"/>
      <c r="I85" s="31"/>
      <c r="J85" s="35"/>
    </row>
    <row r="86" spans="1:10" x14ac:dyDescent="0.25">
      <c r="C86" s="61" t="s">
        <v>37</v>
      </c>
      <c r="D86" s="54"/>
      <c r="E86" s="5"/>
      <c r="F86" s="20"/>
      <c r="G86" s="26">
        <v>2536.23</v>
      </c>
      <c r="H86" s="26">
        <f>SUMIFS(H:H,C:C,"Total")</f>
        <v>100</v>
      </c>
      <c r="I86" s="32"/>
      <c r="J86" s="36"/>
    </row>
    <row r="89" spans="1:10" x14ac:dyDescent="0.25">
      <c r="C89" s="1" t="s">
        <v>38</v>
      </c>
    </row>
    <row r="90" spans="1:10" x14ac:dyDescent="0.25">
      <c r="C90" s="2" t="s">
        <v>39</v>
      </c>
    </row>
    <row r="91" spans="1:10" x14ac:dyDescent="0.25">
      <c r="C91" s="2" t="s">
        <v>40</v>
      </c>
    </row>
    <row r="92" spans="1:10" x14ac:dyDescent="0.25">
      <c r="C92" s="2" t="s">
        <v>3430</v>
      </c>
    </row>
  </sheetData>
  <hyperlinks>
    <hyperlink ref="J2" location="'Index'!A1" display="'Index'!A1"/>
  </hyperlinks>
  <pageMargins left="0.7" right="0.7" top="0.75" bottom="0.75" header="0.3" footer="0.3"/>
  <pageSetup orientation="portrait" horizontalDpi="4294967293"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3"/>
  <dimension ref="A1:J8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2010</v>
      </c>
      <c r="J2" s="37" t="s">
        <v>3307</v>
      </c>
    </row>
    <row r="3" spans="1:10" ht="16.5" x14ac:dyDescent="0.3">
      <c r="C3" s="1" t="s">
        <v>24</v>
      </c>
      <c r="D3" s="21" t="s">
        <v>2213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3588360</v>
      </c>
      <c r="G10" s="24">
        <v>38704.050000000003</v>
      </c>
      <c r="H10" s="24">
        <v>25.89</v>
      </c>
      <c r="I10" s="31"/>
      <c r="J10" s="35"/>
    </row>
    <row r="11" spans="1:10" x14ac:dyDescent="0.25">
      <c r="B11" s="8" t="s">
        <v>62</v>
      </c>
      <c r="C11" s="56" t="s">
        <v>63</v>
      </c>
      <c r="D11" s="53" t="s">
        <v>64</v>
      </c>
      <c r="E11" s="6" t="s">
        <v>51</v>
      </c>
      <c r="F11" s="19">
        <v>5575814</v>
      </c>
      <c r="G11" s="24">
        <v>19780.2</v>
      </c>
      <c r="H11" s="24">
        <v>13.23</v>
      </c>
      <c r="I11" s="31"/>
      <c r="J11" s="35"/>
    </row>
    <row r="12" spans="1:10" x14ac:dyDescent="0.25">
      <c r="B12" s="8" t="s">
        <v>59</v>
      </c>
      <c r="C12" s="56" t="s">
        <v>60</v>
      </c>
      <c r="D12" s="53" t="s">
        <v>61</v>
      </c>
      <c r="E12" s="6" t="s">
        <v>51</v>
      </c>
      <c r="F12" s="19">
        <v>1165000</v>
      </c>
      <c r="G12" s="24">
        <v>14774.53</v>
      </c>
      <c r="H12" s="24">
        <v>9.8800000000000008</v>
      </c>
      <c r="I12" s="31"/>
      <c r="J12" s="35"/>
    </row>
    <row r="13" spans="1:10" x14ac:dyDescent="0.25">
      <c r="B13" s="8" t="s">
        <v>73</v>
      </c>
      <c r="C13" s="56" t="s">
        <v>74</v>
      </c>
      <c r="D13" s="53" t="s">
        <v>75</v>
      </c>
      <c r="E13" s="6" t="s">
        <v>51</v>
      </c>
      <c r="F13" s="19">
        <v>3077122</v>
      </c>
      <c r="G13" s="24">
        <v>13067</v>
      </c>
      <c r="H13" s="24">
        <v>8.74</v>
      </c>
      <c r="I13" s="31"/>
      <c r="J13" s="35"/>
    </row>
    <row r="14" spans="1:10" x14ac:dyDescent="0.25">
      <c r="B14" s="8" t="s">
        <v>164</v>
      </c>
      <c r="C14" s="56" t="s">
        <v>165</v>
      </c>
      <c r="D14" s="53" t="s">
        <v>166</v>
      </c>
      <c r="E14" s="6" t="s">
        <v>51</v>
      </c>
      <c r="F14" s="19">
        <v>4885000</v>
      </c>
      <c r="G14" s="24">
        <v>9056.7900000000009</v>
      </c>
      <c r="H14" s="24">
        <v>6.06</v>
      </c>
      <c r="I14" s="31"/>
      <c r="J14" s="35"/>
    </row>
    <row r="15" spans="1:10" x14ac:dyDescent="0.25">
      <c r="B15" s="8" t="s">
        <v>115</v>
      </c>
      <c r="C15" s="56" t="s">
        <v>116</v>
      </c>
      <c r="D15" s="53" t="s">
        <v>117</v>
      </c>
      <c r="E15" s="6" t="s">
        <v>94</v>
      </c>
      <c r="F15" s="19">
        <v>605000</v>
      </c>
      <c r="G15" s="24">
        <v>7861.98</v>
      </c>
      <c r="H15" s="24">
        <v>5.26</v>
      </c>
      <c r="I15" s="31"/>
      <c r="J15" s="35"/>
    </row>
    <row r="16" spans="1:10" x14ac:dyDescent="0.25">
      <c r="B16" s="8" t="s">
        <v>1491</v>
      </c>
      <c r="C16" s="56" t="s">
        <v>691</v>
      </c>
      <c r="D16" s="53" t="s">
        <v>1492</v>
      </c>
      <c r="E16" s="6" t="s">
        <v>94</v>
      </c>
      <c r="F16" s="19">
        <v>1700000</v>
      </c>
      <c r="G16" s="24">
        <v>4235.55</v>
      </c>
      <c r="H16" s="24">
        <v>2.83</v>
      </c>
      <c r="I16" s="31"/>
      <c r="J16" s="35"/>
    </row>
    <row r="17" spans="2:10" x14ac:dyDescent="0.25">
      <c r="B17" s="8" t="s">
        <v>229</v>
      </c>
      <c r="C17" s="56" t="s">
        <v>230</v>
      </c>
      <c r="D17" s="53" t="s">
        <v>231</v>
      </c>
      <c r="E17" s="6" t="s">
        <v>94</v>
      </c>
      <c r="F17" s="19">
        <v>367665</v>
      </c>
      <c r="G17" s="24">
        <v>4162.34</v>
      </c>
      <c r="H17" s="24">
        <v>2.78</v>
      </c>
      <c r="I17" s="31"/>
      <c r="J17" s="35"/>
    </row>
    <row r="18" spans="2:10" x14ac:dyDescent="0.25">
      <c r="B18" s="8" t="s">
        <v>161</v>
      </c>
      <c r="C18" s="56" t="s">
        <v>162</v>
      </c>
      <c r="D18" s="53" t="s">
        <v>163</v>
      </c>
      <c r="E18" s="6" t="s">
        <v>94</v>
      </c>
      <c r="F18" s="19">
        <v>975000</v>
      </c>
      <c r="G18" s="24">
        <v>4103.78</v>
      </c>
      <c r="H18" s="24">
        <v>2.74</v>
      </c>
      <c r="I18" s="31"/>
      <c r="J18" s="35"/>
    </row>
    <row r="19" spans="2:10" x14ac:dyDescent="0.25">
      <c r="B19" s="8" t="s">
        <v>1499</v>
      </c>
      <c r="C19" s="56" t="s">
        <v>1381</v>
      </c>
      <c r="D19" s="53" t="s">
        <v>1500</v>
      </c>
      <c r="E19" s="6" t="s">
        <v>94</v>
      </c>
      <c r="F19" s="19">
        <v>3160000</v>
      </c>
      <c r="G19" s="24">
        <v>3889.96</v>
      </c>
      <c r="H19" s="24">
        <v>2.6</v>
      </c>
      <c r="I19" s="31"/>
      <c r="J19" s="35"/>
    </row>
    <row r="20" spans="2:10" x14ac:dyDescent="0.25">
      <c r="B20" s="8" t="s">
        <v>1997</v>
      </c>
      <c r="C20" s="56" t="s">
        <v>1150</v>
      </c>
      <c r="D20" s="53" t="s">
        <v>1998</v>
      </c>
      <c r="E20" s="6" t="s">
        <v>94</v>
      </c>
      <c r="F20" s="19">
        <v>698551</v>
      </c>
      <c r="G20" s="24">
        <v>2904.23</v>
      </c>
      <c r="H20" s="24">
        <v>1.94</v>
      </c>
      <c r="I20" s="31"/>
      <c r="J20" s="35"/>
    </row>
    <row r="21" spans="2:10" x14ac:dyDescent="0.25">
      <c r="B21" s="8" t="s">
        <v>373</v>
      </c>
      <c r="C21" s="56" t="s">
        <v>374</v>
      </c>
      <c r="D21" s="53" t="s">
        <v>375</v>
      </c>
      <c r="E21" s="6" t="s">
        <v>51</v>
      </c>
      <c r="F21" s="19">
        <v>5900000</v>
      </c>
      <c r="G21" s="24">
        <v>2867.4</v>
      </c>
      <c r="H21" s="24">
        <v>1.92</v>
      </c>
      <c r="I21" s="31"/>
      <c r="J21" s="35"/>
    </row>
    <row r="22" spans="2:10" x14ac:dyDescent="0.25">
      <c r="B22" s="8" t="s">
        <v>1604</v>
      </c>
      <c r="C22" s="56" t="s">
        <v>1605</v>
      </c>
      <c r="D22" s="53" t="s">
        <v>1606</v>
      </c>
      <c r="E22" s="6" t="s">
        <v>94</v>
      </c>
      <c r="F22" s="19">
        <v>123000</v>
      </c>
      <c r="G22" s="24">
        <v>2791.92</v>
      </c>
      <c r="H22" s="24">
        <v>1.87</v>
      </c>
      <c r="I22" s="31"/>
      <c r="J22" s="35"/>
    </row>
    <row r="23" spans="2:10" x14ac:dyDescent="0.25">
      <c r="B23" s="8" t="s">
        <v>1512</v>
      </c>
      <c r="C23" s="56" t="s">
        <v>1513</v>
      </c>
      <c r="D23" s="53" t="s">
        <v>1514</v>
      </c>
      <c r="E23" s="6" t="s">
        <v>51</v>
      </c>
      <c r="F23" s="19">
        <v>1880000</v>
      </c>
      <c r="G23" s="24">
        <v>2627.3</v>
      </c>
      <c r="H23" s="24">
        <v>1.76</v>
      </c>
      <c r="I23" s="31"/>
      <c r="J23" s="35"/>
    </row>
    <row r="24" spans="2:10" x14ac:dyDescent="0.25">
      <c r="B24" s="8" t="s">
        <v>124</v>
      </c>
      <c r="C24" s="56" t="s">
        <v>125</v>
      </c>
      <c r="D24" s="53" t="s">
        <v>126</v>
      </c>
      <c r="E24" s="6" t="s">
        <v>94</v>
      </c>
      <c r="F24" s="19">
        <v>144000</v>
      </c>
      <c r="G24" s="24">
        <v>2505.67</v>
      </c>
      <c r="H24" s="24">
        <v>1.68</v>
      </c>
      <c r="I24" s="31"/>
      <c r="J24" s="35"/>
    </row>
    <row r="25" spans="2:10" x14ac:dyDescent="0.25">
      <c r="B25" s="8" t="s">
        <v>2214</v>
      </c>
      <c r="C25" s="56" t="s">
        <v>1048</v>
      </c>
      <c r="D25" s="53" t="s">
        <v>2215</v>
      </c>
      <c r="E25" s="6" t="s">
        <v>94</v>
      </c>
      <c r="F25" s="19">
        <v>525000</v>
      </c>
      <c r="G25" s="24">
        <v>2432.59</v>
      </c>
      <c r="H25" s="24">
        <v>1.63</v>
      </c>
      <c r="I25" s="31"/>
      <c r="J25" s="35"/>
    </row>
    <row r="26" spans="2:10" x14ac:dyDescent="0.25">
      <c r="B26" s="8" t="s">
        <v>2216</v>
      </c>
      <c r="C26" s="56" t="s">
        <v>2217</v>
      </c>
      <c r="D26" s="53" t="s">
        <v>2218</v>
      </c>
      <c r="E26" s="6" t="s">
        <v>94</v>
      </c>
      <c r="F26" s="19">
        <v>500000</v>
      </c>
      <c r="G26" s="24">
        <v>2412.75</v>
      </c>
      <c r="H26" s="24">
        <v>1.61</v>
      </c>
      <c r="I26" s="31"/>
      <c r="J26" s="35"/>
    </row>
    <row r="27" spans="2:10" x14ac:dyDescent="0.25">
      <c r="B27" s="8" t="s">
        <v>460</v>
      </c>
      <c r="C27" s="56" t="s">
        <v>461</v>
      </c>
      <c r="D27" s="53" t="s">
        <v>462</v>
      </c>
      <c r="E27" s="6" t="s">
        <v>51</v>
      </c>
      <c r="F27" s="19">
        <v>1028969</v>
      </c>
      <c r="G27" s="24">
        <v>2329.0700000000002</v>
      </c>
      <c r="H27" s="24">
        <v>1.56</v>
      </c>
      <c r="I27" s="31"/>
      <c r="J27" s="35"/>
    </row>
    <row r="28" spans="2:10" x14ac:dyDescent="0.25">
      <c r="B28" s="8" t="s">
        <v>102</v>
      </c>
      <c r="C28" s="56" t="s">
        <v>103</v>
      </c>
      <c r="D28" s="53" t="s">
        <v>104</v>
      </c>
      <c r="E28" s="6" t="s">
        <v>94</v>
      </c>
      <c r="F28" s="19">
        <v>350000</v>
      </c>
      <c r="G28" s="24">
        <v>1957.9</v>
      </c>
      <c r="H28" s="24">
        <v>1.31</v>
      </c>
      <c r="I28" s="31"/>
      <c r="J28" s="35"/>
    </row>
    <row r="29" spans="2:10" x14ac:dyDescent="0.25">
      <c r="B29" s="8" t="s">
        <v>316</v>
      </c>
      <c r="C29" s="56" t="s">
        <v>317</v>
      </c>
      <c r="D29" s="53" t="s">
        <v>318</v>
      </c>
      <c r="E29" s="6" t="s">
        <v>94</v>
      </c>
      <c r="F29" s="19">
        <v>73176</v>
      </c>
      <c r="G29" s="24">
        <v>900.06</v>
      </c>
      <c r="H29" s="24">
        <v>0.6</v>
      </c>
      <c r="I29" s="31"/>
      <c r="J29" s="35" t="s">
        <v>3420</v>
      </c>
    </row>
    <row r="30" spans="2:10" x14ac:dyDescent="0.25">
      <c r="B30" s="8" t="s">
        <v>1641</v>
      </c>
      <c r="C30" s="56" t="s">
        <v>125</v>
      </c>
      <c r="D30" s="53" t="s">
        <v>1642</v>
      </c>
      <c r="E30" s="6" t="s">
        <v>94</v>
      </c>
      <c r="F30" s="19">
        <v>294000</v>
      </c>
      <c r="G30" s="24">
        <v>877.59</v>
      </c>
      <c r="H30" s="24">
        <v>0.59</v>
      </c>
      <c r="I30" s="31"/>
      <c r="J30" s="35" t="s">
        <v>1643</v>
      </c>
    </row>
    <row r="31" spans="2:10" x14ac:dyDescent="0.25">
      <c r="C31" s="57" t="s">
        <v>35</v>
      </c>
      <c r="D31" s="53"/>
      <c r="E31" s="6"/>
      <c r="F31" s="19"/>
      <c r="G31" s="25">
        <f>SUM(XDO_?FINAL_MV?251?)</f>
        <v>144242.66</v>
      </c>
      <c r="H31" s="25">
        <f>SUM(XDO_?FINAL_PER_NET?251?)</f>
        <v>96.480000000000018</v>
      </c>
      <c r="I31" s="31"/>
      <c r="J31" s="35"/>
    </row>
    <row r="32" spans="2:10" x14ac:dyDescent="0.25">
      <c r="C32" s="56"/>
      <c r="D32" s="53"/>
      <c r="E32" s="6"/>
      <c r="F32" s="19"/>
      <c r="G32" s="24"/>
      <c r="H32" s="24"/>
      <c r="I32" s="31"/>
      <c r="J32" s="35"/>
    </row>
    <row r="33" spans="3:10" x14ac:dyDescent="0.25">
      <c r="C33" s="59" t="s">
        <v>3</v>
      </c>
      <c r="D33" s="53"/>
      <c r="E33" s="6"/>
      <c r="F33" s="19"/>
      <c r="G33" s="24" t="s">
        <v>2</v>
      </c>
      <c r="H33" s="24" t="s">
        <v>2</v>
      </c>
      <c r="I33" s="31"/>
      <c r="J33" s="35"/>
    </row>
    <row r="34" spans="3:10" x14ac:dyDescent="0.25">
      <c r="C34" s="56"/>
      <c r="D34" s="53"/>
      <c r="E34" s="6"/>
      <c r="F34" s="19"/>
      <c r="G34" s="24"/>
      <c r="H34" s="24"/>
      <c r="I34" s="31"/>
      <c r="J34" s="35"/>
    </row>
    <row r="35" spans="3:10" x14ac:dyDescent="0.25">
      <c r="C35" s="57" t="s">
        <v>4</v>
      </c>
      <c r="D35" s="53"/>
      <c r="E35" s="6"/>
      <c r="F35" s="19"/>
      <c r="G35" s="24" t="s">
        <v>2</v>
      </c>
      <c r="H35" s="24" t="s">
        <v>2</v>
      </c>
      <c r="I35" s="31"/>
      <c r="J35" s="35"/>
    </row>
    <row r="36" spans="3:10" x14ac:dyDescent="0.25">
      <c r="C36" s="56"/>
      <c r="D36" s="53"/>
      <c r="E36" s="6"/>
      <c r="F36" s="19"/>
      <c r="G36" s="24"/>
      <c r="H36" s="24"/>
      <c r="I36" s="31"/>
      <c r="J36" s="35"/>
    </row>
    <row r="37" spans="3:10" x14ac:dyDescent="0.25">
      <c r="C37" s="57" t="s">
        <v>5</v>
      </c>
      <c r="D37" s="53"/>
      <c r="E37" s="6"/>
      <c r="F37" s="19"/>
      <c r="G37" s="24"/>
      <c r="H37" s="24"/>
      <c r="I37" s="31"/>
      <c r="J37" s="35"/>
    </row>
    <row r="38" spans="3:10" x14ac:dyDescent="0.25">
      <c r="C38" s="56"/>
      <c r="D38" s="53"/>
      <c r="E38" s="6"/>
      <c r="F38" s="19"/>
      <c r="G38" s="24"/>
      <c r="H38" s="24"/>
      <c r="I38" s="31"/>
      <c r="J38" s="35"/>
    </row>
    <row r="39" spans="3:10" x14ac:dyDescent="0.25">
      <c r="C39" s="57" t="s">
        <v>6</v>
      </c>
      <c r="D39" s="53"/>
      <c r="E39" s="6"/>
      <c r="F39" s="19"/>
      <c r="G39" s="24" t="s">
        <v>2</v>
      </c>
      <c r="H39" s="24" t="s">
        <v>2</v>
      </c>
      <c r="I39" s="31"/>
      <c r="J39" s="35"/>
    </row>
    <row r="40" spans="3:10" x14ac:dyDescent="0.25">
      <c r="C40" s="56"/>
      <c r="D40" s="53"/>
      <c r="E40" s="6"/>
      <c r="F40" s="19"/>
      <c r="G40" s="24"/>
      <c r="H40" s="24"/>
      <c r="I40" s="31"/>
      <c r="J40" s="35"/>
    </row>
    <row r="41" spans="3:10" x14ac:dyDescent="0.25">
      <c r="C41" s="57" t="s">
        <v>7</v>
      </c>
      <c r="D41" s="53"/>
      <c r="E41" s="6"/>
      <c r="F41" s="19"/>
      <c r="G41" s="24" t="s">
        <v>2</v>
      </c>
      <c r="H41" s="24" t="s">
        <v>2</v>
      </c>
      <c r="I41" s="31"/>
      <c r="J41" s="35"/>
    </row>
    <row r="42" spans="3:10" x14ac:dyDescent="0.25">
      <c r="C42" s="56"/>
      <c r="D42" s="53"/>
      <c r="E42" s="6"/>
      <c r="F42" s="19"/>
      <c r="G42" s="24"/>
      <c r="H42" s="24"/>
      <c r="I42" s="31"/>
      <c r="J42" s="35"/>
    </row>
    <row r="43" spans="3:10" x14ac:dyDescent="0.25">
      <c r="C43" s="57" t="s">
        <v>8</v>
      </c>
      <c r="D43" s="53"/>
      <c r="E43" s="6"/>
      <c r="F43" s="19"/>
      <c r="G43" s="24" t="s">
        <v>2</v>
      </c>
      <c r="H43" s="24" t="s">
        <v>2</v>
      </c>
      <c r="I43" s="31"/>
      <c r="J43" s="35"/>
    </row>
    <row r="44" spans="3:10" x14ac:dyDescent="0.25">
      <c r="C44" s="56"/>
      <c r="D44" s="53"/>
      <c r="E44" s="6"/>
      <c r="F44" s="19"/>
      <c r="G44" s="24"/>
      <c r="H44" s="24"/>
      <c r="I44" s="31"/>
      <c r="J44" s="35"/>
    </row>
    <row r="45" spans="3:10" x14ac:dyDescent="0.25">
      <c r="C45" s="57" t="s">
        <v>9</v>
      </c>
      <c r="D45" s="53"/>
      <c r="E45" s="6"/>
      <c r="F45" s="19"/>
      <c r="G45" s="24" t="s">
        <v>2</v>
      </c>
      <c r="H45" s="24" t="s">
        <v>2</v>
      </c>
      <c r="I45" s="31"/>
      <c r="J45" s="35"/>
    </row>
    <row r="46" spans="3:10" x14ac:dyDescent="0.25">
      <c r="C46" s="56"/>
      <c r="D46" s="53"/>
      <c r="E46" s="6"/>
      <c r="F46" s="19"/>
      <c r="G46" s="24"/>
      <c r="H46" s="24"/>
      <c r="I46" s="31"/>
      <c r="J46" s="35"/>
    </row>
    <row r="47" spans="3:10" x14ac:dyDescent="0.25">
      <c r="C47" s="57" t="s">
        <v>10</v>
      </c>
      <c r="D47" s="53"/>
      <c r="E47" s="6"/>
      <c r="F47" s="19"/>
      <c r="G47" s="24" t="s">
        <v>2</v>
      </c>
      <c r="H47" s="24" t="s">
        <v>2</v>
      </c>
      <c r="I47" s="31"/>
      <c r="J47" s="35"/>
    </row>
    <row r="48" spans="3:10" x14ac:dyDescent="0.25">
      <c r="C48" s="56"/>
      <c r="D48" s="53"/>
      <c r="E48" s="6"/>
      <c r="F48" s="19"/>
      <c r="G48" s="24"/>
      <c r="H48" s="24"/>
      <c r="I48" s="31"/>
      <c r="J48" s="35"/>
    </row>
    <row r="49" spans="1:10" x14ac:dyDescent="0.25">
      <c r="C49" s="57" t="s">
        <v>11</v>
      </c>
      <c r="D49" s="53"/>
      <c r="E49" s="6"/>
      <c r="F49" s="19"/>
      <c r="G49" s="24"/>
      <c r="H49" s="24"/>
      <c r="I49" s="31"/>
      <c r="J49" s="35"/>
    </row>
    <row r="50" spans="1:10" x14ac:dyDescent="0.25">
      <c r="C50" s="56"/>
      <c r="D50" s="53"/>
      <c r="E50" s="6"/>
      <c r="F50" s="19"/>
      <c r="G50" s="24"/>
      <c r="H50" s="24"/>
      <c r="I50" s="31"/>
      <c r="J50" s="35"/>
    </row>
    <row r="51" spans="1:10" x14ac:dyDescent="0.25">
      <c r="C51" s="57" t="s">
        <v>13</v>
      </c>
      <c r="D51" s="53"/>
      <c r="E51" s="6"/>
      <c r="F51" s="19"/>
      <c r="G51" s="24" t="s">
        <v>2</v>
      </c>
      <c r="H51" s="24" t="s">
        <v>2</v>
      </c>
      <c r="I51" s="31"/>
      <c r="J51" s="35"/>
    </row>
    <row r="52" spans="1:10" x14ac:dyDescent="0.25">
      <c r="C52" s="56"/>
      <c r="D52" s="53"/>
      <c r="E52" s="6"/>
      <c r="F52" s="19"/>
      <c r="G52" s="24"/>
      <c r="H52" s="24"/>
      <c r="I52" s="31"/>
      <c r="J52" s="35"/>
    </row>
    <row r="53" spans="1:10" x14ac:dyDescent="0.25">
      <c r="C53" s="57" t="s">
        <v>14</v>
      </c>
      <c r="D53" s="53"/>
      <c r="E53" s="6"/>
      <c r="F53" s="19"/>
      <c r="G53" s="24" t="s">
        <v>2</v>
      </c>
      <c r="H53" s="24" t="s">
        <v>2</v>
      </c>
      <c r="I53" s="31"/>
      <c r="J53" s="35"/>
    </row>
    <row r="54" spans="1:10" x14ac:dyDescent="0.25">
      <c r="C54" s="56"/>
      <c r="D54" s="53"/>
      <c r="E54" s="6"/>
      <c r="F54" s="19"/>
      <c r="G54" s="24"/>
      <c r="H54" s="24"/>
      <c r="I54" s="31"/>
      <c r="J54" s="35"/>
    </row>
    <row r="55" spans="1:10" x14ac:dyDescent="0.25">
      <c r="C55" s="57" t="s">
        <v>15</v>
      </c>
      <c r="D55" s="53"/>
      <c r="E55" s="6"/>
      <c r="F55" s="19"/>
      <c r="G55" s="24" t="s">
        <v>2</v>
      </c>
      <c r="H55" s="24" t="s">
        <v>2</v>
      </c>
      <c r="I55" s="31"/>
      <c r="J55" s="35"/>
    </row>
    <row r="56" spans="1:10" x14ac:dyDescent="0.25">
      <c r="C56" s="56"/>
      <c r="D56" s="53"/>
      <c r="E56" s="6"/>
      <c r="F56" s="19"/>
      <c r="G56" s="24"/>
      <c r="H56" s="24"/>
      <c r="I56" s="31"/>
      <c r="J56" s="35"/>
    </row>
    <row r="57" spans="1:10" x14ac:dyDescent="0.25">
      <c r="C57" s="57" t="s">
        <v>16</v>
      </c>
      <c r="D57" s="53"/>
      <c r="E57" s="6"/>
      <c r="F57" s="19"/>
      <c r="G57" s="24" t="s">
        <v>2</v>
      </c>
      <c r="H57" s="24" t="s">
        <v>2</v>
      </c>
      <c r="I57" s="31"/>
      <c r="J57" s="35"/>
    </row>
    <row r="58" spans="1:10" x14ac:dyDescent="0.25">
      <c r="C58" s="56"/>
      <c r="D58" s="53"/>
      <c r="E58" s="6"/>
      <c r="F58" s="19"/>
      <c r="G58" s="24"/>
      <c r="H58" s="24"/>
      <c r="I58" s="31"/>
      <c r="J58" s="35"/>
    </row>
    <row r="59" spans="1:10" x14ac:dyDescent="0.25">
      <c r="A59" s="10"/>
      <c r="B59" s="28"/>
      <c r="C59" s="58" t="s">
        <v>17</v>
      </c>
      <c r="D59" s="53"/>
      <c r="E59" s="6"/>
      <c r="F59" s="19"/>
      <c r="G59" s="24"/>
      <c r="H59" s="24"/>
      <c r="I59" s="31"/>
      <c r="J59" s="35"/>
    </row>
    <row r="60" spans="1:10" x14ac:dyDescent="0.25">
      <c r="A60" s="28"/>
      <c r="B60" s="28"/>
      <c r="C60" s="58" t="s">
        <v>18</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19</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20</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21</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C68" s="59" t="s">
        <v>22</v>
      </c>
      <c r="D68" s="53"/>
      <c r="E68" s="6"/>
      <c r="F68" s="19"/>
      <c r="G68" s="24"/>
      <c r="H68" s="24"/>
      <c r="I68" s="31"/>
      <c r="J68" s="35"/>
    </row>
    <row r="69" spans="1:10" x14ac:dyDescent="0.25">
      <c r="B69" s="8" t="s">
        <v>33</v>
      </c>
      <c r="C69" s="56" t="s">
        <v>34</v>
      </c>
      <c r="D69" s="53"/>
      <c r="E69" s="6"/>
      <c r="F69" s="19"/>
      <c r="G69" s="24">
        <v>5774.78</v>
      </c>
      <c r="H69" s="24">
        <v>3.86</v>
      </c>
      <c r="I69" s="31"/>
      <c r="J69" s="35"/>
    </row>
    <row r="70" spans="1:10" x14ac:dyDescent="0.25">
      <c r="C70" s="57" t="s">
        <v>35</v>
      </c>
      <c r="D70" s="53"/>
      <c r="E70" s="6"/>
      <c r="F70" s="19"/>
      <c r="G70" s="25">
        <v>5774.78</v>
      </c>
      <c r="H70" s="25">
        <v>3.86</v>
      </c>
      <c r="I70" s="31"/>
      <c r="J70" s="35"/>
    </row>
    <row r="71" spans="1:10" x14ac:dyDescent="0.25">
      <c r="C71" s="56"/>
      <c r="D71" s="53"/>
      <c r="E71" s="6"/>
      <c r="F71" s="19"/>
      <c r="G71" s="24"/>
      <c r="H71" s="24"/>
      <c r="I71" s="31"/>
      <c r="J71" s="35"/>
    </row>
    <row r="72" spans="1:10" x14ac:dyDescent="0.25">
      <c r="A72" s="10"/>
      <c r="B72" s="28"/>
      <c r="C72" s="58" t="s">
        <v>23</v>
      </c>
      <c r="D72" s="53"/>
      <c r="E72" s="6"/>
      <c r="F72" s="19"/>
      <c r="G72" s="24"/>
      <c r="H72" s="24"/>
      <c r="I72" s="31"/>
      <c r="J72" s="35"/>
    </row>
    <row r="73" spans="1:10" x14ac:dyDescent="0.25">
      <c r="A73" s="28"/>
      <c r="B73" s="28"/>
      <c r="C73" s="60" t="s">
        <v>3398</v>
      </c>
      <c r="D73" s="53"/>
      <c r="E73" s="6"/>
      <c r="F73" s="19"/>
      <c r="G73" s="24" t="s">
        <v>2</v>
      </c>
      <c r="H73" s="24" t="s">
        <v>2</v>
      </c>
      <c r="I73" s="31"/>
      <c r="J73" s="35"/>
    </row>
    <row r="74" spans="1:10" x14ac:dyDescent="0.25">
      <c r="B74" s="8"/>
      <c r="C74" s="56" t="s">
        <v>36</v>
      </c>
      <c r="D74" s="53"/>
      <c r="E74" s="6"/>
      <c r="F74" s="19"/>
      <c r="G74" s="24">
        <v>-498.14</v>
      </c>
      <c r="H74" s="24">
        <v>-0.34</v>
      </c>
      <c r="I74" s="31"/>
      <c r="J74" s="35"/>
    </row>
    <row r="75" spans="1:10" x14ac:dyDescent="0.25">
      <c r="C75" s="57" t="s">
        <v>35</v>
      </c>
      <c r="D75" s="53"/>
      <c r="E75" s="6"/>
      <c r="F75" s="19"/>
      <c r="G75" s="25">
        <v>-498.14</v>
      </c>
      <c r="H75" s="25">
        <v>-0.34</v>
      </c>
      <c r="I75" s="31"/>
      <c r="J75" s="35"/>
    </row>
    <row r="76" spans="1:10" x14ac:dyDescent="0.25">
      <c r="C76" s="56"/>
      <c r="D76" s="53"/>
      <c r="E76" s="6"/>
      <c r="F76" s="19"/>
      <c r="G76" s="24"/>
      <c r="H76" s="24"/>
      <c r="I76" s="31"/>
      <c r="J76" s="35"/>
    </row>
    <row r="77" spans="1:10" x14ac:dyDescent="0.25">
      <c r="C77" s="61" t="s">
        <v>37</v>
      </c>
      <c r="D77" s="54"/>
      <c r="E77" s="5"/>
      <c r="F77" s="20"/>
      <c r="G77" s="26">
        <v>149519.29999999999</v>
      </c>
      <c r="H77" s="26">
        <f>SUMIFS(H:H,C:C,"Total")</f>
        <v>100.00000000000001</v>
      </c>
      <c r="I77" s="32"/>
      <c r="J77" s="36"/>
    </row>
    <row r="80" spans="1:10" x14ac:dyDescent="0.25">
      <c r="C80" s="1" t="s">
        <v>38</v>
      </c>
    </row>
    <row r="81" spans="3:3" x14ac:dyDescent="0.25">
      <c r="C81" s="2" t="s">
        <v>39</v>
      </c>
    </row>
    <row r="82" spans="3:3" x14ac:dyDescent="0.25">
      <c r="C82" s="2" t="s">
        <v>40</v>
      </c>
    </row>
    <row r="83" spans="3:3" x14ac:dyDescent="0.25">
      <c r="C83" s="2" t="s">
        <v>3430</v>
      </c>
    </row>
  </sheetData>
  <hyperlinks>
    <hyperlink ref="J2" location="'Index'!A1" display="'Index'!A1"/>
  </hyperlinks>
  <pageMargins left="0.7" right="0.7" top="0.75" bottom="0.75" header="0.3" footer="0.3"/>
  <pageSetup orientation="portrait" horizontalDpi="4294967293"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4"/>
  <dimension ref="A1:J9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1904</v>
      </c>
      <c r="J2" s="37" t="s">
        <v>3307</v>
      </c>
    </row>
    <row r="3" spans="1:10" ht="16.5" x14ac:dyDescent="0.3">
      <c r="C3" s="1" t="s">
        <v>24</v>
      </c>
      <c r="D3" s="21" t="s">
        <v>2219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227647</v>
      </c>
      <c r="G10" s="24">
        <v>5086.43</v>
      </c>
      <c r="H10" s="24">
        <v>8.85</v>
      </c>
      <c r="I10" s="31"/>
      <c r="J10" s="35"/>
    </row>
    <row r="11" spans="1:10" x14ac:dyDescent="0.25">
      <c r="B11" s="8" t="s">
        <v>48</v>
      </c>
      <c r="C11" s="56" t="s">
        <v>49</v>
      </c>
      <c r="D11" s="53" t="s">
        <v>50</v>
      </c>
      <c r="E11" s="6" t="s">
        <v>51</v>
      </c>
      <c r="F11" s="19">
        <v>305561</v>
      </c>
      <c r="G11" s="24">
        <v>3295.78</v>
      </c>
      <c r="H11" s="24">
        <v>5.73</v>
      </c>
      <c r="I11" s="31"/>
      <c r="J11" s="35"/>
    </row>
    <row r="12" spans="1:10" x14ac:dyDescent="0.25">
      <c r="B12" s="8" t="s">
        <v>44</v>
      </c>
      <c r="C12" s="56" t="s">
        <v>45</v>
      </c>
      <c r="D12" s="53" t="s">
        <v>46</v>
      </c>
      <c r="E12" s="6" t="s">
        <v>47</v>
      </c>
      <c r="F12" s="19">
        <v>269568</v>
      </c>
      <c r="G12" s="24">
        <v>2717.92</v>
      </c>
      <c r="H12" s="24">
        <v>4.7300000000000004</v>
      </c>
      <c r="I12" s="31"/>
      <c r="J12" s="35"/>
    </row>
    <row r="13" spans="1:10" x14ac:dyDescent="0.25">
      <c r="B13" s="8" t="s">
        <v>124</v>
      </c>
      <c r="C13" s="56" t="s">
        <v>125</v>
      </c>
      <c r="D13" s="53" t="s">
        <v>126</v>
      </c>
      <c r="E13" s="6" t="s">
        <v>94</v>
      </c>
      <c r="F13" s="19">
        <v>123879</v>
      </c>
      <c r="G13" s="24">
        <v>2155.56</v>
      </c>
      <c r="H13" s="24">
        <v>3.75</v>
      </c>
      <c r="I13" s="31"/>
      <c r="J13" s="35"/>
    </row>
    <row r="14" spans="1:10" x14ac:dyDescent="0.25">
      <c r="B14" s="8" t="s">
        <v>56</v>
      </c>
      <c r="C14" s="56" t="s">
        <v>57</v>
      </c>
      <c r="D14" s="53" t="s">
        <v>58</v>
      </c>
      <c r="E14" s="6" t="s">
        <v>47</v>
      </c>
      <c r="F14" s="19">
        <v>75746</v>
      </c>
      <c r="G14" s="24">
        <v>1887.82</v>
      </c>
      <c r="H14" s="24">
        <v>3.28</v>
      </c>
      <c r="I14" s="31"/>
      <c r="J14" s="35"/>
    </row>
    <row r="15" spans="1:10" x14ac:dyDescent="0.25">
      <c r="B15" s="8" t="s">
        <v>62</v>
      </c>
      <c r="C15" s="56" t="s">
        <v>63</v>
      </c>
      <c r="D15" s="53" t="s">
        <v>64</v>
      </c>
      <c r="E15" s="6" t="s">
        <v>51</v>
      </c>
      <c r="F15" s="19">
        <v>462359</v>
      </c>
      <c r="G15" s="24">
        <v>1640.22</v>
      </c>
      <c r="H15" s="24">
        <v>2.85</v>
      </c>
      <c r="I15" s="31"/>
      <c r="J15" s="35"/>
    </row>
    <row r="16" spans="1:10" x14ac:dyDescent="0.25">
      <c r="B16" s="8" t="s">
        <v>59</v>
      </c>
      <c r="C16" s="56" t="s">
        <v>60</v>
      </c>
      <c r="D16" s="53" t="s">
        <v>61</v>
      </c>
      <c r="E16" s="6" t="s">
        <v>51</v>
      </c>
      <c r="F16" s="19">
        <v>85091</v>
      </c>
      <c r="G16" s="24">
        <v>1079.1199999999999</v>
      </c>
      <c r="H16" s="24">
        <v>1.88</v>
      </c>
      <c r="I16" s="31"/>
      <c r="J16" s="35"/>
    </row>
    <row r="17" spans="2:10" x14ac:dyDescent="0.25">
      <c r="B17" s="8" t="s">
        <v>127</v>
      </c>
      <c r="C17" s="56" t="s">
        <v>128</v>
      </c>
      <c r="D17" s="53" t="s">
        <v>129</v>
      </c>
      <c r="E17" s="6" t="s">
        <v>90</v>
      </c>
      <c r="F17" s="19">
        <v>51473</v>
      </c>
      <c r="G17" s="24">
        <v>1064.5899999999999</v>
      </c>
      <c r="H17" s="24">
        <v>1.85</v>
      </c>
      <c r="I17" s="31"/>
      <c r="J17" s="35"/>
    </row>
    <row r="18" spans="2:10" x14ac:dyDescent="0.25">
      <c r="B18" s="8" t="s">
        <v>354</v>
      </c>
      <c r="C18" s="56" t="s">
        <v>355</v>
      </c>
      <c r="D18" s="53" t="s">
        <v>356</v>
      </c>
      <c r="E18" s="6" t="s">
        <v>90</v>
      </c>
      <c r="F18" s="19">
        <v>614578</v>
      </c>
      <c r="G18" s="24">
        <v>1055.23</v>
      </c>
      <c r="H18" s="24">
        <v>1.84</v>
      </c>
      <c r="I18" s="31"/>
      <c r="J18" s="35"/>
    </row>
    <row r="19" spans="2:10" x14ac:dyDescent="0.25">
      <c r="B19" s="8" t="s">
        <v>76</v>
      </c>
      <c r="C19" s="56" t="s">
        <v>77</v>
      </c>
      <c r="D19" s="53" t="s">
        <v>78</v>
      </c>
      <c r="E19" s="6" t="s">
        <v>79</v>
      </c>
      <c r="F19" s="19">
        <v>87903</v>
      </c>
      <c r="G19" s="24">
        <v>792.53</v>
      </c>
      <c r="H19" s="24">
        <v>1.38</v>
      </c>
      <c r="I19" s="31"/>
      <c r="J19" s="35"/>
    </row>
    <row r="20" spans="2:10" x14ac:dyDescent="0.25">
      <c r="B20" s="8" t="s">
        <v>73</v>
      </c>
      <c r="C20" s="56" t="s">
        <v>74</v>
      </c>
      <c r="D20" s="53" t="s">
        <v>75</v>
      </c>
      <c r="E20" s="6" t="s">
        <v>51</v>
      </c>
      <c r="F20" s="19">
        <v>164692</v>
      </c>
      <c r="G20" s="24">
        <v>699.36</v>
      </c>
      <c r="H20" s="24">
        <v>1.22</v>
      </c>
      <c r="I20" s="31"/>
      <c r="J20" s="35"/>
    </row>
    <row r="21" spans="2:10" x14ac:dyDescent="0.25">
      <c r="B21" s="8" t="s">
        <v>409</v>
      </c>
      <c r="C21" s="56" t="s">
        <v>410</v>
      </c>
      <c r="D21" s="53" t="s">
        <v>411</v>
      </c>
      <c r="E21" s="6" t="s">
        <v>98</v>
      </c>
      <c r="F21" s="19">
        <v>9582</v>
      </c>
      <c r="G21" s="24">
        <v>646.16</v>
      </c>
      <c r="H21" s="24">
        <v>1.1200000000000001</v>
      </c>
      <c r="I21" s="31"/>
      <c r="J21" s="35"/>
    </row>
    <row r="22" spans="2:10" x14ac:dyDescent="0.25">
      <c r="B22" s="8" t="s">
        <v>704</v>
      </c>
      <c r="C22" s="56" t="s">
        <v>705</v>
      </c>
      <c r="D22" s="53" t="s">
        <v>706</v>
      </c>
      <c r="E22" s="6" t="s">
        <v>90</v>
      </c>
      <c r="F22" s="19">
        <v>32487</v>
      </c>
      <c r="G22" s="24">
        <v>645.32000000000005</v>
      </c>
      <c r="H22" s="24">
        <v>1.1200000000000001</v>
      </c>
      <c r="I22" s="31"/>
      <c r="J22" s="35"/>
    </row>
    <row r="23" spans="2:10" x14ac:dyDescent="0.25">
      <c r="B23" s="8" t="s">
        <v>133</v>
      </c>
      <c r="C23" s="56" t="s">
        <v>134</v>
      </c>
      <c r="D23" s="53" t="s">
        <v>135</v>
      </c>
      <c r="E23" s="6" t="s">
        <v>47</v>
      </c>
      <c r="F23" s="19">
        <v>78175</v>
      </c>
      <c r="G23" s="24">
        <v>634.47</v>
      </c>
      <c r="H23" s="24">
        <v>1.1000000000000001</v>
      </c>
      <c r="I23" s="31"/>
      <c r="J23" s="35"/>
    </row>
    <row r="24" spans="2:10" x14ac:dyDescent="0.25">
      <c r="B24" s="8" t="s">
        <v>91</v>
      </c>
      <c r="C24" s="56" t="s">
        <v>92</v>
      </c>
      <c r="D24" s="53" t="s">
        <v>93</v>
      </c>
      <c r="E24" s="6" t="s">
        <v>94</v>
      </c>
      <c r="F24" s="19">
        <v>17785</v>
      </c>
      <c r="G24" s="24">
        <v>583.1</v>
      </c>
      <c r="H24" s="24">
        <v>1.01</v>
      </c>
      <c r="I24" s="31"/>
      <c r="J24" s="35"/>
    </row>
    <row r="25" spans="2:10" x14ac:dyDescent="0.25">
      <c r="B25" s="8" t="s">
        <v>65</v>
      </c>
      <c r="C25" s="56" t="s">
        <v>66</v>
      </c>
      <c r="D25" s="53" t="s">
        <v>67</v>
      </c>
      <c r="E25" s="6" t="s">
        <v>68</v>
      </c>
      <c r="F25" s="19">
        <v>136602</v>
      </c>
      <c r="G25" s="24">
        <v>575.03</v>
      </c>
      <c r="H25" s="24">
        <v>1</v>
      </c>
      <c r="I25" s="31"/>
      <c r="J25" s="35"/>
    </row>
    <row r="26" spans="2:10" x14ac:dyDescent="0.25">
      <c r="B26" s="8" t="s">
        <v>164</v>
      </c>
      <c r="C26" s="56" t="s">
        <v>165</v>
      </c>
      <c r="D26" s="53" t="s">
        <v>166</v>
      </c>
      <c r="E26" s="6" t="s">
        <v>51</v>
      </c>
      <c r="F26" s="19">
        <v>270279</v>
      </c>
      <c r="G26" s="24">
        <v>501.1</v>
      </c>
      <c r="H26" s="24">
        <v>0.87</v>
      </c>
      <c r="I26" s="31"/>
      <c r="J26" s="35"/>
    </row>
    <row r="27" spans="2:10" x14ac:dyDescent="0.25">
      <c r="B27" s="8" t="s">
        <v>95</v>
      </c>
      <c r="C27" s="56" t="s">
        <v>96</v>
      </c>
      <c r="D27" s="53" t="s">
        <v>97</v>
      </c>
      <c r="E27" s="6" t="s">
        <v>98</v>
      </c>
      <c r="F27" s="19">
        <v>68923</v>
      </c>
      <c r="G27" s="24">
        <v>418.98</v>
      </c>
      <c r="H27" s="24">
        <v>0.73</v>
      </c>
      <c r="I27" s="31"/>
      <c r="J27" s="35"/>
    </row>
    <row r="28" spans="2:10" x14ac:dyDescent="0.25">
      <c r="B28" s="8" t="s">
        <v>406</v>
      </c>
      <c r="C28" s="56" t="s">
        <v>407</v>
      </c>
      <c r="D28" s="53" t="s">
        <v>408</v>
      </c>
      <c r="E28" s="6" t="s">
        <v>90</v>
      </c>
      <c r="F28" s="19">
        <v>2572</v>
      </c>
      <c r="G28" s="24">
        <v>409.43</v>
      </c>
      <c r="H28" s="24">
        <v>0.71</v>
      </c>
      <c r="I28" s="31"/>
      <c r="J28" s="35"/>
    </row>
    <row r="29" spans="2:10" x14ac:dyDescent="0.25">
      <c r="B29" s="8" t="s">
        <v>245</v>
      </c>
      <c r="C29" s="56" t="s">
        <v>246</v>
      </c>
      <c r="D29" s="53" t="s">
        <v>247</v>
      </c>
      <c r="E29" s="6" t="s">
        <v>111</v>
      </c>
      <c r="F29" s="19">
        <v>77841</v>
      </c>
      <c r="G29" s="24">
        <v>389.56</v>
      </c>
      <c r="H29" s="24">
        <v>0.68</v>
      </c>
      <c r="I29" s="31"/>
      <c r="J29" s="35"/>
    </row>
    <row r="30" spans="2:10" x14ac:dyDescent="0.25">
      <c r="B30" s="8" t="s">
        <v>80</v>
      </c>
      <c r="C30" s="56" t="s">
        <v>81</v>
      </c>
      <c r="D30" s="53" t="s">
        <v>82</v>
      </c>
      <c r="E30" s="6" t="s">
        <v>83</v>
      </c>
      <c r="F30" s="19">
        <v>30104</v>
      </c>
      <c r="G30" s="24">
        <v>361.65</v>
      </c>
      <c r="H30" s="24">
        <v>0.63</v>
      </c>
      <c r="I30" s="31"/>
      <c r="J30" s="35"/>
    </row>
    <row r="31" spans="2:10" x14ac:dyDescent="0.25">
      <c r="B31" s="8" t="s">
        <v>327</v>
      </c>
      <c r="C31" s="56" t="s">
        <v>328</v>
      </c>
      <c r="D31" s="53" t="s">
        <v>329</v>
      </c>
      <c r="E31" s="6" t="s">
        <v>47</v>
      </c>
      <c r="F31" s="19">
        <v>44478</v>
      </c>
      <c r="G31" s="24">
        <v>352.15</v>
      </c>
      <c r="H31" s="24">
        <v>0.61</v>
      </c>
      <c r="I31" s="31"/>
      <c r="J31" s="35"/>
    </row>
    <row r="32" spans="2:10" x14ac:dyDescent="0.25">
      <c r="B32" s="8" t="s">
        <v>136</v>
      </c>
      <c r="C32" s="56" t="s">
        <v>137</v>
      </c>
      <c r="D32" s="53" t="s">
        <v>138</v>
      </c>
      <c r="E32" s="6" t="s">
        <v>41</v>
      </c>
      <c r="F32" s="19">
        <v>8118</v>
      </c>
      <c r="G32" s="24">
        <v>328.74</v>
      </c>
      <c r="H32" s="24">
        <v>0.56999999999999995</v>
      </c>
      <c r="I32" s="31"/>
      <c r="J32" s="35"/>
    </row>
    <row r="33" spans="2:10" x14ac:dyDescent="0.25">
      <c r="B33" s="8" t="s">
        <v>859</v>
      </c>
      <c r="C33" s="56" t="s">
        <v>860</v>
      </c>
      <c r="D33" s="53" t="s">
        <v>861</v>
      </c>
      <c r="E33" s="6" t="s">
        <v>98</v>
      </c>
      <c r="F33" s="19">
        <v>9351</v>
      </c>
      <c r="G33" s="24">
        <v>294.3</v>
      </c>
      <c r="H33" s="24">
        <v>0.51</v>
      </c>
      <c r="I33" s="31"/>
      <c r="J33" s="35"/>
    </row>
    <row r="34" spans="2:10" x14ac:dyDescent="0.25">
      <c r="B34" s="8" t="s">
        <v>853</v>
      </c>
      <c r="C34" s="56" t="s">
        <v>854</v>
      </c>
      <c r="D34" s="53" t="s">
        <v>855</v>
      </c>
      <c r="E34" s="6" t="s">
        <v>261</v>
      </c>
      <c r="F34" s="19">
        <v>169709</v>
      </c>
      <c r="G34" s="24">
        <v>275.69</v>
      </c>
      <c r="H34" s="24">
        <v>0.48</v>
      </c>
      <c r="I34" s="31"/>
      <c r="J34" s="35"/>
    </row>
    <row r="35" spans="2:10" x14ac:dyDescent="0.25">
      <c r="B35" s="8" t="s">
        <v>862</v>
      </c>
      <c r="C35" s="56" t="s">
        <v>863</v>
      </c>
      <c r="D35" s="53" t="s">
        <v>864</v>
      </c>
      <c r="E35" s="6" t="s">
        <v>98</v>
      </c>
      <c r="F35" s="19">
        <v>9391</v>
      </c>
      <c r="G35" s="24">
        <v>270.56</v>
      </c>
      <c r="H35" s="24">
        <v>0.47</v>
      </c>
      <c r="I35" s="31"/>
      <c r="J35" s="35"/>
    </row>
    <row r="36" spans="2:10" x14ac:dyDescent="0.25">
      <c r="B36" s="8" t="s">
        <v>856</v>
      </c>
      <c r="C36" s="56" t="s">
        <v>857</v>
      </c>
      <c r="D36" s="53" t="s">
        <v>858</v>
      </c>
      <c r="E36" s="6" t="s">
        <v>261</v>
      </c>
      <c r="F36" s="19">
        <v>306788</v>
      </c>
      <c r="G36" s="24">
        <v>261.08</v>
      </c>
      <c r="H36" s="24">
        <v>0.45</v>
      </c>
      <c r="I36" s="31"/>
      <c r="J36" s="35"/>
    </row>
    <row r="37" spans="2:10" x14ac:dyDescent="0.25">
      <c r="B37" s="8" t="s">
        <v>871</v>
      </c>
      <c r="C37" s="56" t="s">
        <v>872</v>
      </c>
      <c r="D37" s="53" t="s">
        <v>873</v>
      </c>
      <c r="E37" s="6" t="s">
        <v>51</v>
      </c>
      <c r="F37" s="19">
        <v>43470</v>
      </c>
      <c r="G37" s="24">
        <v>229.26</v>
      </c>
      <c r="H37" s="24">
        <v>0.4</v>
      </c>
      <c r="I37" s="31"/>
      <c r="J37" s="35"/>
    </row>
    <row r="38" spans="2:10" x14ac:dyDescent="0.25">
      <c r="B38" s="8" t="s">
        <v>180</v>
      </c>
      <c r="C38" s="56" t="s">
        <v>53</v>
      </c>
      <c r="D38" s="53" t="s">
        <v>181</v>
      </c>
      <c r="E38" s="6" t="s">
        <v>55</v>
      </c>
      <c r="F38" s="19">
        <v>15176</v>
      </c>
      <c r="G38" s="24">
        <v>203.89</v>
      </c>
      <c r="H38" s="24">
        <v>0.35</v>
      </c>
      <c r="I38" s="31"/>
      <c r="J38" s="35" t="s">
        <v>182</v>
      </c>
    </row>
    <row r="39" spans="2:10" x14ac:dyDescent="0.25">
      <c r="B39" s="8" t="s">
        <v>150</v>
      </c>
      <c r="C39" s="56" t="s">
        <v>151</v>
      </c>
      <c r="D39" s="53" t="s">
        <v>152</v>
      </c>
      <c r="E39" s="6" t="s">
        <v>153</v>
      </c>
      <c r="F39" s="19">
        <v>54428</v>
      </c>
      <c r="G39" s="24">
        <v>195.8</v>
      </c>
      <c r="H39" s="24">
        <v>0.34</v>
      </c>
      <c r="I39" s="31"/>
      <c r="J39" s="35"/>
    </row>
    <row r="40" spans="2:10" x14ac:dyDescent="0.25">
      <c r="B40" s="8" t="s">
        <v>839</v>
      </c>
      <c r="C40" s="56" t="s">
        <v>840</v>
      </c>
      <c r="D40" s="53" t="s">
        <v>841</v>
      </c>
      <c r="E40" s="6" t="s">
        <v>842</v>
      </c>
      <c r="F40" s="19">
        <v>226599</v>
      </c>
      <c r="G40" s="24">
        <v>156.91999999999999</v>
      </c>
      <c r="H40" s="24">
        <v>0.27</v>
      </c>
      <c r="I40" s="31"/>
      <c r="J40" s="35"/>
    </row>
    <row r="41" spans="2:10" x14ac:dyDescent="0.25">
      <c r="C41" s="57" t="s">
        <v>35</v>
      </c>
      <c r="D41" s="53"/>
      <c r="E41" s="6"/>
      <c r="F41" s="19"/>
      <c r="G41" s="25">
        <v>29207.75</v>
      </c>
      <c r="H41" s="25">
        <v>50.78</v>
      </c>
      <c r="I41" s="31"/>
      <c r="J41" s="35"/>
    </row>
    <row r="42" spans="2:10" x14ac:dyDescent="0.25">
      <c r="C42" s="56"/>
      <c r="D42" s="53"/>
      <c r="E42" s="6"/>
      <c r="F42" s="19"/>
      <c r="G42" s="24"/>
      <c r="H42" s="24"/>
      <c r="I42" s="31"/>
      <c r="J42" s="35"/>
    </row>
    <row r="43" spans="2:10" x14ac:dyDescent="0.25">
      <c r="C43" s="57" t="s">
        <v>3</v>
      </c>
      <c r="D43" s="53"/>
      <c r="E43" s="6"/>
      <c r="F43" s="19"/>
      <c r="G43" s="24" t="s">
        <v>2</v>
      </c>
      <c r="H43" s="24" t="s">
        <v>2</v>
      </c>
      <c r="I43" s="31"/>
      <c r="J43" s="35"/>
    </row>
    <row r="44" spans="2:10" x14ac:dyDescent="0.25">
      <c r="C44" s="56"/>
      <c r="D44" s="53"/>
      <c r="E44" s="6"/>
      <c r="F44" s="19"/>
      <c r="G44" s="24"/>
      <c r="H44" s="24"/>
      <c r="I44" s="31"/>
      <c r="J44" s="35"/>
    </row>
    <row r="45" spans="2:10" x14ac:dyDescent="0.25">
      <c r="C45" s="57" t="s">
        <v>4</v>
      </c>
      <c r="D45" s="53"/>
      <c r="E45" s="6"/>
      <c r="F45" s="19"/>
      <c r="G45" s="24" t="s">
        <v>2</v>
      </c>
      <c r="H45" s="24" t="s">
        <v>2</v>
      </c>
      <c r="I45" s="31"/>
      <c r="J45" s="35"/>
    </row>
    <row r="46" spans="2:10" x14ac:dyDescent="0.25">
      <c r="C46" s="56"/>
      <c r="D46" s="53"/>
      <c r="E46" s="6"/>
      <c r="F46" s="19"/>
      <c r="G46" s="24"/>
      <c r="H46" s="24"/>
      <c r="I46" s="31"/>
      <c r="J46" s="35"/>
    </row>
    <row r="47" spans="2:10" x14ac:dyDescent="0.25">
      <c r="C47" s="57" t="s">
        <v>5</v>
      </c>
      <c r="D47" s="53"/>
      <c r="E47" s="6"/>
      <c r="F47" s="19"/>
      <c r="G47" s="24"/>
      <c r="H47" s="24"/>
      <c r="I47" s="31"/>
      <c r="J47" s="35"/>
    </row>
    <row r="48" spans="2:10" x14ac:dyDescent="0.25">
      <c r="C48" s="56"/>
      <c r="D48" s="53"/>
      <c r="E48" s="6"/>
      <c r="F48" s="19"/>
      <c r="G48" s="24"/>
      <c r="H48" s="24"/>
      <c r="I48" s="31"/>
      <c r="J48" s="35"/>
    </row>
    <row r="49" spans="3:10" x14ac:dyDescent="0.25">
      <c r="C49" s="57" t="s">
        <v>6</v>
      </c>
      <c r="D49" s="53"/>
      <c r="E49" s="6"/>
      <c r="F49" s="19"/>
      <c r="G49" s="24" t="s">
        <v>2</v>
      </c>
      <c r="H49" s="24" t="s">
        <v>2</v>
      </c>
      <c r="I49" s="31"/>
      <c r="J49" s="35"/>
    </row>
    <row r="50" spans="3:10" x14ac:dyDescent="0.25">
      <c r="C50" s="56"/>
      <c r="D50" s="53"/>
      <c r="E50" s="6"/>
      <c r="F50" s="19"/>
      <c r="G50" s="24"/>
      <c r="H50" s="24"/>
      <c r="I50" s="31"/>
      <c r="J50" s="35"/>
    </row>
    <row r="51" spans="3:10" x14ac:dyDescent="0.25">
      <c r="C51" s="57" t="s">
        <v>7</v>
      </c>
      <c r="D51" s="53"/>
      <c r="E51" s="6"/>
      <c r="F51" s="19"/>
      <c r="G51" s="24" t="s">
        <v>2</v>
      </c>
      <c r="H51" s="24" t="s">
        <v>2</v>
      </c>
      <c r="I51" s="31"/>
      <c r="J51" s="35"/>
    </row>
    <row r="52" spans="3:10" x14ac:dyDescent="0.25">
      <c r="C52" s="56"/>
      <c r="D52" s="53"/>
      <c r="E52" s="6"/>
      <c r="F52" s="19"/>
      <c r="G52" s="24"/>
      <c r="H52" s="24"/>
      <c r="I52" s="31"/>
      <c r="J52" s="35"/>
    </row>
    <row r="53" spans="3:10" x14ac:dyDescent="0.25">
      <c r="C53" s="57" t="s">
        <v>8</v>
      </c>
      <c r="D53" s="53"/>
      <c r="E53" s="6"/>
      <c r="F53" s="19"/>
      <c r="G53" s="24" t="s">
        <v>2</v>
      </c>
      <c r="H53" s="24" t="s">
        <v>2</v>
      </c>
      <c r="I53" s="31"/>
      <c r="J53" s="35"/>
    </row>
    <row r="54" spans="3:10" x14ac:dyDescent="0.25">
      <c r="C54" s="56"/>
      <c r="D54" s="53"/>
      <c r="E54" s="6"/>
      <c r="F54" s="19"/>
      <c r="G54" s="24"/>
      <c r="H54" s="24"/>
      <c r="I54" s="31"/>
      <c r="J54" s="35"/>
    </row>
    <row r="55" spans="3:10" x14ac:dyDescent="0.25">
      <c r="C55" s="57" t="s">
        <v>9</v>
      </c>
      <c r="D55" s="53"/>
      <c r="E55" s="6"/>
      <c r="F55" s="19"/>
      <c r="G55" s="24" t="s">
        <v>2</v>
      </c>
      <c r="H55" s="24" t="s">
        <v>2</v>
      </c>
      <c r="I55" s="31"/>
      <c r="J55" s="35"/>
    </row>
    <row r="56" spans="3:10" x14ac:dyDescent="0.25">
      <c r="C56" s="56"/>
      <c r="D56" s="53"/>
      <c r="E56" s="6"/>
      <c r="F56" s="19"/>
      <c r="G56" s="24"/>
      <c r="H56" s="24"/>
      <c r="I56" s="31"/>
      <c r="J56" s="35"/>
    </row>
    <row r="57" spans="3:10" x14ac:dyDescent="0.25">
      <c r="C57" s="57" t="s">
        <v>10</v>
      </c>
      <c r="D57" s="53"/>
      <c r="E57" s="6"/>
      <c r="F57" s="19"/>
      <c r="G57" s="24" t="s">
        <v>2</v>
      </c>
      <c r="H57" s="24" t="s">
        <v>2</v>
      </c>
      <c r="I57" s="31"/>
      <c r="J57" s="35"/>
    </row>
    <row r="58" spans="3:10" x14ac:dyDescent="0.25">
      <c r="C58" s="56"/>
      <c r="D58" s="53"/>
      <c r="E58" s="6"/>
      <c r="F58" s="19"/>
      <c r="G58" s="24"/>
      <c r="H58" s="24"/>
      <c r="I58" s="31"/>
      <c r="J58" s="35"/>
    </row>
    <row r="59" spans="3:10" x14ac:dyDescent="0.25">
      <c r="C59" s="57" t="s">
        <v>11</v>
      </c>
      <c r="D59" s="53"/>
      <c r="E59" s="6"/>
      <c r="F59" s="19"/>
      <c r="G59" s="24"/>
      <c r="H59" s="24"/>
      <c r="I59" s="31"/>
      <c r="J59" s="35"/>
    </row>
    <row r="60" spans="3:10" x14ac:dyDescent="0.25">
      <c r="C60" s="56"/>
      <c r="D60" s="53"/>
      <c r="E60" s="6"/>
      <c r="F60" s="19"/>
      <c r="G60" s="24"/>
      <c r="H60" s="24"/>
      <c r="I60" s="31"/>
      <c r="J60" s="35"/>
    </row>
    <row r="61" spans="3:10" x14ac:dyDescent="0.25">
      <c r="C61" s="57" t="s">
        <v>13</v>
      </c>
      <c r="D61" s="53"/>
      <c r="E61" s="6"/>
      <c r="F61" s="19"/>
      <c r="G61" s="24" t="s">
        <v>2</v>
      </c>
      <c r="H61" s="24" t="s">
        <v>2</v>
      </c>
      <c r="I61" s="31"/>
      <c r="J61" s="35"/>
    </row>
    <row r="62" spans="3:10" x14ac:dyDescent="0.25">
      <c r="C62" s="56"/>
      <c r="D62" s="53"/>
      <c r="E62" s="6"/>
      <c r="F62" s="19"/>
      <c r="G62" s="24"/>
      <c r="H62" s="24"/>
      <c r="I62" s="31"/>
      <c r="J62" s="35"/>
    </row>
    <row r="63" spans="3:10" x14ac:dyDescent="0.25">
      <c r="C63" s="57" t="s">
        <v>14</v>
      </c>
      <c r="D63" s="53"/>
      <c r="E63" s="6"/>
      <c r="F63" s="19"/>
      <c r="G63" s="24" t="s">
        <v>2</v>
      </c>
      <c r="H63" s="24" t="s">
        <v>2</v>
      </c>
      <c r="I63" s="31"/>
      <c r="J63" s="35"/>
    </row>
    <row r="64" spans="3:10" x14ac:dyDescent="0.25">
      <c r="C64" s="56"/>
      <c r="D64" s="53"/>
      <c r="E64" s="6"/>
      <c r="F64" s="19"/>
      <c r="G64" s="24"/>
      <c r="H64" s="24"/>
      <c r="I64" s="31"/>
      <c r="J64" s="35"/>
    </row>
    <row r="65" spans="1:10" x14ac:dyDescent="0.25">
      <c r="C65" s="57" t="s">
        <v>15</v>
      </c>
      <c r="D65" s="53"/>
      <c r="E65" s="6"/>
      <c r="F65" s="19"/>
      <c r="G65" s="24" t="s">
        <v>2</v>
      </c>
      <c r="H65" s="24" t="s">
        <v>2</v>
      </c>
      <c r="I65" s="31"/>
      <c r="J65" s="35"/>
    </row>
    <row r="66" spans="1:10" x14ac:dyDescent="0.25">
      <c r="C66" s="56"/>
      <c r="D66" s="53"/>
      <c r="E66" s="6"/>
      <c r="F66" s="19"/>
      <c r="G66" s="24"/>
      <c r="H66" s="24"/>
      <c r="I66" s="31"/>
      <c r="J66" s="35"/>
    </row>
    <row r="67" spans="1:10" x14ac:dyDescent="0.25">
      <c r="C67" s="57" t="s">
        <v>16</v>
      </c>
      <c r="D67" s="53"/>
      <c r="E67" s="6"/>
      <c r="F67" s="19"/>
      <c r="G67" s="24" t="s">
        <v>2</v>
      </c>
      <c r="H67" s="24" t="s">
        <v>2</v>
      </c>
      <c r="I67" s="31"/>
      <c r="J67" s="35"/>
    </row>
    <row r="68" spans="1:10" x14ac:dyDescent="0.25">
      <c r="C68" s="56"/>
      <c r="D68" s="53"/>
      <c r="E68" s="6"/>
      <c r="F68" s="19"/>
      <c r="G68" s="24"/>
      <c r="H68" s="24"/>
      <c r="I68" s="31"/>
      <c r="J68" s="35"/>
    </row>
    <row r="69" spans="1:10" x14ac:dyDescent="0.25">
      <c r="A69" s="10"/>
      <c r="B69" s="28"/>
      <c r="C69" s="58" t="s">
        <v>17</v>
      </c>
      <c r="D69" s="53"/>
      <c r="E69" s="6"/>
      <c r="F69" s="19"/>
      <c r="G69" s="24"/>
      <c r="H69" s="24"/>
      <c r="I69" s="31"/>
      <c r="J69" s="35"/>
    </row>
    <row r="70" spans="1:10" x14ac:dyDescent="0.25">
      <c r="A70" s="28"/>
      <c r="B70" s="28"/>
      <c r="C70" s="58" t="s">
        <v>18</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19</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A74" s="28"/>
      <c r="B74" s="28"/>
      <c r="C74" s="58" t="s">
        <v>20</v>
      </c>
      <c r="D74" s="53"/>
      <c r="E74" s="6"/>
      <c r="F74" s="19"/>
      <c r="G74" s="24" t="s">
        <v>2</v>
      </c>
      <c r="H74" s="24" t="s">
        <v>2</v>
      </c>
      <c r="I74" s="31"/>
      <c r="J74" s="35"/>
    </row>
    <row r="75" spans="1:10" x14ac:dyDescent="0.25">
      <c r="A75" s="28"/>
      <c r="B75" s="28"/>
      <c r="C75" s="58"/>
      <c r="D75" s="53"/>
      <c r="E75" s="6"/>
      <c r="F75" s="19"/>
      <c r="G75" s="24"/>
      <c r="H75" s="24"/>
      <c r="I75" s="31"/>
      <c r="J75" s="35"/>
    </row>
    <row r="76" spans="1:10" x14ac:dyDescent="0.25">
      <c r="C76" s="59" t="s">
        <v>21</v>
      </c>
      <c r="D76" s="53"/>
      <c r="E76" s="6"/>
      <c r="F76" s="19"/>
      <c r="G76" s="24"/>
      <c r="H76" s="24"/>
      <c r="I76" s="31"/>
      <c r="J76" s="35"/>
    </row>
    <row r="77" spans="1:10" x14ac:dyDescent="0.25">
      <c r="B77" s="8" t="s">
        <v>2220</v>
      </c>
      <c r="C77" s="56" t="s">
        <v>847</v>
      </c>
      <c r="D77" s="53"/>
      <c r="E77" s="6"/>
      <c r="F77" s="19"/>
      <c r="G77" s="24">
        <v>6500</v>
      </c>
      <c r="H77" s="24">
        <v>11.31</v>
      </c>
      <c r="I77" s="31"/>
      <c r="J77" s="35"/>
    </row>
    <row r="78" spans="1:10" x14ac:dyDescent="0.25">
      <c r="C78" s="57" t="s">
        <v>35</v>
      </c>
      <c r="D78" s="53"/>
      <c r="E78" s="6"/>
      <c r="F78" s="19"/>
      <c r="G78" s="25">
        <v>6500</v>
      </c>
      <c r="H78" s="25">
        <v>11.31</v>
      </c>
      <c r="I78" s="31"/>
      <c r="J78" s="35"/>
    </row>
    <row r="79" spans="1:10" x14ac:dyDescent="0.25">
      <c r="C79" s="56"/>
      <c r="D79" s="53"/>
      <c r="E79" s="6"/>
      <c r="F79" s="19"/>
      <c r="G79" s="24"/>
      <c r="H79" s="24"/>
      <c r="I79" s="31"/>
      <c r="J79" s="35"/>
    </row>
    <row r="80" spans="1:10" x14ac:dyDescent="0.25">
      <c r="C80" s="59" t="s">
        <v>22</v>
      </c>
      <c r="D80" s="53"/>
      <c r="E80" s="6"/>
      <c r="F80" s="19"/>
      <c r="G80" s="24"/>
      <c r="H80" s="24"/>
      <c r="I80" s="31"/>
      <c r="J80" s="35"/>
    </row>
    <row r="81" spans="1:10" x14ac:dyDescent="0.25">
      <c r="B81" s="8" t="s">
        <v>33</v>
      </c>
      <c r="C81" s="56" t="s">
        <v>34</v>
      </c>
      <c r="D81" s="53"/>
      <c r="E81" s="6"/>
      <c r="F81" s="19"/>
      <c r="G81" s="24">
        <v>21936.58</v>
      </c>
      <c r="H81" s="24">
        <v>38.17</v>
      </c>
      <c r="I81" s="31"/>
      <c r="J81" s="35"/>
    </row>
    <row r="82" spans="1:10" x14ac:dyDescent="0.25">
      <c r="C82" s="57" t="s">
        <v>35</v>
      </c>
      <c r="D82" s="53"/>
      <c r="E82" s="6"/>
      <c r="F82" s="19"/>
      <c r="G82" s="25">
        <v>21936.58</v>
      </c>
      <c r="H82" s="25">
        <v>38.17</v>
      </c>
      <c r="I82" s="31"/>
      <c r="J82" s="35"/>
    </row>
    <row r="83" spans="1:10" x14ac:dyDescent="0.25">
      <c r="C83" s="56"/>
      <c r="D83" s="53"/>
      <c r="E83" s="6"/>
      <c r="F83" s="19"/>
      <c r="G83" s="24"/>
      <c r="H83" s="24"/>
      <c r="I83" s="31"/>
      <c r="J83" s="35"/>
    </row>
    <row r="84" spans="1:10" x14ac:dyDescent="0.25">
      <c r="A84" s="10"/>
      <c r="B84" s="28"/>
      <c r="C84" s="58" t="s">
        <v>23</v>
      </c>
      <c r="D84" s="53"/>
      <c r="E84" s="6"/>
      <c r="F84" s="19"/>
      <c r="G84" s="24"/>
      <c r="H84" s="24"/>
      <c r="I84" s="31"/>
      <c r="J84" s="35"/>
    </row>
    <row r="85" spans="1:10" x14ac:dyDescent="0.25">
      <c r="A85" s="28"/>
      <c r="B85" s="28"/>
      <c r="C85" s="60" t="s">
        <v>3398</v>
      </c>
      <c r="D85" s="53"/>
      <c r="E85" s="6"/>
      <c r="F85" s="19"/>
      <c r="G85" s="24" t="s">
        <v>2</v>
      </c>
      <c r="H85" s="24" t="s">
        <v>2</v>
      </c>
      <c r="I85" s="31"/>
      <c r="J85" s="35"/>
    </row>
    <row r="86" spans="1:10" x14ac:dyDescent="0.25">
      <c r="B86" s="8"/>
      <c r="C86" s="56" t="s">
        <v>36</v>
      </c>
      <c r="D86" s="53"/>
      <c r="E86" s="6"/>
      <c r="F86" s="19"/>
      <c r="G86" s="24">
        <v>-171.69</v>
      </c>
      <c r="H86" s="24">
        <v>-0.26</v>
      </c>
      <c r="I86" s="31"/>
      <c r="J86" s="35"/>
    </row>
    <row r="87" spans="1:10" x14ac:dyDescent="0.25">
      <c r="C87" s="57" t="s">
        <v>35</v>
      </c>
      <c r="D87" s="53"/>
      <c r="E87" s="6"/>
      <c r="F87" s="19"/>
      <c r="G87" s="25">
        <v>-171.69</v>
      </c>
      <c r="H87" s="25">
        <v>-0.26</v>
      </c>
      <c r="I87" s="31"/>
      <c r="J87" s="35"/>
    </row>
    <row r="88" spans="1:10" x14ac:dyDescent="0.25">
      <c r="C88" s="56"/>
      <c r="D88" s="53"/>
      <c r="E88" s="6"/>
      <c r="F88" s="19"/>
      <c r="G88" s="24"/>
      <c r="H88" s="24"/>
      <c r="I88" s="31"/>
      <c r="J88" s="35"/>
    </row>
    <row r="89" spans="1:10" x14ac:dyDescent="0.25">
      <c r="C89" s="61" t="s">
        <v>37</v>
      </c>
      <c r="D89" s="54"/>
      <c r="E89" s="5"/>
      <c r="F89" s="20"/>
      <c r="G89" s="26">
        <v>57472.639999999999</v>
      </c>
      <c r="H89" s="26">
        <f>SUMIFS(H:H,C:C,"Total")</f>
        <v>100</v>
      </c>
      <c r="I89" s="32"/>
      <c r="J89" s="36"/>
    </row>
    <row r="92" spans="1:10" x14ac:dyDescent="0.25">
      <c r="C92" s="1" t="s">
        <v>38</v>
      </c>
    </row>
    <row r="93" spans="1:10" x14ac:dyDescent="0.25">
      <c r="C93" s="2" t="s">
        <v>39</v>
      </c>
    </row>
    <row r="94" spans="1:10" x14ac:dyDescent="0.25">
      <c r="C94" s="2" t="s">
        <v>40</v>
      </c>
    </row>
    <row r="95" spans="1:10" x14ac:dyDescent="0.25">
      <c r="C95" s="2" t="s">
        <v>3430</v>
      </c>
    </row>
  </sheetData>
  <hyperlinks>
    <hyperlink ref="J2" location="'Index'!A1" display="'Index'!A1"/>
  </hyperlinks>
  <pageMargins left="0.7" right="0.7" top="0.75" bottom="0.75" header="0.3" footer="0.3"/>
  <pageSetup orientation="portrait" horizontalDpi="4294967293"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5"/>
  <dimension ref="A1:J11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2221</v>
      </c>
      <c r="J2" s="37" t="s">
        <v>3307</v>
      </c>
    </row>
    <row r="3" spans="1:10" ht="16.5" x14ac:dyDescent="0.3">
      <c r="C3" s="1" t="s">
        <v>24</v>
      </c>
      <c r="D3" s="21" t="s">
        <v>2222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143</v>
      </c>
      <c r="C10" s="56" t="s">
        <v>144</v>
      </c>
      <c r="D10" s="53" t="s">
        <v>145</v>
      </c>
      <c r="E10" s="6" t="s">
        <v>146</v>
      </c>
      <c r="F10" s="19">
        <v>104739</v>
      </c>
      <c r="G10" s="24">
        <v>2307.56</v>
      </c>
      <c r="H10" s="24">
        <v>4.37</v>
      </c>
      <c r="I10" s="31"/>
      <c r="J10" s="35"/>
    </row>
    <row r="11" spans="1:10" x14ac:dyDescent="0.25">
      <c r="B11" s="8" t="s">
        <v>1573</v>
      </c>
      <c r="C11" s="56" t="s">
        <v>1574</v>
      </c>
      <c r="D11" s="53" t="s">
        <v>1575</v>
      </c>
      <c r="E11" s="6" t="s">
        <v>90</v>
      </c>
      <c r="F11" s="19">
        <v>421102</v>
      </c>
      <c r="G11" s="24">
        <v>2105.3000000000002</v>
      </c>
      <c r="H11" s="24">
        <v>3.99</v>
      </c>
      <c r="I11" s="31"/>
      <c r="J11" s="35"/>
    </row>
    <row r="12" spans="1:10" x14ac:dyDescent="0.25">
      <c r="B12" s="8" t="s">
        <v>1576</v>
      </c>
      <c r="C12" s="56" t="s">
        <v>1577</v>
      </c>
      <c r="D12" s="53" t="s">
        <v>1578</v>
      </c>
      <c r="E12" s="6" t="s">
        <v>90</v>
      </c>
      <c r="F12" s="19">
        <v>397597</v>
      </c>
      <c r="G12" s="24">
        <v>2029.93</v>
      </c>
      <c r="H12" s="24">
        <v>3.84</v>
      </c>
      <c r="I12" s="31"/>
      <c r="J12" s="35"/>
    </row>
    <row r="13" spans="1:10" x14ac:dyDescent="0.25">
      <c r="B13" s="8" t="s">
        <v>2223</v>
      </c>
      <c r="C13" s="56" t="s">
        <v>2224</v>
      </c>
      <c r="D13" s="53" t="s">
        <v>2225</v>
      </c>
      <c r="E13" s="6" t="s">
        <v>261</v>
      </c>
      <c r="F13" s="19">
        <v>274875</v>
      </c>
      <c r="G13" s="24">
        <v>2027.48</v>
      </c>
      <c r="H13" s="24">
        <v>3.84</v>
      </c>
      <c r="I13" s="31"/>
      <c r="J13" s="35"/>
    </row>
    <row r="14" spans="1:10" x14ac:dyDescent="0.25">
      <c r="B14" s="8" t="s">
        <v>115</v>
      </c>
      <c r="C14" s="56" t="s">
        <v>116</v>
      </c>
      <c r="D14" s="53" t="s">
        <v>117</v>
      </c>
      <c r="E14" s="6" t="s">
        <v>94</v>
      </c>
      <c r="F14" s="19">
        <v>153364</v>
      </c>
      <c r="G14" s="24">
        <v>1992.97</v>
      </c>
      <c r="H14" s="24">
        <v>3.77</v>
      </c>
      <c r="I14" s="31"/>
      <c r="J14" s="35"/>
    </row>
    <row r="15" spans="1:10" x14ac:dyDescent="0.25">
      <c r="B15" s="8" t="s">
        <v>130</v>
      </c>
      <c r="C15" s="56" t="s">
        <v>131</v>
      </c>
      <c r="D15" s="53" t="s">
        <v>132</v>
      </c>
      <c r="E15" s="6" t="s">
        <v>47</v>
      </c>
      <c r="F15" s="19">
        <v>53333</v>
      </c>
      <c r="G15" s="24">
        <v>1938.49</v>
      </c>
      <c r="H15" s="24">
        <v>3.67</v>
      </c>
      <c r="I15" s="31"/>
      <c r="J15" s="35"/>
    </row>
    <row r="16" spans="1:10" x14ac:dyDescent="0.25">
      <c r="B16" s="8" t="s">
        <v>1579</v>
      </c>
      <c r="C16" s="56" t="s">
        <v>1580</v>
      </c>
      <c r="D16" s="53" t="s">
        <v>1581</v>
      </c>
      <c r="E16" s="6" t="s">
        <v>90</v>
      </c>
      <c r="F16" s="19">
        <v>265957</v>
      </c>
      <c r="G16" s="24">
        <v>1928.06</v>
      </c>
      <c r="H16" s="24">
        <v>3.65</v>
      </c>
      <c r="I16" s="31"/>
      <c r="J16" s="35"/>
    </row>
    <row r="17" spans="2:10" x14ac:dyDescent="0.25">
      <c r="B17" s="8" t="s">
        <v>158</v>
      </c>
      <c r="C17" s="56" t="s">
        <v>159</v>
      </c>
      <c r="D17" s="53" t="s">
        <v>160</v>
      </c>
      <c r="E17" s="6" t="s">
        <v>111</v>
      </c>
      <c r="F17" s="19">
        <v>168841</v>
      </c>
      <c r="G17" s="24">
        <v>1700.9</v>
      </c>
      <c r="H17" s="24">
        <v>3.22</v>
      </c>
      <c r="I17" s="31"/>
      <c r="J17" s="35"/>
    </row>
    <row r="18" spans="2:10" x14ac:dyDescent="0.25">
      <c r="B18" s="8" t="s">
        <v>769</v>
      </c>
      <c r="C18" s="56" t="s">
        <v>770</v>
      </c>
      <c r="D18" s="53" t="s">
        <v>771</v>
      </c>
      <c r="E18" s="6" t="s">
        <v>111</v>
      </c>
      <c r="F18" s="19">
        <v>197719</v>
      </c>
      <c r="G18" s="24">
        <v>1574.83</v>
      </c>
      <c r="H18" s="24">
        <v>2.98</v>
      </c>
      <c r="I18" s="31"/>
      <c r="J18" s="35"/>
    </row>
    <row r="19" spans="2:10" x14ac:dyDescent="0.25">
      <c r="B19" s="8" t="s">
        <v>1582</v>
      </c>
      <c r="C19" s="56" t="s">
        <v>1583</v>
      </c>
      <c r="D19" s="53" t="s">
        <v>1584</v>
      </c>
      <c r="E19" s="6" t="s">
        <v>195</v>
      </c>
      <c r="F19" s="19">
        <v>107165</v>
      </c>
      <c r="G19" s="24">
        <v>1537.01</v>
      </c>
      <c r="H19" s="24">
        <v>2.91</v>
      </c>
      <c r="I19" s="31"/>
      <c r="J19" s="35"/>
    </row>
    <row r="20" spans="2:10" x14ac:dyDescent="0.25">
      <c r="B20" s="8" t="s">
        <v>439</v>
      </c>
      <c r="C20" s="56" t="s">
        <v>440</v>
      </c>
      <c r="D20" s="53" t="s">
        <v>441</v>
      </c>
      <c r="E20" s="6" t="s">
        <v>111</v>
      </c>
      <c r="F20" s="19">
        <v>312131</v>
      </c>
      <c r="G20" s="24">
        <v>1397.41</v>
      </c>
      <c r="H20" s="24">
        <v>2.65</v>
      </c>
      <c r="I20" s="31"/>
      <c r="J20" s="35"/>
    </row>
    <row r="21" spans="2:10" x14ac:dyDescent="0.25">
      <c r="B21" s="8" t="s">
        <v>87</v>
      </c>
      <c r="C21" s="56" t="s">
        <v>88</v>
      </c>
      <c r="D21" s="53" t="s">
        <v>89</v>
      </c>
      <c r="E21" s="6" t="s">
        <v>90</v>
      </c>
      <c r="F21" s="19">
        <v>93690</v>
      </c>
      <c r="G21" s="24">
        <v>1343.05</v>
      </c>
      <c r="H21" s="24">
        <v>2.54</v>
      </c>
      <c r="I21" s="31"/>
      <c r="J21" s="35"/>
    </row>
    <row r="22" spans="2:10" x14ac:dyDescent="0.25">
      <c r="B22" s="8" t="s">
        <v>398</v>
      </c>
      <c r="C22" s="56" t="s">
        <v>399</v>
      </c>
      <c r="D22" s="53" t="s">
        <v>400</v>
      </c>
      <c r="E22" s="6" t="s">
        <v>90</v>
      </c>
      <c r="F22" s="19">
        <v>363090</v>
      </c>
      <c r="G22" s="24">
        <v>1318.02</v>
      </c>
      <c r="H22" s="24">
        <v>2.5</v>
      </c>
      <c r="I22" s="31"/>
      <c r="J22" s="35"/>
    </row>
    <row r="23" spans="2:10" x14ac:dyDescent="0.25">
      <c r="B23" s="8" t="s">
        <v>255</v>
      </c>
      <c r="C23" s="56" t="s">
        <v>256</v>
      </c>
      <c r="D23" s="53" t="s">
        <v>257</v>
      </c>
      <c r="E23" s="6" t="s">
        <v>51</v>
      </c>
      <c r="F23" s="19">
        <v>475469</v>
      </c>
      <c r="G23" s="24">
        <v>1298.03</v>
      </c>
      <c r="H23" s="24">
        <v>2.46</v>
      </c>
      <c r="I23" s="31"/>
      <c r="J23" s="35"/>
    </row>
    <row r="24" spans="2:10" x14ac:dyDescent="0.25">
      <c r="B24" s="8" t="s">
        <v>1585</v>
      </c>
      <c r="C24" s="56" t="s">
        <v>1586</v>
      </c>
      <c r="D24" s="53" t="s">
        <v>1587</v>
      </c>
      <c r="E24" s="6" t="s">
        <v>83</v>
      </c>
      <c r="F24" s="19">
        <v>176035</v>
      </c>
      <c r="G24" s="24">
        <v>1193.25</v>
      </c>
      <c r="H24" s="24">
        <v>2.2599999999999998</v>
      </c>
      <c r="I24" s="31"/>
      <c r="J24" s="35"/>
    </row>
    <row r="25" spans="2:10" x14ac:dyDescent="0.25">
      <c r="B25" s="8" t="s">
        <v>1354</v>
      </c>
      <c r="C25" s="56" t="s">
        <v>1355</v>
      </c>
      <c r="D25" s="53" t="s">
        <v>1356</v>
      </c>
      <c r="E25" s="6" t="s">
        <v>826</v>
      </c>
      <c r="F25" s="19">
        <v>527249</v>
      </c>
      <c r="G25" s="24">
        <v>1163.3699999999999</v>
      </c>
      <c r="H25" s="24">
        <v>2.2000000000000002</v>
      </c>
      <c r="I25" s="31"/>
      <c r="J25" s="35"/>
    </row>
    <row r="26" spans="2:10" x14ac:dyDescent="0.25">
      <c r="B26" s="8" t="s">
        <v>161</v>
      </c>
      <c r="C26" s="56" t="s">
        <v>162</v>
      </c>
      <c r="D26" s="53" t="s">
        <v>163</v>
      </c>
      <c r="E26" s="6" t="s">
        <v>94</v>
      </c>
      <c r="F26" s="19">
        <v>272545</v>
      </c>
      <c r="G26" s="24">
        <v>1147.1400000000001</v>
      </c>
      <c r="H26" s="24">
        <v>2.17</v>
      </c>
      <c r="I26" s="31"/>
      <c r="J26" s="35"/>
    </row>
    <row r="27" spans="2:10" x14ac:dyDescent="0.25">
      <c r="B27" s="8" t="s">
        <v>324</v>
      </c>
      <c r="C27" s="56" t="s">
        <v>325</v>
      </c>
      <c r="D27" s="53" t="s">
        <v>326</v>
      </c>
      <c r="E27" s="6" t="s">
        <v>41</v>
      </c>
      <c r="F27" s="19">
        <v>516484</v>
      </c>
      <c r="G27" s="24">
        <v>1120.77</v>
      </c>
      <c r="H27" s="24">
        <v>2.12</v>
      </c>
      <c r="I27" s="31"/>
      <c r="J27" s="35"/>
    </row>
    <row r="28" spans="2:10" x14ac:dyDescent="0.25">
      <c r="B28" s="8" t="s">
        <v>442</v>
      </c>
      <c r="C28" s="56" t="s">
        <v>443</v>
      </c>
      <c r="D28" s="53" t="s">
        <v>444</v>
      </c>
      <c r="E28" s="6" t="s">
        <v>90</v>
      </c>
      <c r="F28" s="19">
        <v>209439</v>
      </c>
      <c r="G28" s="24">
        <v>1080.3900000000001</v>
      </c>
      <c r="H28" s="24">
        <v>2.0499999999999998</v>
      </c>
      <c r="I28" s="31"/>
      <c r="J28" s="35"/>
    </row>
    <row r="29" spans="2:10" x14ac:dyDescent="0.25">
      <c r="B29" s="8" t="s">
        <v>1588</v>
      </c>
      <c r="C29" s="56" t="s">
        <v>1589</v>
      </c>
      <c r="D29" s="53" t="s">
        <v>1590</v>
      </c>
      <c r="E29" s="6" t="s">
        <v>1591</v>
      </c>
      <c r="F29" s="19">
        <v>598125</v>
      </c>
      <c r="G29" s="24">
        <v>1048.51</v>
      </c>
      <c r="H29" s="24">
        <v>1.99</v>
      </c>
      <c r="I29" s="31"/>
      <c r="J29" s="35"/>
    </row>
    <row r="30" spans="2:10" x14ac:dyDescent="0.25">
      <c r="B30" s="8" t="s">
        <v>1592</v>
      </c>
      <c r="C30" s="56" t="s">
        <v>1593</v>
      </c>
      <c r="D30" s="53" t="s">
        <v>1594</v>
      </c>
      <c r="E30" s="6" t="s">
        <v>90</v>
      </c>
      <c r="F30" s="19">
        <v>170691</v>
      </c>
      <c r="G30" s="24">
        <v>996.32</v>
      </c>
      <c r="H30" s="24">
        <v>1.89</v>
      </c>
      <c r="I30" s="31"/>
      <c r="J30" s="35"/>
    </row>
    <row r="31" spans="2:10" x14ac:dyDescent="0.25">
      <c r="B31" s="8" t="s">
        <v>1595</v>
      </c>
      <c r="C31" s="56" t="s">
        <v>1596</v>
      </c>
      <c r="D31" s="53" t="s">
        <v>1597</v>
      </c>
      <c r="E31" s="6" t="s">
        <v>94</v>
      </c>
      <c r="F31" s="19">
        <v>79276</v>
      </c>
      <c r="G31" s="24">
        <v>993.72</v>
      </c>
      <c r="H31" s="24">
        <v>1.88</v>
      </c>
      <c r="I31" s="31"/>
      <c r="J31" s="35"/>
    </row>
    <row r="32" spans="2:10" x14ac:dyDescent="0.25">
      <c r="B32" s="8" t="s">
        <v>1598</v>
      </c>
      <c r="C32" s="56" t="s">
        <v>1599</v>
      </c>
      <c r="D32" s="53" t="s">
        <v>1600</v>
      </c>
      <c r="E32" s="6" t="s">
        <v>196</v>
      </c>
      <c r="F32" s="19">
        <v>843609</v>
      </c>
      <c r="G32" s="24">
        <v>968.88</v>
      </c>
      <c r="H32" s="24">
        <v>1.83</v>
      </c>
      <c r="I32" s="31"/>
      <c r="J32" s="35"/>
    </row>
    <row r="33" spans="2:10" x14ac:dyDescent="0.25">
      <c r="B33" s="8" t="s">
        <v>177</v>
      </c>
      <c r="C33" s="56" t="s">
        <v>178</v>
      </c>
      <c r="D33" s="53" t="s">
        <v>179</v>
      </c>
      <c r="E33" s="6" t="s">
        <v>111</v>
      </c>
      <c r="F33" s="19">
        <v>34499</v>
      </c>
      <c r="G33" s="24">
        <v>965.95</v>
      </c>
      <c r="H33" s="24">
        <v>1.83</v>
      </c>
      <c r="I33" s="31"/>
      <c r="J33" s="35"/>
    </row>
    <row r="34" spans="2:10" x14ac:dyDescent="0.25">
      <c r="B34" s="8" t="s">
        <v>1601</v>
      </c>
      <c r="C34" s="56" t="s">
        <v>1602</v>
      </c>
      <c r="D34" s="53" t="s">
        <v>1603</v>
      </c>
      <c r="E34" s="6" t="s">
        <v>826</v>
      </c>
      <c r="F34" s="19">
        <v>246049</v>
      </c>
      <c r="G34" s="24">
        <v>951.72</v>
      </c>
      <c r="H34" s="24">
        <v>1.8</v>
      </c>
      <c r="I34" s="31"/>
      <c r="J34" s="35"/>
    </row>
    <row r="35" spans="2:10" x14ac:dyDescent="0.25">
      <c r="B35" s="8" t="s">
        <v>805</v>
      </c>
      <c r="C35" s="56" t="s">
        <v>806</v>
      </c>
      <c r="D35" s="53" t="s">
        <v>807</v>
      </c>
      <c r="E35" s="6" t="s">
        <v>55</v>
      </c>
      <c r="F35" s="19">
        <v>524910</v>
      </c>
      <c r="G35" s="24">
        <v>948.25</v>
      </c>
      <c r="H35" s="24">
        <v>1.8</v>
      </c>
      <c r="I35" s="31"/>
      <c r="J35" s="35"/>
    </row>
    <row r="36" spans="2:10" x14ac:dyDescent="0.25">
      <c r="B36" s="8" t="s">
        <v>229</v>
      </c>
      <c r="C36" s="56" t="s">
        <v>230</v>
      </c>
      <c r="D36" s="53" t="s">
        <v>231</v>
      </c>
      <c r="E36" s="6" t="s">
        <v>94</v>
      </c>
      <c r="F36" s="19">
        <v>76129</v>
      </c>
      <c r="G36" s="24">
        <v>861.86</v>
      </c>
      <c r="H36" s="24">
        <v>1.63</v>
      </c>
      <c r="I36" s="31"/>
      <c r="J36" s="35"/>
    </row>
    <row r="37" spans="2:10" x14ac:dyDescent="0.25">
      <c r="B37" s="8" t="s">
        <v>1607</v>
      </c>
      <c r="C37" s="56" t="s">
        <v>1608</v>
      </c>
      <c r="D37" s="53" t="s">
        <v>1609</v>
      </c>
      <c r="E37" s="6" t="s">
        <v>94</v>
      </c>
      <c r="F37" s="19">
        <v>35208</v>
      </c>
      <c r="G37" s="24">
        <v>849.9</v>
      </c>
      <c r="H37" s="24">
        <v>1.61</v>
      </c>
      <c r="I37" s="31"/>
      <c r="J37" s="35"/>
    </row>
    <row r="38" spans="2:10" x14ac:dyDescent="0.25">
      <c r="B38" s="8" t="s">
        <v>1604</v>
      </c>
      <c r="C38" s="56" t="s">
        <v>1605</v>
      </c>
      <c r="D38" s="53" t="s">
        <v>1606</v>
      </c>
      <c r="E38" s="6" t="s">
        <v>94</v>
      </c>
      <c r="F38" s="19">
        <v>37410</v>
      </c>
      <c r="G38" s="24">
        <v>849.15</v>
      </c>
      <c r="H38" s="24">
        <v>1.61</v>
      </c>
      <c r="I38" s="31"/>
      <c r="J38" s="35"/>
    </row>
    <row r="39" spans="2:10" x14ac:dyDescent="0.25">
      <c r="B39" s="8" t="s">
        <v>139</v>
      </c>
      <c r="C39" s="56" t="s">
        <v>140</v>
      </c>
      <c r="D39" s="53" t="s">
        <v>141</v>
      </c>
      <c r="E39" s="6" t="s">
        <v>142</v>
      </c>
      <c r="F39" s="19">
        <v>67628</v>
      </c>
      <c r="G39" s="24">
        <v>844.74</v>
      </c>
      <c r="H39" s="24">
        <v>1.6</v>
      </c>
      <c r="I39" s="31"/>
      <c r="J39" s="35"/>
    </row>
    <row r="40" spans="2:10" x14ac:dyDescent="0.25">
      <c r="B40" s="8" t="s">
        <v>1621</v>
      </c>
      <c r="C40" s="56" t="s">
        <v>1622</v>
      </c>
      <c r="D40" s="53" t="s">
        <v>1623</v>
      </c>
      <c r="E40" s="6" t="s">
        <v>94</v>
      </c>
      <c r="F40" s="19">
        <v>99013</v>
      </c>
      <c r="G40" s="24">
        <v>839.23</v>
      </c>
      <c r="H40" s="24">
        <v>1.59</v>
      </c>
      <c r="I40" s="31"/>
      <c r="J40" s="35"/>
    </row>
    <row r="41" spans="2:10" x14ac:dyDescent="0.25">
      <c r="B41" s="8" t="s">
        <v>370</v>
      </c>
      <c r="C41" s="56" t="s">
        <v>371</v>
      </c>
      <c r="D41" s="53" t="s">
        <v>372</v>
      </c>
      <c r="E41" s="6" t="s">
        <v>41</v>
      </c>
      <c r="F41" s="19">
        <v>59406</v>
      </c>
      <c r="G41" s="24">
        <v>827.79</v>
      </c>
      <c r="H41" s="24">
        <v>1.57</v>
      </c>
      <c r="I41" s="31"/>
      <c r="J41" s="35"/>
    </row>
    <row r="42" spans="2:10" x14ac:dyDescent="0.25">
      <c r="B42" s="8" t="s">
        <v>899</v>
      </c>
      <c r="C42" s="56" t="s">
        <v>900</v>
      </c>
      <c r="D42" s="53" t="s">
        <v>901</v>
      </c>
      <c r="E42" s="6" t="s">
        <v>196</v>
      </c>
      <c r="F42" s="19">
        <v>6012</v>
      </c>
      <c r="G42" s="24">
        <v>825.45</v>
      </c>
      <c r="H42" s="24">
        <v>1.56</v>
      </c>
      <c r="I42" s="31"/>
      <c r="J42" s="35"/>
    </row>
    <row r="43" spans="2:10" x14ac:dyDescent="0.25">
      <c r="B43" s="8" t="s">
        <v>342</v>
      </c>
      <c r="C43" s="56" t="s">
        <v>343</v>
      </c>
      <c r="D43" s="53" t="s">
        <v>344</v>
      </c>
      <c r="E43" s="6" t="s">
        <v>111</v>
      </c>
      <c r="F43" s="19">
        <v>28579</v>
      </c>
      <c r="G43" s="24">
        <v>793.91</v>
      </c>
      <c r="H43" s="24">
        <v>1.5</v>
      </c>
      <c r="I43" s="31"/>
      <c r="J43" s="35"/>
    </row>
    <row r="44" spans="2:10" x14ac:dyDescent="0.25">
      <c r="B44" s="8" t="s">
        <v>1610</v>
      </c>
      <c r="C44" s="56" t="s">
        <v>1611</v>
      </c>
      <c r="D44" s="53" t="s">
        <v>1612</v>
      </c>
      <c r="E44" s="6" t="s">
        <v>254</v>
      </c>
      <c r="F44" s="19">
        <v>62588</v>
      </c>
      <c r="G44" s="24">
        <v>791.43</v>
      </c>
      <c r="H44" s="24">
        <v>1.5</v>
      </c>
      <c r="I44" s="31"/>
      <c r="J44" s="35"/>
    </row>
    <row r="45" spans="2:10" x14ac:dyDescent="0.25">
      <c r="B45" s="8" t="s">
        <v>749</v>
      </c>
      <c r="C45" s="56" t="s">
        <v>750</v>
      </c>
      <c r="D45" s="53" t="s">
        <v>751</v>
      </c>
      <c r="E45" s="6" t="s">
        <v>47</v>
      </c>
      <c r="F45" s="19">
        <v>29449</v>
      </c>
      <c r="G45" s="24">
        <v>749.05</v>
      </c>
      <c r="H45" s="24">
        <v>1.42</v>
      </c>
      <c r="I45" s="31"/>
      <c r="J45" s="35"/>
    </row>
    <row r="46" spans="2:10" x14ac:dyDescent="0.25">
      <c r="B46" s="8" t="s">
        <v>469</v>
      </c>
      <c r="C46" s="56" t="s">
        <v>470</v>
      </c>
      <c r="D46" s="53" t="s">
        <v>471</v>
      </c>
      <c r="E46" s="6" t="s">
        <v>90</v>
      </c>
      <c r="F46" s="19">
        <v>78069</v>
      </c>
      <c r="G46" s="24">
        <v>746.57</v>
      </c>
      <c r="H46" s="24">
        <v>1.41</v>
      </c>
      <c r="I46" s="31"/>
      <c r="J46" s="35"/>
    </row>
    <row r="47" spans="2:10" x14ac:dyDescent="0.25">
      <c r="B47" s="8" t="s">
        <v>1613</v>
      </c>
      <c r="C47" s="56" t="s">
        <v>1614</v>
      </c>
      <c r="D47" s="53" t="s">
        <v>1615</v>
      </c>
      <c r="E47" s="6" t="s">
        <v>111</v>
      </c>
      <c r="F47" s="19">
        <v>179922</v>
      </c>
      <c r="G47" s="24">
        <v>710.78</v>
      </c>
      <c r="H47" s="24">
        <v>1.35</v>
      </c>
      <c r="I47" s="31"/>
      <c r="J47" s="35"/>
    </row>
    <row r="48" spans="2:10" x14ac:dyDescent="0.25">
      <c r="B48" s="8" t="s">
        <v>1616</v>
      </c>
      <c r="C48" s="56" t="s">
        <v>601</v>
      </c>
      <c r="D48" s="53" t="s">
        <v>1617</v>
      </c>
      <c r="E48" s="6" t="s">
        <v>94</v>
      </c>
      <c r="F48" s="19">
        <v>816628</v>
      </c>
      <c r="G48" s="24">
        <v>703.93</v>
      </c>
      <c r="H48" s="24">
        <v>1.33</v>
      </c>
      <c r="I48" s="31"/>
      <c r="J48" s="35"/>
    </row>
    <row r="49" spans="2:10" x14ac:dyDescent="0.25">
      <c r="B49" s="8" t="s">
        <v>1618</v>
      </c>
      <c r="C49" s="56" t="s">
        <v>1619</v>
      </c>
      <c r="D49" s="53" t="s">
        <v>1620</v>
      </c>
      <c r="E49" s="6" t="s">
        <v>142</v>
      </c>
      <c r="F49" s="19">
        <v>192749</v>
      </c>
      <c r="G49" s="24">
        <v>703.44</v>
      </c>
      <c r="H49" s="24">
        <v>1.33</v>
      </c>
      <c r="I49" s="31"/>
      <c r="J49" s="35"/>
    </row>
    <row r="50" spans="2:10" x14ac:dyDescent="0.25">
      <c r="B50" s="8" t="s">
        <v>294</v>
      </c>
      <c r="C50" s="56" t="s">
        <v>295</v>
      </c>
      <c r="D50" s="53" t="s">
        <v>296</v>
      </c>
      <c r="E50" s="6" t="s">
        <v>274</v>
      </c>
      <c r="F50" s="19">
        <v>435036</v>
      </c>
      <c r="G50" s="24">
        <v>664.08</v>
      </c>
      <c r="H50" s="24">
        <v>1.26</v>
      </c>
      <c r="I50" s="31"/>
      <c r="J50" s="35"/>
    </row>
    <row r="51" spans="2:10" x14ac:dyDescent="0.25">
      <c r="B51" s="8" t="s">
        <v>415</v>
      </c>
      <c r="C51" s="56" t="s">
        <v>416</v>
      </c>
      <c r="D51" s="53" t="s">
        <v>417</v>
      </c>
      <c r="E51" s="6" t="s">
        <v>90</v>
      </c>
      <c r="F51" s="19">
        <v>6617</v>
      </c>
      <c r="G51" s="24">
        <v>658.17</v>
      </c>
      <c r="H51" s="24">
        <v>1.25</v>
      </c>
      <c r="I51" s="31"/>
      <c r="J51" s="35"/>
    </row>
    <row r="52" spans="2:10" x14ac:dyDescent="0.25">
      <c r="B52" s="8" t="s">
        <v>454</v>
      </c>
      <c r="C52" s="56" t="s">
        <v>455</v>
      </c>
      <c r="D52" s="53" t="s">
        <v>456</v>
      </c>
      <c r="E52" s="6" t="s">
        <v>111</v>
      </c>
      <c r="F52" s="19">
        <v>3735</v>
      </c>
      <c r="G52" s="24">
        <v>615.79</v>
      </c>
      <c r="H52" s="24">
        <v>1.17</v>
      </c>
      <c r="I52" s="31"/>
      <c r="J52" s="35"/>
    </row>
    <row r="53" spans="2:10" x14ac:dyDescent="0.25">
      <c r="B53" s="8" t="s">
        <v>1624</v>
      </c>
      <c r="C53" s="56" t="s">
        <v>1625</v>
      </c>
      <c r="D53" s="53" t="s">
        <v>1626</v>
      </c>
      <c r="E53" s="6" t="s">
        <v>886</v>
      </c>
      <c r="F53" s="19">
        <v>645743</v>
      </c>
      <c r="G53" s="24">
        <v>531.12</v>
      </c>
      <c r="H53" s="24">
        <v>1.01</v>
      </c>
      <c r="I53" s="31"/>
      <c r="J53" s="35"/>
    </row>
    <row r="54" spans="2:10" x14ac:dyDescent="0.25">
      <c r="B54" s="8" t="s">
        <v>463</v>
      </c>
      <c r="C54" s="56" t="s">
        <v>464</v>
      </c>
      <c r="D54" s="53" t="s">
        <v>465</v>
      </c>
      <c r="E54" s="6" t="s">
        <v>47</v>
      </c>
      <c r="F54" s="19">
        <v>16321</v>
      </c>
      <c r="G54" s="24">
        <v>501.47</v>
      </c>
      <c r="H54" s="24">
        <v>0.95</v>
      </c>
      <c r="I54" s="31"/>
      <c r="J54" s="35"/>
    </row>
    <row r="55" spans="2:10" x14ac:dyDescent="0.25">
      <c r="B55" s="8" t="s">
        <v>1627</v>
      </c>
      <c r="C55" s="56" t="s">
        <v>1628</v>
      </c>
      <c r="D55" s="53" t="s">
        <v>1629</v>
      </c>
      <c r="E55" s="6" t="s">
        <v>261</v>
      </c>
      <c r="F55" s="19">
        <v>193291</v>
      </c>
      <c r="G55" s="24">
        <v>467.38</v>
      </c>
      <c r="H55" s="24">
        <v>0.88</v>
      </c>
      <c r="I55" s="31"/>
      <c r="J55" s="35"/>
    </row>
    <row r="56" spans="2:10" x14ac:dyDescent="0.25">
      <c r="B56" s="8" t="s">
        <v>1630</v>
      </c>
      <c r="C56" s="56" t="s">
        <v>1631</v>
      </c>
      <c r="D56" s="53" t="s">
        <v>1632</v>
      </c>
      <c r="E56" s="6" t="s">
        <v>170</v>
      </c>
      <c r="F56" s="19">
        <v>178223</v>
      </c>
      <c r="G56" s="24">
        <v>374.18</v>
      </c>
      <c r="H56" s="24">
        <v>0.71</v>
      </c>
      <c r="I56" s="31"/>
      <c r="J56" s="35"/>
    </row>
    <row r="57" spans="2:10" x14ac:dyDescent="0.25">
      <c r="B57" s="8" t="s">
        <v>817</v>
      </c>
      <c r="C57" s="56" t="s">
        <v>818</v>
      </c>
      <c r="D57" s="53" t="s">
        <v>819</v>
      </c>
      <c r="E57" s="6" t="s">
        <v>51</v>
      </c>
      <c r="F57" s="19">
        <v>844545</v>
      </c>
      <c r="G57" s="24">
        <v>346.69</v>
      </c>
      <c r="H57" s="24">
        <v>0.66</v>
      </c>
      <c r="I57" s="31"/>
      <c r="J57" s="35"/>
    </row>
    <row r="58" spans="2:10" x14ac:dyDescent="0.25">
      <c r="B58" s="8" t="s">
        <v>401</v>
      </c>
      <c r="C58" s="56" t="s">
        <v>402</v>
      </c>
      <c r="D58" s="53" t="s">
        <v>403</v>
      </c>
      <c r="E58" s="6" t="s">
        <v>51</v>
      </c>
      <c r="F58" s="19">
        <v>926192</v>
      </c>
      <c r="G58" s="24">
        <v>264.43</v>
      </c>
      <c r="H58" s="24">
        <v>0.5</v>
      </c>
      <c r="I58" s="31"/>
      <c r="J58" s="35"/>
    </row>
    <row r="59" spans="2:10" x14ac:dyDescent="0.25">
      <c r="B59" s="8" t="s">
        <v>1633</v>
      </c>
      <c r="C59" s="56" t="s">
        <v>1634</v>
      </c>
      <c r="D59" s="53" t="s">
        <v>1635</v>
      </c>
      <c r="E59" s="6" t="s">
        <v>94</v>
      </c>
      <c r="F59" s="19">
        <v>172668</v>
      </c>
      <c r="G59" s="24">
        <v>208.76</v>
      </c>
      <c r="H59" s="24">
        <v>0.4</v>
      </c>
      <c r="I59" s="31"/>
      <c r="J59" s="35"/>
    </row>
    <row r="60" spans="2:10" x14ac:dyDescent="0.25">
      <c r="C60" s="57" t="s">
        <v>35</v>
      </c>
      <c r="D60" s="53"/>
      <c r="E60" s="6"/>
      <c r="F60" s="19"/>
      <c r="G60" s="25">
        <v>52806.61</v>
      </c>
      <c r="H60" s="25">
        <v>100.01</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3:10" x14ac:dyDescent="0.25">
      <c r="C65" s="56"/>
      <c r="D65" s="53"/>
      <c r="E65" s="6"/>
      <c r="F65" s="19"/>
      <c r="G65" s="24"/>
      <c r="H65" s="24"/>
      <c r="I65" s="31"/>
      <c r="J65" s="35"/>
    </row>
    <row r="66" spans="3:10" x14ac:dyDescent="0.25">
      <c r="C66" s="57" t="s">
        <v>5</v>
      </c>
      <c r="D66" s="53"/>
      <c r="E66" s="6"/>
      <c r="F66" s="19"/>
      <c r="G66" s="24"/>
      <c r="H66" s="24"/>
      <c r="I66" s="31"/>
      <c r="J66" s="35"/>
    </row>
    <row r="67" spans="3:10" x14ac:dyDescent="0.25">
      <c r="C67" s="56"/>
      <c r="D67" s="53"/>
      <c r="E67" s="6"/>
      <c r="F67" s="19"/>
      <c r="G67" s="24"/>
      <c r="H67" s="24"/>
      <c r="I67" s="31"/>
      <c r="J67" s="35"/>
    </row>
    <row r="68" spans="3:10" x14ac:dyDescent="0.25">
      <c r="C68" s="57" t="s">
        <v>6</v>
      </c>
      <c r="D68" s="53"/>
      <c r="E68" s="6"/>
      <c r="F68" s="19"/>
      <c r="G68" s="24" t="s">
        <v>2</v>
      </c>
      <c r="H68" s="24" t="s">
        <v>2</v>
      </c>
      <c r="I68" s="31"/>
      <c r="J68" s="35"/>
    </row>
    <row r="69" spans="3:10" x14ac:dyDescent="0.25">
      <c r="C69" s="56"/>
      <c r="D69" s="53"/>
      <c r="E69" s="6"/>
      <c r="F69" s="19"/>
      <c r="G69" s="24"/>
      <c r="H69" s="24"/>
      <c r="I69" s="31"/>
      <c r="J69" s="35"/>
    </row>
    <row r="70" spans="3:10" x14ac:dyDescent="0.25">
      <c r="C70" s="57" t="s">
        <v>7</v>
      </c>
      <c r="D70" s="53"/>
      <c r="E70" s="6"/>
      <c r="F70" s="19"/>
      <c r="G70" s="24" t="s">
        <v>2</v>
      </c>
      <c r="H70" s="24" t="s">
        <v>2</v>
      </c>
      <c r="I70" s="31"/>
      <c r="J70" s="35"/>
    </row>
    <row r="71" spans="3:10" x14ac:dyDescent="0.25">
      <c r="C71" s="56"/>
      <c r="D71" s="53"/>
      <c r="E71" s="6"/>
      <c r="F71" s="19"/>
      <c r="G71" s="24"/>
      <c r="H71" s="24"/>
      <c r="I71" s="31"/>
      <c r="J71" s="35"/>
    </row>
    <row r="72" spans="3:10" x14ac:dyDescent="0.25">
      <c r="C72" s="57" t="s">
        <v>8</v>
      </c>
      <c r="D72" s="53"/>
      <c r="E72" s="6"/>
      <c r="F72" s="19"/>
      <c r="G72" s="24" t="s">
        <v>2</v>
      </c>
      <c r="H72" s="24" t="s">
        <v>2</v>
      </c>
      <c r="I72" s="31"/>
      <c r="J72" s="35"/>
    </row>
    <row r="73" spans="3:10" x14ac:dyDescent="0.25">
      <c r="C73" s="56"/>
      <c r="D73" s="53"/>
      <c r="E73" s="6"/>
      <c r="F73" s="19"/>
      <c r="G73" s="24"/>
      <c r="H73" s="24"/>
      <c r="I73" s="31"/>
      <c r="J73" s="35"/>
    </row>
    <row r="74" spans="3:10" x14ac:dyDescent="0.25">
      <c r="C74" s="57" t="s">
        <v>9</v>
      </c>
      <c r="D74" s="53"/>
      <c r="E74" s="6"/>
      <c r="F74" s="19"/>
      <c r="G74" s="24" t="s">
        <v>2</v>
      </c>
      <c r="H74" s="24" t="s">
        <v>2</v>
      </c>
      <c r="I74" s="31"/>
      <c r="J74" s="35"/>
    </row>
    <row r="75" spans="3:10" x14ac:dyDescent="0.25">
      <c r="C75" s="56"/>
      <c r="D75" s="53"/>
      <c r="E75" s="6"/>
      <c r="F75" s="19"/>
      <c r="G75" s="24"/>
      <c r="H75" s="24"/>
      <c r="I75" s="31"/>
      <c r="J75" s="35"/>
    </row>
    <row r="76" spans="3:10" x14ac:dyDescent="0.25">
      <c r="C76" s="57" t="s">
        <v>10</v>
      </c>
      <c r="D76" s="53"/>
      <c r="E76" s="6"/>
      <c r="F76" s="19"/>
      <c r="G76" s="24" t="s">
        <v>2</v>
      </c>
      <c r="H76" s="24" t="s">
        <v>2</v>
      </c>
      <c r="I76" s="31"/>
      <c r="J76" s="35"/>
    </row>
    <row r="77" spans="3:10" x14ac:dyDescent="0.25">
      <c r="C77" s="56"/>
      <c r="D77" s="53"/>
      <c r="E77" s="6"/>
      <c r="F77" s="19"/>
      <c r="G77" s="24"/>
      <c r="H77" s="24"/>
      <c r="I77" s="31"/>
      <c r="J77" s="35"/>
    </row>
    <row r="78" spans="3:10" x14ac:dyDescent="0.25">
      <c r="C78" s="57" t="s">
        <v>11</v>
      </c>
      <c r="D78" s="53"/>
      <c r="E78" s="6"/>
      <c r="F78" s="19"/>
      <c r="G78" s="24"/>
      <c r="H78" s="24"/>
      <c r="I78" s="31"/>
      <c r="J78" s="35"/>
    </row>
    <row r="79" spans="3:10" x14ac:dyDescent="0.25">
      <c r="C79" s="56"/>
      <c r="D79" s="53"/>
      <c r="E79" s="6"/>
      <c r="F79" s="19"/>
      <c r="G79" s="24"/>
      <c r="H79" s="24"/>
      <c r="I79" s="31"/>
      <c r="J79" s="35"/>
    </row>
    <row r="80" spans="3:10" x14ac:dyDescent="0.25">
      <c r="C80" s="57" t="s">
        <v>13</v>
      </c>
      <c r="D80" s="53"/>
      <c r="E80" s="6"/>
      <c r="F80" s="19"/>
      <c r="G80" s="24" t="s">
        <v>2</v>
      </c>
      <c r="H80" s="24" t="s">
        <v>2</v>
      </c>
      <c r="I80" s="31"/>
      <c r="J80" s="35"/>
    </row>
    <row r="81" spans="1:10" x14ac:dyDescent="0.25">
      <c r="C81" s="56"/>
      <c r="D81" s="53"/>
      <c r="E81" s="6"/>
      <c r="F81" s="19"/>
      <c r="G81" s="24"/>
      <c r="H81" s="24"/>
      <c r="I81" s="31"/>
      <c r="J81" s="35"/>
    </row>
    <row r="82" spans="1:10" x14ac:dyDescent="0.25">
      <c r="C82" s="57" t="s">
        <v>14</v>
      </c>
      <c r="D82" s="53"/>
      <c r="E82" s="6"/>
      <c r="F82" s="19"/>
      <c r="G82" s="24" t="s">
        <v>2</v>
      </c>
      <c r="H82" s="24" t="s">
        <v>2</v>
      </c>
      <c r="I82" s="31"/>
      <c r="J82" s="35"/>
    </row>
    <row r="83" spans="1:10" x14ac:dyDescent="0.25">
      <c r="C83" s="56"/>
      <c r="D83" s="53"/>
      <c r="E83" s="6"/>
      <c r="F83" s="19"/>
      <c r="G83" s="24"/>
      <c r="H83" s="24"/>
      <c r="I83" s="31"/>
      <c r="J83" s="35"/>
    </row>
    <row r="84" spans="1:10" x14ac:dyDescent="0.25">
      <c r="C84" s="57" t="s">
        <v>15</v>
      </c>
      <c r="D84" s="53"/>
      <c r="E84" s="6"/>
      <c r="F84" s="19"/>
      <c r="G84" s="24" t="s">
        <v>2</v>
      </c>
      <c r="H84" s="24" t="s">
        <v>2</v>
      </c>
      <c r="I84" s="31"/>
      <c r="J84" s="35"/>
    </row>
    <row r="85" spans="1:10" x14ac:dyDescent="0.25">
      <c r="C85" s="56"/>
      <c r="D85" s="53"/>
      <c r="E85" s="6"/>
      <c r="F85" s="19"/>
      <c r="G85" s="24"/>
      <c r="H85" s="24"/>
      <c r="I85" s="31"/>
      <c r="J85" s="35"/>
    </row>
    <row r="86" spans="1:10" x14ac:dyDescent="0.25">
      <c r="C86" s="57" t="s">
        <v>16</v>
      </c>
      <c r="D86" s="53"/>
      <c r="E86" s="6"/>
      <c r="F86" s="19"/>
      <c r="G86" s="24" t="s">
        <v>2</v>
      </c>
      <c r="H86" s="24" t="s">
        <v>2</v>
      </c>
      <c r="I86" s="31"/>
      <c r="J86" s="35"/>
    </row>
    <row r="87" spans="1:10" x14ac:dyDescent="0.25">
      <c r="C87" s="56"/>
      <c r="D87" s="53"/>
      <c r="E87" s="6"/>
      <c r="F87" s="19"/>
      <c r="G87" s="24"/>
      <c r="H87" s="24"/>
      <c r="I87" s="31"/>
      <c r="J87" s="35"/>
    </row>
    <row r="88" spans="1:10" x14ac:dyDescent="0.25">
      <c r="A88" s="10"/>
      <c r="B88" s="28"/>
      <c r="C88" s="58" t="s">
        <v>17</v>
      </c>
      <c r="D88" s="53"/>
      <c r="E88" s="6"/>
      <c r="F88" s="19"/>
      <c r="G88" s="24"/>
      <c r="H88" s="24"/>
      <c r="I88" s="31"/>
      <c r="J88" s="35"/>
    </row>
    <row r="89" spans="1:10" x14ac:dyDescent="0.25">
      <c r="A89" s="28"/>
      <c r="B89" s="28"/>
      <c r="C89" s="58" t="s">
        <v>18</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19</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A93" s="28"/>
      <c r="B93" s="28"/>
      <c r="C93" s="58" t="s">
        <v>20</v>
      </c>
      <c r="D93" s="53"/>
      <c r="E93" s="6"/>
      <c r="F93" s="19"/>
      <c r="G93" s="24" t="s">
        <v>2</v>
      </c>
      <c r="H93" s="24" t="s">
        <v>2</v>
      </c>
      <c r="I93" s="31"/>
      <c r="J93" s="35"/>
    </row>
    <row r="94" spans="1:10" x14ac:dyDescent="0.25">
      <c r="A94" s="28"/>
      <c r="B94" s="28"/>
      <c r="C94" s="58"/>
      <c r="D94" s="53"/>
      <c r="E94" s="6"/>
      <c r="F94" s="19"/>
      <c r="G94" s="24"/>
      <c r="H94" s="24"/>
      <c r="I94" s="31"/>
      <c r="J94" s="35"/>
    </row>
    <row r="95" spans="1:10" x14ac:dyDescent="0.25">
      <c r="A95" s="28"/>
      <c r="B95" s="28"/>
      <c r="C95" s="58" t="s">
        <v>21</v>
      </c>
      <c r="D95" s="53"/>
      <c r="E95" s="6"/>
      <c r="F95" s="19"/>
      <c r="G95" s="24" t="s">
        <v>2</v>
      </c>
      <c r="H95" s="24" t="s">
        <v>2</v>
      </c>
      <c r="I95" s="31"/>
      <c r="J95" s="35"/>
    </row>
    <row r="96" spans="1:10" x14ac:dyDescent="0.25">
      <c r="A96" s="28"/>
      <c r="B96" s="28"/>
      <c r="C96" s="58"/>
      <c r="D96" s="53"/>
      <c r="E96" s="6"/>
      <c r="F96" s="19"/>
      <c r="G96" s="24"/>
      <c r="H96" s="24"/>
      <c r="I96" s="31"/>
      <c r="J96" s="35"/>
    </row>
    <row r="97" spans="1:10" x14ac:dyDescent="0.25">
      <c r="C97" s="59" t="s">
        <v>22</v>
      </c>
      <c r="D97" s="53"/>
      <c r="E97" s="6"/>
      <c r="F97" s="19"/>
      <c r="G97" s="24"/>
      <c r="H97" s="24"/>
      <c r="I97" s="31"/>
      <c r="J97" s="35"/>
    </row>
    <row r="98" spans="1:10" x14ac:dyDescent="0.25">
      <c r="B98" s="8" t="s">
        <v>33</v>
      </c>
      <c r="C98" s="56" t="s">
        <v>34</v>
      </c>
      <c r="D98" s="53"/>
      <c r="E98" s="6"/>
      <c r="F98" s="19"/>
      <c r="G98" s="24">
        <v>87.66</v>
      </c>
      <c r="H98" s="24">
        <v>0.17</v>
      </c>
      <c r="I98" s="31"/>
      <c r="J98" s="35"/>
    </row>
    <row r="99" spans="1:10" x14ac:dyDescent="0.25">
      <c r="C99" s="57" t="s">
        <v>35</v>
      </c>
      <c r="D99" s="53"/>
      <c r="E99" s="6"/>
      <c r="F99" s="19"/>
      <c r="G99" s="25">
        <v>87.66</v>
      </c>
      <c r="H99" s="25">
        <v>0.17</v>
      </c>
      <c r="I99" s="31"/>
      <c r="J99" s="35"/>
    </row>
    <row r="100" spans="1:10" x14ac:dyDescent="0.25">
      <c r="C100" s="56"/>
      <c r="D100" s="53"/>
      <c r="E100" s="6"/>
      <c r="F100" s="19"/>
      <c r="G100" s="24"/>
      <c r="H100" s="24"/>
      <c r="I100" s="31"/>
      <c r="J100" s="35"/>
    </row>
    <row r="101" spans="1:10" x14ac:dyDescent="0.25">
      <c r="A101" s="10"/>
      <c r="B101" s="28"/>
      <c r="C101" s="58" t="s">
        <v>23</v>
      </c>
      <c r="D101" s="53"/>
      <c r="E101" s="6"/>
      <c r="F101" s="19"/>
      <c r="G101" s="24"/>
      <c r="H101" s="24"/>
      <c r="I101" s="31"/>
      <c r="J101" s="35"/>
    </row>
    <row r="102" spans="1:10" x14ac:dyDescent="0.25">
      <c r="A102" s="28"/>
      <c r="B102" s="28"/>
      <c r="C102" s="60" t="s">
        <v>3398</v>
      </c>
      <c r="D102" s="53"/>
      <c r="E102" s="6"/>
      <c r="F102" s="19"/>
      <c r="G102" s="24" t="s">
        <v>2</v>
      </c>
      <c r="H102" s="24" t="s">
        <v>2</v>
      </c>
      <c r="I102" s="31"/>
      <c r="J102" s="35"/>
    </row>
    <row r="103" spans="1:10" x14ac:dyDescent="0.25">
      <c r="B103" s="8"/>
      <c r="C103" s="56" t="s">
        <v>36</v>
      </c>
      <c r="D103" s="53"/>
      <c r="E103" s="6"/>
      <c r="F103" s="19"/>
      <c r="G103" s="24">
        <v>-77.959999999999994</v>
      </c>
      <c r="H103" s="24">
        <v>-0.18</v>
      </c>
      <c r="I103" s="31"/>
      <c r="J103" s="35"/>
    </row>
    <row r="104" spans="1:10" x14ac:dyDescent="0.25">
      <c r="C104" s="57" t="s">
        <v>35</v>
      </c>
      <c r="D104" s="53"/>
      <c r="E104" s="6"/>
      <c r="F104" s="19"/>
      <c r="G104" s="25">
        <v>-77.959999999999994</v>
      </c>
      <c r="H104" s="25">
        <v>-0.18</v>
      </c>
      <c r="I104" s="31"/>
      <c r="J104" s="35"/>
    </row>
    <row r="105" spans="1:10" x14ac:dyDescent="0.25">
      <c r="C105" s="56"/>
      <c r="D105" s="53"/>
      <c r="E105" s="6"/>
      <c r="F105" s="19"/>
      <c r="G105" s="24"/>
      <c r="H105" s="24"/>
      <c r="I105" s="31"/>
      <c r="J105" s="35"/>
    </row>
    <row r="106" spans="1:10" x14ac:dyDescent="0.25">
      <c r="C106" s="61" t="s">
        <v>37</v>
      </c>
      <c r="D106" s="54"/>
      <c r="E106" s="5"/>
      <c r="F106" s="20"/>
      <c r="G106" s="26">
        <v>52816.31</v>
      </c>
      <c r="H106" s="26">
        <f>SUMIFS(H:H,C:C,"Total")</f>
        <v>100</v>
      </c>
      <c r="I106" s="32"/>
      <c r="J106" s="36"/>
    </row>
    <row r="109" spans="1:10" x14ac:dyDescent="0.25">
      <c r="C109" s="1" t="s">
        <v>38</v>
      </c>
    </row>
    <row r="110" spans="1:10" x14ac:dyDescent="0.25">
      <c r="C110" s="2" t="s">
        <v>39</v>
      </c>
    </row>
    <row r="111" spans="1:10" x14ac:dyDescent="0.25">
      <c r="C111" s="2" t="s">
        <v>40</v>
      </c>
    </row>
    <row r="112" spans="1:10" x14ac:dyDescent="0.25">
      <c r="C112" s="2" t="s">
        <v>3430</v>
      </c>
    </row>
  </sheetData>
  <hyperlinks>
    <hyperlink ref="J2" location="'Index'!A1" display="'Index'!A1"/>
  </hyperlinks>
  <pageMargins left="0.7" right="0.7" top="0.75" bottom="0.75" header="0.3" footer="0.3"/>
  <pageSetup orientation="portrait" horizontalDpi="4294967293"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6"/>
  <dimension ref="A1:J8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2226</v>
      </c>
      <c r="J2" s="37" t="s">
        <v>3307</v>
      </c>
    </row>
    <row r="3" spans="1:10" ht="16.5" x14ac:dyDescent="0.3">
      <c r="C3" s="1" t="s">
        <v>24</v>
      </c>
      <c r="D3" s="21" t="s">
        <v>2227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6000594</v>
      </c>
      <c r="G10" s="24">
        <v>64722.41</v>
      </c>
      <c r="H10" s="24">
        <v>28.83</v>
      </c>
      <c r="I10" s="31"/>
      <c r="J10" s="35"/>
    </row>
    <row r="11" spans="1:10" x14ac:dyDescent="0.25">
      <c r="B11" s="8" t="s">
        <v>62</v>
      </c>
      <c r="C11" s="56" t="s">
        <v>63</v>
      </c>
      <c r="D11" s="53" t="s">
        <v>64</v>
      </c>
      <c r="E11" s="6" t="s">
        <v>51</v>
      </c>
      <c r="F11" s="19">
        <v>12412664</v>
      </c>
      <c r="G11" s="24">
        <v>44033.93</v>
      </c>
      <c r="H11" s="24">
        <v>19.61</v>
      </c>
      <c r="I11" s="31"/>
      <c r="J11" s="35"/>
    </row>
    <row r="12" spans="1:10" x14ac:dyDescent="0.25">
      <c r="B12" s="8" t="s">
        <v>59</v>
      </c>
      <c r="C12" s="56" t="s">
        <v>60</v>
      </c>
      <c r="D12" s="53" t="s">
        <v>61</v>
      </c>
      <c r="E12" s="6" t="s">
        <v>51</v>
      </c>
      <c r="F12" s="19">
        <v>2636357</v>
      </c>
      <c r="G12" s="24">
        <v>33434.28</v>
      </c>
      <c r="H12" s="24">
        <v>14.89</v>
      </c>
      <c r="I12" s="31"/>
      <c r="J12" s="35"/>
    </row>
    <row r="13" spans="1:10" x14ac:dyDescent="0.25">
      <c r="B13" s="8" t="s">
        <v>73</v>
      </c>
      <c r="C13" s="56" t="s">
        <v>74</v>
      </c>
      <c r="D13" s="53" t="s">
        <v>75</v>
      </c>
      <c r="E13" s="6" t="s">
        <v>51</v>
      </c>
      <c r="F13" s="19">
        <v>7594065</v>
      </c>
      <c r="G13" s="24">
        <v>32248.2</v>
      </c>
      <c r="H13" s="24">
        <v>14.36</v>
      </c>
      <c r="I13" s="31"/>
      <c r="J13" s="35"/>
    </row>
    <row r="14" spans="1:10" x14ac:dyDescent="0.25">
      <c r="B14" s="8" t="s">
        <v>164</v>
      </c>
      <c r="C14" s="56" t="s">
        <v>165</v>
      </c>
      <c r="D14" s="53" t="s">
        <v>166</v>
      </c>
      <c r="E14" s="6" t="s">
        <v>51</v>
      </c>
      <c r="F14" s="19">
        <v>12639734</v>
      </c>
      <c r="G14" s="24">
        <v>23434.07</v>
      </c>
      <c r="H14" s="24">
        <v>10.44</v>
      </c>
      <c r="I14" s="31"/>
      <c r="J14" s="35"/>
    </row>
    <row r="15" spans="1:10" x14ac:dyDescent="0.25">
      <c r="B15" s="8" t="s">
        <v>871</v>
      </c>
      <c r="C15" s="56" t="s">
        <v>872</v>
      </c>
      <c r="D15" s="53" t="s">
        <v>873</v>
      </c>
      <c r="E15" s="6" t="s">
        <v>51</v>
      </c>
      <c r="F15" s="19">
        <v>1868282</v>
      </c>
      <c r="G15" s="24">
        <v>9853.32</v>
      </c>
      <c r="H15" s="24">
        <v>4.3899999999999997</v>
      </c>
      <c r="I15" s="31"/>
      <c r="J15" s="35"/>
    </row>
    <row r="16" spans="1:10" x14ac:dyDescent="0.25">
      <c r="B16" s="8" t="s">
        <v>255</v>
      </c>
      <c r="C16" s="56" t="s">
        <v>256</v>
      </c>
      <c r="D16" s="53" t="s">
        <v>257</v>
      </c>
      <c r="E16" s="6" t="s">
        <v>51</v>
      </c>
      <c r="F16" s="19">
        <v>2227672</v>
      </c>
      <c r="G16" s="24">
        <v>6081.54</v>
      </c>
      <c r="H16" s="24">
        <v>2.71</v>
      </c>
      <c r="I16" s="31"/>
      <c r="J16" s="35"/>
    </row>
    <row r="17" spans="2:10" x14ac:dyDescent="0.25">
      <c r="B17" s="8" t="s">
        <v>373</v>
      </c>
      <c r="C17" s="56" t="s">
        <v>374</v>
      </c>
      <c r="D17" s="53" t="s">
        <v>375</v>
      </c>
      <c r="E17" s="6" t="s">
        <v>51</v>
      </c>
      <c r="F17" s="19">
        <v>6570253</v>
      </c>
      <c r="G17" s="24">
        <v>3193.14</v>
      </c>
      <c r="H17" s="24">
        <v>1.42</v>
      </c>
      <c r="I17" s="31"/>
      <c r="J17" s="35"/>
    </row>
    <row r="18" spans="2:10" x14ac:dyDescent="0.25">
      <c r="B18" s="8" t="s">
        <v>2228</v>
      </c>
      <c r="C18" s="56" t="s">
        <v>1239</v>
      </c>
      <c r="D18" s="53" t="s">
        <v>2229</v>
      </c>
      <c r="E18" s="6" t="s">
        <v>51</v>
      </c>
      <c r="F18" s="19">
        <v>1524758</v>
      </c>
      <c r="G18" s="24">
        <v>2590.56</v>
      </c>
      <c r="H18" s="24">
        <v>1.1499999999999999</v>
      </c>
      <c r="I18" s="31"/>
      <c r="J18" s="35"/>
    </row>
    <row r="19" spans="2:10" x14ac:dyDescent="0.25">
      <c r="B19" s="8" t="s">
        <v>2230</v>
      </c>
      <c r="C19" s="56" t="s">
        <v>2231</v>
      </c>
      <c r="D19" s="53" t="s">
        <v>2232</v>
      </c>
      <c r="E19" s="6" t="s">
        <v>51</v>
      </c>
      <c r="F19" s="19">
        <v>6912684</v>
      </c>
      <c r="G19" s="24">
        <v>2070.35</v>
      </c>
      <c r="H19" s="24">
        <v>0.92</v>
      </c>
      <c r="I19" s="31"/>
      <c r="J19" s="35"/>
    </row>
    <row r="20" spans="2:10" x14ac:dyDescent="0.25">
      <c r="B20" s="8" t="s">
        <v>817</v>
      </c>
      <c r="C20" s="56" t="s">
        <v>818</v>
      </c>
      <c r="D20" s="53" t="s">
        <v>819</v>
      </c>
      <c r="E20" s="6" t="s">
        <v>51</v>
      </c>
      <c r="F20" s="19">
        <v>3956910</v>
      </c>
      <c r="G20" s="24">
        <v>1624.31</v>
      </c>
      <c r="H20" s="24">
        <v>0.72</v>
      </c>
      <c r="I20" s="31"/>
      <c r="J20" s="35"/>
    </row>
    <row r="21" spans="2:10" x14ac:dyDescent="0.25">
      <c r="B21" s="8" t="s">
        <v>401</v>
      </c>
      <c r="C21" s="56" t="s">
        <v>402</v>
      </c>
      <c r="D21" s="53" t="s">
        <v>403</v>
      </c>
      <c r="E21" s="6" t="s">
        <v>51</v>
      </c>
      <c r="F21" s="19">
        <v>4339325</v>
      </c>
      <c r="G21" s="24">
        <v>1238.8800000000001</v>
      </c>
      <c r="H21" s="24">
        <v>0.55000000000000004</v>
      </c>
      <c r="I21" s="31"/>
      <c r="J21" s="35"/>
    </row>
    <row r="22" spans="2:10" x14ac:dyDescent="0.25">
      <c r="C22" s="57" t="s">
        <v>35</v>
      </c>
      <c r="D22" s="53"/>
      <c r="E22" s="6"/>
      <c r="F22" s="19"/>
      <c r="G22" s="25">
        <v>224524.99</v>
      </c>
      <c r="H22" s="25">
        <v>99.99</v>
      </c>
      <c r="I22" s="31"/>
      <c r="J22" s="35"/>
    </row>
    <row r="23" spans="2:10" x14ac:dyDescent="0.25">
      <c r="C23" s="56"/>
      <c r="D23" s="53"/>
      <c r="E23" s="6"/>
      <c r="F23" s="19"/>
      <c r="G23" s="24"/>
      <c r="H23" s="24"/>
      <c r="I23" s="31"/>
      <c r="J23" s="35"/>
    </row>
    <row r="24" spans="2:10" x14ac:dyDescent="0.25">
      <c r="C24" s="57" t="s">
        <v>3</v>
      </c>
      <c r="D24" s="53"/>
      <c r="E24" s="6"/>
      <c r="F24" s="19"/>
      <c r="G24" s="24" t="s">
        <v>2</v>
      </c>
      <c r="H24" s="24" t="s">
        <v>2</v>
      </c>
      <c r="I24" s="31"/>
      <c r="J24" s="35"/>
    </row>
    <row r="25" spans="2:10" x14ac:dyDescent="0.25">
      <c r="C25" s="56"/>
      <c r="D25" s="53"/>
      <c r="E25" s="6"/>
      <c r="F25" s="19"/>
      <c r="G25" s="24"/>
      <c r="H25" s="24"/>
      <c r="I25" s="31"/>
      <c r="J25" s="35"/>
    </row>
    <row r="26" spans="2:10" x14ac:dyDescent="0.25">
      <c r="C26" s="57" t="s">
        <v>4</v>
      </c>
      <c r="D26" s="53"/>
      <c r="E26" s="6"/>
      <c r="F26" s="19"/>
      <c r="G26" s="24" t="s">
        <v>2</v>
      </c>
      <c r="H26" s="24" t="s">
        <v>2</v>
      </c>
      <c r="I26" s="31"/>
      <c r="J26" s="35"/>
    </row>
    <row r="27" spans="2:10" x14ac:dyDescent="0.25">
      <c r="C27" s="56"/>
      <c r="D27" s="53"/>
      <c r="E27" s="6"/>
      <c r="F27" s="19"/>
      <c r="G27" s="24"/>
      <c r="H27" s="24"/>
      <c r="I27" s="31"/>
      <c r="J27" s="35"/>
    </row>
    <row r="28" spans="2:10" x14ac:dyDescent="0.25">
      <c r="C28" s="57" t="s">
        <v>5</v>
      </c>
      <c r="D28" s="53"/>
      <c r="E28" s="6"/>
      <c r="F28" s="19"/>
      <c r="G28" s="24"/>
      <c r="H28" s="24"/>
      <c r="I28" s="31"/>
      <c r="J28" s="35"/>
    </row>
    <row r="29" spans="2:10" x14ac:dyDescent="0.25">
      <c r="C29" s="56"/>
      <c r="D29" s="53"/>
      <c r="E29" s="6"/>
      <c r="F29" s="19"/>
      <c r="G29" s="24"/>
      <c r="H29" s="24"/>
      <c r="I29" s="31"/>
      <c r="J29" s="35"/>
    </row>
    <row r="30" spans="2:10" x14ac:dyDescent="0.25">
      <c r="C30" s="57" t="s">
        <v>6</v>
      </c>
      <c r="D30" s="53"/>
      <c r="E30" s="6"/>
      <c r="F30" s="19"/>
      <c r="G30" s="24" t="s">
        <v>2</v>
      </c>
      <c r="H30" s="24" t="s">
        <v>2</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3:10" x14ac:dyDescent="0.25">
      <c r="C33" s="56"/>
      <c r="D33" s="53"/>
      <c r="E33" s="6"/>
      <c r="F33" s="19"/>
      <c r="G33" s="24"/>
      <c r="H33" s="24"/>
      <c r="I33" s="31"/>
      <c r="J33" s="35"/>
    </row>
    <row r="34" spans="3:10" x14ac:dyDescent="0.25">
      <c r="C34" s="57" t="s">
        <v>8</v>
      </c>
      <c r="D34" s="53"/>
      <c r="E34" s="6"/>
      <c r="F34" s="19"/>
      <c r="G34" s="24" t="s">
        <v>2</v>
      </c>
      <c r="H34" s="24" t="s">
        <v>2</v>
      </c>
      <c r="I34" s="31"/>
      <c r="J34" s="35"/>
    </row>
    <row r="35" spans="3:10" x14ac:dyDescent="0.25">
      <c r="C35" s="56"/>
      <c r="D35" s="53"/>
      <c r="E35" s="6"/>
      <c r="F35" s="19"/>
      <c r="G35" s="24"/>
      <c r="H35" s="24"/>
      <c r="I35" s="31"/>
      <c r="J35" s="35"/>
    </row>
    <row r="36" spans="3:10" x14ac:dyDescent="0.25">
      <c r="C36" s="57" t="s">
        <v>9</v>
      </c>
      <c r="D36" s="53"/>
      <c r="E36" s="6"/>
      <c r="F36" s="19"/>
      <c r="G36" s="24" t="s">
        <v>2</v>
      </c>
      <c r="H36" s="24" t="s">
        <v>2</v>
      </c>
      <c r="I36" s="31"/>
      <c r="J36" s="35"/>
    </row>
    <row r="37" spans="3:10" x14ac:dyDescent="0.25">
      <c r="C37" s="56"/>
      <c r="D37" s="53"/>
      <c r="E37" s="6"/>
      <c r="F37" s="19"/>
      <c r="G37" s="24"/>
      <c r="H37" s="24"/>
      <c r="I37" s="31"/>
      <c r="J37" s="35"/>
    </row>
    <row r="38" spans="3:10" x14ac:dyDescent="0.25">
      <c r="C38" s="57" t="s">
        <v>10</v>
      </c>
      <c r="D38" s="53"/>
      <c r="E38" s="6"/>
      <c r="F38" s="19"/>
      <c r="G38" s="24" t="s">
        <v>2</v>
      </c>
      <c r="H38" s="24" t="s">
        <v>2</v>
      </c>
      <c r="I38" s="31"/>
      <c r="J38" s="35"/>
    </row>
    <row r="39" spans="3:10" x14ac:dyDescent="0.25">
      <c r="C39" s="56"/>
      <c r="D39" s="53"/>
      <c r="E39" s="6"/>
      <c r="F39" s="19"/>
      <c r="G39" s="24"/>
      <c r="H39" s="24"/>
      <c r="I39" s="31"/>
      <c r="J39" s="35"/>
    </row>
    <row r="40" spans="3:10" x14ac:dyDescent="0.25">
      <c r="C40" s="57" t="s">
        <v>11</v>
      </c>
      <c r="D40" s="53"/>
      <c r="E40" s="6"/>
      <c r="F40" s="19"/>
      <c r="G40" s="24"/>
      <c r="H40" s="24"/>
      <c r="I40" s="31"/>
      <c r="J40" s="35"/>
    </row>
    <row r="41" spans="3:10" x14ac:dyDescent="0.25">
      <c r="C41" s="56"/>
      <c r="D41" s="53"/>
      <c r="E41" s="6"/>
      <c r="F41" s="19"/>
      <c r="G41" s="24"/>
      <c r="H41" s="24"/>
      <c r="I41" s="31"/>
      <c r="J41" s="35"/>
    </row>
    <row r="42" spans="3:10" x14ac:dyDescent="0.25">
      <c r="C42" s="57" t="s">
        <v>13</v>
      </c>
      <c r="D42" s="53"/>
      <c r="E42" s="6"/>
      <c r="F42" s="19"/>
      <c r="G42" s="24" t="s">
        <v>2</v>
      </c>
      <c r="H42" s="24" t="s">
        <v>2</v>
      </c>
      <c r="I42" s="31"/>
      <c r="J42" s="35"/>
    </row>
    <row r="43" spans="3:10" x14ac:dyDescent="0.25">
      <c r="C43" s="56"/>
      <c r="D43" s="53"/>
      <c r="E43" s="6"/>
      <c r="F43" s="19"/>
      <c r="G43" s="24"/>
      <c r="H43" s="24"/>
      <c r="I43" s="31"/>
      <c r="J43" s="35"/>
    </row>
    <row r="44" spans="3:10" x14ac:dyDescent="0.25">
      <c r="C44" s="57" t="s">
        <v>14</v>
      </c>
      <c r="D44" s="53"/>
      <c r="E44" s="6"/>
      <c r="F44" s="19"/>
      <c r="G44" s="24" t="s">
        <v>2</v>
      </c>
      <c r="H44" s="24" t="s">
        <v>2</v>
      </c>
      <c r="I44" s="31"/>
      <c r="J44" s="35"/>
    </row>
    <row r="45" spans="3:10" x14ac:dyDescent="0.25">
      <c r="C45" s="56"/>
      <c r="D45" s="53"/>
      <c r="E45" s="6"/>
      <c r="F45" s="19"/>
      <c r="G45" s="24"/>
      <c r="H45" s="24"/>
      <c r="I45" s="31"/>
      <c r="J45" s="35"/>
    </row>
    <row r="46" spans="3:10" x14ac:dyDescent="0.25">
      <c r="C46" s="57" t="s">
        <v>15</v>
      </c>
      <c r="D46" s="53"/>
      <c r="E46" s="6"/>
      <c r="F46" s="19"/>
      <c r="G46" s="24" t="s">
        <v>2</v>
      </c>
      <c r="H46" s="24" t="s">
        <v>2</v>
      </c>
      <c r="I46" s="31"/>
      <c r="J46" s="35"/>
    </row>
    <row r="47" spans="3:10" x14ac:dyDescent="0.25">
      <c r="C47" s="56"/>
      <c r="D47" s="53"/>
      <c r="E47" s="6"/>
      <c r="F47" s="19"/>
      <c r="G47" s="24"/>
      <c r="H47" s="24"/>
      <c r="I47" s="31"/>
      <c r="J47" s="35"/>
    </row>
    <row r="48" spans="3:10" x14ac:dyDescent="0.25">
      <c r="C48" s="57" t="s">
        <v>16</v>
      </c>
      <c r="D48" s="53"/>
      <c r="E48" s="6"/>
      <c r="F48" s="19"/>
      <c r="G48" s="24" t="s">
        <v>2</v>
      </c>
      <c r="H48" s="24" t="s">
        <v>2</v>
      </c>
      <c r="I48" s="31"/>
      <c r="J48" s="35"/>
    </row>
    <row r="49" spans="1:10" x14ac:dyDescent="0.25">
      <c r="C49" s="56"/>
      <c r="D49" s="53"/>
      <c r="E49" s="6"/>
      <c r="F49" s="19"/>
      <c r="G49" s="24"/>
      <c r="H49" s="24"/>
      <c r="I49" s="31"/>
      <c r="J49" s="35"/>
    </row>
    <row r="50" spans="1:10" x14ac:dyDescent="0.25">
      <c r="A50" s="10"/>
      <c r="B50" s="28"/>
      <c r="C50" s="58" t="s">
        <v>17</v>
      </c>
      <c r="D50" s="53"/>
      <c r="E50" s="6"/>
      <c r="F50" s="19"/>
      <c r="G50" s="24"/>
      <c r="H50" s="24"/>
      <c r="I50" s="31"/>
      <c r="J50" s="35"/>
    </row>
    <row r="51" spans="1:10" x14ac:dyDescent="0.25">
      <c r="A51" s="28"/>
      <c r="B51" s="28"/>
      <c r="C51" s="58" t="s">
        <v>18</v>
      </c>
      <c r="D51" s="53"/>
      <c r="E51" s="6"/>
      <c r="F51" s="19"/>
      <c r="G51" s="24" t="s">
        <v>2</v>
      </c>
      <c r="H51" s="24" t="s">
        <v>2</v>
      </c>
      <c r="I51" s="31"/>
      <c r="J51" s="35"/>
    </row>
    <row r="52" spans="1:10" x14ac:dyDescent="0.25">
      <c r="A52" s="28"/>
      <c r="B52" s="28"/>
      <c r="C52" s="58"/>
      <c r="D52" s="53"/>
      <c r="E52" s="6"/>
      <c r="F52" s="19"/>
      <c r="G52" s="24"/>
      <c r="H52" s="24"/>
      <c r="I52" s="31"/>
      <c r="J52" s="35"/>
    </row>
    <row r="53" spans="1:10" x14ac:dyDescent="0.25">
      <c r="A53" s="28"/>
      <c r="B53" s="28"/>
      <c r="C53" s="58" t="s">
        <v>19</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20</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21</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C59" s="59" t="s">
        <v>22</v>
      </c>
      <c r="D59" s="53"/>
      <c r="E59" s="6"/>
      <c r="F59" s="19"/>
      <c r="G59" s="24"/>
      <c r="H59" s="24"/>
      <c r="I59" s="31"/>
      <c r="J59" s="35"/>
    </row>
    <row r="60" spans="1:10" x14ac:dyDescent="0.25">
      <c r="B60" s="8" t="s">
        <v>33</v>
      </c>
      <c r="C60" s="56" t="s">
        <v>34</v>
      </c>
      <c r="D60" s="53"/>
      <c r="E60" s="6"/>
      <c r="F60" s="19"/>
      <c r="G60" s="24">
        <v>35.299999999999997</v>
      </c>
      <c r="H60" s="24">
        <v>0.02</v>
      </c>
      <c r="I60" s="31"/>
      <c r="J60" s="35"/>
    </row>
    <row r="61" spans="1:10" x14ac:dyDescent="0.25">
      <c r="C61" s="57" t="s">
        <v>35</v>
      </c>
      <c r="D61" s="53"/>
      <c r="E61" s="6"/>
      <c r="F61" s="19"/>
      <c r="G61" s="25">
        <v>35.299999999999997</v>
      </c>
      <c r="H61" s="25">
        <v>0.02</v>
      </c>
      <c r="I61" s="31"/>
      <c r="J61" s="35"/>
    </row>
    <row r="62" spans="1:10" x14ac:dyDescent="0.25">
      <c r="C62" s="56"/>
      <c r="D62" s="53"/>
      <c r="E62" s="6"/>
      <c r="F62" s="19"/>
      <c r="G62" s="24"/>
      <c r="H62" s="24"/>
      <c r="I62" s="31"/>
      <c r="J62" s="35"/>
    </row>
    <row r="63" spans="1:10" x14ac:dyDescent="0.25">
      <c r="A63" s="10"/>
      <c r="B63" s="28"/>
      <c r="C63" s="58" t="s">
        <v>23</v>
      </c>
      <c r="D63" s="53"/>
      <c r="E63" s="6"/>
      <c r="F63" s="19"/>
      <c r="G63" s="24"/>
      <c r="H63" s="24"/>
      <c r="I63" s="31"/>
      <c r="J63" s="35"/>
    </row>
    <row r="64" spans="1:10" x14ac:dyDescent="0.25">
      <c r="A64" s="28"/>
      <c r="B64" s="28"/>
      <c r="C64" s="60" t="s">
        <v>3398</v>
      </c>
      <c r="D64" s="53"/>
      <c r="E64" s="6"/>
      <c r="F64" s="19"/>
      <c r="G64" s="24" t="s">
        <v>2</v>
      </c>
      <c r="H64" s="24" t="s">
        <v>2</v>
      </c>
      <c r="I64" s="31"/>
      <c r="J64" s="35"/>
    </row>
    <row r="65" spans="2:10" x14ac:dyDescent="0.25">
      <c r="B65" s="8"/>
      <c r="C65" s="56" t="s">
        <v>36</v>
      </c>
      <c r="D65" s="53"/>
      <c r="E65" s="6"/>
      <c r="F65" s="19"/>
      <c r="G65" s="24">
        <v>-30.44</v>
      </c>
      <c r="H65" s="24">
        <v>-0.01</v>
      </c>
      <c r="I65" s="31"/>
      <c r="J65" s="35"/>
    </row>
    <row r="66" spans="2:10" x14ac:dyDescent="0.25">
      <c r="C66" s="57" t="s">
        <v>35</v>
      </c>
      <c r="D66" s="53"/>
      <c r="E66" s="6"/>
      <c r="F66" s="19"/>
      <c r="G66" s="25">
        <v>-30.44</v>
      </c>
      <c r="H66" s="25">
        <v>-0.01</v>
      </c>
      <c r="I66" s="31"/>
      <c r="J66" s="35"/>
    </row>
    <row r="67" spans="2:10" x14ac:dyDescent="0.25">
      <c r="C67" s="56"/>
      <c r="D67" s="53"/>
      <c r="E67" s="6"/>
      <c r="F67" s="19"/>
      <c r="G67" s="24"/>
      <c r="H67" s="24"/>
      <c r="I67" s="31"/>
      <c r="J67" s="35"/>
    </row>
    <row r="68" spans="2:10" x14ac:dyDescent="0.25">
      <c r="C68" s="61" t="s">
        <v>37</v>
      </c>
      <c r="D68" s="54"/>
      <c r="E68" s="5"/>
      <c r="F68" s="20"/>
      <c r="G68" s="26">
        <v>224529.85</v>
      </c>
      <c r="H68" s="26">
        <f>SUMIFS(H:H,C:C,"Total")</f>
        <v>99.999999999999986</v>
      </c>
      <c r="I68" s="32"/>
      <c r="J68" s="36"/>
    </row>
    <row r="71" spans="2:10" x14ac:dyDescent="0.25">
      <c r="C71" s="65" t="s">
        <v>3404</v>
      </c>
      <c r="D71" s="66"/>
      <c r="E71" s="67"/>
      <c r="F71" s="68"/>
      <c r="G71" s="69"/>
      <c r="H71" s="69"/>
      <c r="I71" s="3"/>
    </row>
    <row r="72" spans="2:10" ht="14.25" thickBot="1" x14ac:dyDescent="0.3">
      <c r="C72" s="66"/>
      <c r="D72" s="66"/>
      <c r="E72" s="67"/>
      <c r="F72" s="68"/>
      <c r="G72" s="69"/>
      <c r="H72" s="69"/>
      <c r="I72" s="3"/>
    </row>
    <row r="73" spans="2:10" ht="27" x14ac:dyDescent="0.25">
      <c r="C73" s="70" t="s">
        <v>26</v>
      </c>
      <c r="D73" s="71" t="s">
        <v>27</v>
      </c>
      <c r="E73" s="72" t="s">
        <v>3320</v>
      </c>
      <c r="F73" s="17" t="s">
        <v>28</v>
      </c>
      <c r="G73" s="14" t="s">
        <v>29</v>
      </c>
      <c r="H73" s="14" t="s">
        <v>30</v>
      </c>
      <c r="I73" s="100" t="s">
        <v>32</v>
      </c>
    </row>
    <row r="74" spans="2:10" x14ac:dyDescent="0.25">
      <c r="C74" s="73" t="s">
        <v>0</v>
      </c>
      <c r="D74" s="74"/>
      <c r="E74" s="75"/>
      <c r="F74" s="76"/>
      <c r="G74" s="77"/>
      <c r="H74" s="77"/>
      <c r="I74" s="101"/>
    </row>
    <row r="75" spans="2:10" x14ac:dyDescent="0.25">
      <c r="C75" s="78" t="s">
        <v>3405</v>
      </c>
      <c r="D75" s="79"/>
      <c r="E75" s="80"/>
      <c r="F75" s="81"/>
      <c r="G75" s="82"/>
      <c r="H75" s="82"/>
      <c r="I75" s="102"/>
    </row>
    <row r="76" spans="2:10" x14ac:dyDescent="0.25">
      <c r="C76" s="83"/>
      <c r="D76" s="79"/>
      <c r="E76" s="80"/>
      <c r="F76" s="81"/>
      <c r="G76" s="82"/>
      <c r="H76" s="82"/>
      <c r="I76" s="102"/>
    </row>
    <row r="77" spans="2:10" x14ac:dyDescent="0.25">
      <c r="C77" s="84" t="s">
        <v>887</v>
      </c>
      <c r="D77" s="85" t="s">
        <v>3401</v>
      </c>
      <c r="E77" s="86" t="s">
        <v>51</v>
      </c>
      <c r="F77" s="87">
        <v>6718698</v>
      </c>
      <c r="G77" s="88">
        <v>0</v>
      </c>
      <c r="H77" s="89" t="s">
        <v>3399</v>
      </c>
      <c r="I77" s="103" t="s">
        <v>3408</v>
      </c>
    </row>
    <row r="78" spans="2:10" ht="14.25" thickBot="1" x14ac:dyDescent="0.3">
      <c r="C78" s="90"/>
      <c r="D78" s="91"/>
      <c r="E78" s="92"/>
      <c r="F78" s="20"/>
      <c r="G78" s="93"/>
      <c r="H78" s="94"/>
      <c r="I78" s="36"/>
    </row>
    <row r="79" spans="2:10" x14ac:dyDescent="0.25">
      <c r="I79" s="3"/>
    </row>
    <row r="80" spans="2:10" x14ac:dyDescent="0.25">
      <c r="C80" s="1" t="s">
        <v>38</v>
      </c>
      <c r="I80" s="3"/>
    </row>
    <row r="81" spans="3:9" x14ac:dyDescent="0.25">
      <c r="C81" s="2" t="s">
        <v>3406</v>
      </c>
      <c r="I81" s="3"/>
    </row>
    <row r="82" spans="3:9" x14ac:dyDescent="0.25">
      <c r="C82" s="2" t="s">
        <v>40</v>
      </c>
      <c r="I82" s="3"/>
    </row>
    <row r="83" spans="3:9" x14ac:dyDescent="0.25">
      <c r="C83" s="2" t="s">
        <v>3430</v>
      </c>
      <c r="I83" s="3"/>
    </row>
    <row r="84" spans="3:9" ht="132.75" customHeight="1" x14ac:dyDescent="0.25">
      <c r="C84" s="116" t="s">
        <v>3407</v>
      </c>
      <c r="D84" s="116"/>
      <c r="E84" s="116"/>
      <c r="F84" s="116"/>
      <c r="G84" s="116"/>
      <c r="H84" s="116"/>
      <c r="I84" s="104"/>
    </row>
    <row r="85" spans="3:9" x14ac:dyDescent="0.25">
      <c r="I85" s="3"/>
    </row>
    <row r="86" spans="3:9" x14ac:dyDescent="0.25">
      <c r="I86" s="3"/>
    </row>
  </sheetData>
  <mergeCells count="1">
    <mergeCell ref="C84:H84"/>
  </mergeCells>
  <hyperlinks>
    <hyperlink ref="J2" location="'Index'!A1" display="'Index'!A1"/>
  </hyperlinks>
  <pageMargins left="0.7" right="0.7" top="0.75" bottom="0.75" header="0.3" footer="0.3"/>
  <pageSetup orientation="portrait" horizontalDpi="4294967293"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7"/>
  <dimension ref="A1:J17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2233</v>
      </c>
      <c r="J2" s="37" t="s">
        <v>3307</v>
      </c>
    </row>
    <row r="3" spans="1:10" ht="16.5" x14ac:dyDescent="0.3">
      <c r="C3" s="1" t="s">
        <v>24</v>
      </c>
      <c r="D3" s="21" t="s">
        <v>2234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2311</v>
      </c>
      <c r="G10" s="24">
        <v>51.62</v>
      </c>
      <c r="H10" s="24">
        <v>12.99</v>
      </c>
      <c r="I10" s="31"/>
      <c r="J10" s="35"/>
    </row>
    <row r="11" spans="1:10" x14ac:dyDescent="0.25">
      <c r="B11" s="8" t="s">
        <v>48</v>
      </c>
      <c r="C11" s="56" t="s">
        <v>49</v>
      </c>
      <c r="D11" s="53" t="s">
        <v>50</v>
      </c>
      <c r="E11" s="6" t="s">
        <v>51</v>
      </c>
      <c r="F11" s="19">
        <v>2911</v>
      </c>
      <c r="G11" s="24">
        <v>31.42</v>
      </c>
      <c r="H11" s="24">
        <v>7.9</v>
      </c>
      <c r="I11" s="31"/>
      <c r="J11" s="35"/>
    </row>
    <row r="12" spans="1:10" x14ac:dyDescent="0.25">
      <c r="B12" s="8" t="s">
        <v>44</v>
      </c>
      <c r="C12" s="56" t="s">
        <v>45</v>
      </c>
      <c r="D12" s="53" t="s">
        <v>46</v>
      </c>
      <c r="E12" s="6" t="s">
        <v>47</v>
      </c>
      <c r="F12" s="19">
        <v>2643</v>
      </c>
      <c r="G12" s="24">
        <v>26.64</v>
      </c>
      <c r="H12" s="24">
        <v>6.7</v>
      </c>
      <c r="I12" s="31"/>
      <c r="J12" s="35"/>
    </row>
    <row r="13" spans="1:10" x14ac:dyDescent="0.25">
      <c r="B13" s="8" t="s">
        <v>124</v>
      </c>
      <c r="C13" s="56" t="s">
        <v>125</v>
      </c>
      <c r="D13" s="53" t="s">
        <v>126</v>
      </c>
      <c r="E13" s="6" t="s">
        <v>94</v>
      </c>
      <c r="F13" s="19">
        <v>1282</v>
      </c>
      <c r="G13" s="24">
        <v>22.3</v>
      </c>
      <c r="H13" s="24">
        <v>5.61</v>
      </c>
      <c r="I13" s="31"/>
      <c r="J13" s="35"/>
    </row>
    <row r="14" spans="1:10" x14ac:dyDescent="0.25">
      <c r="B14" s="8" t="s">
        <v>56</v>
      </c>
      <c r="C14" s="56" t="s">
        <v>57</v>
      </c>
      <c r="D14" s="53" t="s">
        <v>58</v>
      </c>
      <c r="E14" s="6" t="s">
        <v>47</v>
      </c>
      <c r="F14" s="19">
        <v>752</v>
      </c>
      <c r="G14" s="24">
        <v>18.739999999999998</v>
      </c>
      <c r="H14" s="24">
        <v>4.71</v>
      </c>
      <c r="I14" s="31"/>
      <c r="J14" s="35"/>
    </row>
    <row r="15" spans="1:10" x14ac:dyDescent="0.25">
      <c r="B15" s="8" t="s">
        <v>62</v>
      </c>
      <c r="C15" s="56" t="s">
        <v>63</v>
      </c>
      <c r="D15" s="53" t="s">
        <v>64</v>
      </c>
      <c r="E15" s="6" t="s">
        <v>51</v>
      </c>
      <c r="F15" s="19">
        <v>4933</v>
      </c>
      <c r="G15" s="24">
        <v>17.510000000000002</v>
      </c>
      <c r="H15" s="24">
        <v>4.4000000000000004</v>
      </c>
      <c r="I15" s="31"/>
      <c r="J15" s="35"/>
    </row>
    <row r="16" spans="1:10" x14ac:dyDescent="0.25">
      <c r="B16" s="8" t="s">
        <v>127</v>
      </c>
      <c r="C16" s="56" t="s">
        <v>128</v>
      </c>
      <c r="D16" s="53" t="s">
        <v>129</v>
      </c>
      <c r="E16" s="6" t="s">
        <v>90</v>
      </c>
      <c r="F16" s="19">
        <v>639</v>
      </c>
      <c r="G16" s="24">
        <v>13.22</v>
      </c>
      <c r="H16" s="24">
        <v>3.33</v>
      </c>
      <c r="I16" s="31"/>
      <c r="J16" s="35"/>
    </row>
    <row r="17" spans="2:10" x14ac:dyDescent="0.25">
      <c r="B17" s="8" t="s">
        <v>59</v>
      </c>
      <c r="C17" s="56" t="s">
        <v>60</v>
      </c>
      <c r="D17" s="53" t="s">
        <v>61</v>
      </c>
      <c r="E17" s="6" t="s">
        <v>51</v>
      </c>
      <c r="F17" s="19">
        <v>934</v>
      </c>
      <c r="G17" s="24">
        <v>11.84</v>
      </c>
      <c r="H17" s="24">
        <v>2.98</v>
      </c>
      <c r="I17" s="31"/>
      <c r="J17" s="35"/>
    </row>
    <row r="18" spans="2:10" x14ac:dyDescent="0.25">
      <c r="B18" s="8" t="s">
        <v>354</v>
      </c>
      <c r="C18" s="56" t="s">
        <v>355</v>
      </c>
      <c r="D18" s="53" t="s">
        <v>356</v>
      </c>
      <c r="E18" s="6" t="s">
        <v>90</v>
      </c>
      <c r="F18" s="19">
        <v>6250</v>
      </c>
      <c r="G18" s="24">
        <v>10.73</v>
      </c>
      <c r="H18" s="24">
        <v>2.7</v>
      </c>
      <c r="I18" s="31"/>
      <c r="J18" s="35"/>
    </row>
    <row r="19" spans="2:10" x14ac:dyDescent="0.25">
      <c r="B19" s="8" t="s">
        <v>73</v>
      </c>
      <c r="C19" s="56" t="s">
        <v>74</v>
      </c>
      <c r="D19" s="53" t="s">
        <v>75</v>
      </c>
      <c r="E19" s="6" t="s">
        <v>51</v>
      </c>
      <c r="F19" s="19">
        <v>1883</v>
      </c>
      <c r="G19" s="24">
        <v>7.99</v>
      </c>
      <c r="H19" s="24">
        <v>2.0099999999999998</v>
      </c>
      <c r="I19" s="31"/>
      <c r="J19" s="35"/>
    </row>
    <row r="20" spans="2:10" x14ac:dyDescent="0.25">
      <c r="B20" s="8" t="s">
        <v>76</v>
      </c>
      <c r="C20" s="56" t="s">
        <v>77</v>
      </c>
      <c r="D20" s="53" t="s">
        <v>78</v>
      </c>
      <c r="E20" s="6" t="s">
        <v>79</v>
      </c>
      <c r="F20" s="19">
        <v>862</v>
      </c>
      <c r="G20" s="24">
        <v>7.78</v>
      </c>
      <c r="H20" s="24">
        <v>1.96</v>
      </c>
      <c r="I20" s="31"/>
      <c r="J20" s="35"/>
    </row>
    <row r="21" spans="2:10" x14ac:dyDescent="0.25">
      <c r="B21" s="8" t="s">
        <v>65</v>
      </c>
      <c r="C21" s="56" t="s">
        <v>66</v>
      </c>
      <c r="D21" s="53" t="s">
        <v>67</v>
      </c>
      <c r="E21" s="6" t="s">
        <v>68</v>
      </c>
      <c r="F21" s="19">
        <v>1717</v>
      </c>
      <c r="G21" s="24">
        <v>7.23</v>
      </c>
      <c r="H21" s="24">
        <v>1.82</v>
      </c>
      <c r="I21" s="31"/>
      <c r="J21" s="35"/>
    </row>
    <row r="22" spans="2:10" x14ac:dyDescent="0.25">
      <c r="B22" s="8" t="s">
        <v>704</v>
      </c>
      <c r="C22" s="56" t="s">
        <v>705</v>
      </c>
      <c r="D22" s="53" t="s">
        <v>706</v>
      </c>
      <c r="E22" s="6" t="s">
        <v>90</v>
      </c>
      <c r="F22" s="19">
        <v>323</v>
      </c>
      <c r="G22" s="24">
        <v>6.42</v>
      </c>
      <c r="H22" s="24">
        <v>1.62</v>
      </c>
      <c r="I22" s="31"/>
      <c r="J22" s="35"/>
    </row>
    <row r="23" spans="2:10" x14ac:dyDescent="0.25">
      <c r="B23" s="8" t="s">
        <v>409</v>
      </c>
      <c r="C23" s="56" t="s">
        <v>410</v>
      </c>
      <c r="D23" s="53" t="s">
        <v>411</v>
      </c>
      <c r="E23" s="6" t="s">
        <v>98</v>
      </c>
      <c r="F23" s="19">
        <v>95</v>
      </c>
      <c r="G23" s="24">
        <v>6.41</v>
      </c>
      <c r="H23" s="24">
        <v>1.61</v>
      </c>
      <c r="I23" s="31"/>
      <c r="J23" s="35"/>
    </row>
    <row r="24" spans="2:10" x14ac:dyDescent="0.25">
      <c r="B24" s="8" t="s">
        <v>133</v>
      </c>
      <c r="C24" s="56" t="s">
        <v>134</v>
      </c>
      <c r="D24" s="53" t="s">
        <v>135</v>
      </c>
      <c r="E24" s="6" t="s">
        <v>47</v>
      </c>
      <c r="F24" s="19">
        <v>776</v>
      </c>
      <c r="G24" s="24">
        <v>6.3</v>
      </c>
      <c r="H24" s="24">
        <v>1.58</v>
      </c>
      <c r="I24" s="31"/>
      <c r="J24" s="35"/>
    </row>
    <row r="25" spans="2:10" x14ac:dyDescent="0.25">
      <c r="B25" s="8" t="s">
        <v>91</v>
      </c>
      <c r="C25" s="56" t="s">
        <v>92</v>
      </c>
      <c r="D25" s="53" t="s">
        <v>93</v>
      </c>
      <c r="E25" s="6" t="s">
        <v>94</v>
      </c>
      <c r="F25" s="19">
        <v>189</v>
      </c>
      <c r="G25" s="24">
        <v>6.19</v>
      </c>
      <c r="H25" s="24">
        <v>1.56</v>
      </c>
      <c r="I25" s="31"/>
      <c r="J25" s="35"/>
    </row>
    <row r="26" spans="2:10" x14ac:dyDescent="0.25">
      <c r="B26" s="8" t="s">
        <v>164</v>
      </c>
      <c r="C26" s="56" t="s">
        <v>165</v>
      </c>
      <c r="D26" s="53" t="s">
        <v>166</v>
      </c>
      <c r="E26" s="6" t="s">
        <v>51</v>
      </c>
      <c r="F26" s="19">
        <v>2745</v>
      </c>
      <c r="G26" s="24">
        <v>5.09</v>
      </c>
      <c r="H26" s="24">
        <v>1.28</v>
      </c>
      <c r="I26" s="31"/>
      <c r="J26" s="35"/>
    </row>
    <row r="27" spans="2:10" x14ac:dyDescent="0.25">
      <c r="B27" s="8" t="s">
        <v>412</v>
      </c>
      <c r="C27" s="56" t="s">
        <v>413</v>
      </c>
      <c r="D27" s="53" t="s">
        <v>414</v>
      </c>
      <c r="E27" s="6" t="s">
        <v>111</v>
      </c>
      <c r="F27" s="19">
        <v>87</v>
      </c>
      <c r="G27" s="24">
        <v>4.51</v>
      </c>
      <c r="H27" s="24">
        <v>1.1399999999999999</v>
      </c>
      <c r="I27" s="31"/>
      <c r="J27" s="35"/>
    </row>
    <row r="28" spans="2:10" x14ac:dyDescent="0.25">
      <c r="B28" s="8" t="s">
        <v>95</v>
      </c>
      <c r="C28" s="56" t="s">
        <v>96</v>
      </c>
      <c r="D28" s="53" t="s">
        <v>97</v>
      </c>
      <c r="E28" s="6" t="s">
        <v>98</v>
      </c>
      <c r="F28" s="19">
        <v>684</v>
      </c>
      <c r="G28" s="24">
        <v>4.16</v>
      </c>
      <c r="H28" s="24">
        <v>1.05</v>
      </c>
      <c r="I28" s="31"/>
      <c r="J28" s="35"/>
    </row>
    <row r="29" spans="2:10" x14ac:dyDescent="0.25">
      <c r="B29" s="8" t="s">
        <v>406</v>
      </c>
      <c r="C29" s="56" t="s">
        <v>407</v>
      </c>
      <c r="D29" s="53" t="s">
        <v>408</v>
      </c>
      <c r="E29" s="6" t="s">
        <v>90</v>
      </c>
      <c r="F29" s="19">
        <v>26</v>
      </c>
      <c r="G29" s="24">
        <v>4.1399999999999997</v>
      </c>
      <c r="H29" s="24">
        <v>1.04</v>
      </c>
      <c r="I29" s="31"/>
      <c r="J29" s="35"/>
    </row>
    <row r="30" spans="2:10" x14ac:dyDescent="0.25">
      <c r="B30" s="8" t="s">
        <v>245</v>
      </c>
      <c r="C30" s="56" t="s">
        <v>246</v>
      </c>
      <c r="D30" s="53" t="s">
        <v>247</v>
      </c>
      <c r="E30" s="6" t="s">
        <v>111</v>
      </c>
      <c r="F30" s="19">
        <v>772</v>
      </c>
      <c r="G30" s="24">
        <v>3.86</v>
      </c>
      <c r="H30" s="24">
        <v>0.97</v>
      </c>
      <c r="I30" s="31"/>
      <c r="J30" s="35"/>
    </row>
    <row r="31" spans="2:10" x14ac:dyDescent="0.25">
      <c r="B31" s="8" t="s">
        <v>80</v>
      </c>
      <c r="C31" s="56" t="s">
        <v>81</v>
      </c>
      <c r="D31" s="53" t="s">
        <v>82</v>
      </c>
      <c r="E31" s="6" t="s">
        <v>83</v>
      </c>
      <c r="F31" s="19">
        <v>299</v>
      </c>
      <c r="G31" s="24">
        <v>3.59</v>
      </c>
      <c r="H31" s="24">
        <v>0.9</v>
      </c>
      <c r="I31" s="31"/>
      <c r="J31" s="35"/>
    </row>
    <row r="32" spans="2:10" x14ac:dyDescent="0.25">
      <c r="B32" s="8" t="s">
        <v>327</v>
      </c>
      <c r="C32" s="56" t="s">
        <v>328</v>
      </c>
      <c r="D32" s="53" t="s">
        <v>329</v>
      </c>
      <c r="E32" s="6" t="s">
        <v>47</v>
      </c>
      <c r="F32" s="19">
        <v>441</v>
      </c>
      <c r="G32" s="24">
        <v>3.49</v>
      </c>
      <c r="H32" s="24">
        <v>0.88</v>
      </c>
      <c r="I32" s="31"/>
      <c r="J32" s="35"/>
    </row>
    <row r="33" spans="2:10" x14ac:dyDescent="0.25">
      <c r="B33" s="8" t="s">
        <v>136</v>
      </c>
      <c r="C33" s="56" t="s">
        <v>137</v>
      </c>
      <c r="D33" s="53" t="s">
        <v>138</v>
      </c>
      <c r="E33" s="6" t="s">
        <v>41</v>
      </c>
      <c r="F33" s="19">
        <v>83</v>
      </c>
      <c r="G33" s="24">
        <v>3.36</v>
      </c>
      <c r="H33" s="24">
        <v>0.85</v>
      </c>
      <c r="I33" s="31"/>
      <c r="J33" s="35"/>
    </row>
    <row r="34" spans="2:10" x14ac:dyDescent="0.25">
      <c r="B34" s="8" t="s">
        <v>348</v>
      </c>
      <c r="C34" s="56" t="s">
        <v>349</v>
      </c>
      <c r="D34" s="53" t="s">
        <v>350</v>
      </c>
      <c r="E34" s="6" t="s">
        <v>47</v>
      </c>
      <c r="F34" s="19">
        <v>1063</v>
      </c>
      <c r="G34" s="24">
        <v>3.33</v>
      </c>
      <c r="H34" s="24">
        <v>0.84</v>
      </c>
      <c r="I34" s="31"/>
      <c r="J34" s="35"/>
    </row>
    <row r="35" spans="2:10" x14ac:dyDescent="0.25">
      <c r="B35" s="8" t="s">
        <v>99</v>
      </c>
      <c r="C35" s="56" t="s">
        <v>100</v>
      </c>
      <c r="D35" s="53" t="s">
        <v>101</v>
      </c>
      <c r="E35" s="6" t="s">
        <v>90</v>
      </c>
      <c r="F35" s="19">
        <v>84</v>
      </c>
      <c r="G35" s="24">
        <v>3.19</v>
      </c>
      <c r="H35" s="24">
        <v>0.8</v>
      </c>
      <c r="I35" s="31"/>
      <c r="J35" s="35"/>
    </row>
    <row r="36" spans="2:10" x14ac:dyDescent="0.25">
      <c r="B36" s="8" t="s">
        <v>102</v>
      </c>
      <c r="C36" s="56" t="s">
        <v>103</v>
      </c>
      <c r="D36" s="53" t="s">
        <v>104</v>
      </c>
      <c r="E36" s="6" t="s">
        <v>94</v>
      </c>
      <c r="F36" s="19">
        <v>561</v>
      </c>
      <c r="G36" s="24">
        <v>3.15</v>
      </c>
      <c r="H36" s="24">
        <v>0.79</v>
      </c>
      <c r="I36" s="31"/>
      <c r="J36" s="35"/>
    </row>
    <row r="37" spans="2:10" x14ac:dyDescent="0.25">
      <c r="B37" s="8" t="s">
        <v>853</v>
      </c>
      <c r="C37" s="56" t="s">
        <v>854</v>
      </c>
      <c r="D37" s="53" t="s">
        <v>855</v>
      </c>
      <c r="E37" s="6" t="s">
        <v>261</v>
      </c>
      <c r="F37" s="19">
        <v>1834</v>
      </c>
      <c r="G37" s="24">
        <v>2.98</v>
      </c>
      <c r="H37" s="24">
        <v>0.75</v>
      </c>
      <c r="I37" s="31"/>
      <c r="J37" s="35"/>
    </row>
    <row r="38" spans="2:10" x14ac:dyDescent="0.25">
      <c r="B38" s="8" t="s">
        <v>856</v>
      </c>
      <c r="C38" s="56" t="s">
        <v>857</v>
      </c>
      <c r="D38" s="53" t="s">
        <v>858</v>
      </c>
      <c r="E38" s="6" t="s">
        <v>261</v>
      </c>
      <c r="F38" s="19">
        <v>3469</v>
      </c>
      <c r="G38" s="24">
        <v>2.96</v>
      </c>
      <c r="H38" s="24">
        <v>0.74</v>
      </c>
      <c r="I38" s="31"/>
      <c r="J38" s="35"/>
    </row>
    <row r="39" spans="2:10" x14ac:dyDescent="0.25">
      <c r="B39" s="8" t="s">
        <v>859</v>
      </c>
      <c r="C39" s="56" t="s">
        <v>860</v>
      </c>
      <c r="D39" s="53" t="s">
        <v>861</v>
      </c>
      <c r="E39" s="6" t="s">
        <v>98</v>
      </c>
      <c r="F39" s="19">
        <v>93</v>
      </c>
      <c r="G39" s="24">
        <v>2.93</v>
      </c>
      <c r="H39" s="24">
        <v>0.74</v>
      </c>
      <c r="I39" s="31"/>
      <c r="J39" s="35"/>
    </row>
    <row r="40" spans="2:10" x14ac:dyDescent="0.25">
      <c r="B40" s="8" t="s">
        <v>108</v>
      </c>
      <c r="C40" s="56" t="s">
        <v>109</v>
      </c>
      <c r="D40" s="53" t="s">
        <v>110</v>
      </c>
      <c r="E40" s="6" t="s">
        <v>111</v>
      </c>
      <c r="F40" s="19">
        <v>363</v>
      </c>
      <c r="G40" s="24">
        <v>2.81</v>
      </c>
      <c r="H40" s="24">
        <v>0.71</v>
      </c>
      <c r="I40" s="31"/>
      <c r="J40" s="35"/>
    </row>
    <row r="41" spans="2:10" x14ac:dyDescent="0.25">
      <c r="B41" s="8" t="s">
        <v>112</v>
      </c>
      <c r="C41" s="56" t="s">
        <v>113</v>
      </c>
      <c r="D41" s="53" t="s">
        <v>114</v>
      </c>
      <c r="E41" s="6" t="s">
        <v>111</v>
      </c>
      <c r="F41" s="19">
        <v>91</v>
      </c>
      <c r="G41" s="24">
        <v>2.77</v>
      </c>
      <c r="H41" s="24">
        <v>0.7</v>
      </c>
      <c r="I41" s="31"/>
      <c r="J41" s="35"/>
    </row>
    <row r="42" spans="2:10" x14ac:dyDescent="0.25">
      <c r="B42" s="8" t="s">
        <v>862</v>
      </c>
      <c r="C42" s="56" t="s">
        <v>863</v>
      </c>
      <c r="D42" s="53" t="s">
        <v>864</v>
      </c>
      <c r="E42" s="6" t="s">
        <v>98</v>
      </c>
      <c r="F42" s="19">
        <v>93</v>
      </c>
      <c r="G42" s="24">
        <v>2.68</v>
      </c>
      <c r="H42" s="24">
        <v>0.67</v>
      </c>
      <c r="I42" s="31"/>
      <c r="J42" s="35"/>
    </row>
    <row r="43" spans="2:10" x14ac:dyDescent="0.25">
      <c r="B43" s="8" t="s">
        <v>865</v>
      </c>
      <c r="C43" s="56" t="s">
        <v>866</v>
      </c>
      <c r="D43" s="53" t="s">
        <v>867</v>
      </c>
      <c r="E43" s="6" t="s">
        <v>94</v>
      </c>
      <c r="F43" s="19">
        <v>43</v>
      </c>
      <c r="G43" s="24">
        <v>2.52</v>
      </c>
      <c r="H43" s="24">
        <v>0.63</v>
      </c>
      <c r="I43" s="31"/>
      <c r="J43" s="35"/>
    </row>
    <row r="44" spans="2:10" x14ac:dyDescent="0.25">
      <c r="B44" s="8" t="s">
        <v>143</v>
      </c>
      <c r="C44" s="56" t="s">
        <v>144</v>
      </c>
      <c r="D44" s="53" t="s">
        <v>145</v>
      </c>
      <c r="E44" s="6" t="s">
        <v>146</v>
      </c>
      <c r="F44" s="19">
        <v>107</v>
      </c>
      <c r="G44" s="24">
        <v>2.35</v>
      </c>
      <c r="H44" s="24">
        <v>0.59</v>
      </c>
      <c r="I44" s="31"/>
      <c r="J44" s="35"/>
    </row>
    <row r="45" spans="2:10" x14ac:dyDescent="0.25">
      <c r="B45" s="8" t="s">
        <v>871</v>
      </c>
      <c r="C45" s="56" t="s">
        <v>872</v>
      </c>
      <c r="D45" s="53" t="s">
        <v>873</v>
      </c>
      <c r="E45" s="6" t="s">
        <v>51</v>
      </c>
      <c r="F45" s="19">
        <v>431</v>
      </c>
      <c r="G45" s="24">
        <v>2.27</v>
      </c>
      <c r="H45" s="24">
        <v>0.56999999999999995</v>
      </c>
      <c r="I45" s="31"/>
      <c r="J45" s="35"/>
    </row>
    <row r="46" spans="2:10" x14ac:dyDescent="0.25">
      <c r="B46" s="8" t="s">
        <v>868</v>
      </c>
      <c r="C46" s="56" t="s">
        <v>869</v>
      </c>
      <c r="D46" s="53" t="s">
        <v>870</v>
      </c>
      <c r="E46" s="6" t="s">
        <v>94</v>
      </c>
      <c r="F46" s="19">
        <v>279</v>
      </c>
      <c r="G46" s="24">
        <v>2.2599999999999998</v>
      </c>
      <c r="H46" s="24">
        <v>0.56999999999999995</v>
      </c>
      <c r="I46" s="31"/>
      <c r="J46" s="35"/>
    </row>
    <row r="47" spans="2:10" x14ac:dyDescent="0.25">
      <c r="B47" s="8" t="s">
        <v>147</v>
      </c>
      <c r="C47" s="56" t="s">
        <v>148</v>
      </c>
      <c r="D47" s="53" t="s">
        <v>149</v>
      </c>
      <c r="E47" s="6" t="s">
        <v>98</v>
      </c>
      <c r="F47" s="19">
        <v>99</v>
      </c>
      <c r="G47" s="24">
        <v>2.1800000000000002</v>
      </c>
      <c r="H47" s="24">
        <v>0.55000000000000004</v>
      </c>
      <c r="I47" s="31"/>
      <c r="J47" s="35"/>
    </row>
    <row r="48" spans="2:10" x14ac:dyDescent="0.25">
      <c r="B48" s="8" t="s">
        <v>1573</v>
      </c>
      <c r="C48" s="56" t="s">
        <v>1574</v>
      </c>
      <c r="D48" s="53" t="s">
        <v>1575</v>
      </c>
      <c r="E48" s="6" t="s">
        <v>90</v>
      </c>
      <c r="F48" s="19">
        <v>429</v>
      </c>
      <c r="G48" s="24">
        <v>2.14</v>
      </c>
      <c r="H48" s="24">
        <v>0.54</v>
      </c>
      <c r="I48" s="31"/>
      <c r="J48" s="35"/>
    </row>
    <row r="49" spans="2:10" x14ac:dyDescent="0.25">
      <c r="B49" s="8" t="s">
        <v>874</v>
      </c>
      <c r="C49" s="56" t="s">
        <v>875</v>
      </c>
      <c r="D49" s="53" t="s">
        <v>876</v>
      </c>
      <c r="E49" s="6" t="s">
        <v>41</v>
      </c>
      <c r="F49" s="19">
        <v>282</v>
      </c>
      <c r="G49" s="24">
        <v>2.1</v>
      </c>
      <c r="H49" s="24">
        <v>0.53</v>
      </c>
      <c r="I49" s="31"/>
      <c r="J49" s="35"/>
    </row>
    <row r="50" spans="2:10" x14ac:dyDescent="0.25">
      <c r="B50" s="8" t="s">
        <v>1576</v>
      </c>
      <c r="C50" s="56" t="s">
        <v>1577</v>
      </c>
      <c r="D50" s="53" t="s">
        <v>1578</v>
      </c>
      <c r="E50" s="6" t="s">
        <v>90</v>
      </c>
      <c r="F50" s="19">
        <v>403</v>
      </c>
      <c r="G50" s="24">
        <v>2.06</v>
      </c>
      <c r="H50" s="24">
        <v>0.52</v>
      </c>
      <c r="I50" s="31"/>
      <c r="J50" s="35"/>
    </row>
    <row r="51" spans="2:10" x14ac:dyDescent="0.25">
      <c r="B51" s="8" t="s">
        <v>171</v>
      </c>
      <c r="C51" s="56" t="s">
        <v>172</v>
      </c>
      <c r="D51" s="53" t="s">
        <v>173</v>
      </c>
      <c r="E51" s="6" t="s">
        <v>55</v>
      </c>
      <c r="F51" s="19">
        <v>574</v>
      </c>
      <c r="G51" s="24">
        <v>2.0299999999999998</v>
      </c>
      <c r="H51" s="24">
        <v>0.51</v>
      </c>
      <c r="I51" s="31"/>
      <c r="J51" s="35"/>
    </row>
    <row r="52" spans="2:10" x14ac:dyDescent="0.25">
      <c r="B52" s="8" t="s">
        <v>877</v>
      </c>
      <c r="C52" s="56" t="s">
        <v>878</v>
      </c>
      <c r="D52" s="53" t="s">
        <v>879</v>
      </c>
      <c r="E52" s="6" t="s">
        <v>228</v>
      </c>
      <c r="F52" s="19">
        <v>393</v>
      </c>
      <c r="G52" s="24">
        <v>1.97</v>
      </c>
      <c r="H52" s="24">
        <v>0.5</v>
      </c>
      <c r="I52" s="31"/>
      <c r="J52" s="35"/>
    </row>
    <row r="53" spans="2:10" x14ac:dyDescent="0.25">
      <c r="B53" s="8" t="s">
        <v>1579</v>
      </c>
      <c r="C53" s="56" t="s">
        <v>1580</v>
      </c>
      <c r="D53" s="53" t="s">
        <v>1581</v>
      </c>
      <c r="E53" s="6" t="s">
        <v>90</v>
      </c>
      <c r="F53" s="19">
        <v>271</v>
      </c>
      <c r="G53" s="24">
        <v>1.97</v>
      </c>
      <c r="H53" s="24">
        <v>0.49</v>
      </c>
      <c r="I53" s="31"/>
      <c r="J53" s="35"/>
    </row>
    <row r="54" spans="2:10" x14ac:dyDescent="0.25">
      <c r="B54" s="8" t="s">
        <v>880</v>
      </c>
      <c r="C54" s="56" t="s">
        <v>881</v>
      </c>
      <c r="D54" s="53" t="s">
        <v>882</v>
      </c>
      <c r="E54" s="6" t="s">
        <v>153</v>
      </c>
      <c r="F54" s="19">
        <v>709</v>
      </c>
      <c r="G54" s="24">
        <v>1.97</v>
      </c>
      <c r="H54" s="24">
        <v>0.5</v>
      </c>
      <c r="I54" s="31"/>
      <c r="J54" s="35"/>
    </row>
    <row r="55" spans="2:10" x14ac:dyDescent="0.25">
      <c r="B55" s="8" t="s">
        <v>150</v>
      </c>
      <c r="C55" s="56" t="s">
        <v>151</v>
      </c>
      <c r="D55" s="53" t="s">
        <v>152</v>
      </c>
      <c r="E55" s="6" t="s">
        <v>153</v>
      </c>
      <c r="F55" s="19">
        <v>524</v>
      </c>
      <c r="G55" s="24">
        <v>1.89</v>
      </c>
      <c r="H55" s="24">
        <v>0.47</v>
      </c>
      <c r="I55" s="31"/>
      <c r="J55" s="35"/>
    </row>
    <row r="56" spans="2:10" x14ac:dyDescent="0.25">
      <c r="B56" s="8" t="s">
        <v>130</v>
      </c>
      <c r="C56" s="56" t="s">
        <v>131</v>
      </c>
      <c r="D56" s="53" t="s">
        <v>132</v>
      </c>
      <c r="E56" s="6" t="s">
        <v>47</v>
      </c>
      <c r="F56" s="19">
        <v>51</v>
      </c>
      <c r="G56" s="24">
        <v>1.85</v>
      </c>
      <c r="H56" s="24">
        <v>0.47</v>
      </c>
      <c r="I56" s="31"/>
      <c r="J56" s="35"/>
    </row>
    <row r="57" spans="2:10" x14ac:dyDescent="0.25">
      <c r="B57" s="8" t="s">
        <v>167</v>
      </c>
      <c r="C57" s="56" t="s">
        <v>168</v>
      </c>
      <c r="D57" s="53" t="s">
        <v>169</v>
      </c>
      <c r="E57" s="6" t="s">
        <v>170</v>
      </c>
      <c r="F57" s="19">
        <v>1043</v>
      </c>
      <c r="G57" s="24">
        <v>1.83</v>
      </c>
      <c r="H57" s="24">
        <v>0.46</v>
      </c>
      <c r="I57" s="31"/>
      <c r="J57" s="35"/>
    </row>
    <row r="58" spans="2:10" x14ac:dyDescent="0.25">
      <c r="B58" s="8" t="s">
        <v>839</v>
      </c>
      <c r="C58" s="56" t="s">
        <v>840</v>
      </c>
      <c r="D58" s="53" t="s">
        <v>841</v>
      </c>
      <c r="E58" s="6" t="s">
        <v>842</v>
      </c>
      <c r="F58" s="19">
        <v>2610</v>
      </c>
      <c r="G58" s="24">
        <v>1.81</v>
      </c>
      <c r="H58" s="24">
        <v>0.46</v>
      </c>
      <c r="I58" s="31"/>
      <c r="J58" s="35"/>
    </row>
    <row r="59" spans="2:10" x14ac:dyDescent="0.25">
      <c r="B59" s="8" t="s">
        <v>480</v>
      </c>
      <c r="C59" s="56" t="s">
        <v>481</v>
      </c>
      <c r="D59" s="53" t="s">
        <v>482</v>
      </c>
      <c r="E59" s="6" t="s">
        <v>142</v>
      </c>
      <c r="F59" s="19">
        <v>523</v>
      </c>
      <c r="G59" s="24">
        <v>1.78</v>
      </c>
      <c r="H59" s="24">
        <v>0.45</v>
      </c>
      <c r="I59" s="31"/>
      <c r="J59" s="35"/>
    </row>
    <row r="60" spans="2:10" x14ac:dyDescent="0.25">
      <c r="B60" s="8" t="s">
        <v>357</v>
      </c>
      <c r="C60" s="56" t="s">
        <v>358</v>
      </c>
      <c r="D60" s="53" t="s">
        <v>359</v>
      </c>
      <c r="E60" s="6" t="s">
        <v>170</v>
      </c>
      <c r="F60" s="19">
        <v>1303</v>
      </c>
      <c r="G60" s="24">
        <v>1.78</v>
      </c>
      <c r="H60" s="24">
        <v>0.45</v>
      </c>
      <c r="I60" s="31"/>
      <c r="J60" s="35"/>
    </row>
    <row r="61" spans="2:10" x14ac:dyDescent="0.25">
      <c r="B61" s="8" t="s">
        <v>883</v>
      </c>
      <c r="C61" s="56" t="s">
        <v>884</v>
      </c>
      <c r="D61" s="53" t="s">
        <v>885</v>
      </c>
      <c r="E61" s="6" t="s">
        <v>886</v>
      </c>
      <c r="F61" s="19">
        <v>1510</v>
      </c>
      <c r="G61" s="24">
        <v>1.75</v>
      </c>
      <c r="H61" s="24">
        <v>0.44</v>
      </c>
      <c r="I61" s="31"/>
      <c r="J61" s="35"/>
    </row>
    <row r="62" spans="2:10" x14ac:dyDescent="0.25">
      <c r="B62" s="8" t="s">
        <v>158</v>
      </c>
      <c r="C62" s="56" t="s">
        <v>159</v>
      </c>
      <c r="D62" s="53" t="s">
        <v>160</v>
      </c>
      <c r="E62" s="6" t="s">
        <v>111</v>
      </c>
      <c r="F62" s="19">
        <v>171</v>
      </c>
      <c r="G62" s="24">
        <v>1.72</v>
      </c>
      <c r="H62" s="24">
        <v>0.43</v>
      </c>
      <c r="I62" s="31"/>
      <c r="J62" s="35"/>
    </row>
    <row r="63" spans="2:10" x14ac:dyDescent="0.25">
      <c r="B63" s="8" t="s">
        <v>118</v>
      </c>
      <c r="C63" s="56" t="s">
        <v>119</v>
      </c>
      <c r="D63" s="53" t="s">
        <v>120</v>
      </c>
      <c r="E63" s="6" t="s">
        <v>98</v>
      </c>
      <c r="F63" s="19">
        <v>1260</v>
      </c>
      <c r="G63" s="24">
        <v>1.68</v>
      </c>
      <c r="H63" s="24">
        <v>0.42</v>
      </c>
      <c r="I63" s="31"/>
      <c r="J63" s="35"/>
    </row>
    <row r="64" spans="2:10" x14ac:dyDescent="0.25">
      <c r="B64" s="8" t="s">
        <v>769</v>
      </c>
      <c r="C64" s="56" t="s">
        <v>770</v>
      </c>
      <c r="D64" s="53" t="s">
        <v>771</v>
      </c>
      <c r="E64" s="6" t="s">
        <v>111</v>
      </c>
      <c r="F64" s="19">
        <v>201</v>
      </c>
      <c r="G64" s="24">
        <v>1.6</v>
      </c>
      <c r="H64" s="24">
        <v>0.4</v>
      </c>
      <c r="I64" s="31"/>
      <c r="J64" s="35"/>
    </row>
    <row r="65" spans="2:10" x14ac:dyDescent="0.25">
      <c r="B65" s="8" t="s">
        <v>1582</v>
      </c>
      <c r="C65" s="56" t="s">
        <v>1583</v>
      </c>
      <c r="D65" s="53" t="s">
        <v>1584</v>
      </c>
      <c r="E65" s="6" t="s">
        <v>195</v>
      </c>
      <c r="F65" s="19">
        <v>110</v>
      </c>
      <c r="G65" s="24">
        <v>1.58</v>
      </c>
      <c r="H65" s="24">
        <v>0.4</v>
      </c>
      <c r="I65" s="31"/>
      <c r="J65" s="35"/>
    </row>
    <row r="66" spans="2:10" x14ac:dyDescent="0.25">
      <c r="B66" s="8" t="s">
        <v>772</v>
      </c>
      <c r="C66" s="56" t="s">
        <v>773</v>
      </c>
      <c r="D66" s="53" t="s">
        <v>774</v>
      </c>
      <c r="E66" s="6" t="s">
        <v>366</v>
      </c>
      <c r="F66" s="19">
        <v>69</v>
      </c>
      <c r="G66" s="24">
        <v>1.48</v>
      </c>
      <c r="H66" s="24">
        <v>0.37</v>
      </c>
      <c r="I66" s="31"/>
      <c r="J66" s="35"/>
    </row>
    <row r="67" spans="2:10" x14ac:dyDescent="0.25">
      <c r="B67" s="8" t="s">
        <v>719</v>
      </c>
      <c r="C67" s="56" t="s">
        <v>720</v>
      </c>
      <c r="D67" s="53" t="s">
        <v>721</v>
      </c>
      <c r="E67" s="6" t="s">
        <v>722</v>
      </c>
      <c r="F67" s="19">
        <v>687</v>
      </c>
      <c r="G67" s="24">
        <v>1.44</v>
      </c>
      <c r="H67" s="24">
        <v>0.36</v>
      </c>
      <c r="I67" s="31"/>
      <c r="J67" s="35"/>
    </row>
    <row r="68" spans="2:10" x14ac:dyDescent="0.25">
      <c r="B68" s="8" t="s">
        <v>84</v>
      </c>
      <c r="C68" s="56" t="s">
        <v>85</v>
      </c>
      <c r="D68" s="53" t="s">
        <v>86</v>
      </c>
      <c r="E68" s="6" t="s">
        <v>41</v>
      </c>
      <c r="F68" s="19">
        <v>7</v>
      </c>
      <c r="G68" s="24">
        <v>1.42</v>
      </c>
      <c r="H68" s="24">
        <v>0.36</v>
      </c>
      <c r="I68" s="31"/>
      <c r="J68" s="35"/>
    </row>
    <row r="69" spans="2:10" x14ac:dyDescent="0.25">
      <c r="B69" s="8" t="s">
        <v>439</v>
      </c>
      <c r="C69" s="56" t="s">
        <v>440</v>
      </c>
      <c r="D69" s="53" t="s">
        <v>441</v>
      </c>
      <c r="E69" s="6" t="s">
        <v>111</v>
      </c>
      <c r="F69" s="19">
        <v>318</v>
      </c>
      <c r="G69" s="24">
        <v>1.42</v>
      </c>
      <c r="H69" s="24">
        <v>0.36</v>
      </c>
      <c r="I69" s="31"/>
      <c r="J69" s="35"/>
    </row>
    <row r="70" spans="2:10" x14ac:dyDescent="0.25">
      <c r="B70" s="8" t="s">
        <v>87</v>
      </c>
      <c r="C70" s="56" t="s">
        <v>88</v>
      </c>
      <c r="D70" s="53" t="s">
        <v>89</v>
      </c>
      <c r="E70" s="6" t="s">
        <v>90</v>
      </c>
      <c r="F70" s="19">
        <v>95</v>
      </c>
      <c r="G70" s="24">
        <v>1.36</v>
      </c>
      <c r="H70" s="24">
        <v>0.34</v>
      </c>
      <c r="I70" s="31"/>
      <c r="J70" s="35"/>
    </row>
    <row r="71" spans="2:10" x14ac:dyDescent="0.25">
      <c r="B71" s="8" t="s">
        <v>398</v>
      </c>
      <c r="C71" s="56" t="s">
        <v>399</v>
      </c>
      <c r="D71" s="53" t="s">
        <v>400</v>
      </c>
      <c r="E71" s="6" t="s">
        <v>90</v>
      </c>
      <c r="F71" s="19">
        <v>369</v>
      </c>
      <c r="G71" s="24">
        <v>1.34</v>
      </c>
      <c r="H71" s="24">
        <v>0.34</v>
      </c>
      <c r="I71" s="31"/>
      <c r="J71" s="35"/>
    </row>
    <row r="72" spans="2:10" x14ac:dyDescent="0.25">
      <c r="B72" s="8" t="s">
        <v>379</v>
      </c>
      <c r="C72" s="56" t="s">
        <v>380</v>
      </c>
      <c r="D72" s="53" t="s">
        <v>381</v>
      </c>
      <c r="E72" s="6" t="s">
        <v>55</v>
      </c>
      <c r="F72" s="19">
        <v>1818</v>
      </c>
      <c r="G72" s="24">
        <v>1.34</v>
      </c>
      <c r="H72" s="24">
        <v>0.34</v>
      </c>
      <c r="I72" s="31"/>
      <c r="J72" s="35"/>
    </row>
    <row r="73" spans="2:10" x14ac:dyDescent="0.25">
      <c r="B73" s="8" t="s">
        <v>1585</v>
      </c>
      <c r="C73" s="56" t="s">
        <v>1586</v>
      </c>
      <c r="D73" s="53" t="s">
        <v>1587</v>
      </c>
      <c r="E73" s="6" t="s">
        <v>83</v>
      </c>
      <c r="F73" s="19">
        <v>179</v>
      </c>
      <c r="G73" s="24">
        <v>1.21</v>
      </c>
      <c r="H73" s="24">
        <v>0.31</v>
      </c>
      <c r="I73" s="31"/>
      <c r="J73" s="35"/>
    </row>
    <row r="74" spans="2:10" x14ac:dyDescent="0.25">
      <c r="B74" s="8" t="s">
        <v>1354</v>
      </c>
      <c r="C74" s="56" t="s">
        <v>1355</v>
      </c>
      <c r="D74" s="53" t="s">
        <v>1356</v>
      </c>
      <c r="E74" s="6" t="s">
        <v>826</v>
      </c>
      <c r="F74" s="19">
        <v>537</v>
      </c>
      <c r="G74" s="24">
        <v>1.18</v>
      </c>
      <c r="H74" s="24">
        <v>0.3</v>
      </c>
      <c r="I74" s="31"/>
      <c r="J74" s="35"/>
    </row>
    <row r="75" spans="2:10" x14ac:dyDescent="0.25">
      <c r="B75" s="8" t="s">
        <v>161</v>
      </c>
      <c r="C75" s="56" t="s">
        <v>162</v>
      </c>
      <c r="D75" s="53" t="s">
        <v>163</v>
      </c>
      <c r="E75" s="6" t="s">
        <v>94</v>
      </c>
      <c r="F75" s="19">
        <v>277</v>
      </c>
      <c r="G75" s="24">
        <v>1.17</v>
      </c>
      <c r="H75" s="24">
        <v>0.28999999999999998</v>
      </c>
      <c r="I75" s="31"/>
      <c r="J75" s="35"/>
    </row>
    <row r="76" spans="2:10" x14ac:dyDescent="0.25">
      <c r="B76" s="8" t="s">
        <v>324</v>
      </c>
      <c r="C76" s="56" t="s">
        <v>325</v>
      </c>
      <c r="D76" s="53" t="s">
        <v>326</v>
      </c>
      <c r="E76" s="6" t="s">
        <v>41</v>
      </c>
      <c r="F76" s="19">
        <v>526</v>
      </c>
      <c r="G76" s="24">
        <v>1.1399999999999999</v>
      </c>
      <c r="H76" s="24">
        <v>0.28999999999999998</v>
      </c>
      <c r="I76" s="31"/>
      <c r="J76" s="35"/>
    </row>
    <row r="77" spans="2:10" x14ac:dyDescent="0.25">
      <c r="B77" s="8" t="s">
        <v>823</v>
      </c>
      <c r="C77" s="56" t="s">
        <v>824</v>
      </c>
      <c r="D77" s="53" t="s">
        <v>825</v>
      </c>
      <c r="E77" s="6" t="s">
        <v>826</v>
      </c>
      <c r="F77" s="19">
        <v>1291</v>
      </c>
      <c r="G77" s="24">
        <v>1.1200000000000001</v>
      </c>
      <c r="H77" s="24">
        <v>0.28000000000000003</v>
      </c>
      <c r="I77" s="31"/>
      <c r="J77" s="35"/>
    </row>
    <row r="78" spans="2:10" x14ac:dyDescent="0.25">
      <c r="B78" s="8" t="s">
        <v>1518</v>
      </c>
      <c r="C78" s="56" t="s">
        <v>1519</v>
      </c>
      <c r="D78" s="53" t="s">
        <v>1520</v>
      </c>
      <c r="E78" s="6" t="s">
        <v>83</v>
      </c>
      <c r="F78" s="19">
        <v>163</v>
      </c>
      <c r="G78" s="24">
        <v>1.1100000000000001</v>
      </c>
      <c r="H78" s="24">
        <v>0.28000000000000003</v>
      </c>
      <c r="I78" s="31"/>
      <c r="J78" s="35"/>
    </row>
    <row r="79" spans="2:10" x14ac:dyDescent="0.25">
      <c r="B79" s="8" t="s">
        <v>1588</v>
      </c>
      <c r="C79" s="56" t="s">
        <v>1589</v>
      </c>
      <c r="D79" s="53" t="s">
        <v>1590</v>
      </c>
      <c r="E79" s="6" t="s">
        <v>1591</v>
      </c>
      <c r="F79" s="19">
        <v>609</v>
      </c>
      <c r="G79" s="24">
        <v>1.07</v>
      </c>
      <c r="H79" s="24">
        <v>0.27</v>
      </c>
      <c r="I79" s="31"/>
      <c r="J79" s="35"/>
    </row>
    <row r="80" spans="2:10" x14ac:dyDescent="0.25">
      <c r="B80" s="8" t="s">
        <v>121</v>
      </c>
      <c r="C80" s="56" t="s">
        <v>122</v>
      </c>
      <c r="D80" s="53" t="s">
        <v>123</v>
      </c>
      <c r="E80" s="6" t="s">
        <v>90</v>
      </c>
      <c r="F80" s="19">
        <v>44</v>
      </c>
      <c r="G80" s="24">
        <v>1.03</v>
      </c>
      <c r="H80" s="24">
        <v>0.26</v>
      </c>
      <c r="I80" s="31"/>
      <c r="J80" s="35"/>
    </row>
    <row r="81" spans="2:10" x14ac:dyDescent="0.25">
      <c r="B81" s="8" t="s">
        <v>1592</v>
      </c>
      <c r="C81" s="56" t="s">
        <v>1593</v>
      </c>
      <c r="D81" s="53" t="s">
        <v>1594</v>
      </c>
      <c r="E81" s="6" t="s">
        <v>90</v>
      </c>
      <c r="F81" s="19">
        <v>174</v>
      </c>
      <c r="G81" s="24">
        <v>1.02</v>
      </c>
      <c r="H81" s="24">
        <v>0.26</v>
      </c>
      <c r="I81" s="31"/>
      <c r="J81" s="35"/>
    </row>
    <row r="82" spans="2:10" x14ac:dyDescent="0.25">
      <c r="B82" s="8" t="s">
        <v>1595</v>
      </c>
      <c r="C82" s="56" t="s">
        <v>1596</v>
      </c>
      <c r="D82" s="53" t="s">
        <v>1597</v>
      </c>
      <c r="E82" s="6" t="s">
        <v>94</v>
      </c>
      <c r="F82" s="19">
        <v>80</v>
      </c>
      <c r="G82" s="24">
        <v>1</v>
      </c>
      <c r="H82" s="24">
        <v>0.25</v>
      </c>
      <c r="I82" s="31"/>
      <c r="J82" s="35"/>
    </row>
    <row r="83" spans="2:10" x14ac:dyDescent="0.25">
      <c r="B83" s="8" t="s">
        <v>1598</v>
      </c>
      <c r="C83" s="56" t="s">
        <v>1599</v>
      </c>
      <c r="D83" s="53" t="s">
        <v>1600</v>
      </c>
      <c r="E83" s="6" t="s">
        <v>196</v>
      </c>
      <c r="F83" s="19">
        <v>858</v>
      </c>
      <c r="G83" s="24">
        <v>0.99</v>
      </c>
      <c r="H83" s="24">
        <v>0.25</v>
      </c>
      <c r="I83" s="31"/>
      <c r="J83" s="35"/>
    </row>
    <row r="84" spans="2:10" x14ac:dyDescent="0.25">
      <c r="B84" s="8" t="s">
        <v>1601</v>
      </c>
      <c r="C84" s="56" t="s">
        <v>1602</v>
      </c>
      <c r="D84" s="53" t="s">
        <v>1603</v>
      </c>
      <c r="E84" s="6" t="s">
        <v>826</v>
      </c>
      <c r="F84" s="19">
        <v>250</v>
      </c>
      <c r="G84" s="24">
        <v>0.97</v>
      </c>
      <c r="H84" s="24">
        <v>0.24</v>
      </c>
      <c r="I84" s="31"/>
      <c r="J84" s="35"/>
    </row>
    <row r="85" spans="2:10" x14ac:dyDescent="0.25">
      <c r="B85" s="8" t="s">
        <v>330</v>
      </c>
      <c r="C85" s="56" t="s">
        <v>331</v>
      </c>
      <c r="D85" s="53" t="s">
        <v>332</v>
      </c>
      <c r="E85" s="6" t="s">
        <v>83</v>
      </c>
      <c r="F85" s="19">
        <v>332</v>
      </c>
      <c r="G85" s="24">
        <v>0.97</v>
      </c>
      <c r="H85" s="24">
        <v>0.24</v>
      </c>
      <c r="I85" s="31"/>
      <c r="J85" s="35"/>
    </row>
    <row r="86" spans="2:10" x14ac:dyDescent="0.25">
      <c r="B86" s="8" t="s">
        <v>805</v>
      </c>
      <c r="C86" s="56" t="s">
        <v>806</v>
      </c>
      <c r="D86" s="53" t="s">
        <v>807</v>
      </c>
      <c r="E86" s="6" t="s">
        <v>55</v>
      </c>
      <c r="F86" s="19">
        <v>534</v>
      </c>
      <c r="G86" s="24">
        <v>0.96</v>
      </c>
      <c r="H86" s="24">
        <v>0.24</v>
      </c>
      <c r="I86" s="31"/>
      <c r="J86" s="35"/>
    </row>
    <row r="87" spans="2:10" x14ac:dyDescent="0.25">
      <c r="B87" s="8" t="s">
        <v>1607</v>
      </c>
      <c r="C87" s="56" t="s">
        <v>1608</v>
      </c>
      <c r="D87" s="53" t="s">
        <v>1609</v>
      </c>
      <c r="E87" s="6" t="s">
        <v>94</v>
      </c>
      <c r="F87" s="19">
        <v>36</v>
      </c>
      <c r="G87" s="24">
        <v>0.87</v>
      </c>
      <c r="H87" s="24">
        <v>0.22</v>
      </c>
      <c r="I87" s="31"/>
      <c r="J87" s="35"/>
    </row>
    <row r="88" spans="2:10" x14ac:dyDescent="0.25">
      <c r="B88" s="8" t="s">
        <v>69</v>
      </c>
      <c r="C88" s="56" t="s">
        <v>70</v>
      </c>
      <c r="D88" s="53" t="s">
        <v>71</v>
      </c>
      <c r="E88" s="6" t="s">
        <v>72</v>
      </c>
      <c r="F88" s="19">
        <v>4</v>
      </c>
      <c r="G88" s="24">
        <v>0.86</v>
      </c>
      <c r="H88" s="24">
        <v>0.22</v>
      </c>
      <c r="I88" s="31"/>
      <c r="J88" s="35"/>
    </row>
    <row r="89" spans="2:10" x14ac:dyDescent="0.25">
      <c r="B89" s="8" t="s">
        <v>139</v>
      </c>
      <c r="C89" s="56" t="s">
        <v>140</v>
      </c>
      <c r="D89" s="53" t="s">
        <v>141</v>
      </c>
      <c r="E89" s="6" t="s">
        <v>142</v>
      </c>
      <c r="F89" s="19">
        <v>69</v>
      </c>
      <c r="G89" s="24">
        <v>0.86</v>
      </c>
      <c r="H89" s="24">
        <v>0.22</v>
      </c>
      <c r="I89" s="31"/>
      <c r="J89" s="35"/>
    </row>
    <row r="90" spans="2:10" x14ac:dyDescent="0.25">
      <c r="B90" s="8" t="s">
        <v>370</v>
      </c>
      <c r="C90" s="56" t="s">
        <v>371</v>
      </c>
      <c r="D90" s="53" t="s">
        <v>372</v>
      </c>
      <c r="E90" s="6" t="s">
        <v>41</v>
      </c>
      <c r="F90" s="19">
        <v>60</v>
      </c>
      <c r="G90" s="24">
        <v>0.84</v>
      </c>
      <c r="H90" s="24">
        <v>0.21</v>
      </c>
      <c r="I90" s="31"/>
      <c r="J90" s="35"/>
    </row>
    <row r="91" spans="2:10" x14ac:dyDescent="0.25">
      <c r="B91" s="8" t="s">
        <v>2242</v>
      </c>
      <c r="C91" s="56" t="s">
        <v>938</v>
      </c>
      <c r="D91" s="53" t="s">
        <v>2243</v>
      </c>
      <c r="E91" s="6" t="s">
        <v>94</v>
      </c>
      <c r="F91" s="19">
        <v>134</v>
      </c>
      <c r="G91" s="24">
        <v>0.83</v>
      </c>
      <c r="H91" s="24">
        <v>0.21</v>
      </c>
      <c r="I91" s="31"/>
      <c r="J91" s="35"/>
    </row>
    <row r="92" spans="2:10" x14ac:dyDescent="0.25">
      <c r="B92" s="8" t="s">
        <v>899</v>
      </c>
      <c r="C92" s="56" t="s">
        <v>900</v>
      </c>
      <c r="D92" s="53" t="s">
        <v>901</v>
      </c>
      <c r="E92" s="6" t="s">
        <v>196</v>
      </c>
      <c r="F92" s="19">
        <v>6</v>
      </c>
      <c r="G92" s="24">
        <v>0.82</v>
      </c>
      <c r="H92" s="24">
        <v>0.21</v>
      </c>
      <c r="I92" s="31"/>
      <c r="J92" s="35"/>
    </row>
    <row r="93" spans="2:10" x14ac:dyDescent="0.25">
      <c r="B93" s="8" t="s">
        <v>174</v>
      </c>
      <c r="C93" s="56" t="s">
        <v>175</v>
      </c>
      <c r="D93" s="53" t="s">
        <v>176</v>
      </c>
      <c r="E93" s="6" t="s">
        <v>157</v>
      </c>
      <c r="F93" s="19">
        <v>180</v>
      </c>
      <c r="G93" s="24">
        <v>0.81</v>
      </c>
      <c r="H93" s="24">
        <v>0.2</v>
      </c>
      <c r="I93" s="31"/>
      <c r="J93" s="35"/>
    </row>
    <row r="94" spans="2:10" x14ac:dyDescent="0.25">
      <c r="B94" s="8" t="s">
        <v>1610</v>
      </c>
      <c r="C94" s="56" t="s">
        <v>1611</v>
      </c>
      <c r="D94" s="53" t="s">
        <v>1612</v>
      </c>
      <c r="E94" s="6" t="s">
        <v>254</v>
      </c>
      <c r="F94" s="19">
        <v>64</v>
      </c>
      <c r="G94" s="24">
        <v>0.81</v>
      </c>
      <c r="H94" s="24">
        <v>0.2</v>
      </c>
      <c r="I94" s="31"/>
      <c r="J94" s="35"/>
    </row>
    <row r="95" spans="2:10" x14ac:dyDescent="0.25">
      <c r="B95" s="8" t="s">
        <v>2244</v>
      </c>
      <c r="C95" s="56" t="s">
        <v>2245</v>
      </c>
      <c r="D95" s="53" t="s">
        <v>2246</v>
      </c>
      <c r="E95" s="6" t="s">
        <v>98</v>
      </c>
      <c r="F95" s="19">
        <v>1005</v>
      </c>
      <c r="G95" s="24">
        <v>0.75</v>
      </c>
      <c r="H95" s="24">
        <v>0.19</v>
      </c>
      <c r="I95" s="31"/>
      <c r="J95" s="35"/>
    </row>
    <row r="96" spans="2:10" x14ac:dyDescent="0.25">
      <c r="B96" s="8" t="s">
        <v>1618</v>
      </c>
      <c r="C96" s="56" t="s">
        <v>1619</v>
      </c>
      <c r="D96" s="53" t="s">
        <v>1620</v>
      </c>
      <c r="E96" s="6" t="s">
        <v>142</v>
      </c>
      <c r="F96" s="19">
        <v>196</v>
      </c>
      <c r="G96" s="24">
        <v>0.72</v>
      </c>
      <c r="H96" s="24">
        <v>0.18</v>
      </c>
      <c r="I96" s="31"/>
      <c r="J96" s="35"/>
    </row>
    <row r="97" spans="2:10" x14ac:dyDescent="0.25">
      <c r="B97" s="8" t="s">
        <v>1616</v>
      </c>
      <c r="C97" s="56" t="s">
        <v>601</v>
      </c>
      <c r="D97" s="53" t="s">
        <v>1617</v>
      </c>
      <c r="E97" s="6" t="s">
        <v>94</v>
      </c>
      <c r="F97" s="19">
        <v>831</v>
      </c>
      <c r="G97" s="24">
        <v>0.72</v>
      </c>
      <c r="H97" s="24">
        <v>0.18</v>
      </c>
      <c r="I97" s="31"/>
      <c r="J97" s="35"/>
    </row>
    <row r="98" spans="2:10" x14ac:dyDescent="0.25">
      <c r="B98" s="8" t="s">
        <v>373</v>
      </c>
      <c r="C98" s="56" t="s">
        <v>374</v>
      </c>
      <c r="D98" s="53" t="s">
        <v>375</v>
      </c>
      <c r="E98" s="6" t="s">
        <v>51</v>
      </c>
      <c r="F98" s="19">
        <v>1424</v>
      </c>
      <c r="G98" s="24">
        <v>0.69</v>
      </c>
      <c r="H98" s="24">
        <v>0.17</v>
      </c>
      <c r="I98" s="31"/>
      <c r="J98" s="35"/>
    </row>
    <row r="99" spans="2:10" x14ac:dyDescent="0.25">
      <c r="B99" s="8" t="s">
        <v>294</v>
      </c>
      <c r="C99" s="56" t="s">
        <v>295</v>
      </c>
      <c r="D99" s="53" t="s">
        <v>296</v>
      </c>
      <c r="E99" s="6" t="s">
        <v>274</v>
      </c>
      <c r="F99" s="19">
        <v>443</v>
      </c>
      <c r="G99" s="24">
        <v>0.68</v>
      </c>
      <c r="H99" s="24">
        <v>0.17</v>
      </c>
      <c r="I99" s="31"/>
      <c r="J99" s="35"/>
    </row>
    <row r="100" spans="2:10" x14ac:dyDescent="0.25">
      <c r="B100" s="8" t="s">
        <v>105</v>
      </c>
      <c r="C100" s="56" t="s">
        <v>106</v>
      </c>
      <c r="D100" s="53" t="s">
        <v>107</v>
      </c>
      <c r="E100" s="6" t="s">
        <v>98</v>
      </c>
      <c r="F100" s="19">
        <v>143</v>
      </c>
      <c r="G100" s="24">
        <v>0.67</v>
      </c>
      <c r="H100" s="24">
        <v>0.17</v>
      </c>
      <c r="I100" s="31"/>
      <c r="J100" s="35"/>
    </row>
    <row r="101" spans="2:10" x14ac:dyDescent="0.25">
      <c r="B101" s="8" t="s">
        <v>2247</v>
      </c>
      <c r="C101" s="56" t="s">
        <v>1376</v>
      </c>
      <c r="D101" s="53" t="s">
        <v>2248</v>
      </c>
      <c r="E101" s="6" t="s">
        <v>94</v>
      </c>
      <c r="F101" s="19">
        <v>664</v>
      </c>
      <c r="G101" s="24">
        <v>0.66</v>
      </c>
      <c r="H101" s="24">
        <v>0.17</v>
      </c>
      <c r="I101" s="31"/>
      <c r="J101" s="35"/>
    </row>
    <row r="102" spans="2:10" x14ac:dyDescent="0.25">
      <c r="B102" s="8" t="s">
        <v>2249</v>
      </c>
      <c r="C102" s="56" t="s">
        <v>524</v>
      </c>
      <c r="D102" s="53" t="s">
        <v>2250</v>
      </c>
      <c r="E102" s="6" t="s">
        <v>261</v>
      </c>
      <c r="F102" s="19">
        <v>1200</v>
      </c>
      <c r="G102" s="24">
        <v>0.64</v>
      </c>
      <c r="H102" s="24">
        <v>0.16</v>
      </c>
      <c r="I102" s="31"/>
      <c r="J102" s="35"/>
    </row>
    <row r="103" spans="2:10" x14ac:dyDescent="0.25">
      <c r="B103" s="8" t="s">
        <v>1649</v>
      </c>
      <c r="C103" s="56" t="s">
        <v>1127</v>
      </c>
      <c r="D103" s="53" t="s">
        <v>1650</v>
      </c>
      <c r="E103" s="6" t="s">
        <v>94</v>
      </c>
      <c r="F103" s="19">
        <v>217</v>
      </c>
      <c r="G103" s="24">
        <v>0.6</v>
      </c>
      <c r="H103" s="24">
        <v>0.15</v>
      </c>
      <c r="I103" s="31"/>
      <c r="J103" s="35"/>
    </row>
    <row r="104" spans="2:10" x14ac:dyDescent="0.25">
      <c r="B104" s="8" t="s">
        <v>483</v>
      </c>
      <c r="C104" s="56" t="s">
        <v>484</v>
      </c>
      <c r="D104" s="53" t="s">
        <v>485</v>
      </c>
      <c r="E104" s="6" t="s">
        <v>196</v>
      </c>
      <c r="F104" s="19">
        <v>1</v>
      </c>
      <c r="G104" s="24">
        <v>0.6</v>
      </c>
      <c r="H104" s="24">
        <v>0.15</v>
      </c>
      <c r="I104" s="31"/>
      <c r="J104" s="35"/>
    </row>
    <row r="105" spans="2:10" x14ac:dyDescent="0.25">
      <c r="B105" s="8" t="s">
        <v>1624</v>
      </c>
      <c r="C105" s="56" t="s">
        <v>1625</v>
      </c>
      <c r="D105" s="53" t="s">
        <v>1626</v>
      </c>
      <c r="E105" s="6" t="s">
        <v>886</v>
      </c>
      <c r="F105" s="19">
        <v>657</v>
      </c>
      <c r="G105" s="24">
        <v>0.54</v>
      </c>
      <c r="H105" s="24">
        <v>0.14000000000000001</v>
      </c>
      <c r="I105" s="31"/>
      <c r="J105" s="35"/>
    </row>
    <row r="106" spans="2:10" x14ac:dyDescent="0.25">
      <c r="B106" s="8" t="s">
        <v>212</v>
      </c>
      <c r="C106" s="56" t="s">
        <v>213</v>
      </c>
      <c r="D106" s="53" t="s">
        <v>214</v>
      </c>
      <c r="E106" s="6" t="s">
        <v>196</v>
      </c>
      <c r="F106" s="19">
        <v>328</v>
      </c>
      <c r="G106" s="24">
        <v>0.54</v>
      </c>
      <c r="H106" s="24">
        <v>0.14000000000000001</v>
      </c>
      <c r="I106" s="31"/>
      <c r="J106" s="35"/>
    </row>
    <row r="107" spans="2:10" x14ac:dyDescent="0.25">
      <c r="B107" s="8" t="s">
        <v>1499</v>
      </c>
      <c r="C107" s="56" t="s">
        <v>1381</v>
      </c>
      <c r="D107" s="53" t="s">
        <v>1500</v>
      </c>
      <c r="E107" s="6" t="s">
        <v>94</v>
      </c>
      <c r="F107" s="19">
        <v>424</v>
      </c>
      <c r="G107" s="24">
        <v>0.52</v>
      </c>
      <c r="H107" s="24">
        <v>0.13</v>
      </c>
      <c r="I107" s="31"/>
      <c r="J107" s="35"/>
    </row>
    <row r="108" spans="2:10" x14ac:dyDescent="0.25">
      <c r="B108" s="8" t="s">
        <v>2228</v>
      </c>
      <c r="C108" s="56" t="s">
        <v>1239</v>
      </c>
      <c r="D108" s="53" t="s">
        <v>2229</v>
      </c>
      <c r="E108" s="6" t="s">
        <v>51</v>
      </c>
      <c r="F108" s="19">
        <v>306</v>
      </c>
      <c r="G108" s="24">
        <v>0.52</v>
      </c>
      <c r="H108" s="24">
        <v>0.13</v>
      </c>
      <c r="I108" s="31"/>
      <c r="J108" s="35"/>
    </row>
    <row r="109" spans="2:10" x14ac:dyDescent="0.25">
      <c r="B109" s="8" t="s">
        <v>817</v>
      </c>
      <c r="C109" s="56" t="s">
        <v>818</v>
      </c>
      <c r="D109" s="53" t="s">
        <v>819</v>
      </c>
      <c r="E109" s="6" t="s">
        <v>51</v>
      </c>
      <c r="F109" s="19">
        <v>926</v>
      </c>
      <c r="G109" s="24">
        <v>0.38</v>
      </c>
      <c r="H109" s="24">
        <v>0.1</v>
      </c>
      <c r="I109" s="31"/>
      <c r="J109" s="35"/>
    </row>
    <row r="110" spans="2:10" x14ac:dyDescent="0.25">
      <c r="B110" s="8" t="s">
        <v>391</v>
      </c>
      <c r="C110" s="56" t="s">
        <v>392</v>
      </c>
      <c r="D110" s="53" t="s">
        <v>393</v>
      </c>
      <c r="E110" s="6" t="s">
        <v>98</v>
      </c>
      <c r="F110" s="19">
        <v>346</v>
      </c>
      <c r="G110" s="24">
        <v>0.22</v>
      </c>
      <c r="H110" s="24">
        <v>0.05</v>
      </c>
      <c r="I110" s="31"/>
      <c r="J110" s="35"/>
    </row>
    <row r="111" spans="2:10" x14ac:dyDescent="0.25">
      <c r="C111" s="57" t="s">
        <v>35</v>
      </c>
      <c r="D111" s="53"/>
      <c r="E111" s="6"/>
      <c r="F111" s="19"/>
      <c r="G111" s="25">
        <v>397.32</v>
      </c>
      <c r="H111" s="25">
        <v>99.98</v>
      </c>
      <c r="I111" s="31"/>
      <c r="J111" s="35"/>
    </row>
    <row r="112" spans="2:10" x14ac:dyDescent="0.25">
      <c r="C112" s="56"/>
      <c r="D112" s="53"/>
      <c r="E112" s="6"/>
      <c r="F112" s="19"/>
      <c r="G112" s="24"/>
      <c r="H112" s="24"/>
      <c r="I112" s="31"/>
      <c r="J112" s="35"/>
    </row>
    <row r="113" spans="3:10" x14ac:dyDescent="0.25">
      <c r="C113" s="57" t="s">
        <v>3</v>
      </c>
      <c r="D113" s="53"/>
      <c r="E113" s="6"/>
      <c r="F113" s="19"/>
      <c r="G113" s="24" t="s">
        <v>2</v>
      </c>
      <c r="H113" s="24" t="s">
        <v>2</v>
      </c>
      <c r="I113" s="31"/>
      <c r="J113" s="35"/>
    </row>
    <row r="114" spans="3:10" x14ac:dyDescent="0.25">
      <c r="C114" s="56"/>
      <c r="D114" s="53"/>
      <c r="E114" s="6"/>
      <c r="F114" s="19"/>
      <c r="G114" s="24"/>
      <c r="H114" s="24"/>
      <c r="I114" s="31"/>
      <c r="J114" s="35"/>
    </row>
    <row r="115" spans="3:10" x14ac:dyDescent="0.25">
      <c r="C115" s="57" t="s">
        <v>4</v>
      </c>
      <c r="D115" s="53"/>
      <c r="E115" s="6"/>
      <c r="F115" s="19"/>
      <c r="G115" s="24" t="s">
        <v>2</v>
      </c>
      <c r="H115" s="24" t="s">
        <v>2</v>
      </c>
      <c r="I115" s="31"/>
      <c r="J115" s="35"/>
    </row>
    <row r="116" spans="3:10" x14ac:dyDescent="0.25">
      <c r="C116" s="56"/>
      <c r="D116" s="53"/>
      <c r="E116" s="6"/>
      <c r="F116" s="19"/>
      <c r="G116" s="24"/>
      <c r="H116" s="24"/>
      <c r="I116" s="31"/>
      <c r="J116" s="35"/>
    </row>
    <row r="117" spans="3:10" x14ac:dyDescent="0.25">
      <c r="C117" s="57" t="s">
        <v>5</v>
      </c>
      <c r="D117" s="53"/>
      <c r="E117" s="6"/>
      <c r="F117" s="19"/>
      <c r="G117" s="24"/>
      <c r="H117" s="24"/>
      <c r="I117" s="31"/>
      <c r="J117" s="35"/>
    </row>
    <row r="118" spans="3:10" x14ac:dyDescent="0.25">
      <c r="C118" s="56"/>
      <c r="D118" s="53"/>
      <c r="E118" s="6"/>
      <c r="F118" s="19"/>
      <c r="G118" s="24"/>
      <c r="H118" s="24"/>
      <c r="I118" s="31"/>
      <c r="J118" s="35"/>
    </row>
    <row r="119" spans="3:10" x14ac:dyDescent="0.25">
      <c r="C119" s="57" t="s">
        <v>6</v>
      </c>
      <c r="D119" s="53"/>
      <c r="E119" s="6"/>
      <c r="F119" s="19"/>
      <c r="G119" s="24" t="s">
        <v>2</v>
      </c>
      <c r="H119" s="24" t="s">
        <v>2</v>
      </c>
      <c r="I119" s="31"/>
      <c r="J119" s="35"/>
    </row>
    <row r="120" spans="3:10" x14ac:dyDescent="0.25">
      <c r="C120" s="56"/>
      <c r="D120" s="53"/>
      <c r="E120" s="6"/>
      <c r="F120" s="19"/>
      <c r="G120" s="24"/>
      <c r="H120" s="24"/>
      <c r="I120" s="31"/>
      <c r="J120" s="35"/>
    </row>
    <row r="121" spans="3:10" x14ac:dyDescent="0.25">
      <c r="C121" s="57" t="s">
        <v>7</v>
      </c>
      <c r="D121" s="53"/>
      <c r="E121" s="6"/>
      <c r="F121" s="19"/>
      <c r="G121" s="24" t="s">
        <v>2</v>
      </c>
      <c r="H121" s="24" t="s">
        <v>2</v>
      </c>
      <c r="I121" s="31"/>
      <c r="J121" s="35"/>
    </row>
    <row r="122" spans="3:10" x14ac:dyDescent="0.25">
      <c r="C122" s="56"/>
      <c r="D122" s="53"/>
      <c r="E122" s="6"/>
      <c r="F122" s="19"/>
      <c r="G122" s="24"/>
      <c r="H122" s="24"/>
      <c r="I122" s="31"/>
      <c r="J122" s="35"/>
    </row>
    <row r="123" spans="3:10" x14ac:dyDescent="0.25">
      <c r="C123" s="57" t="s">
        <v>8</v>
      </c>
      <c r="D123" s="53"/>
      <c r="E123" s="6"/>
      <c r="F123" s="19"/>
      <c r="G123" s="24" t="s">
        <v>2</v>
      </c>
      <c r="H123" s="24" t="s">
        <v>2</v>
      </c>
      <c r="I123" s="31"/>
      <c r="J123" s="35"/>
    </row>
    <row r="124" spans="3:10" x14ac:dyDescent="0.25">
      <c r="C124" s="56"/>
      <c r="D124" s="53"/>
      <c r="E124" s="6"/>
      <c r="F124" s="19"/>
      <c r="G124" s="24"/>
      <c r="H124" s="24"/>
      <c r="I124" s="31"/>
      <c r="J124" s="35"/>
    </row>
    <row r="125" spans="3:10" x14ac:dyDescent="0.25">
      <c r="C125" s="57" t="s">
        <v>9</v>
      </c>
      <c r="D125" s="53"/>
      <c r="E125" s="6"/>
      <c r="F125" s="19"/>
      <c r="G125" s="24" t="s">
        <v>2</v>
      </c>
      <c r="H125" s="24" t="s">
        <v>2</v>
      </c>
      <c r="I125" s="31"/>
      <c r="J125" s="35"/>
    </row>
    <row r="126" spans="3:10" x14ac:dyDescent="0.25">
      <c r="C126" s="56"/>
      <c r="D126" s="53"/>
      <c r="E126" s="6"/>
      <c r="F126" s="19"/>
      <c r="G126" s="24"/>
      <c r="H126" s="24"/>
      <c r="I126" s="31"/>
      <c r="J126" s="35"/>
    </row>
    <row r="127" spans="3:10" x14ac:dyDescent="0.25">
      <c r="C127" s="57" t="s">
        <v>10</v>
      </c>
      <c r="D127" s="53"/>
      <c r="E127" s="6"/>
      <c r="F127" s="19"/>
      <c r="G127" s="24" t="s">
        <v>2</v>
      </c>
      <c r="H127" s="24" t="s">
        <v>2</v>
      </c>
      <c r="I127" s="31"/>
      <c r="J127" s="35"/>
    </row>
    <row r="128" spans="3:10" x14ac:dyDescent="0.25">
      <c r="C128" s="56"/>
      <c r="D128" s="53"/>
      <c r="E128" s="6"/>
      <c r="F128" s="19"/>
      <c r="G128" s="24"/>
      <c r="H128" s="24"/>
      <c r="I128" s="31"/>
      <c r="J128" s="35"/>
    </row>
    <row r="129" spans="1:10" x14ac:dyDescent="0.25">
      <c r="C129" s="57" t="s">
        <v>11</v>
      </c>
      <c r="D129" s="53"/>
      <c r="E129" s="6"/>
      <c r="F129" s="19"/>
      <c r="G129" s="24"/>
      <c r="H129" s="24"/>
      <c r="I129" s="31"/>
      <c r="J129" s="35"/>
    </row>
    <row r="130" spans="1:10" x14ac:dyDescent="0.25">
      <c r="C130" s="56"/>
      <c r="D130" s="53"/>
      <c r="E130" s="6"/>
      <c r="F130" s="19"/>
      <c r="G130" s="24"/>
      <c r="H130" s="24"/>
      <c r="I130" s="31"/>
      <c r="J130" s="35"/>
    </row>
    <row r="131" spans="1:10" x14ac:dyDescent="0.25">
      <c r="C131" s="57" t="s">
        <v>13</v>
      </c>
      <c r="D131" s="53"/>
      <c r="E131" s="6"/>
      <c r="F131" s="19"/>
      <c r="G131" s="24" t="s">
        <v>2</v>
      </c>
      <c r="H131" s="24" t="s">
        <v>2</v>
      </c>
      <c r="I131" s="31"/>
      <c r="J131" s="35"/>
    </row>
    <row r="132" spans="1:10" x14ac:dyDescent="0.25">
      <c r="C132" s="56"/>
      <c r="D132" s="53"/>
      <c r="E132" s="6"/>
      <c r="F132" s="19"/>
      <c r="G132" s="24"/>
      <c r="H132" s="24"/>
      <c r="I132" s="31"/>
      <c r="J132" s="35"/>
    </row>
    <row r="133" spans="1:10" x14ac:dyDescent="0.25">
      <c r="C133" s="57" t="s">
        <v>14</v>
      </c>
      <c r="D133" s="53"/>
      <c r="E133" s="6"/>
      <c r="F133" s="19"/>
      <c r="G133" s="24" t="s">
        <v>2</v>
      </c>
      <c r="H133" s="24" t="s">
        <v>2</v>
      </c>
      <c r="I133" s="31"/>
      <c r="J133" s="35"/>
    </row>
    <row r="134" spans="1:10" x14ac:dyDescent="0.25">
      <c r="C134" s="56"/>
      <c r="D134" s="53"/>
      <c r="E134" s="6"/>
      <c r="F134" s="19"/>
      <c r="G134" s="24"/>
      <c r="H134" s="24"/>
      <c r="I134" s="31"/>
      <c r="J134" s="35"/>
    </row>
    <row r="135" spans="1:10" x14ac:dyDescent="0.25">
      <c r="C135" s="57" t="s">
        <v>15</v>
      </c>
      <c r="D135" s="53"/>
      <c r="E135" s="6"/>
      <c r="F135" s="19"/>
      <c r="G135" s="24" t="s">
        <v>2</v>
      </c>
      <c r="H135" s="24" t="s">
        <v>2</v>
      </c>
      <c r="I135" s="31"/>
      <c r="J135" s="35"/>
    </row>
    <row r="136" spans="1:10" x14ac:dyDescent="0.25">
      <c r="C136" s="56"/>
      <c r="D136" s="53"/>
      <c r="E136" s="6"/>
      <c r="F136" s="19"/>
      <c r="G136" s="24"/>
      <c r="H136" s="24"/>
      <c r="I136" s="31"/>
      <c r="J136" s="35"/>
    </row>
    <row r="137" spans="1:10" x14ac:dyDescent="0.25">
      <c r="C137" s="57" t="s">
        <v>16</v>
      </c>
      <c r="D137" s="53"/>
      <c r="E137" s="6"/>
      <c r="F137" s="19"/>
      <c r="G137" s="24" t="s">
        <v>2</v>
      </c>
      <c r="H137" s="24" t="s">
        <v>2</v>
      </c>
      <c r="I137" s="31"/>
      <c r="J137" s="35"/>
    </row>
    <row r="138" spans="1:10" x14ac:dyDescent="0.25">
      <c r="C138" s="56"/>
      <c r="D138" s="53"/>
      <c r="E138" s="6"/>
      <c r="F138" s="19"/>
      <c r="G138" s="24"/>
      <c r="H138" s="24"/>
      <c r="I138" s="31"/>
      <c r="J138" s="35"/>
    </row>
    <row r="139" spans="1:10" x14ac:dyDescent="0.25">
      <c r="A139" s="10"/>
      <c r="B139" s="28"/>
      <c r="C139" s="58" t="s">
        <v>17</v>
      </c>
      <c r="D139" s="53"/>
      <c r="E139" s="6"/>
      <c r="F139" s="19"/>
      <c r="G139" s="24"/>
      <c r="H139" s="24"/>
      <c r="I139" s="31"/>
      <c r="J139" s="35"/>
    </row>
    <row r="140" spans="1:10" x14ac:dyDescent="0.25">
      <c r="A140" s="28"/>
      <c r="B140" s="28"/>
      <c r="C140" s="58" t="s">
        <v>18</v>
      </c>
      <c r="D140" s="53"/>
      <c r="E140" s="6"/>
      <c r="F140" s="19"/>
      <c r="G140" s="24" t="s">
        <v>2</v>
      </c>
      <c r="H140" s="24" t="s">
        <v>2</v>
      </c>
      <c r="I140" s="31"/>
      <c r="J140" s="35"/>
    </row>
    <row r="141" spans="1:10" x14ac:dyDescent="0.25">
      <c r="A141" s="28"/>
      <c r="B141" s="28"/>
      <c r="C141" s="58"/>
      <c r="D141" s="53"/>
      <c r="E141" s="6"/>
      <c r="F141" s="19"/>
      <c r="G141" s="24"/>
      <c r="H141" s="24"/>
      <c r="I141" s="31"/>
      <c r="J141" s="35"/>
    </row>
    <row r="142" spans="1:10" x14ac:dyDescent="0.25">
      <c r="A142" s="28"/>
      <c r="B142" s="28"/>
      <c r="C142" s="58" t="s">
        <v>19</v>
      </c>
      <c r="D142" s="53"/>
      <c r="E142" s="6"/>
      <c r="F142" s="19"/>
      <c r="G142" s="24" t="s">
        <v>2</v>
      </c>
      <c r="H142" s="24" t="s">
        <v>2</v>
      </c>
      <c r="I142" s="31"/>
      <c r="J142" s="35"/>
    </row>
    <row r="143" spans="1:10" x14ac:dyDescent="0.25">
      <c r="A143" s="28"/>
      <c r="B143" s="28"/>
      <c r="C143" s="58"/>
      <c r="D143" s="53"/>
      <c r="E143" s="6"/>
      <c r="F143" s="19"/>
      <c r="G143" s="24"/>
      <c r="H143" s="24"/>
      <c r="I143" s="31"/>
      <c r="J143" s="35"/>
    </row>
    <row r="144" spans="1:10" x14ac:dyDescent="0.25">
      <c r="A144" s="28"/>
      <c r="B144" s="28"/>
      <c r="C144" s="58" t="s">
        <v>20</v>
      </c>
      <c r="D144" s="53"/>
      <c r="E144" s="6"/>
      <c r="F144" s="19"/>
      <c r="G144" s="24" t="s">
        <v>2</v>
      </c>
      <c r="H144" s="24" t="s">
        <v>2</v>
      </c>
      <c r="I144" s="31"/>
      <c r="J144" s="35"/>
    </row>
    <row r="145" spans="1:10" x14ac:dyDescent="0.25">
      <c r="A145" s="28"/>
      <c r="B145" s="28"/>
      <c r="C145" s="58"/>
      <c r="D145" s="53"/>
      <c r="E145" s="6"/>
      <c r="F145" s="19"/>
      <c r="G145" s="24"/>
      <c r="H145" s="24"/>
      <c r="I145" s="31"/>
      <c r="J145" s="35"/>
    </row>
    <row r="146" spans="1:10" x14ac:dyDescent="0.25">
      <c r="A146" s="28"/>
      <c r="B146" s="28"/>
      <c r="C146" s="58" t="s">
        <v>21</v>
      </c>
      <c r="D146" s="53"/>
      <c r="E146" s="6"/>
      <c r="F146" s="19"/>
      <c r="G146" s="24" t="s">
        <v>2</v>
      </c>
      <c r="H146" s="24" t="s">
        <v>2</v>
      </c>
      <c r="I146" s="31"/>
      <c r="J146" s="35"/>
    </row>
    <row r="147" spans="1:10" x14ac:dyDescent="0.25">
      <c r="A147" s="28"/>
      <c r="B147" s="28"/>
      <c r="C147" s="58"/>
      <c r="D147" s="53"/>
      <c r="E147" s="6"/>
      <c r="F147" s="19"/>
      <c r="G147" s="24"/>
      <c r="H147" s="24"/>
      <c r="I147" s="31"/>
      <c r="J147" s="35"/>
    </row>
    <row r="148" spans="1:10" x14ac:dyDescent="0.25">
      <c r="C148" s="59" t="s">
        <v>22</v>
      </c>
      <c r="D148" s="53"/>
      <c r="E148" s="6"/>
      <c r="F148" s="19"/>
      <c r="G148" s="24"/>
      <c r="H148" s="24"/>
      <c r="I148" s="31"/>
      <c r="J148" s="35"/>
    </row>
    <row r="149" spans="1:10" x14ac:dyDescent="0.25">
      <c r="B149" s="8" t="s">
        <v>33</v>
      </c>
      <c r="C149" s="56" t="s">
        <v>34</v>
      </c>
      <c r="D149" s="53"/>
      <c r="E149" s="6"/>
      <c r="F149" s="19"/>
      <c r="G149" s="24">
        <v>0.15</v>
      </c>
      <c r="H149" s="24">
        <v>0.04</v>
      </c>
      <c r="I149" s="31"/>
      <c r="J149" s="35"/>
    </row>
    <row r="150" spans="1:10" x14ac:dyDescent="0.25">
      <c r="C150" s="57" t="s">
        <v>35</v>
      </c>
      <c r="D150" s="53"/>
      <c r="E150" s="6"/>
      <c r="F150" s="19"/>
      <c r="G150" s="25">
        <v>0.15</v>
      </c>
      <c r="H150" s="25">
        <v>0.04</v>
      </c>
      <c r="I150" s="31"/>
      <c r="J150" s="35"/>
    </row>
    <row r="151" spans="1:10" x14ac:dyDescent="0.25">
      <c r="C151" s="56"/>
      <c r="D151" s="53"/>
      <c r="E151" s="6"/>
      <c r="F151" s="19"/>
      <c r="G151" s="24"/>
      <c r="H151" s="24"/>
      <c r="I151" s="31"/>
      <c r="J151" s="35"/>
    </row>
    <row r="152" spans="1:10" x14ac:dyDescent="0.25">
      <c r="A152" s="10"/>
      <c r="B152" s="28"/>
      <c r="C152" s="58" t="s">
        <v>23</v>
      </c>
      <c r="D152" s="53"/>
      <c r="E152" s="6"/>
      <c r="F152" s="19"/>
      <c r="G152" s="24"/>
      <c r="H152" s="24"/>
      <c r="I152" s="31"/>
      <c r="J152" s="35"/>
    </row>
    <row r="153" spans="1:10" x14ac:dyDescent="0.25">
      <c r="A153" s="28"/>
      <c r="B153" s="28"/>
      <c r="C153" s="60" t="s">
        <v>3398</v>
      </c>
      <c r="D153" s="53"/>
      <c r="E153" s="6"/>
      <c r="F153" s="19"/>
      <c r="G153" s="24" t="s">
        <v>2</v>
      </c>
      <c r="H153" s="24" t="s">
        <v>2</v>
      </c>
      <c r="I153" s="31"/>
      <c r="J153" s="35"/>
    </row>
    <row r="154" spans="1:10" x14ac:dyDescent="0.25">
      <c r="B154" s="8"/>
      <c r="C154" s="56" t="s">
        <v>36</v>
      </c>
      <c r="D154" s="53"/>
      <c r="E154" s="6"/>
      <c r="F154" s="19"/>
      <c r="G154" s="24">
        <v>0.01</v>
      </c>
      <c r="H154" s="24">
        <v>-0.02</v>
      </c>
      <c r="I154" s="31"/>
      <c r="J154" s="35"/>
    </row>
    <row r="155" spans="1:10" x14ac:dyDescent="0.25">
      <c r="C155" s="57" t="s">
        <v>35</v>
      </c>
      <c r="D155" s="53"/>
      <c r="E155" s="6"/>
      <c r="F155" s="19"/>
      <c r="G155" s="25">
        <v>0.01</v>
      </c>
      <c r="H155" s="25">
        <v>-0.02</v>
      </c>
      <c r="I155" s="31"/>
      <c r="J155" s="35"/>
    </row>
    <row r="156" spans="1:10" x14ac:dyDescent="0.25">
      <c r="C156" s="56"/>
      <c r="D156" s="53"/>
      <c r="E156" s="6"/>
      <c r="F156" s="19"/>
      <c r="G156" s="24"/>
      <c r="H156" s="24"/>
      <c r="I156" s="31"/>
      <c r="J156" s="35"/>
    </row>
    <row r="157" spans="1:10" x14ac:dyDescent="0.25">
      <c r="C157" s="61" t="s">
        <v>37</v>
      </c>
      <c r="D157" s="54"/>
      <c r="E157" s="5"/>
      <c r="F157" s="20"/>
      <c r="G157" s="26">
        <v>397.48</v>
      </c>
      <c r="H157" s="26">
        <f>SUMIFS(H:H,C:C,"Total")</f>
        <v>100.00000000000001</v>
      </c>
      <c r="I157" s="32"/>
      <c r="J157" s="36"/>
    </row>
    <row r="160" spans="1:10" x14ac:dyDescent="0.25">
      <c r="C160" s="65" t="s">
        <v>3404</v>
      </c>
      <c r="D160" s="66"/>
      <c r="E160" s="67"/>
      <c r="F160" s="68"/>
      <c r="G160" s="69"/>
      <c r="H160" s="69"/>
      <c r="I160" s="3"/>
      <c r="J160" s="2"/>
    </row>
    <row r="161" spans="3:10" ht="14.25" thickBot="1" x14ac:dyDescent="0.3">
      <c r="C161" s="66"/>
      <c r="D161" s="66"/>
      <c r="E161" s="67"/>
      <c r="F161" s="68"/>
      <c r="G161" s="69"/>
      <c r="H161" s="69"/>
      <c r="I161" s="3"/>
      <c r="J161" s="2"/>
    </row>
    <row r="162" spans="3:10" ht="27" x14ac:dyDescent="0.25">
      <c r="C162" s="70" t="s">
        <v>26</v>
      </c>
      <c r="D162" s="71" t="s">
        <v>27</v>
      </c>
      <c r="E162" s="72" t="s">
        <v>3320</v>
      </c>
      <c r="F162" s="17" t="s">
        <v>28</v>
      </c>
      <c r="G162" s="14" t="s">
        <v>29</v>
      </c>
      <c r="H162" s="14" t="s">
        <v>30</v>
      </c>
      <c r="I162" s="100" t="s">
        <v>32</v>
      </c>
      <c r="J162" s="2"/>
    </row>
    <row r="163" spans="3:10" x14ac:dyDescent="0.25">
      <c r="C163" s="73" t="s">
        <v>0</v>
      </c>
      <c r="D163" s="74"/>
      <c r="E163" s="75"/>
      <c r="F163" s="76"/>
      <c r="G163" s="77"/>
      <c r="H163" s="77"/>
      <c r="I163" s="101"/>
      <c r="J163" s="2"/>
    </row>
    <row r="164" spans="3:10" x14ac:dyDescent="0.25">
      <c r="C164" s="78" t="s">
        <v>3405</v>
      </c>
      <c r="D164" s="79"/>
      <c r="E164" s="80"/>
      <c r="F164" s="81"/>
      <c r="G164" s="82"/>
      <c r="H164" s="82"/>
      <c r="I164" s="102"/>
      <c r="J164" s="2"/>
    </row>
    <row r="165" spans="3:10" x14ac:dyDescent="0.25">
      <c r="C165" s="83"/>
      <c r="D165" s="79"/>
      <c r="E165" s="80"/>
      <c r="F165" s="81"/>
      <c r="G165" s="82"/>
      <c r="H165" s="82"/>
      <c r="I165" s="102"/>
      <c r="J165" s="2"/>
    </row>
    <row r="166" spans="3:10" x14ac:dyDescent="0.25">
      <c r="C166" s="84" t="s">
        <v>887</v>
      </c>
      <c r="D166" s="85" t="s">
        <v>3401</v>
      </c>
      <c r="E166" s="86" t="s">
        <v>51</v>
      </c>
      <c r="F166" s="87">
        <v>1148</v>
      </c>
      <c r="G166" s="88">
        <v>0</v>
      </c>
      <c r="H166" s="89" t="s">
        <v>3399</v>
      </c>
      <c r="I166" s="103" t="s">
        <v>3408</v>
      </c>
      <c r="J166" s="2"/>
    </row>
    <row r="167" spans="3:10" ht="14.25" thickBot="1" x14ac:dyDescent="0.3">
      <c r="C167" s="90"/>
      <c r="D167" s="91"/>
      <c r="E167" s="92"/>
      <c r="F167" s="20"/>
      <c r="G167" s="93"/>
      <c r="H167" s="94"/>
      <c r="I167" s="36"/>
      <c r="J167" s="2"/>
    </row>
    <row r="168" spans="3:10" x14ac:dyDescent="0.25">
      <c r="C168" s="95"/>
      <c r="D168" s="95"/>
      <c r="E168" s="96"/>
      <c r="F168" s="97"/>
      <c r="G168" s="98"/>
      <c r="H168" s="99"/>
      <c r="I168" s="99"/>
    </row>
    <row r="169" spans="3:10" x14ac:dyDescent="0.25">
      <c r="I169" s="3"/>
      <c r="J169" s="2"/>
    </row>
    <row r="170" spans="3:10" x14ac:dyDescent="0.25">
      <c r="C170" s="1" t="s">
        <v>38</v>
      </c>
      <c r="I170" s="3"/>
      <c r="J170" s="2"/>
    </row>
    <row r="171" spans="3:10" x14ac:dyDescent="0.25">
      <c r="C171" s="2" t="s">
        <v>3406</v>
      </c>
      <c r="I171" s="3"/>
      <c r="J171" s="2"/>
    </row>
    <row r="172" spans="3:10" x14ac:dyDescent="0.25">
      <c r="C172" s="2" t="s">
        <v>40</v>
      </c>
      <c r="I172" s="3"/>
      <c r="J172" s="2"/>
    </row>
    <row r="173" spans="3:10" x14ac:dyDescent="0.25">
      <c r="C173" s="2" t="s">
        <v>3430</v>
      </c>
      <c r="I173" s="3"/>
      <c r="J173" s="2"/>
    </row>
    <row r="174" spans="3:10" ht="144.75" customHeight="1" x14ac:dyDescent="0.25">
      <c r="C174" s="116" t="s">
        <v>3407</v>
      </c>
      <c r="D174" s="116"/>
      <c r="E174" s="116"/>
      <c r="F174" s="116"/>
      <c r="G174" s="116"/>
      <c r="H174" s="116"/>
      <c r="I174" s="104"/>
      <c r="J174" s="2"/>
    </row>
    <row r="175" spans="3:10" x14ac:dyDescent="0.25">
      <c r="I175" s="3"/>
      <c r="J175" s="2"/>
    </row>
    <row r="176" spans="3:10" x14ac:dyDescent="0.25">
      <c r="I176" s="3"/>
      <c r="J176" s="2"/>
    </row>
    <row r="177" spans="9:10" x14ac:dyDescent="0.25">
      <c r="I177" s="3"/>
      <c r="J177" s="2"/>
    </row>
  </sheetData>
  <mergeCells count="1">
    <mergeCell ref="C174:H174"/>
  </mergeCells>
  <hyperlinks>
    <hyperlink ref="J2" location="'Index'!A1" display="'Index'!A1"/>
  </hyperlinks>
  <pageMargins left="0.7" right="0.7" top="0.75" bottom="0.75" header="0.3" footer="0.3"/>
  <pageSetup orientation="portrait" horizontalDpi="4294967293"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8"/>
  <dimension ref="A1:J169"/>
  <sheetViews>
    <sheetView showGridLines="0" zoomScale="90" zoomScaleNormal="90" workbookViewId="0">
      <pane ySplit="6" topLeftCell="A143" activePane="bottomLeft" state="frozen"/>
      <selection pane="bottomLeft" activeCell="F154" sqref="F154"/>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2251</v>
      </c>
      <c r="J2" s="37" t="s">
        <v>3307</v>
      </c>
    </row>
    <row r="3" spans="1:10" ht="16.5" x14ac:dyDescent="0.3">
      <c r="C3" s="1" t="s">
        <v>24</v>
      </c>
      <c r="D3" s="21" t="s">
        <v>2252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582441</v>
      </c>
      <c r="G10" s="24">
        <v>13013.77</v>
      </c>
      <c r="H10" s="24">
        <v>9.91</v>
      </c>
      <c r="I10" s="31"/>
      <c r="J10" s="35"/>
    </row>
    <row r="11" spans="1:10" x14ac:dyDescent="0.25">
      <c r="B11" s="8" t="s">
        <v>124</v>
      </c>
      <c r="C11" s="56" t="s">
        <v>125</v>
      </c>
      <c r="D11" s="53" t="s">
        <v>126</v>
      </c>
      <c r="E11" s="6" t="s">
        <v>94</v>
      </c>
      <c r="F11" s="19">
        <v>453630</v>
      </c>
      <c r="G11" s="24">
        <v>7893.39</v>
      </c>
      <c r="H11" s="24">
        <v>6.01</v>
      </c>
      <c r="I11" s="31"/>
      <c r="J11" s="35"/>
    </row>
    <row r="12" spans="1:10" x14ac:dyDescent="0.25">
      <c r="B12" s="8" t="s">
        <v>480</v>
      </c>
      <c r="C12" s="56" t="s">
        <v>481</v>
      </c>
      <c r="D12" s="53" t="s">
        <v>482</v>
      </c>
      <c r="E12" s="6" t="s">
        <v>142</v>
      </c>
      <c r="F12" s="19">
        <v>1644329</v>
      </c>
      <c r="G12" s="24">
        <v>5619.49</v>
      </c>
      <c r="H12" s="24">
        <v>4.28</v>
      </c>
      <c r="I12" s="31"/>
      <c r="J12" s="35"/>
    </row>
    <row r="13" spans="1:10" x14ac:dyDescent="0.25">
      <c r="B13" s="8" t="s">
        <v>327</v>
      </c>
      <c r="C13" s="56" t="s">
        <v>328</v>
      </c>
      <c r="D13" s="53" t="s">
        <v>329</v>
      </c>
      <c r="E13" s="6" t="s">
        <v>47</v>
      </c>
      <c r="F13" s="19">
        <v>533141</v>
      </c>
      <c r="G13" s="24">
        <v>4221.1400000000003</v>
      </c>
      <c r="H13" s="24">
        <v>3.21</v>
      </c>
      <c r="I13" s="31"/>
      <c r="J13" s="35"/>
    </row>
    <row r="14" spans="1:10" x14ac:dyDescent="0.25">
      <c r="B14" s="8" t="s">
        <v>127</v>
      </c>
      <c r="C14" s="56" t="s">
        <v>128</v>
      </c>
      <c r="D14" s="53" t="s">
        <v>129</v>
      </c>
      <c r="E14" s="6" t="s">
        <v>90</v>
      </c>
      <c r="F14" s="19">
        <v>154414</v>
      </c>
      <c r="G14" s="24">
        <v>3193.67</v>
      </c>
      <c r="H14" s="24">
        <v>2.4300000000000002</v>
      </c>
      <c r="I14" s="31"/>
      <c r="J14" s="35"/>
    </row>
    <row r="15" spans="1:10" x14ac:dyDescent="0.25">
      <c r="B15" s="8" t="s">
        <v>48</v>
      </c>
      <c r="C15" s="56" t="s">
        <v>49</v>
      </c>
      <c r="D15" s="53" t="s">
        <v>50</v>
      </c>
      <c r="E15" s="6" t="s">
        <v>51</v>
      </c>
      <c r="F15" s="19">
        <v>264974</v>
      </c>
      <c r="G15" s="24">
        <v>2858.01</v>
      </c>
      <c r="H15" s="24">
        <v>2.1800000000000002</v>
      </c>
      <c r="I15" s="31"/>
      <c r="J15" s="35"/>
    </row>
    <row r="16" spans="1:10" x14ac:dyDescent="0.25">
      <c r="B16" s="8" t="s">
        <v>62</v>
      </c>
      <c r="C16" s="56" t="s">
        <v>63</v>
      </c>
      <c r="D16" s="53" t="s">
        <v>64</v>
      </c>
      <c r="E16" s="6" t="s">
        <v>51</v>
      </c>
      <c r="F16" s="19">
        <v>744876</v>
      </c>
      <c r="G16" s="24">
        <v>2642.45</v>
      </c>
      <c r="H16" s="24">
        <v>2.0099999999999998</v>
      </c>
      <c r="I16" s="31"/>
      <c r="J16" s="35"/>
    </row>
    <row r="17" spans="2:10" x14ac:dyDescent="0.25">
      <c r="B17" s="8" t="s">
        <v>59</v>
      </c>
      <c r="C17" s="56" t="s">
        <v>60</v>
      </c>
      <c r="D17" s="53" t="s">
        <v>61</v>
      </c>
      <c r="E17" s="6" t="s">
        <v>51</v>
      </c>
      <c r="F17" s="19">
        <v>189162</v>
      </c>
      <c r="G17" s="24">
        <v>2398.9499999999998</v>
      </c>
      <c r="H17" s="24">
        <v>1.83</v>
      </c>
      <c r="I17" s="31"/>
      <c r="J17" s="35"/>
    </row>
    <row r="18" spans="2:10" x14ac:dyDescent="0.25">
      <c r="B18" s="8" t="s">
        <v>704</v>
      </c>
      <c r="C18" s="56" t="s">
        <v>705</v>
      </c>
      <c r="D18" s="53" t="s">
        <v>706</v>
      </c>
      <c r="E18" s="6" t="s">
        <v>90</v>
      </c>
      <c r="F18" s="19">
        <v>117345</v>
      </c>
      <c r="G18" s="24">
        <v>2330.94</v>
      </c>
      <c r="H18" s="24">
        <v>1.78</v>
      </c>
      <c r="I18" s="31"/>
      <c r="J18" s="35"/>
    </row>
    <row r="19" spans="2:10" x14ac:dyDescent="0.25">
      <c r="B19" s="8" t="s">
        <v>44</v>
      </c>
      <c r="C19" s="56" t="s">
        <v>45</v>
      </c>
      <c r="D19" s="53" t="s">
        <v>46</v>
      </c>
      <c r="E19" s="6" t="s">
        <v>47</v>
      </c>
      <c r="F19" s="19">
        <v>222711</v>
      </c>
      <c r="G19" s="24">
        <v>2245.48</v>
      </c>
      <c r="H19" s="24">
        <v>1.71</v>
      </c>
      <c r="I19" s="31"/>
      <c r="J19" s="35"/>
    </row>
    <row r="20" spans="2:10" x14ac:dyDescent="0.25">
      <c r="B20" s="8" t="s">
        <v>409</v>
      </c>
      <c r="C20" s="56" t="s">
        <v>410</v>
      </c>
      <c r="D20" s="53" t="s">
        <v>411</v>
      </c>
      <c r="E20" s="6" t="s">
        <v>98</v>
      </c>
      <c r="F20" s="19">
        <v>29582</v>
      </c>
      <c r="G20" s="24">
        <v>1994.85</v>
      </c>
      <c r="H20" s="24">
        <v>1.52</v>
      </c>
      <c r="I20" s="31"/>
      <c r="J20" s="35"/>
    </row>
    <row r="21" spans="2:10" x14ac:dyDescent="0.25">
      <c r="B21" s="8" t="s">
        <v>73</v>
      </c>
      <c r="C21" s="56" t="s">
        <v>74</v>
      </c>
      <c r="D21" s="53" t="s">
        <v>75</v>
      </c>
      <c r="E21" s="6" t="s">
        <v>51</v>
      </c>
      <c r="F21" s="19">
        <v>429414</v>
      </c>
      <c r="G21" s="24">
        <v>1823.51</v>
      </c>
      <c r="H21" s="24">
        <v>1.39</v>
      </c>
      <c r="I21" s="31"/>
      <c r="J21" s="35"/>
    </row>
    <row r="22" spans="2:10" x14ac:dyDescent="0.25">
      <c r="B22" s="8" t="s">
        <v>91</v>
      </c>
      <c r="C22" s="56" t="s">
        <v>92</v>
      </c>
      <c r="D22" s="53" t="s">
        <v>93</v>
      </c>
      <c r="E22" s="6" t="s">
        <v>94</v>
      </c>
      <c r="F22" s="19">
        <v>54643</v>
      </c>
      <c r="G22" s="24">
        <v>1791.53</v>
      </c>
      <c r="H22" s="24">
        <v>1.36</v>
      </c>
      <c r="I22" s="31"/>
      <c r="J22" s="35"/>
    </row>
    <row r="23" spans="2:10" x14ac:dyDescent="0.25">
      <c r="B23" s="8" t="s">
        <v>303</v>
      </c>
      <c r="C23" s="56" t="s">
        <v>304</v>
      </c>
      <c r="D23" s="53" t="s">
        <v>305</v>
      </c>
      <c r="E23" s="6" t="s">
        <v>306</v>
      </c>
      <c r="F23" s="19">
        <v>690571</v>
      </c>
      <c r="G23" s="24">
        <v>1777.53</v>
      </c>
      <c r="H23" s="24">
        <v>1.35</v>
      </c>
      <c r="I23" s="31"/>
      <c r="J23" s="35"/>
    </row>
    <row r="24" spans="2:10" x14ac:dyDescent="0.25">
      <c r="B24" s="8" t="s">
        <v>102</v>
      </c>
      <c r="C24" s="56" t="s">
        <v>103</v>
      </c>
      <c r="D24" s="53" t="s">
        <v>104</v>
      </c>
      <c r="E24" s="6" t="s">
        <v>94</v>
      </c>
      <c r="F24" s="19">
        <v>297903</v>
      </c>
      <c r="G24" s="24">
        <v>1666.47</v>
      </c>
      <c r="H24" s="24">
        <v>1.27</v>
      </c>
      <c r="I24" s="31"/>
      <c r="J24" s="35"/>
    </row>
    <row r="25" spans="2:10" x14ac:dyDescent="0.25">
      <c r="B25" s="8" t="s">
        <v>65</v>
      </c>
      <c r="C25" s="56" t="s">
        <v>66</v>
      </c>
      <c r="D25" s="53" t="s">
        <v>67</v>
      </c>
      <c r="E25" s="6" t="s">
        <v>68</v>
      </c>
      <c r="F25" s="19">
        <v>395667</v>
      </c>
      <c r="G25" s="24">
        <v>1665.56</v>
      </c>
      <c r="H25" s="24">
        <v>1.27</v>
      </c>
      <c r="I25" s="31"/>
      <c r="J25" s="35"/>
    </row>
    <row r="26" spans="2:10" x14ac:dyDescent="0.25">
      <c r="B26" s="8" t="s">
        <v>69</v>
      </c>
      <c r="C26" s="56" t="s">
        <v>70</v>
      </c>
      <c r="D26" s="53" t="s">
        <v>71</v>
      </c>
      <c r="E26" s="6" t="s">
        <v>72</v>
      </c>
      <c r="F26" s="19">
        <v>7500</v>
      </c>
      <c r="G26" s="24">
        <v>1600.2</v>
      </c>
      <c r="H26" s="24">
        <v>1.22</v>
      </c>
      <c r="I26" s="31"/>
      <c r="J26" s="35"/>
    </row>
    <row r="27" spans="2:10" x14ac:dyDescent="0.25">
      <c r="B27" s="8" t="s">
        <v>56</v>
      </c>
      <c r="C27" s="56" t="s">
        <v>57</v>
      </c>
      <c r="D27" s="53" t="s">
        <v>58</v>
      </c>
      <c r="E27" s="6" t="s">
        <v>47</v>
      </c>
      <c r="F27" s="19">
        <v>63730</v>
      </c>
      <c r="G27" s="24">
        <v>1588.34</v>
      </c>
      <c r="H27" s="24">
        <v>1.21</v>
      </c>
      <c r="I27" s="31"/>
      <c r="J27" s="35"/>
    </row>
    <row r="28" spans="2:10" x14ac:dyDescent="0.25">
      <c r="B28" s="8" t="s">
        <v>424</v>
      </c>
      <c r="C28" s="56" t="s">
        <v>425</v>
      </c>
      <c r="D28" s="53" t="s">
        <v>426</v>
      </c>
      <c r="E28" s="6" t="s">
        <v>83</v>
      </c>
      <c r="F28" s="19">
        <v>17500</v>
      </c>
      <c r="G28" s="24">
        <v>1533.36</v>
      </c>
      <c r="H28" s="24">
        <v>1.17</v>
      </c>
      <c r="I28" s="31"/>
      <c r="J28" s="35"/>
    </row>
    <row r="29" spans="2:10" x14ac:dyDescent="0.25">
      <c r="B29" s="8" t="s">
        <v>1576</v>
      </c>
      <c r="C29" s="56" t="s">
        <v>1577</v>
      </c>
      <c r="D29" s="53" t="s">
        <v>1578</v>
      </c>
      <c r="E29" s="6" t="s">
        <v>90</v>
      </c>
      <c r="F29" s="19">
        <v>253750</v>
      </c>
      <c r="G29" s="24">
        <v>1295.52</v>
      </c>
      <c r="H29" s="24">
        <v>0.99</v>
      </c>
      <c r="I29" s="31"/>
      <c r="J29" s="35"/>
    </row>
    <row r="30" spans="2:10" x14ac:dyDescent="0.25">
      <c r="B30" s="8" t="s">
        <v>161</v>
      </c>
      <c r="C30" s="56" t="s">
        <v>162</v>
      </c>
      <c r="D30" s="53" t="s">
        <v>163</v>
      </c>
      <c r="E30" s="6" t="s">
        <v>94</v>
      </c>
      <c r="F30" s="19">
        <v>300000</v>
      </c>
      <c r="G30" s="24">
        <v>1262.7</v>
      </c>
      <c r="H30" s="24">
        <v>0.96</v>
      </c>
      <c r="I30" s="31"/>
      <c r="J30" s="35"/>
    </row>
    <row r="31" spans="2:10" x14ac:dyDescent="0.25">
      <c r="B31" s="8" t="s">
        <v>139</v>
      </c>
      <c r="C31" s="56" t="s">
        <v>140</v>
      </c>
      <c r="D31" s="53" t="s">
        <v>141</v>
      </c>
      <c r="E31" s="6" t="s">
        <v>142</v>
      </c>
      <c r="F31" s="19">
        <v>100000</v>
      </c>
      <c r="G31" s="24">
        <v>1249.0999999999999</v>
      </c>
      <c r="H31" s="24">
        <v>0.95</v>
      </c>
      <c r="I31" s="31"/>
      <c r="J31" s="35"/>
    </row>
    <row r="32" spans="2:10" x14ac:dyDescent="0.25">
      <c r="B32" s="8" t="s">
        <v>245</v>
      </c>
      <c r="C32" s="56" t="s">
        <v>246</v>
      </c>
      <c r="D32" s="53" t="s">
        <v>247</v>
      </c>
      <c r="E32" s="6" t="s">
        <v>111</v>
      </c>
      <c r="F32" s="19">
        <v>240526</v>
      </c>
      <c r="G32" s="24">
        <v>1203.71</v>
      </c>
      <c r="H32" s="24">
        <v>0.92</v>
      </c>
      <c r="I32" s="31"/>
      <c r="J32" s="35"/>
    </row>
    <row r="33" spans="2:10" x14ac:dyDescent="0.25">
      <c r="B33" s="8" t="s">
        <v>222</v>
      </c>
      <c r="C33" s="56" t="s">
        <v>223</v>
      </c>
      <c r="D33" s="53" t="s">
        <v>224</v>
      </c>
      <c r="E33" s="6" t="s">
        <v>83</v>
      </c>
      <c r="F33" s="19">
        <v>90000</v>
      </c>
      <c r="G33" s="24">
        <v>1194.03</v>
      </c>
      <c r="H33" s="24">
        <v>0.91</v>
      </c>
      <c r="I33" s="31"/>
      <c r="J33" s="35"/>
    </row>
    <row r="34" spans="2:10" x14ac:dyDescent="0.25">
      <c r="B34" s="8" t="s">
        <v>877</v>
      </c>
      <c r="C34" s="56" t="s">
        <v>878</v>
      </c>
      <c r="D34" s="53" t="s">
        <v>879</v>
      </c>
      <c r="E34" s="6" t="s">
        <v>228</v>
      </c>
      <c r="F34" s="19">
        <v>221789</v>
      </c>
      <c r="G34" s="24">
        <v>1115.3800000000001</v>
      </c>
      <c r="H34" s="24">
        <v>0.85</v>
      </c>
      <c r="I34" s="31"/>
      <c r="J34" s="35"/>
    </row>
    <row r="35" spans="2:10" x14ac:dyDescent="0.25">
      <c r="B35" s="8" t="s">
        <v>150</v>
      </c>
      <c r="C35" s="56" t="s">
        <v>151</v>
      </c>
      <c r="D35" s="53" t="s">
        <v>152</v>
      </c>
      <c r="E35" s="6" t="s">
        <v>153</v>
      </c>
      <c r="F35" s="19">
        <v>302525</v>
      </c>
      <c r="G35" s="24">
        <v>1088.33</v>
      </c>
      <c r="H35" s="24">
        <v>0.83</v>
      </c>
      <c r="I35" s="31"/>
      <c r="J35" s="35"/>
    </row>
    <row r="36" spans="2:10" x14ac:dyDescent="0.25">
      <c r="B36" s="8" t="s">
        <v>209</v>
      </c>
      <c r="C36" s="56" t="s">
        <v>210</v>
      </c>
      <c r="D36" s="53" t="s">
        <v>211</v>
      </c>
      <c r="E36" s="6" t="s">
        <v>83</v>
      </c>
      <c r="F36" s="19">
        <v>150000</v>
      </c>
      <c r="G36" s="24">
        <v>999.98</v>
      </c>
      <c r="H36" s="24">
        <v>0.76</v>
      </c>
      <c r="I36" s="31"/>
      <c r="J36" s="35"/>
    </row>
    <row r="37" spans="2:10" x14ac:dyDescent="0.25">
      <c r="B37" s="8" t="s">
        <v>874</v>
      </c>
      <c r="C37" s="56" t="s">
        <v>875</v>
      </c>
      <c r="D37" s="53" t="s">
        <v>876</v>
      </c>
      <c r="E37" s="6" t="s">
        <v>41</v>
      </c>
      <c r="F37" s="19">
        <v>134198</v>
      </c>
      <c r="G37" s="24">
        <v>998.7</v>
      </c>
      <c r="H37" s="24">
        <v>0.76</v>
      </c>
      <c r="I37" s="31"/>
      <c r="J37" s="35"/>
    </row>
    <row r="38" spans="2:10" x14ac:dyDescent="0.25">
      <c r="B38" s="8" t="s">
        <v>370</v>
      </c>
      <c r="C38" s="56" t="s">
        <v>371</v>
      </c>
      <c r="D38" s="53" t="s">
        <v>372</v>
      </c>
      <c r="E38" s="6" t="s">
        <v>41</v>
      </c>
      <c r="F38" s="19">
        <v>66000</v>
      </c>
      <c r="G38" s="24">
        <v>919.68</v>
      </c>
      <c r="H38" s="24">
        <v>0.7</v>
      </c>
      <c r="I38" s="31"/>
      <c r="J38" s="35"/>
    </row>
    <row r="39" spans="2:10" x14ac:dyDescent="0.25">
      <c r="B39" s="8" t="s">
        <v>354</v>
      </c>
      <c r="C39" s="56" t="s">
        <v>355</v>
      </c>
      <c r="D39" s="53" t="s">
        <v>356</v>
      </c>
      <c r="E39" s="6" t="s">
        <v>90</v>
      </c>
      <c r="F39" s="19">
        <v>532721</v>
      </c>
      <c r="G39" s="24">
        <v>914.68</v>
      </c>
      <c r="H39" s="24">
        <v>0.7</v>
      </c>
      <c r="I39" s="31"/>
      <c r="J39" s="35"/>
    </row>
    <row r="40" spans="2:10" x14ac:dyDescent="0.25">
      <c r="B40" s="8" t="s">
        <v>859</v>
      </c>
      <c r="C40" s="56" t="s">
        <v>860</v>
      </c>
      <c r="D40" s="53" t="s">
        <v>861</v>
      </c>
      <c r="E40" s="6" t="s">
        <v>98</v>
      </c>
      <c r="F40" s="19">
        <v>27884</v>
      </c>
      <c r="G40" s="24">
        <v>877.59</v>
      </c>
      <c r="H40" s="24">
        <v>0.67</v>
      </c>
      <c r="I40" s="31"/>
      <c r="J40" s="35"/>
    </row>
    <row r="41" spans="2:10" x14ac:dyDescent="0.25">
      <c r="B41" s="8" t="s">
        <v>180</v>
      </c>
      <c r="C41" s="56" t="s">
        <v>53</v>
      </c>
      <c r="D41" s="53" t="s">
        <v>181</v>
      </c>
      <c r="E41" s="6" t="s">
        <v>55</v>
      </c>
      <c r="F41" s="19">
        <v>63235</v>
      </c>
      <c r="G41" s="24">
        <v>849.56</v>
      </c>
      <c r="H41" s="24">
        <v>0.65</v>
      </c>
      <c r="I41" s="31"/>
      <c r="J41" s="35" t="s">
        <v>182</v>
      </c>
    </row>
    <row r="42" spans="2:10" x14ac:dyDescent="0.25">
      <c r="B42" s="8" t="s">
        <v>415</v>
      </c>
      <c r="C42" s="56" t="s">
        <v>416</v>
      </c>
      <c r="D42" s="53" t="s">
        <v>417</v>
      </c>
      <c r="E42" s="6" t="s">
        <v>90</v>
      </c>
      <c r="F42" s="19">
        <v>7000</v>
      </c>
      <c r="G42" s="24">
        <v>696.27</v>
      </c>
      <c r="H42" s="24">
        <v>0.53</v>
      </c>
      <c r="I42" s="31"/>
      <c r="J42" s="35"/>
    </row>
    <row r="43" spans="2:10" x14ac:dyDescent="0.25">
      <c r="B43" s="8" t="s">
        <v>814</v>
      </c>
      <c r="C43" s="56" t="s">
        <v>815</v>
      </c>
      <c r="D43" s="53" t="s">
        <v>816</v>
      </c>
      <c r="E43" s="6" t="s">
        <v>83</v>
      </c>
      <c r="F43" s="19">
        <v>405000</v>
      </c>
      <c r="G43" s="24">
        <v>690.32</v>
      </c>
      <c r="H43" s="24">
        <v>0.53</v>
      </c>
      <c r="I43" s="31"/>
      <c r="J43" s="35"/>
    </row>
    <row r="44" spans="2:10" x14ac:dyDescent="0.25">
      <c r="B44" s="8" t="s">
        <v>118</v>
      </c>
      <c r="C44" s="56" t="s">
        <v>119</v>
      </c>
      <c r="D44" s="53" t="s">
        <v>120</v>
      </c>
      <c r="E44" s="6" t="s">
        <v>98</v>
      </c>
      <c r="F44" s="19">
        <v>508931</v>
      </c>
      <c r="G44" s="24">
        <v>678.41</v>
      </c>
      <c r="H44" s="24">
        <v>0.52</v>
      </c>
      <c r="I44" s="31"/>
      <c r="J44" s="35"/>
    </row>
    <row r="45" spans="2:10" x14ac:dyDescent="0.25">
      <c r="B45" s="8" t="s">
        <v>76</v>
      </c>
      <c r="C45" s="56" t="s">
        <v>77</v>
      </c>
      <c r="D45" s="53" t="s">
        <v>78</v>
      </c>
      <c r="E45" s="6" t="s">
        <v>79</v>
      </c>
      <c r="F45" s="19">
        <v>74189</v>
      </c>
      <c r="G45" s="24">
        <v>668.89</v>
      </c>
      <c r="H45" s="24">
        <v>0.51</v>
      </c>
      <c r="I45" s="31"/>
      <c r="J45" s="35"/>
    </row>
    <row r="46" spans="2:10" x14ac:dyDescent="0.25">
      <c r="B46" s="8" t="s">
        <v>112</v>
      </c>
      <c r="C46" s="56" t="s">
        <v>113</v>
      </c>
      <c r="D46" s="53" t="s">
        <v>114</v>
      </c>
      <c r="E46" s="6" t="s">
        <v>111</v>
      </c>
      <c r="F46" s="19">
        <v>17742</v>
      </c>
      <c r="G46" s="24">
        <v>540.77</v>
      </c>
      <c r="H46" s="24">
        <v>0.41</v>
      </c>
      <c r="I46" s="31"/>
      <c r="J46" s="35"/>
    </row>
    <row r="47" spans="2:10" x14ac:dyDescent="0.25">
      <c r="B47" s="8" t="s">
        <v>865</v>
      </c>
      <c r="C47" s="56" t="s">
        <v>866</v>
      </c>
      <c r="D47" s="53" t="s">
        <v>867</v>
      </c>
      <c r="E47" s="6" t="s">
        <v>94</v>
      </c>
      <c r="F47" s="19">
        <v>9184</v>
      </c>
      <c r="G47" s="24">
        <v>537.48</v>
      </c>
      <c r="H47" s="24">
        <v>0.41</v>
      </c>
      <c r="I47" s="31"/>
      <c r="J47" s="35"/>
    </row>
    <row r="48" spans="2:10" x14ac:dyDescent="0.25">
      <c r="B48" s="8" t="s">
        <v>133</v>
      </c>
      <c r="C48" s="56" t="s">
        <v>134</v>
      </c>
      <c r="D48" s="53" t="s">
        <v>135</v>
      </c>
      <c r="E48" s="6" t="s">
        <v>47</v>
      </c>
      <c r="F48" s="19">
        <v>65923</v>
      </c>
      <c r="G48" s="24">
        <v>535.03</v>
      </c>
      <c r="H48" s="24">
        <v>0.41</v>
      </c>
      <c r="I48" s="31"/>
      <c r="J48" s="35"/>
    </row>
    <row r="49" spans="2:10" x14ac:dyDescent="0.25">
      <c r="B49" s="8" t="s">
        <v>442</v>
      </c>
      <c r="C49" s="56" t="s">
        <v>443</v>
      </c>
      <c r="D49" s="53" t="s">
        <v>444</v>
      </c>
      <c r="E49" s="6" t="s">
        <v>90</v>
      </c>
      <c r="F49" s="19">
        <v>101250</v>
      </c>
      <c r="G49" s="24">
        <v>522.29999999999995</v>
      </c>
      <c r="H49" s="24">
        <v>0.4</v>
      </c>
      <c r="I49" s="31"/>
      <c r="J49" s="35"/>
    </row>
    <row r="50" spans="2:10" x14ac:dyDescent="0.25">
      <c r="B50" s="8" t="s">
        <v>755</v>
      </c>
      <c r="C50" s="56" t="s">
        <v>756</v>
      </c>
      <c r="D50" s="53" t="s">
        <v>757</v>
      </c>
      <c r="E50" s="6" t="s">
        <v>47</v>
      </c>
      <c r="F50" s="19">
        <v>233447</v>
      </c>
      <c r="G50" s="24">
        <v>506</v>
      </c>
      <c r="H50" s="24">
        <v>0.39</v>
      </c>
      <c r="I50" s="31"/>
      <c r="J50" s="35"/>
    </row>
    <row r="51" spans="2:10" x14ac:dyDescent="0.25">
      <c r="B51" s="8" t="s">
        <v>158</v>
      </c>
      <c r="C51" s="56" t="s">
        <v>159</v>
      </c>
      <c r="D51" s="53" t="s">
        <v>160</v>
      </c>
      <c r="E51" s="6" t="s">
        <v>111</v>
      </c>
      <c r="F51" s="19">
        <v>50150</v>
      </c>
      <c r="G51" s="24">
        <v>505.21</v>
      </c>
      <c r="H51" s="24">
        <v>0.38</v>
      </c>
      <c r="I51" s="31"/>
      <c r="J51" s="35"/>
    </row>
    <row r="52" spans="2:10" x14ac:dyDescent="0.25">
      <c r="B52" s="8" t="s">
        <v>316</v>
      </c>
      <c r="C52" s="56" t="s">
        <v>317</v>
      </c>
      <c r="D52" s="53" t="s">
        <v>318</v>
      </c>
      <c r="E52" s="6" t="s">
        <v>94</v>
      </c>
      <c r="F52" s="19">
        <v>40644</v>
      </c>
      <c r="G52" s="24">
        <v>499.92</v>
      </c>
      <c r="H52" s="24">
        <v>0.38</v>
      </c>
      <c r="I52" s="31"/>
      <c r="J52" s="35" t="s">
        <v>3420</v>
      </c>
    </row>
    <row r="53" spans="2:10" x14ac:dyDescent="0.25">
      <c r="B53" s="8" t="s">
        <v>164</v>
      </c>
      <c r="C53" s="56" t="s">
        <v>165</v>
      </c>
      <c r="D53" s="53" t="s">
        <v>166</v>
      </c>
      <c r="E53" s="6" t="s">
        <v>51</v>
      </c>
      <c r="F53" s="19">
        <v>233379</v>
      </c>
      <c r="G53" s="24">
        <v>432.68</v>
      </c>
      <c r="H53" s="24">
        <v>0.33</v>
      </c>
      <c r="I53" s="31"/>
      <c r="J53" s="35"/>
    </row>
    <row r="54" spans="2:10" x14ac:dyDescent="0.25">
      <c r="B54" s="8" t="s">
        <v>412</v>
      </c>
      <c r="C54" s="56" t="s">
        <v>413</v>
      </c>
      <c r="D54" s="53" t="s">
        <v>414</v>
      </c>
      <c r="E54" s="6" t="s">
        <v>111</v>
      </c>
      <c r="F54" s="19">
        <v>7388</v>
      </c>
      <c r="G54" s="24">
        <v>383.27</v>
      </c>
      <c r="H54" s="24">
        <v>0.28999999999999998</v>
      </c>
      <c r="I54" s="31"/>
      <c r="J54" s="35"/>
    </row>
    <row r="55" spans="2:10" x14ac:dyDescent="0.25">
      <c r="B55" s="8" t="s">
        <v>95</v>
      </c>
      <c r="C55" s="56" t="s">
        <v>96</v>
      </c>
      <c r="D55" s="53" t="s">
        <v>97</v>
      </c>
      <c r="E55" s="6" t="s">
        <v>98</v>
      </c>
      <c r="F55" s="19">
        <v>58160</v>
      </c>
      <c r="G55" s="24">
        <v>353.55</v>
      </c>
      <c r="H55" s="24">
        <v>0.27</v>
      </c>
      <c r="I55" s="31"/>
      <c r="J55" s="35"/>
    </row>
    <row r="56" spans="2:10" x14ac:dyDescent="0.25">
      <c r="B56" s="8" t="s">
        <v>373</v>
      </c>
      <c r="C56" s="56" t="s">
        <v>374</v>
      </c>
      <c r="D56" s="53" t="s">
        <v>375</v>
      </c>
      <c r="E56" s="6" t="s">
        <v>51</v>
      </c>
      <c r="F56" s="19">
        <v>722500</v>
      </c>
      <c r="G56" s="24">
        <v>351.14</v>
      </c>
      <c r="H56" s="24">
        <v>0.27</v>
      </c>
      <c r="I56" s="31"/>
      <c r="J56" s="35"/>
    </row>
    <row r="57" spans="2:10" x14ac:dyDescent="0.25">
      <c r="B57" s="8" t="s">
        <v>406</v>
      </c>
      <c r="C57" s="56" t="s">
        <v>407</v>
      </c>
      <c r="D57" s="53" t="s">
        <v>408</v>
      </c>
      <c r="E57" s="6" t="s">
        <v>90</v>
      </c>
      <c r="F57" s="19">
        <v>2168</v>
      </c>
      <c r="G57" s="24">
        <v>345.12</v>
      </c>
      <c r="H57" s="24">
        <v>0.26</v>
      </c>
      <c r="I57" s="31"/>
      <c r="J57" s="35"/>
    </row>
    <row r="58" spans="2:10" x14ac:dyDescent="0.25">
      <c r="B58" s="8" t="s">
        <v>2253</v>
      </c>
      <c r="C58" s="56" t="s">
        <v>2254</v>
      </c>
      <c r="D58" s="53" t="s">
        <v>2255</v>
      </c>
      <c r="E58" s="6" t="s">
        <v>196</v>
      </c>
      <c r="F58" s="19">
        <v>318021</v>
      </c>
      <c r="G58" s="24">
        <v>334.4</v>
      </c>
      <c r="H58" s="24">
        <v>0.25</v>
      </c>
      <c r="I58" s="31"/>
      <c r="J58" s="35"/>
    </row>
    <row r="59" spans="2:10" x14ac:dyDescent="0.25">
      <c r="B59" s="8" t="s">
        <v>80</v>
      </c>
      <c r="C59" s="56" t="s">
        <v>81</v>
      </c>
      <c r="D59" s="53" t="s">
        <v>82</v>
      </c>
      <c r="E59" s="6" t="s">
        <v>83</v>
      </c>
      <c r="F59" s="19">
        <v>25408</v>
      </c>
      <c r="G59" s="24">
        <v>305.24</v>
      </c>
      <c r="H59" s="24">
        <v>0.23</v>
      </c>
      <c r="I59" s="31"/>
      <c r="J59" s="35"/>
    </row>
    <row r="60" spans="2:10" x14ac:dyDescent="0.25">
      <c r="B60" s="8" t="s">
        <v>136</v>
      </c>
      <c r="C60" s="56" t="s">
        <v>137</v>
      </c>
      <c r="D60" s="53" t="s">
        <v>138</v>
      </c>
      <c r="E60" s="6" t="s">
        <v>41</v>
      </c>
      <c r="F60" s="19">
        <v>7025</v>
      </c>
      <c r="G60" s="24">
        <v>284.48</v>
      </c>
      <c r="H60" s="24">
        <v>0.22</v>
      </c>
      <c r="I60" s="31"/>
      <c r="J60" s="35"/>
    </row>
    <row r="61" spans="2:10" x14ac:dyDescent="0.25">
      <c r="B61" s="8" t="s">
        <v>348</v>
      </c>
      <c r="C61" s="56" t="s">
        <v>349</v>
      </c>
      <c r="D61" s="53" t="s">
        <v>350</v>
      </c>
      <c r="E61" s="6" t="s">
        <v>47</v>
      </c>
      <c r="F61" s="19">
        <v>90420</v>
      </c>
      <c r="G61" s="24">
        <v>283.51</v>
      </c>
      <c r="H61" s="24">
        <v>0.22</v>
      </c>
      <c r="I61" s="31"/>
      <c r="J61" s="35"/>
    </row>
    <row r="62" spans="2:10" x14ac:dyDescent="0.25">
      <c r="B62" s="8" t="s">
        <v>99</v>
      </c>
      <c r="C62" s="56" t="s">
        <v>100</v>
      </c>
      <c r="D62" s="53" t="s">
        <v>101</v>
      </c>
      <c r="E62" s="6" t="s">
        <v>90</v>
      </c>
      <c r="F62" s="19">
        <v>7164</v>
      </c>
      <c r="G62" s="24">
        <v>272.10000000000002</v>
      </c>
      <c r="H62" s="24">
        <v>0.21</v>
      </c>
      <c r="I62" s="31"/>
      <c r="J62" s="35"/>
    </row>
    <row r="63" spans="2:10" x14ac:dyDescent="0.25">
      <c r="B63" s="8" t="s">
        <v>174</v>
      </c>
      <c r="C63" s="56" t="s">
        <v>175</v>
      </c>
      <c r="D63" s="53" t="s">
        <v>176</v>
      </c>
      <c r="E63" s="6" t="s">
        <v>157</v>
      </c>
      <c r="F63" s="19">
        <v>60000</v>
      </c>
      <c r="G63" s="24">
        <v>268.52999999999997</v>
      </c>
      <c r="H63" s="24">
        <v>0.2</v>
      </c>
      <c r="I63" s="31"/>
      <c r="J63" s="35"/>
    </row>
    <row r="64" spans="2:10" x14ac:dyDescent="0.25">
      <c r="B64" s="8" t="s">
        <v>853</v>
      </c>
      <c r="C64" s="56" t="s">
        <v>854</v>
      </c>
      <c r="D64" s="53" t="s">
        <v>855</v>
      </c>
      <c r="E64" s="6" t="s">
        <v>261</v>
      </c>
      <c r="F64" s="19">
        <v>155024</v>
      </c>
      <c r="G64" s="24">
        <v>251.84</v>
      </c>
      <c r="H64" s="24">
        <v>0.19</v>
      </c>
      <c r="I64" s="31"/>
      <c r="J64" s="35"/>
    </row>
    <row r="65" spans="2:10" x14ac:dyDescent="0.25">
      <c r="B65" s="8" t="s">
        <v>856</v>
      </c>
      <c r="C65" s="56" t="s">
        <v>857</v>
      </c>
      <c r="D65" s="53" t="s">
        <v>858</v>
      </c>
      <c r="E65" s="6" t="s">
        <v>261</v>
      </c>
      <c r="F65" s="19">
        <v>295290</v>
      </c>
      <c r="G65" s="24">
        <v>251.29</v>
      </c>
      <c r="H65" s="24">
        <v>0.19</v>
      </c>
      <c r="I65" s="31"/>
      <c r="J65" s="35"/>
    </row>
    <row r="66" spans="2:10" x14ac:dyDescent="0.25">
      <c r="B66" s="8" t="s">
        <v>108</v>
      </c>
      <c r="C66" s="56" t="s">
        <v>109</v>
      </c>
      <c r="D66" s="53" t="s">
        <v>110</v>
      </c>
      <c r="E66" s="6" t="s">
        <v>111</v>
      </c>
      <c r="F66" s="19">
        <v>30857</v>
      </c>
      <c r="G66" s="24">
        <v>239.05</v>
      </c>
      <c r="H66" s="24">
        <v>0.18</v>
      </c>
      <c r="I66" s="31"/>
      <c r="J66" s="35"/>
    </row>
    <row r="67" spans="2:10" x14ac:dyDescent="0.25">
      <c r="B67" s="8" t="s">
        <v>862</v>
      </c>
      <c r="C67" s="56" t="s">
        <v>863</v>
      </c>
      <c r="D67" s="53" t="s">
        <v>864</v>
      </c>
      <c r="E67" s="6" t="s">
        <v>98</v>
      </c>
      <c r="F67" s="19">
        <v>7910</v>
      </c>
      <c r="G67" s="24">
        <v>227.9</v>
      </c>
      <c r="H67" s="24">
        <v>0.17</v>
      </c>
      <c r="I67" s="31"/>
      <c r="J67" s="35"/>
    </row>
    <row r="68" spans="2:10" x14ac:dyDescent="0.25">
      <c r="B68" s="8" t="s">
        <v>2256</v>
      </c>
      <c r="C68" s="56" t="s">
        <v>2257</v>
      </c>
      <c r="D68" s="53" t="s">
        <v>2258</v>
      </c>
      <c r="E68" s="6" t="s">
        <v>722</v>
      </c>
      <c r="F68" s="19">
        <v>109827</v>
      </c>
      <c r="G68" s="24">
        <v>212.73</v>
      </c>
      <c r="H68" s="24">
        <v>0.16</v>
      </c>
      <c r="I68" s="31"/>
      <c r="J68" s="35"/>
    </row>
    <row r="69" spans="2:10" x14ac:dyDescent="0.25">
      <c r="B69" s="8" t="s">
        <v>868</v>
      </c>
      <c r="C69" s="56" t="s">
        <v>869</v>
      </c>
      <c r="D69" s="53" t="s">
        <v>870</v>
      </c>
      <c r="E69" s="6" t="s">
        <v>94</v>
      </c>
      <c r="F69" s="19">
        <v>23695</v>
      </c>
      <c r="G69" s="24">
        <v>192.27</v>
      </c>
      <c r="H69" s="24">
        <v>0.15</v>
      </c>
      <c r="I69" s="31"/>
      <c r="J69" s="35"/>
    </row>
    <row r="70" spans="2:10" x14ac:dyDescent="0.25">
      <c r="B70" s="8" t="s">
        <v>147</v>
      </c>
      <c r="C70" s="56" t="s">
        <v>148</v>
      </c>
      <c r="D70" s="53" t="s">
        <v>149</v>
      </c>
      <c r="E70" s="6" t="s">
        <v>98</v>
      </c>
      <c r="F70" s="19">
        <v>8459</v>
      </c>
      <c r="G70" s="24">
        <v>186.33</v>
      </c>
      <c r="H70" s="24">
        <v>0.14000000000000001</v>
      </c>
      <c r="I70" s="31"/>
      <c r="J70" s="35"/>
    </row>
    <row r="71" spans="2:10" x14ac:dyDescent="0.25">
      <c r="B71" s="8" t="s">
        <v>871</v>
      </c>
      <c r="C71" s="56" t="s">
        <v>872</v>
      </c>
      <c r="D71" s="53" t="s">
        <v>873</v>
      </c>
      <c r="E71" s="6" t="s">
        <v>51</v>
      </c>
      <c r="F71" s="19">
        <v>34436</v>
      </c>
      <c r="G71" s="24">
        <v>181.62</v>
      </c>
      <c r="H71" s="24">
        <v>0.14000000000000001</v>
      </c>
      <c r="I71" s="31"/>
      <c r="J71" s="35"/>
    </row>
    <row r="72" spans="2:10" x14ac:dyDescent="0.25">
      <c r="B72" s="8" t="s">
        <v>171</v>
      </c>
      <c r="C72" s="56" t="s">
        <v>172</v>
      </c>
      <c r="D72" s="53" t="s">
        <v>173</v>
      </c>
      <c r="E72" s="6" t="s">
        <v>55</v>
      </c>
      <c r="F72" s="19">
        <v>48473</v>
      </c>
      <c r="G72" s="24">
        <v>171.13</v>
      </c>
      <c r="H72" s="24">
        <v>0.13</v>
      </c>
      <c r="I72" s="31"/>
      <c r="J72" s="35"/>
    </row>
    <row r="73" spans="2:10" x14ac:dyDescent="0.25">
      <c r="B73" s="8" t="s">
        <v>880</v>
      </c>
      <c r="C73" s="56" t="s">
        <v>881</v>
      </c>
      <c r="D73" s="53" t="s">
        <v>882</v>
      </c>
      <c r="E73" s="6" t="s">
        <v>153</v>
      </c>
      <c r="F73" s="19">
        <v>60223</v>
      </c>
      <c r="G73" s="24">
        <v>167.27</v>
      </c>
      <c r="H73" s="24">
        <v>0.13</v>
      </c>
      <c r="I73" s="31"/>
      <c r="J73" s="35"/>
    </row>
    <row r="74" spans="2:10" x14ac:dyDescent="0.25">
      <c r="B74" s="8" t="s">
        <v>84</v>
      </c>
      <c r="C74" s="56" t="s">
        <v>85</v>
      </c>
      <c r="D74" s="53" t="s">
        <v>86</v>
      </c>
      <c r="E74" s="6" t="s">
        <v>41</v>
      </c>
      <c r="F74" s="19">
        <v>811</v>
      </c>
      <c r="G74" s="24">
        <v>164.28</v>
      </c>
      <c r="H74" s="24">
        <v>0.13</v>
      </c>
      <c r="I74" s="31"/>
      <c r="J74" s="35"/>
    </row>
    <row r="75" spans="2:10" x14ac:dyDescent="0.25">
      <c r="B75" s="8" t="s">
        <v>167</v>
      </c>
      <c r="C75" s="56" t="s">
        <v>168</v>
      </c>
      <c r="D75" s="53" t="s">
        <v>169</v>
      </c>
      <c r="E75" s="6" t="s">
        <v>170</v>
      </c>
      <c r="F75" s="19">
        <v>88620</v>
      </c>
      <c r="G75" s="24">
        <v>155.31</v>
      </c>
      <c r="H75" s="24">
        <v>0.12</v>
      </c>
      <c r="I75" s="31"/>
      <c r="J75" s="35"/>
    </row>
    <row r="76" spans="2:10" x14ac:dyDescent="0.25">
      <c r="B76" s="8" t="s">
        <v>839</v>
      </c>
      <c r="C76" s="56" t="s">
        <v>840</v>
      </c>
      <c r="D76" s="53" t="s">
        <v>841</v>
      </c>
      <c r="E76" s="6" t="s">
        <v>842</v>
      </c>
      <c r="F76" s="19">
        <v>221720</v>
      </c>
      <c r="G76" s="24">
        <v>153.54</v>
      </c>
      <c r="H76" s="24">
        <v>0.12</v>
      </c>
      <c r="I76" s="31"/>
      <c r="J76" s="35"/>
    </row>
    <row r="77" spans="2:10" x14ac:dyDescent="0.25">
      <c r="B77" s="8" t="s">
        <v>883</v>
      </c>
      <c r="C77" s="56" t="s">
        <v>884</v>
      </c>
      <c r="D77" s="53" t="s">
        <v>885</v>
      </c>
      <c r="E77" s="6" t="s">
        <v>886</v>
      </c>
      <c r="F77" s="19">
        <v>127359</v>
      </c>
      <c r="G77" s="24">
        <v>147.74</v>
      </c>
      <c r="H77" s="24">
        <v>0.11</v>
      </c>
      <c r="I77" s="31"/>
      <c r="J77" s="35"/>
    </row>
    <row r="78" spans="2:10" x14ac:dyDescent="0.25">
      <c r="B78" s="8" t="s">
        <v>899</v>
      </c>
      <c r="C78" s="56" t="s">
        <v>900</v>
      </c>
      <c r="D78" s="53" t="s">
        <v>901</v>
      </c>
      <c r="E78" s="6" t="s">
        <v>196</v>
      </c>
      <c r="F78" s="19">
        <v>850</v>
      </c>
      <c r="G78" s="24">
        <v>116.71</v>
      </c>
      <c r="H78" s="24">
        <v>0.09</v>
      </c>
      <c r="I78" s="31"/>
      <c r="J78" s="35"/>
    </row>
    <row r="79" spans="2:10" x14ac:dyDescent="0.25">
      <c r="B79" s="8" t="s">
        <v>379</v>
      </c>
      <c r="C79" s="56" t="s">
        <v>380</v>
      </c>
      <c r="D79" s="53" t="s">
        <v>381</v>
      </c>
      <c r="E79" s="6" t="s">
        <v>55</v>
      </c>
      <c r="F79" s="19">
        <v>154166</v>
      </c>
      <c r="G79" s="24">
        <v>113.93</v>
      </c>
      <c r="H79" s="24">
        <v>0.09</v>
      </c>
      <c r="I79" s="31"/>
      <c r="J79" s="35"/>
    </row>
    <row r="80" spans="2:10" x14ac:dyDescent="0.25">
      <c r="B80" s="8" t="s">
        <v>823</v>
      </c>
      <c r="C80" s="56" t="s">
        <v>824</v>
      </c>
      <c r="D80" s="53" t="s">
        <v>825</v>
      </c>
      <c r="E80" s="6" t="s">
        <v>826</v>
      </c>
      <c r="F80" s="19">
        <v>111985</v>
      </c>
      <c r="G80" s="24">
        <v>97.2</v>
      </c>
      <c r="H80" s="24">
        <v>7.0000000000000007E-2</v>
      </c>
      <c r="I80" s="31"/>
      <c r="J80" s="35"/>
    </row>
    <row r="81" spans="1:10" x14ac:dyDescent="0.25">
      <c r="B81" s="8" t="s">
        <v>1354</v>
      </c>
      <c r="C81" s="56" t="s">
        <v>1355</v>
      </c>
      <c r="D81" s="53" t="s">
        <v>1356</v>
      </c>
      <c r="E81" s="6" t="s">
        <v>826</v>
      </c>
      <c r="F81" s="19">
        <v>12000</v>
      </c>
      <c r="G81" s="24">
        <v>26.48</v>
      </c>
      <c r="H81" s="24">
        <v>0.02</v>
      </c>
      <c r="I81" s="31"/>
      <c r="J81" s="35"/>
    </row>
    <row r="82" spans="1:10" x14ac:dyDescent="0.25">
      <c r="C82" s="57" t="s">
        <v>35</v>
      </c>
      <c r="D82" s="53"/>
      <c r="E82" s="6"/>
      <c r="F82" s="19"/>
      <c r="G82" s="25">
        <f>SUM(XDO_?FINAL_MV?268?)</f>
        <v>88878.839999999967</v>
      </c>
      <c r="H82" s="25">
        <f>SUM(XDO_?FINAL_PER_NET?268?)</f>
        <v>67.710000000000022</v>
      </c>
      <c r="I82" s="31"/>
      <c r="J82" s="35"/>
    </row>
    <row r="83" spans="1:10" x14ac:dyDescent="0.25">
      <c r="C83" s="56"/>
      <c r="D83" s="53"/>
      <c r="E83" s="6"/>
      <c r="F83" s="19"/>
      <c r="G83" s="24"/>
      <c r="H83" s="24"/>
      <c r="I83" s="31"/>
      <c r="J83" s="35"/>
    </row>
    <row r="84" spans="1:10" x14ac:dyDescent="0.25">
      <c r="C84" s="59" t="s">
        <v>3</v>
      </c>
      <c r="D84" s="53"/>
      <c r="E84" s="6"/>
      <c r="F84" s="19"/>
      <c r="G84" s="24" t="s">
        <v>2</v>
      </c>
      <c r="H84" s="24" t="s">
        <v>2</v>
      </c>
      <c r="I84" s="31"/>
      <c r="J84" s="35"/>
    </row>
    <row r="85" spans="1:10" x14ac:dyDescent="0.25">
      <c r="C85" s="56"/>
      <c r="D85" s="53"/>
      <c r="E85" s="6"/>
      <c r="F85" s="19"/>
      <c r="G85" s="24"/>
      <c r="H85" s="24"/>
      <c r="I85" s="31"/>
      <c r="J85" s="35"/>
    </row>
    <row r="86" spans="1:10" x14ac:dyDescent="0.25">
      <c r="C86" s="57" t="s">
        <v>4</v>
      </c>
      <c r="D86" s="53"/>
      <c r="E86" s="6"/>
      <c r="F86" s="19"/>
      <c r="G86" s="24" t="s">
        <v>2</v>
      </c>
      <c r="H86" s="24" t="s">
        <v>2</v>
      </c>
      <c r="I86" s="31"/>
      <c r="J86" s="35"/>
    </row>
    <row r="87" spans="1:10" x14ac:dyDescent="0.25">
      <c r="C87" s="56"/>
      <c r="D87" s="53"/>
      <c r="E87" s="6"/>
      <c r="F87" s="19"/>
      <c r="G87" s="24"/>
      <c r="H87" s="24"/>
      <c r="I87" s="31"/>
      <c r="J87" s="35"/>
    </row>
    <row r="88" spans="1:10" x14ac:dyDescent="0.25">
      <c r="A88" s="10"/>
      <c r="B88" s="28"/>
      <c r="C88" s="58" t="s">
        <v>5</v>
      </c>
      <c r="D88" s="53"/>
      <c r="E88" s="6"/>
      <c r="F88" s="19"/>
      <c r="G88" s="24"/>
      <c r="H88" s="24"/>
      <c r="I88" s="31"/>
      <c r="J88" s="35"/>
    </row>
    <row r="89" spans="1:10" x14ac:dyDescent="0.25">
      <c r="C89" s="59" t="s">
        <v>6</v>
      </c>
      <c r="D89" s="53"/>
      <c r="E89" s="6"/>
      <c r="F89" s="19"/>
      <c r="G89" s="24"/>
      <c r="H89" s="24"/>
      <c r="I89" s="31"/>
      <c r="J89" s="35"/>
    </row>
    <row r="90" spans="1:10" x14ac:dyDescent="0.25">
      <c r="B90" s="8" t="s">
        <v>581</v>
      </c>
      <c r="C90" s="56" t="s">
        <v>528</v>
      </c>
      <c r="D90" s="53" t="s">
        <v>582</v>
      </c>
      <c r="E90" s="6" t="s">
        <v>530</v>
      </c>
      <c r="F90" s="19">
        <v>470</v>
      </c>
      <c r="G90" s="24">
        <v>5412.59</v>
      </c>
      <c r="H90" s="24">
        <v>4.12</v>
      </c>
      <c r="I90" s="31">
        <v>8.4656000000000002</v>
      </c>
      <c r="J90" s="35" t="s">
        <v>514</v>
      </c>
    </row>
    <row r="91" spans="1:10" x14ac:dyDescent="0.25">
      <c r="B91" s="8" t="s">
        <v>617</v>
      </c>
      <c r="C91" s="56" t="s">
        <v>524</v>
      </c>
      <c r="D91" s="53" t="s">
        <v>618</v>
      </c>
      <c r="E91" s="6" t="s">
        <v>526</v>
      </c>
      <c r="F91" s="19">
        <v>200</v>
      </c>
      <c r="G91" s="24">
        <v>2080.63</v>
      </c>
      <c r="H91" s="24">
        <v>1.58</v>
      </c>
      <c r="I91" s="31">
        <v>6.9198000000000004</v>
      </c>
      <c r="J91" s="35" t="s">
        <v>514</v>
      </c>
    </row>
    <row r="92" spans="1:10" x14ac:dyDescent="0.25">
      <c r="B92" s="8" t="s">
        <v>531</v>
      </c>
      <c r="C92" s="56" t="s">
        <v>532</v>
      </c>
      <c r="D92" s="53" t="s">
        <v>533</v>
      </c>
      <c r="E92" s="6" t="s">
        <v>534</v>
      </c>
      <c r="F92" s="19">
        <v>150</v>
      </c>
      <c r="G92" s="24">
        <v>1751.38</v>
      </c>
      <c r="H92" s="24">
        <v>1.33</v>
      </c>
      <c r="I92" s="31">
        <v>6.7321999999999997</v>
      </c>
      <c r="J92" s="35" t="s">
        <v>514</v>
      </c>
    </row>
    <row r="93" spans="1:10" x14ac:dyDescent="0.25">
      <c r="B93" s="8" t="s">
        <v>511</v>
      </c>
      <c r="C93" s="56" t="s">
        <v>3428</v>
      </c>
      <c r="D93" s="53" t="s">
        <v>512</v>
      </c>
      <c r="E93" s="6" t="s">
        <v>513</v>
      </c>
      <c r="F93" s="19">
        <v>150</v>
      </c>
      <c r="G93" s="24">
        <v>1637.96</v>
      </c>
      <c r="H93" s="24">
        <v>1.25</v>
      </c>
      <c r="I93" s="31">
        <v>6.9349999999999996</v>
      </c>
      <c r="J93" s="35" t="s">
        <v>514</v>
      </c>
    </row>
    <row r="94" spans="1:10" x14ac:dyDescent="0.25">
      <c r="B94" s="8" t="s">
        <v>935</v>
      </c>
      <c r="C94" s="56" t="s">
        <v>3425</v>
      </c>
      <c r="D94" s="53" t="s">
        <v>936</v>
      </c>
      <c r="E94" s="6" t="s">
        <v>534</v>
      </c>
      <c r="F94" s="19">
        <v>100</v>
      </c>
      <c r="G94" s="24">
        <v>999.57</v>
      </c>
      <c r="H94" s="24">
        <v>0.76</v>
      </c>
      <c r="I94" s="31">
        <v>6.2492999999999999</v>
      </c>
      <c r="J94" s="35"/>
    </row>
    <row r="95" spans="1:10" x14ac:dyDescent="0.25">
      <c r="C95" s="57" t="s">
        <v>35</v>
      </c>
      <c r="D95" s="53"/>
      <c r="E95" s="6"/>
      <c r="F95" s="19"/>
      <c r="G95" s="25">
        <v>11882.13</v>
      </c>
      <c r="H95" s="25">
        <v>9.0399999999999991</v>
      </c>
      <c r="I95" s="31"/>
      <c r="J95" s="35"/>
    </row>
    <row r="96" spans="1:10" x14ac:dyDescent="0.25">
      <c r="C96" s="56"/>
      <c r="D96" s="53"/>
      <c r="E96" s="6"/>
      <c r="F96" s="19"/>
      <c r="G96" s="24"/>
      <c r="H96" s="24"/>
      <c r="I96" s="31"/>
      <c r="J96" s="35"/>
    </row>
    <row r="97" spans="2:10" x14ac:dyDescent="0.25">
      <c r="C97" s="59" t="s">
        <v>7</v>
      </c>
      <c r="D97" s="53"/>
      <c r="E97" s="6"/>
      <c r="F97" s="19"/>
      <c r="G97" s="24"/>
      <c r="H97" s="24"/>
      <c r="I97" s="31"/>
      <c r="J97" s="35"/>
    </row>
    <row r="98" spans="2:10" x14ac:dyDescent="0.25">
      <c r="B98" s="8" t="s">
        <v>958</v>
      </c>
      <c r="C98" s="56" t="s">
        <v>959</v>
      </c>
      <c r="D98" s="53" t="s">
        <v>960</v>
      </c>
      <c r="E98" s="6" t="s">
        <v>545</v>
      </c>
      <c r="F98" s="19">
        <v>5000</v>
      </c>
      <c r="G98" s="24">
        <v>498.94</v>
      </c>
      <c r="H98" s="24">
        <v>0.38</v>
      </c>
      <c r="I98" s="31">
        <v>10.4034</v>
      </c>
      <c r="J98" s="35" t="s">
        <v>514</v>
      </c>
    </row>
    <row r="99" spans="2:10" x14ac:dyDescent="0.25">
      <c r="C99" s="57" t="s">
        <v>35</v>
      </c>
      <c r="D99" s="53"/>
      <c r="E99" s="6"/>
      <c r="F99" s="19"/>
      <c r="G99" s="25">
        <v>498.94</v>
      </c>
      <c r="H99" s="25">
        <v>0.38</v>
      </c>
      <c r="I99" s="31"/>
      <c r="J99" s="35"/>
    </row>
    <row r="100" spans="2:10" x14ac:dyDescent="0.25">
      <c r="C100" s="56"/>
      <c r="D100" s="53"/>
      <c r="E100" s="6"/>
      <c r="F100" s="19"/>
      <c r="G100" s="24"/>
      <c r="H100" s="24"/>
      <c r="I100" s="31"/>
      <c r="J100" s="35"/>
    </row>
    <row r="101" spans="2:10" x14ac:dyDescent="0.25">
      <c r="C101" s="57" t="s">
        <v>8</v>
      </c>
      <c r="D101" s="53"/>
      <c r="E101" s="6"/>
      <c r="F101" s="19"/>
      <c r="G101" s="24" t="s">
        <v>2</v>
      </c>
      <c r="H101" s="24" t="s">
        <v>2</v>
      </c>
      <c r="I101" s="31"/>
      <c r="J101" s="35"/>
    </row>
    <row r="102" spans="2:10" x14ac:dyDescent="0.25">
      <c r="C102" s="56"/>
      <c r="D102" s="53"/>
      <c r="E102" s="6"/>
      <c r="F102" s="19"/>
      <c r="G102" s="24"/>
      <c r="H102" s="24"/>
      <c r="I102" s="31"/>
      <c r="J102" s="35"/>
    </row>
    <row r="103" spans="2:10" x14ac:dyDescent="0.25">
      <c r="C103" s="59" t="s">
        <v>9</v>
      </c>
      <c r="D103" s="53"/>
      <c r="E103" s="6"/>
      <c r="F103" s="19"/>
      <c r="G103" s="24"/>
      <c r="H103" s="24"/>
      <c r="I103" s="31"/>
      <c r="J103" s="35"/>
    </row>
    <row r="104" spans="2:10" x14ac:dyDescent="0.25">
      <c r="B104" s="8" t="s">
        <v>659</v>
      </c>
      <c r="C104" s="56" t="s">
        <v>660</v>
      </c>
      <c r="D104" s="53" t="s">
        <v>661</v>
      </c>
      <c r="E104" s="6" t="s">
        <v>655</v>
      </c>
      <c r="F104" s="19">
        <v>8500000</v>
      </c>
      <c r="G104" s="24">
        <v>9025.8700000000008</v>
      </c>
      <c r="H104" s="24">
        <v>6.87</v>
      </c>
      <c r="I104" s="31">
        <v>6.1013000000000002</v>
      </c>
      <c r="J104" s="35"/>
    </row>
    <row r="105" spans="2:10" x14ac:dyDescent="0.25">
      <c r="B105" s="8" t="s">
        <v>671</v>
      </c>
      <c r="C105" s="56" t="s">
        <v>672</v>
      </c>
      <c r="D105" s="53" t="s">
        <v>673</v>
      </c>
      <c r="E105" s="6" t="s">
        <v>655</v>
      </c>
      <c r="F105" s="19">
        <v>7500000</v>
      </c>
      <c r="G105" s="24">
        <v>7365.19</v>
      </c>
      <c r="H105" s="24">
        <v>5.61</v>
      </c>
      <c r="I105" s="31">
        <v>6.0133999999999999</v>
      </c>
      <c r="J105" s="35"/>
    </row>
    <row r="106" spans="2:10" x14ac:dyDescent="0.25">
      <c r="B106" s="8" t="s">
        <v>970</v>
      </c>
      <c r="C106" s="56" t="s">
        <v>971</v>
      </c>
      <c r="D106" s="53" t="s">
        <v>972</v>
      </c>
      <c r="E106" s="6" t="s">
        <v>655</v>
      </c>
      <c r="F106" s="19">
        <v>1000000</v>
      </c>
      <c r="G106" s="24">
        <v>1032.97</v>
      </c>
      <c r="H106" s="24">
        <v>0.79</v>
      </c>
      <c r="I106" s="31">
        <v>5.2718999999999996</v>
      </c>
      <c r="J106" s="35"/>
    </row>
    <row r="107" spans="2:10" x14ac:dyDescent="0.25">
      <c r="C107" s="57" t="s">
        <v>35</v>
      </c>
      <c r="D107" s="53"/>
      <c r="E107" s="6"/>
      <c r="F107" s="19"/>
      <c r="G107" s="25">
        <v>17424.03</v>
      </c>
      <c r="H107" s="25">
        <v>13.27</v>
      </c>
      <c r="I107" s="31"/>
      <c r="J107" s="35"/>
    </row>
    <row r="108" spans="2:10" x14ac:dyDescent="0.25">
      <c r="C108" s="56"/>
      <c r="D108" s="53"/>
      <c r="E108" s="6"/>
      <c r="F108" s="19"/>
      <c r="G108" s="24"/>
      <c r="H108" s="24"/>
      <c r="I108" s="31"/>
      <c r="J108" s="35"/>
    </row>
    <row r="109" spans="2:10" x14ac:dyDescent="0.25">
      <c r="C109" s="57" t="s">
        <v>10</v>
      </c>
      <c r="D109" s="53"/>
      <c r="E109" s="6"/>
      <c r="F109" s="19"/>
      <c r="G109" s="24" t="s">
        <v>2</v>
      </c>
      <c r="H109" s="24" t="s">
        <v>2</v>
      </c>
      <c r="I109" s="31"/>
      <c r="J109" s="35"/>
    </row>
    <row r="110" spans="2:10" x14ac:dyDescent="0.25">
      <c r="C110" s="56"/>
      <c r="D110" s="53"/>
      <c r="E110" s="6"/>
      <c r="F110" s="19"/>
      <c r="G110" s="24"/>
      <c r="H110" s="24"/>
      <c r="I110" s="31"/>
      <c r="J110" s="35"/>
    </row>
    <row r="111" spans="2:10" x14ac:dyDescent="0.25">
      <c r="C111" s="57" t="s">
        <v>11</v>
      </c>
      <c r="D111" s="53"/>
      <c r="E111" s="6"/>
      <c r="F111" s="19"/>
      <c r="G111" s="24"/>
      <c r="H111" s="24"/>
      <c r="I111" s="31"/>
      <c r="J111" s="35"/>
    </row>
    <row r="112" spans="2:10" x14ac:dyDescent="0.25">
      <c r="C112" s="56"/>
      <c r="D112" s="53"/>
      <c r="E112" s="6"/>
      <c r="F112" s="19"/>
      <c r="G112" s="24"/>
      <c r="H112" s="24"/>
      <c r="I112" s="31"/>
      <c r="J112" s="35"/>
    </row>
    <row r="113" spans="1:10" x14ac:dyDescent="0.25">
      <c r="C113" s="57" t="s">
        <v>13</v>
      </c>
      <c r="D113" s="53"/>
      <c r="E113" s="6"/>
      <c r="F113" s="19"/>
      <c r="G113" s="24" t="s">
        <v>2</v>
      </c>
      <c r="H113" s="24" t="s">
        <v>2</v>
      </c>
      <c r="I113" s="31"/>
      <c r="J113" s="35"/>
    </row>
    <row r="114" spans="1:10" x14ac:dyDescent="0.25">
      <c r="C114" s="56"/>
      <c r="D114" s="53"/>
      <c r="E114" s="6"/>
      <c r="F114" s="19"/>
      <c r="G114" s="24"/>
      <c r="H114" s="24"/>
      <c r="I114" s="31"/>
      <c r="J114" s="35"/>
    </row>
    <row r="115" spans="1:10" x14ac:dyDescent="0.25">
      <c r="C115" s="57" t="s">
        <v>14</v>
      </c>
      <c r="D115" s="53"/>
      <c r="E115" s="6"/>
      <c r="F115" s="19"/>
      <c r="G115" s="24" t="s">
        <v>2</v>
      </c>
      <c r="H115" s="24" t="s">
        <v>2</v>
      </c>
      <c r="I115" s="31"/>
      <c r="J115" s="35"/>
    </row>
    <row r="116" spans="1:10" x14ac:dyDescent="0.25">
      <c r="C116" s="56"/>
      <c r="D116" s="53"/>
      <c r="E116" s="6"/>
      <c r="F116" s="19"/>
      <c r="G116" s="24"/>
      <c r="H116" s="24"/>
      <c r="I116" s="31"/>
      <c r="J116" s="35"/>
    </row>
    <row r="117" spans="1:10" x14ac:dyDescent="0.25">
      <c r="C117" s="57" t="s">
        <v>15</v>
      </c>
      <c r="D117" s="53"/>
      <c r="E117" s="6"/>
      <c r="F117" s="19"/>
      <c r="G117" s="24" t="s">
        <v>2</v>
      </c>
      <c r="H117" s="24" t="s">
        <v>2</v>
      </c>
      <c r="I117" s="31"/>
      <c r="J117" s="35"/>
    </row>
    <row r="118" spans="1:10" x14ac:dyDescent="0.25">
      <c r="C118" s="56"/>
      <c r="D118" s="53"/>
      <c r="E118" s="6"/>
      <c r="F118" s="19"/>
      <c r="G118" s="24"/>
      <c r="H118" s="24"/>
      <c r="I118" s="31"/>
      <c r="J118" s="35"/>
    </row>
    <row r="119" spans="1:10" x14ac:dyDescent="0.25">
      <c r="C119" s="57" t="s">
        <v>16</v>
      </c>
      <c r="D119" s="53"/>
      <c r="E119" s="6"/>
      <c r="F119" s="19"/>
      <c r="G119" s="24" t="s">
        <v>2</v>
      </c>
      <c r="H119" s="24" t="s">
        <v>2</v>
      </c>
      <c r="I119" s="31"/>
      <c r="J119" s="35"/>
    </row>
    <row r="120" spans="1:10" x14ac:dyDescent="0.25">
      <c r="C120" s="56"/>
      <c r="D120" s="53"/>
      <c r="E120" s="6"/>
      <c r="F120" s="19"/>
      <c r="G120" s="24"/>
      <c r="H120" s="24"/>
      <c r="I120" s="31"/>
      <c r="J120" s="35"/>
    </row>
    <row r="121" spans="1:10" x14ac:dyDescent="0.25">
      <c r="A121" s="10"/>
      <c r="B121" s="28"/>
      <c r="C121" s="58" t="s">
        <v>17</v>
      </c>
      <c r="D121" s="53"/>
      <c r="E121" s="6"/>
      <c r="F121" s="19"/>
      <c r="G121" s="24"/>
      <c r="H121" s="24"/>
      <c r="I121" s="31"/>
      <c r="J121" s="35"/>
    </row>
    <row r="122" spans="1:10" x14ac:dyDescent="0.25">
      <c r="A122" s="28"/>
      <c r="B122" s="28"/>
      <c r="C122" s="58" t="s">
        <v>18</v>
      </c>
      <c r="D122" s="53"/>
      <c r="E122" s="6"/>
      <c r="F122" s="19"/>
      <c r="G122" s="24" t="s">
        <v>2</v>
      </c>
      <c r="H122" s="24" t="s">
        <v>2</v>
      </c>
      <c r="I122" s="31"/>
      <c r="J122" s="35"/>
    </row>
    <row r="123" spans="1:10" x14ac:dyDescent="0.25">
      <c r="A123" s="28"/>
      <c r="B123" s="28"/>
      <c r="C123" s="58"/>
      <c r="D123" s="53"/>
      <c r="E123" s="6"/>
      <c r="F123" s="19"/>
      <c r="G123" s="24"/>
      <c r="H123" s="24"/>
      <c r="I123" s="31"/>
      <c r="J123" s="35"/>
    </row>
    <row r="124" spans="1:10" x14ac:dyDescent="0.25">
      <c r="A124" s="28"/>
      <c r="B124" s="28"/>
      <c r="C124" s="58" t="s">
        <v>19</v>
      </c>
      <c r="D124" s="53"/>
      <c r="E124" s="6"/>
      <c r="F124" s="19"/>
      <c r="G124" s="24" t="s">
        <v>2</v>
      </c>
      <c r="H124" s="24" t="s">
        <v>2</v>
      </c>
      <c r="I124" s="31"/>
      <c r="J124" s="35"/>
    </row>
    <row r="125" spans="1:10" x14ac:dyDescent="0.25">
      <c r="A125" s="28"/>
      <c r="B125" s="28"/>
      <c r="C125" s="58"/>
      <c r="D125" s="53"/>
      <c r="E125" s="6"/>
      <c r="F125" s="19"/>
      <c r="G125" s="24"/>
      <c r="H125" s="24"/>
      <c r="I125" s="31"/>
      <c r="J125" s="35"/>
    </row>
    <row r="126" spans="1:10" x14ac:dyDescent="0.25">
      <c r="A126" s="28"/>
      <c r="B126" s="28"/>
      <c r="C126" s="58" t="s">
        <v>20</v>
      </c>
      <c r="D126" s="53"/>
      <c r="E126" s="6"/>
      <c r="F126" s="19"/>
      <c r="G126" s="24" t="s">
        <v>2</v>
      </c>
      <c r="H126" s="24" t="s">
        <v>2</v>
      </c>
      <c r="I126" s="31"/>
      <c r="J126" s="35"/>
    </row>
    <row r="127" spans="1:10" x14ac:dyDescent="0.25">
      <c r="A127" s="28"/>
      <c r="B127" s="28"/>
      <c r="C127" s="58"/>
      <c r="D127" s="53"/>
      <c r="E127" s="6"/>
      <c r="F127" s="19"/>
      <c r="G127" s="24"/>
      <c r="H127" s="24"/>
      <c r="I127" s="31"/>
      <c r="J127" s="35"/>
    </row>
    <row r="128" spans="1:10" x14ac:dyDescent="0.25">
      <c r="C128" s="59" t="s">
        <v>21</v>
      </c>
      <c r="D128" s="53"/>
      <c r="E128" s="6"/>
      <c r="F128" s="19"/>
      <c r="G128" s="24"/>
      <c r="H128" s="24"/>
      <c r="I128" s="31"/>
      <c r="J128" s="35"/>
    </row>
    <row r="129" spans="1:10" x14ac:dyDescent="0.25">
      <c r="B129" s="8" t="s">
        <v>2259</v>
      </c>
      <c r="C129" s="56" t="s">
        <v>1667</v>
      </c>
      <c r="D129" s="53"/>
      <c r="E129" s="6"/>
      <c r="F129" s="19"/>
      <c r="G129" s="24">
        <v>3500</v>
      </c>
      <c r="H129" s="24">
        <v>2.67</v>
      </c>
      <c r="I129" s="31"/>
      <c r="J129" s="35"/>
    </row>
    <row r="130" spans="1:10" x14ac:dyDescent="0.25">
      <c r="B130" s="8" t="s">
        <v>1689</v>
      </c>
      <c r="C130" s="56" t="s">
        <v>1688</v>
      </c>
      <c r="D130" s="53"/>
      <c r="E130" s="6"/>
      <c r="F130" s="19"/>
      <c r="G130" s="24">
        <v>1000</v>
      </c>
      <c r="H130" s="24">
        <v>0.76</v>
      </c>
      <c r="I130" s="31"/>
      <c r="J130" s="35"/>
    </row>
    <row r="131" spans="1:10" x14ac:dyDescent="0.25">
      <c r="C131" s="57" t="s">
        <v>35</v>
      </c>
      <c r="D131" s="53"/>
      <c r="E131" s="6"/>
      <c r="F131" s="19"/>
      <c r="G131" s="25">
        <v>4500</v>
      </c>
      <c r="H131" s="25">
        <v>3.43</v>
      </c>
      <c r="I131" s="31"/>
      <c r="J131" s="35"/>
    </row>
    <row r="132" spans="1:10" x14ac:dyDescent="0.25">
      <c r="C132" s="56"/>
      <c r="D132" s="53"/>
      <c r="E132" s="6"/>
      <c r="F132" s="19"/>
      <c r="G132" s="24"/>
      <c r="H132" s="24"/>
      <c r="I132" s="31"/>
      <c r="J132" s="35"/>
    </row>
    <row r="133" spans="1:10" x14ac:dyDescent="0.25">
      <c r="C133" s="59" t="s">
        <v>22</v>
      </c>
      <c r="D133" s="53"/>
      <c r="E133" s="6"/>
      <c r="F133" s="19"/>
      <c r="G133" s="24"/>
      <c r="H133" s="24"/>
      <c r="I133" s="31"/>
      <c r="J133" s="35"/>
    </row>
    <row r="134" spans="1:10" x14ac:dyDescent="0.25">
      <c r="B134" s="8" t="s">
        <v>33</v>
      </c>
      <c r="C134" s="56" t="s">
        <v>34</v>
      </c>
      <c r="D134" s="53"/>
      <c r="E134" s="6"/>
      <c r="F134" s="19"/>
      <c r="G134" s="24">
        <v>469.87</v>
      </c>
      <c r="H134" s="24">
        <v>0.36</v>
      </c>
      <c r="I134" s="31"/>
      <c r="J134" s="35"/>
    </row>
    <row r="135" spans="1:10" x14ac:dyDescent="0.25">
      <c r="C135" s="57" t="s">
        <v>35</v>
      </c>
      <c r="D135" s="53"/>
      <c r="E135" s="6"/>
      <c r="F135" s="19"/>
      <c r="G135" s="25">
        <v>469.87</v>
      </c>
      <c r="H135" s="25">
        <v>0.36</v>
      </c>
      <c r="I135" s="31"/>
      <c r="J135" s="35"/>
    </row>
    <row r="136" spans="1:10" x14ac:dyDescent="0.25">
      <c r="C136" s="56"/>
      <c r="D136" s="53"/>
      <c r="E136" s="6"/>
      <c r="F136" s="19"/>
      <c r="G136" s="24"/>
      <c r="H136" s="24"/>
      <c r="I136" s="31"/>
      <c r="J136" s="35"/>
    </row>
    <row r="137" spans="1:10" x14ac:dyDescent="0.25">
      <c r="A137" s="10"/>
      <c r="B137" s="28"/>
      <c r="C137" s="58" t="s">
        <v>23</v>
      </c>
      <c r="D137" s="53"/>
      <c r="E137" s="6"/>
      <c r="F137" s="19"/>
      <c r="G137" s="24"/>
      <c r="H137" s="24"/>
      <c r="I137" s="31"/>
      <c r="J137" s="35"/>
    </row>
    <row r="138" spans="1:10" x14ac:dyDescent="0.25">
      <c r="A138" s="28"/>
      <c r="B138" s="28"/>
      <c r="C138" s="60" t="s">
        <v>3398</v>
      </c>
      <c r="D138" s="53"/>
      <c r="E138" s="6"/>
      <c r="F138" s="19"/>
      <c r="G138" s="24">
        <v>7644.9</v>
      </c>
      <c r="H138" s="24">
        <v>5.82</v>
      </c>
      <c r="I138" s="31"/>
      <c r="J138" s="35"/>
    </row>
    <row r="139" spans="1:10" x14ac:dyDescent="0.25">
      <c r="B139" s="8"/>
      <c r="C139" s="56" t="s">
        <v>36</v>
      </c>
      <c r="D139" s="53"/>
      <c r="E139" s="6"/>
      <c r="F139" s="19"/>
      <c r="G139" s="24">
        <v>7.3500000000003638</v>
      </c>
      <c r="H139" s="24">
        <v>-1.0000000000000214E-2</v>
      </c>
      <c r="I139" s="31"/>
      <c r="J139" s="35"/>
    </row>
    <row r="140" spans="1:10" x14ac:dyDescent="0.25">
      <c r="C140" s="57" t="s">
        <v>35</v>
      </c>
      <c r="D140" s="53"/>
      <c r="E140" s="6"/>
      <c r="F140" s="19"/>
      <c r="G140" s="25">
        <v>7652.25</v>
      </c>
      <c r="H140" s="25">
        <v>5.8100000000000005</v>
      </c>
      <c r="I140" s="31"/>
      <c r="J140" s="35"/>
    </row>
    <row r="141" spans="1:10" x14ac:dyDescent="0.25">
      <c r="C141" s="56"/>
      <c r="D141" s="53"/>
      <c r="E141" s="6"/>
      <c r="F141" s="19"/>
      <c r="G141" s="24"/>
      <c r="H141" s="24"/>
      <c r="I141" s="31"/>
      <c r="J141" s="35"/>
    </row>
    <row r="142" spans="1:10" x14ac:dyDescent="0.25">
      <c r="C142" s="61" t="s">
        <v>37</v>
      </c>
      <c r="D142" s="54"/>
      <c r="E142" s="5"/>
      <c r="F142" s="20"/>
      <c r="G142" s="26">
        <v>131306.06</v>
      </c>
      <c r="H142" s="26">
        <f>SUMIFS(H:H,C:C,"Total")</f>
        <v>100.00000000000003</v>
      </c>
      <c r="I142" s="32"/>
      <c r="J142" s="36"/>
    </row>
    <row r="144" spans="1:10" s="49" customFormat="1" ht="15.75" x14ac:dyDescent="0.3">
      <c r="C144" s="49" t="s">
        <v>3323</v>
      </c>
      <c r="F144" s="50"/>
      <c r="G144" s="50"/>
      <c r="H144" s="50"/>
    </row>
    <row r="145" spans="2:10" s="41" customFormat="1" ht="27" x14ac:dyDescent="0.25">
      <c r="B145" s="42"/>
      <c r="C145" s="42" t="s">
        <v>3318</v>
      </c>
      <c r="D145" s="42" t="s">
        <v>3319</v>
      </c>
      <c r="E145" s="42" t="s">
        <v>3320</v>
      </c>
      <c r="F145" s="43" t="s">
        <v>28</v>
      </c>
      <c r="G145" s="44" t="s">
        <v>3321</v>
      </c>
      <c r="H145" s="43" t="s">
        <v>30</v>
      </c>
      <c r="I145" s="42" t="s">
        <v>32</v>
      </c>
    </row>
    <row r="146" spans="2:10" s="41" customFormat="1" x14ac:dyDescent="0.25">
      <c r="B146" s="42"/>
      <c r="C146" s="42" t="s">
        <v>3313</v>
      </c>
      <c r="D146" s="42"/>
      <c r="E146" s="42"/>
      <c r="F146" s="43"/>
      <c r="G146" s="44"/>
      <c r="H146" s="43"/>
      <c r="I146" s="42"/>
    </row>
    <row r="147" spans="2:10" x14ac:dyDescent="0.25">
      <c r="B147" s="45">
        <v>2209310</v>
      </c>
      <c r="C147" s="45" t="s">
        <v>3353</v>
      </c>
      <c r="D147" s="45" t="s">
        <v>3312</v>
      </c>
      <c r="E147" s="45" t="s">
        <v>826</v>
      </c>
      <c r="F147" s="46">
        <v>-12000</v>
      </c>
      <c r="G147" s="46">
        <v>-26.562000000000001</v>
      </c>
      <c r="H147" s="46">
        <v>-0.02</v>
      </c>
      <c r="I147" s="45"/>
      <c r="J147" s="2"/>
    </row>
    <row r="148" spans="2:10" x14ac:dyDescent="0.25">
      <c r="B148" s="45">
        <v>2209238</v>
      </c>
      <c r="C148" s="45" t="s">
        <v>3397</v>
      </c>
      <c r="D148" s="45" t="s">
        <v>3312</v>
      </c>
      <c r="E148" s="45" t="s">
        <v>196</v>
      </c>
      <c r="F148" s="46">
        <v>-850</v>
      </c>
      <c r="G148" s="46">
        <v>-117.030125</v>
      </c>
      <c r="H148" s="46">
        <v>-0.09</v>
      </c>
      <c r="I148" s="45"/>
      <c r="J148" s="2"/>
    </row>
    <row r="149" spans="2:10" x14ac:dyDescent="0.25">
      <c r="B149" s="45">
        <v>2209225</v>
      </c>
      <c r="C149" s="45" t="s">
        <v>3338</v>
      </c>
      <c r="D149" s="45" t="s">
        <v>3312</v>
      </c>
      <c r="E149" s="45" t="s">
        <v>51</v>
      </c>
      <c r="F149" s="46">
        <v>-38400</v>
      </c>
      <c r="G149" s="46">
        <v>-163.46879999999999</v>
      </c>
      <c r="H149" s="46">
        <v>-0.12</v>
      </c>
      <c r="I149" s="45"/>
      <c r="J149" s="2"/>
    </row>
    <row r="150" spans="2:10" x14ac:dyDescent="0.25">
      <c r="B150" s="45">
        <v>2209227</v>
      </c>
      <c r="C150" s="45" t="s">
        <v>3396</v>
      </c>
      <c r="D150" s="45" t="s">
        <v>3312</v>
      </c>
      <c r="E150" s="45" t="s">
        <v>94</v>
      </c>
      <c r="F150" s="46">
        <v>-5500</v>
      </c>
      <c r="G150" s="46">
        <v>-322.61349999999999</v>
      </c>
      <c r="H150" s="46">
        <v>-0.25</v>
      </c>
      <c r="I150" s="45"/>
      <c r="J150" s="2"/>
    </row>
    <row r="151" spans="2:10" x14ac:dyDescent="0.25">
      <c r="B151" s="45">
        <v>2209256</v>
      </c>
      <c r="C151" s="45" t="s">
        <v>3395</v>
      </c>
      <c r="D151" s="45" t="s">
        <v>3312</v>
      </c>
      <c r="E151" s="45" t="s">
        <v>51</v>
      </c>
      <c r="F151" s="46">
        <v>-722500</v>
      </c>
      <c r="G151" s="46">
        <v>-351.85750000000002</v>
      </c>
      <c r="H151" s="46">
        <v>-0.27</v>
      </c>
      <c r="I151" s="45"/>
      <c r="J151" s="2"/>
    </row>
    <row r="152" spans="2:10" x14ac:dyDescent="0.25">
      <c r="B152" s="45">
        <v>2209289</v>
      </c>
      <c r="C152" s="45" t="s">
        <v>3326</v>
      </c>
      <c r="D152" s="45" t="s">
        <v>3312</v>
      </c>
      <c r="E152" s="45" t="s">
        <v>111</v>
      </c>
      <c r="F152" s="46">
        <v>-50150</v>
      </c>
      <c r="G152" s="46">
        <v>-506.8159</v>
      </c>
      <c r="H152" s="46">
        <v>-0.39</v>
      </c>
      <c r="I152" s="45"/>
      <c r="J152" s="2"/>
    </row>
    <row r="153" spans="2:10" x14ac:dyDescent="0.25">
      <c r="B153" s="45">
        <v>2209295</v>
      </c>
      <c r="C153" s="45" t="s">
        <v>3354</v>
      </c>
      <c r="D153" s="45" t="s">
        <v>3312</v>
      </c>
      <c r="E153" s="45" t="s">
        <v>90</v>
      </c>
      <c r="F153" s="46">
        <v>-101250</v>
      </c>
      <c r="G153" s="46">
        <v>-524.57624999999996</v>
      </c>
      <c r="H153" s="46">
        <v>-0.4</v>
      </c>
      <c r="I153" s="45"/>
      <c r="J153" s="2"/>
    </row>
    <row r="154" spans="2:10" x14ac:dyDescent="0.25">
      <c r="B154" s="45">
        <v>2209261</v>
      </c>
      <c r="C154" s="45" t="s">
        <v>3340</v>
      </c>
      <c r="D154" s="45" t="s">
        <v>3312</v>
      </c>
      <c r="E154" s="45" t="s">
        <v>41</v>
      </c>
      <c r="F154" s="46">
        <v>-110200</v>
      </c>
      <c r="G154" s="46">
        <v>-822.03689999999995</v>
      </c>
      <c r="H154" s="46">
        <v>-0.63</v>
      </c>
      <c r="I154" s="45"/>
      <c r="J154" s="2"/>
    </row>
    <row r="155" spans="2:10" x14ac:dyDescent="0.25">
      <c r="B155" s="45">
        <v>2209326</v>
      </c>
      <c r="C155" s="45" t="s">
        <v>3331</v>
      </c>
      <c r="D155" s="45" t="s">
        <v>3312</v>
      </c>
      <c r="E155" s="45" t="s">
        <v>111</v>
      </c>
      <c r="F155" s="46">
        <v>-175000</v>
      </c>
      <c r="G155" s="46">
        <v>-880.86249999999995</v>
      </c>
      <c r="H155" s="46">
        <v>-0.67</v>
      </c>
      <c r="I155" s="45"/>
      <c r="J155" s="2"/>
    </row>
    <row r="156" spans="2:10" x14ac:dyDescent="0.25">
      <c r="B156" s="45">
        <v>2209332</v>
      </c>
      <c r="C156" s="45" t="s">
        <v>3348</v>
      </c>
      <c r="D156" s="45" t="s">
        <v>3312</v>
      </c>
      <c r="E156" s="45" t="s">
        <v>153</v>
      </c>
      <c r="F156" s="46">
        <v>-256700</v>
      </c>
      <c r="G156" s="46">
        <v>-926.04525000000001</v>
      </c>
      <c r="H156" s="46">
        <v>-0.71</v>
      </c>
      <c r="I156" s="45"/>
      <c r="J156" s="2"/>
    </row>
    <row r="157" spans="2:10" x14ac:dyDescent="0.25">
      <c r="B157" s="45">
        <v>2209341</v>
      </c>
      <c r="C157" s="45" t="s">
        <v>3394</v>
      </c>
      <c r="D157" s="45" t="s">
        <v>3312</v>
      </c>
      <c r="E157" s="45" t="s">
        <v>228</v>
      </c>
      <c r="F157" s="46">
        <v>-188500</v>
      </c>
      <c r="G157" s="46">
        <v>-951.64224999999999</v>
      </c>
      <c r="H157" s="46">
        <v>-0.72</v>
      </c>
      <c r="I157" s="45"/>
      <c r="J157" s="2"/>
    </row>
    <row r="158" spans="2:10" x14ac:dyDescent="0.25">
      <c r="B158" s="45">
        <v>2209249</v>
      </c>
      <c r="C158" s="45" t="s">
        <v>3347</v>
      </c>
      <c r="D158" s="45" t="s">
        <v>3312</v>
      </c>
      <c r="E158" s="45" t="s">
        <v>90</v>
      </c>
      <c r="F158" s="46">
        <v>-253750</v>
      </c>
      <c r="G158" s="46">
        <v>-1302.118125</v>
      </c>
      <c r="H158" s="46">
        <v>-0.99</v>
      </c>
      <c r="I158" s="45"/>
      <c r="J158" s="2"/>
    </row>
    <row r="159" spans="2:10" x14ac:dyDescent="0.25">
      <c r="B159" s="45">
        <v>2209269</v>
      </c>
      <c r="C159" s="45" t="s">
        <v>3393</v>
      </c>
      <c r="D159" s="45" t="s">
        <v>3312</v>
      </c>
      <c r="E159" s="45" t="s">
        <v>90</v>
      </c>
      <c r="F159" s="46">
        <v>-100200</v>
      </c>
      <c r="G159" s="46">
        <v>-2073.1379999999999</v>
      </c>
      <c r="H159" s="46">
        <v>-1.58</v>
      </c>
      <c r="I159" s="45"/>
      <c r="J159" s="2"/>
    </row>
    <row r="160" spans="2:10" x14ac:dyDescent="0.25">
      <c r="B160" s="45">
        <v>2209334</v>
      </c>
      <c r="C160" s="45" t="s">
        <v>3372</v>
      </c>
      <c r="D160" s="45" t="s">
        <v>3312</v>
      </c>
      <c r="E160" s="45" t="s">
        <v>47</v>
      </c>
      <c r="F160" s="46">
        <v>-495600</v>
      </c>
      <c r="G160" s="46">
        <v>-3943.4892</v>
      </c>
      <c r="H160" s="46">
        <v>-3</v>
      </c>
      <c r="I160" s="45"/>
      <c r="J160" s="2"/>
    </row>
    <row r="161" spans="2:10" x14ac:dyDescent="0.25">
      <c r="B161" s="45">
        <v>2209217</v>
      </c>
      <c r="C161" s="45" t="s">
        <v>3344</v>
      </c>
      <c r="D161" s="45" t="s">
        <v>3312</v>
      </c>
      <c r="E161" s="45" t="s">
        <v>142</v>
      </c>
      <c r="F161" s="46">
        <v>-1600000</v>
      </c>
      <c r="G161" s="46">
        <v>-5501.6</v>
      </c>
      <c r="H161" s="46">
        <v>-4.1900000000000004</v>
      </c>
      <c r="I161" s="45"/>
      <c r="J161" s="2"/>
    </row>
    <row r="162" spans="2:10" x14ac:dyDescent="0.25">
      <c r="B162" s="45">
        <v>2209264</v>
      </c>
      <c r="C162" s="45" t="s">
        <v>3341</v>
      </c>
      <c r="D162" s="45" t="s">
        <v>3312</v>
      </c>
      <c r="E162" s="45" t="s">
        <v>94</v>
      </c>
      <c r="F162" s="46">
        <v>-344700</v>
      </c>
      <c r="G162" s="46">
        <v>-6013.4638500000001</v>
      </c>
      <c r="H162" s="46">
        <v>-4.58</v>
      </c>
      <c r="I162" s="45"/>
      <c r="J162" s="2"/>
    </row>
    <row r="163" spans="2:10" x14ac:dyDescent="0.25">
      <c r="B163" s="45">
        <v>2209319</v>
      </c>
      <c r="C163" s="45" t="s">
        <v>3327</v>
      </c>
      <c r="D163" s="45" t="s">
        <v>3312</v>
      </c>
      <c r="E163" s="45" t="s">
        <v>55</v>
      </c>
      <c r="F163" s="46">
        <v>-386830</v>
      </c>
      <c r="G163" s="46">
        <v>-8665.9590750000007</v>
      </c>
      <c r="H163" s="46">
        <v>-6.6</v>
      </c>
      <c r="I163" s="45"/>
      <c r="J163" s="2"/>
    </row>
    <row r="164" spans="2:10" s="1" customFormat="1" x14ac:dyDescent="0.25">
      <c r="B164" s="47"/>
      <c r="C164" s="47" t="s">
        <v>3322</v>
      </c>
      <c r="D164" s="47"/>
      <c r="E164" s="47"/>
      <c r="F164" s="48"/>
      <c r="G164" s="48">
        <f>SUM(G146:G163)</f>
        <v>-33093.279224999998</v>
      </c>
      <c r="H164" s="48">
        <f>SUM(H146:H163)</f>
        <v>-25.21</v>
      </c>
      <c r="I164" s="47"/>
    </row>
    <row r="166" spans="2:10" x14ac:dyDescent="0.25">
      <c r="C166" s="1" t="s">
        <v>38</v>
      </c>
    </row>
    <row r="167" spans="2:10" x14ac:dyDescent="0.25">
      <c r="C167" s="2" t="s">
        <v>39</v>
      </c>
    </row>
    <row r="168" spans="2:10" x14ac:dyDescent="0.25">
      <c r="C168" s="2" t="s">
        <v>40</v>
      </c>
    </row>
    <row r="169" spans="2:10" x14ac:dyDescent="0.25">
      <c r="C169" s="2" t="s">
        <v>3430</v>
      </c>
    </row>
  </sheetData>
  <sortState ref="A147:J163">
    <sortCondition descending="1" ref="H147:H163"/>
  </sortState>
  <hyperlinks>
    <hyperlink ref="J2" location="'Index'!A1" display="'Index'!A1"/>
  </hyperlinks>
  <pageMargins left="0.7" right="0.7" top="0.75" bottom="0.75" header="0.3" footer="0.3"/>
  <pageSetup orientation="portrait" horizontalDpi="4294967293"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9"/>
  <dimension ref="A1:J12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2260</v>
      </c>
      <c r="J2" s="37" t="s">
        <v>3307</v>
      </c>
    </row>
    <row r="3" spans="1:10" ht="16.5" x14ac:dyDescent="0.3">
      <c r="C3" s="1" t="s">
        <v>24</v>
      </c>
      <c r="D3" s="21" t="s">
        <v>2261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49909960</v>
      </c>
      <c r="G10" s="24">
        <v>1115163.19</v>
      </c>
      <c r="H10" s="24">
        <v>14.9</v>
      </c>
      <c r="I10" s="31"/>
      <c r="J10" s="35"/>
    </row>
    <row r="11" spans="1:10" x14ac:dyDescent="0.25">
      <c r="B11" s="8" t="s">
        <v>48</v>
      </c>
      <c r="C11" s="56" t="s">
        <v>49</v>
      </c>
      <c r="D11" s="53" t="s">
        <v>50</v>
      </c>
      <c r="E11" s="6" t="s">
        <v>51</v>
      </c>
      <c r="F11" s="19">
        <v>67113305</v>
      </c>
      <c r="G11" s="24">
        <v>723884.11</v>
      </c>
      <c r="H11" s="24">
        <v>9.67</v>
      </c>
      <c r="I11" s="31"/>
      <c r="J11" s="35"/>
    </row>
    <row r="12" spans="1:10" x14ac:dyDescent="0.25">
      <c r="B12" s="8" t="s">
        <v>44</v>
      </c>
      <c r="C12" s="56" t="s">
        <v>45</v>
      </c>
      <c r="D12" s="53" t="s">
        <v>46</v>
      </c>
      <c r="E12" s="6" t="s">
        <v>47</v>
      </c>
      <c r="F12" s="19">
        <v>56548266</v>
      </c>
      <c r="G12" s="24">
        <v>570147.89</v>
      </c>
      <c r="H12" s="24">
        <v>7.62</v>
      </c>
      <c r="I12" s="31"/>
      <c r="J12" s="35"/>
    </row>
    <row r="13" spans="1:10" x14ac:dyDescent="0.25">
      <c r="B13" s="8" t="s">
        <v>124</v>
      </c>
      <c r="C13" s="56" t="s">
        <v>125</v>
      </c>
      <c r="D13" s="53" t="s">
        <v>126</v>
      </c>
      <c r="E13" s="6" t="s">
        <v>94</v>
      </c>
      <c r="F13" s="19">
        <v>27652533</v>
      </c>
      <c r="G13" s="24">
        <v>481167.9</v>
      </c>
      <c r="H13" s="24">
        <v>6.43</v>
      </c>
      <c r="I13" s="31"/>
      <c r="J13" s="35"/>
    </row>
    <row r="14" spans="1:10" x14ac:dyDescent="0.25">
      <c r="B14" s="8" t="s">
        <v>56</v>
      </c>
      <c r="C14" s="56" t="s">
        <v>57</v>
      </c>
      <c r="D14" s="53" t="s">
        <v>58</v>
      </c>
      <c r="E14" s="6" t="s">
        <v>47</v>
      </c>
      <c r="F14" s="19">
        <v>16219548</v>
      </c>
      <c r="G14" s="24">
        <v>404239.79</v>
      </c>
      <c r="H14" s="24">
        <v>5.4</v>
      </c>
      <c r="I14" s="31"/>
      <c r="J14" s="35"/>
    </row>
    <row r="15" spans="1:10" x14ac:dyDescent="0.25">
      <c r="B15" s="8" t="s">
        <v>62</v>
      </c>
      <c r="C15" s="56" t="s">
        <v>63</v>
      </c>
      <c r="D15" s="53" t="s">
        <v>64</v>
      </c>
      <c r="E15" s="6" t="s">
        <v>51</v>
      </c>
      <c r="F15" s="19">
        <v>106455863</v>
      </c>
      <c r="G15" s="24">
        <v>377652.17</v>
      </c>
      <c r="H15" s="24">
        <v>5.04</v>
      </c>
      <c r="I15" s="31"/>
      <c r="J15" s="35"/>
    </row>
    <row r="16" spans="1:10" x14ac:dyDescent="0.25">
      <c r="B16" s="8" t="s">
        <v>59</v>
      </c>
      <c r="C16" s="56" t="s">
        <v>60</v>
      </c>
      <c r="D16" s="53" t="s">
        <v>61</v>
      </c>
      <c r="E16" s="6" t="s">
        <v>51</v>
      </c>
      <c r="F16" s="19">
        <v>22609695</v>
      </c>
      <c r="G16" s="24">
        <v>286736.15000000002</v>
      </c>
      <c r="H16" s="24">
        <v>3.83</v>
      </c>
      <c r="I16" s="31"/>
      <c r="J16" s="35"/>
    </row>
    <row r="17" spans="2:10" x14ac:dyDescent="0.25">
      <c r="B17" s="8" t="s">
        <v>127</v>
      </c>
      <c r="C17" s="56" t="s">
        <v>128</v>
      </c>
      <c r="D17" s="53" t="s">
        <v>129</v>
      </c>
      <c r="E17" s="6" t="s">
        <v>90</v>
      </c>
      <c r="F17" s="19">
        <v>13782976</v>
      </c>
      <c r="G17" s="24">
        <v>285066.40000000002</v>
      </c>
      <c r="H17" s="24">
        <v>3.81</v>
      </c>
      <c r="I17" s="31"/>
      <c r="J17" s="35"/>
    </row>
    <row r="18" spans="2:10" x14ac:dyDescent="0.25">
      <c r="B18" s="8" t="s">
        <v>354</v>
      </c>
      <c r="C18" s="56" t="s">
        <v>355</v>
      </c>
      <c r="D18" s="53" t="s">
        <v>356</v>
      </c>
      <c r="E18" s="6" t="s">
        <v>90</v>
      </c>
      <c r="F18" s="19">
        <v>134866194</v>
      </c>
      <c r="G18" s="24">
        <v>231565.26</v>
      </c>
      <c r="H18" s="24">
        <v>3.09</v>
      </c>
      <c r="I18" s="31"/>
      <c r="J18" s="35"/>
    </row>
    <row r="19" spans="2:10" x14ac:dyDescent="0.25">
      <c r="B19" s="8" t="s">
        <v>76</v>
      </c>
      <c r="C19" s="56" t="s">
        <v>77</v>
      </c>
      <c r="D19" s="53" t="s">
        <v>78</v>
      </c>
      <c r="E19" s="6" t="s">
        <v>79</v>
      </c>
      <c r="F19" s="19">
        <v>18856867</v>
      </c>
      <c r="G19" s="24">
        <v>170013.51</v>
      </c>
      <c r="H19" s="24">
        <v>2.27</v>
      </c>
      <c r="I19" s="31"/>
      <c r="J19" s="35"/>
    </row>
    <row r="20" spans="2:10" x14ac:dyDescent="0.25">
      <c r="B20" s="8" t="s">
        <v>73</v>
      </c>
      <c r="C20" s="56" t="s">
        <v>74</v>
      </c>
      <c r="D20" s="53" t="s">
        <v>75</v>
      </c>
      <c r="E20" s="6" t="s">
        <v>51</v>
      </c>
      <c r="F20" s="19">
        <v>38264121</v>
      </c>
      <c r="G20" s="24">
        <v>162488.59</v>
      </c>
      <c r="H20" s="24">
        <v>2.17</v>
      </c>
      <c r="I20" s="31"/>
      <c r="J20" s="35"/>
    </row>
    <row r="21" spans="2:10" x14ac:dyDescent="0.25">
      <c r="B21" s="8" t="s">
        <v>65</v>
      </c>
      <c r="C21" s="56" t="s">
        <v>66</v>
      </c>
      <c r="D21" s="53" t="s">
        <v>67</v>
      </c>
      <c r="E21" s="6" t="s">
        <v>68</v>
      </c>
      <c r="F21" s="19">
        <v>37056558</v>
      </c>
      <c r="G21" s="24">
        <v>155989.57999999999</v>
      </c>
      <c r="H21" s="24">
        <v>2.08</v>
      </c>
      <c r="I21" s="31"/>
      <c r="J21" s="35"/>
    </row>
    <row r="22" spans="2:10" x14ac:dyDescent="0.25">
      <c r="B22" s="8" t="s">
        <v>409</v>
      </c>
      <c r="C22" s="56" t="s">
        <v>410</v>
      </c>
      <c r="D22" s="53" t="s">
        <v>411</v>
      </c>
      <c r="E22" s="6" t="s">
        <v>98</v>
      </c>
      <c r="F22" s="19">
        <v>2051858</v>
      </c>
      <c r="G22" s="24">
        <v>138366.01999999999</v>
      </c>
      <c r="H22" s="24">
        <v>1.85</v>
      </c>
      <c r="I22" s="31"/>
      <c r="J22" s="35"/>
    </row>
    <row r="23" spans="2:10" x14ac:dyDescent="0.25">
      <c r="B23" s="8" t="s">
        <v>704</v>
      </c>
      <c r="C23" s="56" t="s">
        <v>705</v>
      </c>
      <c r="D23" s="53" t="s">
        <v>706</v>
      </c>
      <c r="E23" s="6" t="s">
        <v>90</v>
      </c>
      <c r="F23" s="19">
        <v>6959519</v>
      </c>
      <c r="G23" s="24">
        <v>138243.89000000001</v>
      </c>
      <c r="H23" s="24">
        <v>1.85</v>
      </c>
      <c r="I23" s="31"/>
      <c r="J23" s="35"/>
    </row>
    <row r="24" spans="2:10" x14ac:dyDescent="0.25">
      <c r="B24" s="8" t="s">
        <v>133</v>
      </c>
      <c r="C24" s="56" t="s">
        <v>134</v>
      </c>
      <c r="D24" s="53" t="s">
        <v>135</v>
      </c>
      <c r="E24" s="6" t="s">
        <v>47</v>
      </c>
      <c r="F24" s="19">
        <v>16756708</v>
      </c>
      <c r="G24" s="24">
        <v>135997.44</v>
      </c>
      <c r="H24" s="24">
        <v>1.82</v>
      </c>
      <c r="I24" s="31"/>
      <c r="J24" s="35"/>
    </row>
    <row r="25" spans="2:10" x14ac:dyDescent="0.25">
      <c r="B25" s="8" t="s">
        <v>91</v>
      </c>
      <c r="C25" s="56" t="s">
        <v>92</v>
      </c>
      <c r="D25" s="53" t="s">
        <v>93</v>
      </c>
      <c r="E25" s="6" t="s">
        <v>94</v>
      </c>
      <c r="F25" s="19">
        <v>4093045</v>
      </c>
      <c r="G25" s="24">
        <v>134194.57</v>
      </c>
      <c r="H25" s="24">
        <v>1.79</v>
      </c>
      <c r="I25" s="31"/>
      <c r="J25" s="35"/>
    </row>
    <row r="26" spans="2:10" x14ac:dyDescent="0.25">
      <c r="B26" s="8" t="s">
        <v>164</v>
      </c>
      <c r="C26" s="56" t="s">
        <v>165</v>
      </c>
      <c r="D26" s="53" t="s">
        <v>166</v>
      </c>
      <c r="E26" s="6" t="s">
        <v>51</v>
      </c>
      <c r="F26" s="19">
        <v>59242146</v>
      </c>
      <c r="G26" s="24">
        <v>109834.94</v>
      </c>
      <c r="H26" s="24">
        <v>1.47</v>
      </c>
      <c r="I26" s="31"/>
      <c r="J26" s="35"/>
    </row>
    <row r="27" spans="2:10" x14ac:dyDescent="0.25">
      <c r="B27" s="8" t="s">
        <v>412</v>
      </c>
      <c r="C27" s="56" t="s">
        <v>413</v>
      </c>
      <c r="D27" s="53" t="s">
        <v>414</v>
      </c>
      <c r="E27" s="6" t="s">
        <v>111</v>
      </c>
      <c r="F27" s="19">
        <v>1873634</v>
      </c>
      <c r="G27" s="24">
        <v>97200.38</v>
      </c>
      <c r="H27" s="24">
        <v>1.3</v>
      </c>
      <c r="I27" s="31"/>
      <c r="J27" s="35"/>
    </row>
    <row r="28" spans="2:10" x14ac:dyDescent="0.25">
      <c r="B28" s="8" t="s">
        <v>95</v>
      </c>
      <c r="C28" s="56" t="s">
        <v>96</v>
      </c>
      <c r="D28" s="53" t="s">
        <v>97</v>
      </c>
      <c r="E28" s="6" t="s">
        <v>98</v>
      </c>
      <c r="F28" s="19">
        <v>14777535</v>
      </c>
      <c r="G28" s="24">
        <v>89832.639999999999</v>
      </c>
      <c r="H28" s="24">
        <v>1.2</v>
      </c>
      <c r="I28" s="31"/>
      <c r="J28" s="35"/>
    </row>
    <row r="29" spans="2:10" x14ac:dyDescent="0.25">
      <c r="B29" s="8" t="s">
        <v>406</v>
      </c>
      <c r="C29" s="56" t="s">
        <v>407</v>
      </c>
      <c r="D29" s="53" t="s">
        <v>408</v>
      </c>
      <c r="E29" s="6" t="s">
        <v>90</v>
      </c>
      <c r="F29" s="19">
        <v>550661</v>
      </c>
      <c r="G29" s="24">
        <v>87657.8</v>
      </c>
      <c r="H29" s="24">
        <v>1.17</v>
      </c>
      <c r="I29" s="31"/>
      <c r="J29" s="35"/>
    </row>
    <row r="30" spans="2:10" x14ac:dyDescent="0.25">
      <c r="B30" s="8" t="s">
        <v>245</v>
      </c>
      <c r="C30" s="56" t="s">
        <v>246</v>
      </c>
      <c r="D30" s="53" t="s">
        <v>247</v>
      </c>
      <c r="E30" s="6" t="s">
        <v>111</v>
      </c>
      <c r="F30" s="19">
        <v>16667654</v>
      </c>
      <c r="G30" s="24">
        <v>83413.27</v>
      </c>
      <c r="H30" s="24">
        <v>1.1100000000000001</v>
      </c>
      <c r="I30" s="31"/>
      <c r="J30" s="35"/>
    </row>
    <row r="31" spans="2:10" x14ac:dyDescent="0.25">
      <c r="B31" s="8" t="s">
        <v>80</v>
      </c>
      <c r="C31" s="56" t="s">
        <v>81</v>
      </c>
      <c r="D31" s="53" t="s">
        <v>82</v>
      </c>
      <c r="E31" s="6" t="s">
        <v>83</v>
      </c>
      <c r="F31" s="19">
        <v>6441392</v>
      </c>
      <c r="G31" s="24">
        <v>77383.66</v>
      </c>
      <c r="H31" s="24">
        <v>1.03</v>
      </c>
      <c r="I31" s="31"/>
      <c r="J31" s="35"/>
    </row>
    <row r="32" spans="2:10" x14ac:dyDescent="0.25">
      <c r="B32" s="8" t="s">
        <v>327</v>
      </c>
      <c r="C32" s="56" t="s">
        <v>328</v>
      </c>
      <c r="D32" s="53" t="s">
        <v>329</v>
      </c>
      <c r="E32" s="6" t="s">
        <v>47</v>
      </c>
      <c r="F32" s="19">
        <v>9547935</v>
      </c>
      <c r="G32" s="24">
        <v>75595.78</v>
      </c>
      <c r="H32" s="24">
        <v>1.01</v>
      </c>
      <c r="I32" s="31"/>
      <c r="J32" s="35"/>
    </row>
    <row r="33" spans="2:10" x14ac:dyDescent="0.25">
      <c r="B33" s="8" t="s">
        <v>136</v>
      </c>
      <c r="C33" s="56" t="s">
        <v>137</v>
      </c>
      <c r="D33" s="53" t="s">
        <v>138</v>
      </c>
      <c r="E33" s="6" t="s">
        <v>41</v>
      </c>
      <c r="F33" s="19">
        <v>1782265</v>
      </c>
      <c r="G33" s="24">
        <v>72173.710000000006</v>
      </c>
      <c r="H33" s="24">
        <v>0.96</v>
      </c>
      <c r="I33" s="31"/>
      <c r="J33" s="35"/>
    </row>
    <row r="34" spans="2:10" x14ac:dyDescent="0.25">
      <c r="B34" s="8" t="s">
        <v>348</v>
      </c>
      <c r="C34" s="56" t="s">
        <v>349</v>
      </c>
      <c r="D34" s="53" t="s">
        <v>350</v>
      </c>
      <c r="E34" s="6" t="s">
        <v>47</v>
      </c>
      <c r="F34" s="19">
        <v>22936335</v>
      </c>
      <c r="G34" s="24">
        <v>71916.88</v>
      </c>
      <c r="H34" s="24">
        <v>0.96</v>
      </c>
      <c r="I34" s="31"/>
      <c r="J34" s="35"/>
    </row>
    <row r="35" spans="2:10" x14ac:dyDescent="0.25">
      <c r="B35" s="8" t="s">
        <v>99</v>
      </c>
      <c r="C35" s="56" t="s">
        <v>100</v>
      </c>
      <c r="D35" s="53" t="s">
        <v>101</v>
      </c>
      <c r="E35" s="6" t="s">
        <v>90</v>
      </c>
      <c r="F35" s="19">
        <v>1820890</v>
      </c>
      <c r="G35" s="24">
        <v>69160.13</v>
      </c>
      <c r="H35" s="24">
        <v>0.92</v>
      </c>
      <c r="I35" s="31"/>
      <c r="J35" s="35"/>
    </row>
    <row r="36" spans="2:10" x14ac:dyDescent="0.25">
      <c r="B36" s="8" t="s">
        <v>102</v>
      </c>
      <c r="C36" s="56" t="s">
        <v>103</v>
      </c>
      <c r="D36" s="53" t="s">
        <v>104</v>
      </c>
      <c r="E36" s="6" t="s">
        <v>94</v>
      </c>
      <c r="F36" s="19">
        <v>12157012</v>
      </c>
      <c r="G36" s="24">
        <v>68006.33</v>
      </c>
      <c r="H36" s="24">
        <v>0.91</v>
      </c>
      <c r="I36" s="31"/>
      <c r="J36" s="35"/>
    </row>
    <row r="37" spans="2:10" x14ac:dyDescent="0.25">
      <c r="B37" s="8" t="s">
        <v>853</v>
      </c>
      <c r="C37" s="56" t="s">
        <v>854</v>
      </c>
      <c r="D37" s="53" t="s">
        <v>855</v>
      </c>
      <c r="E37" s="6" t="s">
        <v>261</v>
      </c>
      <c r="F37" s="19">
        <v>39573305</v>
      </c>
      <c r="G37" s="24">
        <v>64286.83</v>
      </c>
      <c r="H37" s="24">
        <v>0.86</v>
      </c>
      <c r="I37" s="31"/>
      <c r="J37" s="35"/>
    </row>
    <row r="38" spans="2:10" x14ac:dyDescent="0.25">
      <c r="B38" s="8" t="s">
        <v>856</v>
      </c>
      <c r="C38" s="56" t="s">
        <v>857</v>
      </c>
      <c r="D38" s="53" t="s">
        <v>858</v>
      </c>
      <c r="E38" s="6" t="s">
        <v>261</v>
      </c>
      <c r="F38" s="19">
        <v>74845447</v>
      </c>
      <c r="G38" s="24">
        <v>63693.48</v>
      </c>
      <c r="H38" s="24">
        <v>0.85</v>
      </c>
      <c r="I38" s="31"/>
      <c r="J38" s="35"/>
    </row>
    <row r="39" spans="2:10" x14ac:dyDescent="0.25">
      <c r="B39" s="8" t="s">
        <v>859</v>
      </c>
      <c r="C39" s="56" t="s">
        <v>860</v>
      </c>
      <c r="D39" s="53" t="s">
        <v>861</v>
      </c>
      <c r="E39" s="6" t="s">
        <v>98</v>
      </c>
      <c r="F39" s="19">
        <v>2004401</v>
      </c>
      <c r="G39" s="24">
        <v>63084.51</v>
      </c>
      <c r="H39" s="24">
        <v>0.84</v>
      </c>
      <c r="I39" s="31"/>
      <c r="J39" s="35"/>
    </row>
    <row r="40" spans="2:10" x14ac:dyDescent="0.25">
      <c r="B40" s="8" t="s">
        <v>108</v>
      </c>
      <c r="C40" s="56" t="s">
        <v>109</v>
      </c>
      <c r="D40" s="53" t="s">
        <v>110</v>
      </c>
      <c r="E40" s="6" t="s">
        <v>111</v>
      </c>
      <c r="F40" s="19">
        <v>7842049</v>
      </c>
      <c r="G40" s="24">
        <v>60752.35</v>
      </c>
      <c r="H40" s="24">
        <v>0.81</v>
      </c>
      <c r="I40" s="31"/>
      <c r="J40" s="35"/>
    </row>
    <row r="41" spans="2:10" x14ac:dyDescent="0.25">
      <c r="B41" s="8" t="s">
        <v>112</v>
      </c>
      <c r="C41" s="56" t="s">
        <v>113</v>
      </c>
      <c r="D41" s="53" t="s">
        <v>114</v>
      </c>
      <c r="E41" s="6" t="s">
        <v>111</v>
      </c>
      <c r="F41" s="19">
        <v>1966511</v>
      </c>
      <c r="G41" s="24">
        <v>59938.27</v>
      </c>
      <c r="H41" s="24">
        <v>0.8</v>
      </c>
      <c r="I41" s="31"/>
      <c r="J41" s="35"/>
    </row>
    <row r="42" spans="2:10" x14ac:dyDescent="0.25">
      <c r="B42" s="8" t="s">
        <v>862</v>
      </c>
      <c r="C42" s="56" t="s">
        <v>863</v>
      </c>
      <c r="D42" s="53" t="s">
        <v>864</v>
      </c>
      <c r="E42" s="6" t="s">
        <v>98</v>
      </c>
      <c r="F42" s="19">
        <v>2010228</v>
      </c>
      <c r="G42" s="24">
        <v>57916.68</v>
      </c>
      <c r="H42" s="24">
        <v>0.77</v>
      </c>
      <c r="I42" s="31"/>
      <c r="J42" s="35"/>
    </row>
    <row r="43" spans="2:10" x14ac:dyDescent="0.25">
      <c r="B43" s="8" t="s">
        <v>865</v>
      </c>
      <c r="C43" s="56" t="s">
        <v>866</v>
      </c>
      <c r="D43" s="53" t="s">
        <v>867</v>
      </c>
      <c r="E43" s="6" t="s">
        <v>94</v>
      </c>
      <c r="F43" s="19">
        <v>933484</v>
      </c>
      <c r="G43" s="24">
        <v>54630.75</v>
      </c>
      <c r="H43" s="24">
        <v>0.73</v>
      </c>
      <c r="I43" s="31"/>
      <c r="J43" s="35"/>
    </row>
    <row r="44" spans="2:10" x14ac:dyDescent="0.25">
      <c r="B44" s="8" t="s">
        <v>868</v>
      </c>
      <c r="C44" s="56" t="s">
        <v>869</v>
      </c>
      <c r="D44" s="53" t="s">
        <v>870</v>
      </c>
      <c r="E44" s="6" t="s">
        <v>94</v>
      </c>
      <c r="F44" s="19">
        <v>6019125</v>
      </c>
      <c r="G44" s="24">
        <v>48842.19</v>
      </c>
      <c r="H44" s="24">
        <v>0.65</v>
      </c>
      <c r="I44" s="31"/>
      <c r="J44" s="35"/>
    </row>
    <row r="45" spans="2:10" x14ac:dyDescent="0.25">
      <c r="B45" s="8" t="s">
        <v>147</v>
      </c>
      <c r="C45" s="56" t="s">
        <v>148</v>
      </c>
      <c r="D45" s="53" t="s">
        <v>149</v>
      </c>
      <c r="E45" s="6" t="s">
        <v>98</v>
      </c>
      <c r="F45" s="19">
        <v>2151109</v>
      </c>
      <c r="G45" s="24">
        <v>47384.63</v>
      </c>
      <c r="H45" s="24">
        <v>0.63</v>
      </c>
      <c r="I45" s="31"/>
      <c r="J45" s="35"/>
    </row>
    <row r="46" spans="2:10" x14ac:dyDescent="0.25">
      <c r="B46" s="8" t="s">
        <v>871</v>
      </c>
      <c r="C46" s="56" t="s">
        <v>872</v>
      </c>
      <c r="D46" s="53" t="s">
        <v>873</v>
      </c>
      <c r="E46" s="6" t="s">
        <v>51</v>
      </c>
      <c r="F46" s="19">
        <v>8756877</v>
      </c>
      <c r="G46" s="24">
        <v>46183.77</v>
      </c>
      <c r="H46" s="24">
        <v>0.62</v>
      </c>
      <c r="I46" s="31"/>
      <c r="J46" s="35"/>
    </row>
    <row r="47" spans="2:10" x14ac:dyDescent="0.25">
      <c r="B47" s="8" t="s">
        <v>874</v>
      </c>
      <c r="C47" s="56" t="s">
        <v>875</v>
      </c>
      <c r="D47" s="53" t="s">
        <v>876</v>
      </c>
      <c r="E47" s="6" t="s">
        <v>41</v>
      </c>
      <c r="F47" s="19">
        <v>6093968</v>
      </c>
      <c r="G47" s="24">
        <v>45351.31</v>
      </c>
      <c r="H47" s="24">
        <v>0.61</v>
      </c>
      <c r="I47" s="31"/>
      <c r="J47" s="35"/>
    </row>
    <row r="48" spans="2:10" x14ac:dyDescent="0.25">
      <c r="B48" s="8" t="s">
        <v>171</v>
      </c>
      <c r="C48" s="56" t="s">
        <v>172</v>
      </c>
      <c r="D48" s="53" t="s">
        <v>173</v>
      </c>
      <c r="E48" s="6" t="s">
        <v>55</v>
      </c>
      <c r="F48" s="19">
        <v>12390388</v>
      </c>
      <c r="G48" s="24">
        <v>43744.26</v>
      </c>
      <c r="H48" s="24">
        <v>0.57999999999999996</v>
      </c>
      <c r="I48" s="31"/>
      <c r="J48" s="35"/>
    </row>
    <row r="49" spans="2:10" x14ac:dyDescent="0.25">
      <c r="B49" s="8" t="s">
        <v>877</v>
      </c>
      <c r="C49" s="56" t="s">
        <v>878</v>
      </c>
      <c r="D49" s="53" t="s">
        <v>879</v>
      </c>
      <c r="E49" s="6" t="s">
        <v>228</v>
      </c>
      <c r="F49" s="19">
        <v>8492292</v>
      </c>
      <c r="G49" s="24">
        <v>42707.74</v>
      </c>
      <c r="H49" s="24">
        <v>0.56999999999999995</v>
      </c>
      <c r="I49" s="31"/>
      <c r="J49" s="35"/>
    </row>
    <row r="50" spans="2:10" x14ac:dyDescent="0.25">
      <c r="B50" s="8" t="s">
        <v>880</v>
      </c>
      <c r="C50" s="56" t="s">
        <v>881</v>
      </c>
      <c r="D50" s="53" t="s">
        <v>882</v>
      </c>
      <c r="E50" s="6" t="s">
        <v>153</v>
      </c>
      <c r="F50" s="19">
        <v>15299597</v>
      </c>
      <c r="G50" s="24">
        <v>42494.63</v>
      </c>
      <c r="H50" s="24">
        <v>0.56999999999999995</v>
      </c>
      <c r="I50" s="31"/>
      <c r="J50" s="35"/>
    </row>
    <row r="51" spans="2:10" x14ac:dyDescent="0.25">
      <c r="B51" s="8" t="s">
        <v>150</v>
      </c>
      <c r="C51" s="56" t="s">
        <v>151</v>
      </c>
      <c r="D51" s="53" t="s">
        <v>152</v>
      </c>
      <c r="E51" s="6" t="s">
        <v>153</v>
      </c>
      <c r="F51" s="19">
        <v>11651154</v>
      </c>
      <c r="G51" s="24">
        <v>41915.03</v>
      </c>
      <c r="H51" s="24">
        <v>0.56000000000000005</v>
      </c>
      <c r="I51" s="31"/>
      <c r="J51" s="35"/>
    </row>
    <row r="52" spans="2:10" x14ac:dyDescent="0.25">
      <c r="B52" s="8" t="s">
        <v>84</v>
      </c>
      <c r="C52" s="56" t="s">
        <v>85</v>
      </c>
      <c r="D52" s="53" t="s">
        <v>86</v>
      </c>
      <c r="E52" s="6" t="s">
        <v>41</v>
      </c>
      <c r="F52" s="19">
        <v>206151</v>
      </c>
      <c r="G52" s="24">
        <v>41759.9</v>
      </c>
      <c r="H52" s="24">
        <v>0.56000000000000005</v>
      </c>
      <c r="I52" s="31"/>
      <c r="J52" s="35"/>
    </row>
    <row r="53" spans="2:10" x14ac:dyDescent="0.25">
      <c r="B53" s="8" t="s">
        <v>167</v>
      </c>
      <c r="C53" s="56" t="s">
        <v>168</v>
      </c>
      <c r="D53" s="53" t="s">
        <v>169</v>
      </c>
      <c r="E53" s="6" t="s">
        <v>170</v>
      </c>
      <c r="F53" s="19">
        <v>22539885</v>
      </c>
      <c r="G53" s="24">
        <v>39501.15</v>
      </c>
      <c r="H53" s="24">
        <v>0.53</v>
      </c>
      <c r="I53" s="31"/>
      <c r="J53" s="35"/>
    </row>
    <row r="54" spans="2:10" x14ac:dyDescent="0.25">
      <c r="B54" s="8" t="s">
        <v>839</v>
      </c>
      <c r="C54" s="56" t="s">
        <v>840</v>
      </c>
      <c r="D54" s="53" t="s">
        <v>841</v>
      </c>
      <c r="E54" s="6" t="s">
        <v>842</v>
      </c>
      <c r="F54" s="19">
        <v>56319777</v>
      </c>
      <c r="G54" s="24">
        <v>39001.449999999997</v>
      </c>
      <c r="H54" s="24">
        <v>0.52</v>
      </c>
      <c r="I54" s="31"/>
      <c r="J54" s="35"/>
    </row>
    <row r="55" spans="2:10" x14ac:dyDescent="0.25">
      <c r="B55" s="8" t="s">
        <v>480</v>
      </c>
      <c r="C55" s="56" t="s">
        <v>481</v>
      </c>
      <c r="D55" s="53" t="s">
        <v>482</v>
      </c>
      <c r="E55" s="6" t="s">
        <v>142</v>
      </c>
      <c r="F55" s="19">
        <v>11291519</v>
      </c>
      <c r="G55" s="24">
        <v>38588.769999999997</v>
      </c>
      <c r="H55" s="24">
        <v>0.52</v>
      </c>
      <c r="I55" s="31"/>
      <c r="J55" s="35"/>
    </row>
    <row r="56" spans="2:10" x14ac:dyDescent="0.25">
      <c r="B56" s="8" t="s">
        <v>883</v>
      </c>
      <c r="C56" s="56" t="s">
        <v>884</v>
      </c>
      <c r="D56" s="53" t="s">
        <v>885</v>
      </c>
      <c r="E56" s="6" t="s">
        <v>886</v>
      </c>
      <c r="F56" s="19">
        <v>32346325</v>
      </c>
      <c r="G56" s="24">
        <v>37521.74</v>
      </c>
      <c r="H56" s="24">
        <v>0.5</v>
      </c>
      <c r="I56" s="31"/>
      <c r="J56" s="35"/>
    </row>
    <row r="57" spans="2:10" x14ac:dyDescent="0.25">
      <c r="B57" s="8" t="s">
        <v>118</v>
      </c>
      <c r="C57" s="56" t="s">
        <v>119</v>
      </c>
      <c r="D57" s="53" t="s">
        <v>120</v>
      </c>
      <c r="E57" s="6" t="s">
        <v>98</v>
      </c>
      <c r="F57" s="19">
        <v>27657665</v>
      </c>
      <c r="G57" s="24">
        <v>36867.67</v>
      </c>
      <c r="H57" s="24">
        <v>0.49</v>
      </c>
      <c r="I57" s="31"/>
      <c r="J57" s="35"/>
    </row>
    <row r="58" spans="2:10" x14ac:dyDescent="0.25">
      <c r="B58" s="8" t="s">
        <v>379</v>
      </c>
      <c r="C58" s="56" t="s">
        <v>380</v>
      </c>
      <c r="D58" s="53" t="s">
        <v>381</v>
      </c>
      <c r="E58" s="6" t="s">
        <v>55</v>
      </c>
      <c r="F58" s="19">
        <v>39239074</v>
      </c>
      <c r="G58" s="24">
        <v>28997.68</v>
      </c>
      <c r="H58" s="24">
        <v>0.39</v>
      </c>
      <c r="I58" s="31"/>
      <c r="J58" s="35"/>
    </row>
    <row r="59" spans="2:10" x14ac:dyDescent="0.25">
      <c r="B59" s="8" t="s">
        <v>823</v>
      </c>
      <c r="C59" s="56" t="s">
        <v>824</v>
      </c>
      <c r="D59" s="53" t="s">
        <v>825</v>
      </c>
      <c r="E59" s="6" t="s">
        <v>826</v>
      </c>
      <c r="F59" s="19">
        <v>28546140</v>
      </c>
      <c r="G59" s="24">
        <v>24778.05</v>
      </c>
      <c r="H59" s="24">
        <v>0.33</v>
      </c>
      <c r="I59" s="31"/>
      <c r="J59" s="35"/>
    </row>
    <row r="60" spans="2:10" x14ac:dyDescent="0.25">
      <c r="C60" s="57" t="s">
        <v>35</v>
      </c>
      <c r="D60" s="53"/>
      <c r="E60" s="6"/>
      <c r="F60" s="19"/>
      <c r="G60" s="25">
        <v>7483034.8200000003</v>
      </c>
      <c r="H60" s="25">
        <v>99.95</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3:10" x14ac:dyDescent="0.25">
      <c r="C65" s="56"/>
      <c r="D65" s="53"/>
      <c r="E65" s="6"/>
      <c r="F65" s="19"/>
      <c r="G65" s="24"/>
      <c r="H65" s="24"/>
      <c r="I65" s="31"/>
      <c r="J65" s="35"/>
    </row>
    <row r="66" spans="3:10" x14ac:dyDescent="0.25">
      <c r="C66" s="57" t="s">
        <v>5</v>
      </c>
      <c r="D66" s="53"/>
      <c r="E66" s="6"/>
      <c r="F66" s="19"/>
      <c r="G66" s="24"/>
      <c r="H66" s="24"/>
      <c r="I66" s="31"/>
      <c r="J66" s="35"/>
    </row>
    <row r="67" spans="3:10" x14ac:dyDescent="0.25">
      <c r="C67" s="56"/>
      <c r="D67" s="53"/>
      <c r="E67" s="6"/>
      <c r="F67" s="19"/>
      <c r="G67" s="24"/>
      <c r="H67" s="24"/>
      <c r="I67" s="31"/>
      <c r="J67" s="35"/>
    </row>
    <row r="68" spans="3:10" x14ac:dyDescent="0.25">
      <c r="C68" s="57" t="s">
        <v>6</v>
      </c>
      <c r="D68" s="53"/>
      <c r="E68" s="6"/>
      <c r="F68" s="19"/>
      <c r="G68" s="24" t="s">
        <v>2</v>
      </c>
      <c r="H68" s="24" t="s">
        <v>2</v>
      </c>
      <c r="I68" s="31"/>
      <c r="J68" s="35"/>
    </row>
    <row r="69" spans="3:10" x14ac:dyDescent="0.25">
      <c r="C69" s="56"/>
      <c r="D69" s="53"/>
      <c r="E69" s="6"/>
      <c r="F69" s="19"/>
      <c r="G69" s="24"/>
      <c r="H69" s="24"/>
      <c r="I69" s="31"/>
      <c r="J69" s="35"/>
    </row>
    <row r="70" spans="3:10" x14ac:dyDescent="0.25">
      <c r="C70" s="57" t="s">
        <v>7</v>
      </c>
      <c r="D70" s="53"/>
      <c r="E70" s="6"/>
      <c r="F70" s="19"/>
      <c r="G70" s="24" t="s">
        <v>2</v>
      </c>
      <c r="H70" s="24" t="s">
        <v>2</v>
      </c>
      <c r="I70" s="31"/>
      <c r="J70" s="35"/>
    </row>
    <row r="71" spans="3:10" x14ac:dyDescent="0.25">
      <c r="C71" s="56"/>
      <c r="D71" s="53"/>
      <c r="E71" s="6"/>
      <c r="F71" s="19"/>
      <c r="G71" s="24"/>
      <c r="H71" s="24"/>
      <c r="I71" s="31"/>
      <c r="J71" s="35"/>
    </row>
    <row r="72" spans="3:10" x14ac:dyDescent="0.25">
      <c r="C72" s="57" t="s">
        <v>8</v>
      </c>
      <c r="D72" s="53"/>
      <c r="E72" s="6"/>
      <c r="F72" s="19"/>
      <c r="G72" s="24" t="s">
        <v>2</v>
      </c>
      <c r="H72" s="24" t="s">
        <v>2</v>
      </c>
      <c r="I72" s="31"/>
      <c r="J72" s="35"/>
    </row>
    <row r="73" spans="3:10" x14ac:dyDescent="0.25">
      <c r="C73" s="56"/>
      <c r="D73" s="53"/>
      <c r="E73" s="6"/>
      <c r="F73" s="19"/>
      <c r="G73" s="24"/>
      <c r="H73" s="24"/>
      <c r="I73" s="31"/>
      <c r="J73" s="35"/>
    </row>
    <row r="74" spans="3:10" x14ac:dyDescent="0.25">
      <c r="C74" s="57" t="s">
        <v>9</v>
      </c>
      <c r="D74" s="53"/>
      <c r="E74" s="6"/>
      <c r="F74" s="19"/>
      <c r="G74" s="24" t="s">
        <v>2</v>
      </c>
      <c r="H74" s="24" t="s">
        <v>2</v>
      </c>
      <c r="I74" s="31"/>
      <c r="J74" s="35"/>
    </row>
    <row r="75" spans="3:10" x14ac:dyDescent="0.25">
      <c r="C75" s="56"/>
      <c r="D75" s="53"/>
      <c r="E75" s="6"/>
      <c r="F75" s="19"/>
      <c r="G75" s="24"/>
      <c r="H75" s="24"/>
      <c r="I75" s="31"/>
      <c r="J75" s="35"/>
    </row>
    <row r="76" spans="3:10" x14ac:dyDescent="0.25">
      <c r="C76" s="57" t="s">
        <v>10</v>
      </c>
      <c r="D76" s="53"/>
      <c r="E76" s="6"/>
      <c r="F76" s="19"/>
      <c r="G76" s="24" t="s">
        <v>2</v>
      </c>
      <c r="H76" s="24" t="s">
        <v>2</v>
      </c>
      <c r="I76" s="31"/>
      <c r="J76" s="35"/>
    </row>
    <row r="77" spans="3:10" x14ac:dyDescent="0.25">
      <c r="C77" s="56"/>
      <c r="D77" s="53"/>
      <c r="E77" s="6"/>
      <c r="F77" s="19"/>
      <c r="G77" s="24"/>
      <c r="H77" s="24"/>
      <c r="I77" s="31"/>
      <c r="J77" s="35"/>
    </row>
    <row r="78" spans="3:10" x14ac:dyDescent="0.25">
      <c r="C78" s="57" t="s">
        <v>11</v>
      </c>
      <c r="D78" s="53"/>
      <c r="E78" s="6"/>
      <c r="F78" s="19"/>
      <c r="G78" s="24"/>
      <c r="H78" s="24"/>
      <c r="I78" s="31"/>
      <c r="J78" s="35"/>
    </row>
    <row r="79" spans="3:10" x14ac:dyDescent="0.25">
      <c r="C79" s="56"/>
      <c r="D79" s="53"/>
      <c r="E79" s="6"/>
      <c r="F79" s="19"/>
      <c r="G79" s="24"/>
      <c r="H79" s="24"/>
      <c r="I79" s="31"/>
      <c r="J79" s="35"/>
    </row>
    <row r="80" spans="3:10" x14ac:dyDescent="0.25">
      <c r="C80" s="57" t="s">
        <v>13</v>
      </c>
      <c r="D80" s="53"/>
      <c r="E80" s="6"/>
      <c r="F80" s="19"/>
      <c r="G80" s="24" t="s">
        <v>2</v>
      </c>
      <c r="H80" s="24" t="s">
        <v>2</v>
      </c>
      <c r="I80" s="31"/>
      <c r="J80" s="35"/>
    </row>
    <row r="81" spans="1:10" x14ac:dyDescent="0.25">
      <c r="C81" s="56"/>
      <c r="D81" s="53"/>
      <c r="E81" s="6"/>
      <c r="F81" s="19"/>
      <c r="G81" s="24"/>
      <c r="H81" s="24"/>
      <c r="I81" s="31"/>
      <c r="J81" s="35"/>
    </row>
    <row r="82" spans="1:10" x14ac:dyDescent="0.25">
      <c r="C82" s="57" t="s">
        <v>14</v>
      </c>
      <c r="D82" s="53"/>
      <c r="E82" s="6"/>
      <c r="F82" s="19"/>
      <c r="G82" s="24" t="s">
        <v>2</v>
      </c>
      <c r="H82" s="24" t="s">
        <v>2</v>
      </c>
      <c r="I82" s="31"/>
      <c r="J82" s="35"/>
    </row>
    <row r="83" spans="1:10" x14ac:dyDescent="0.25">
      <c r="C83" s="56"/>
      <c r="D83" s="53"/>
      <c r="E83" s="6"/>
      <c r="F83" s="19"/>
      <c r="G83" s="24"/>
      <c r="H83" s="24"/>
      <c r="I83" s="31"/>
      <c r="J83" s="35"/>
    </row>
    <row r="84" spans="1:10" x14ac:dyDescent="0.25">
      <c r="C84" s="57" t="s">
        <v>15</v>
      </c>
      <c r="D84" s="53"/>
      <c r="E84" s="6"/>
      <c r="F84" s="19"/>
      <c r="G84" s="24" t="s">
        <v>2</v>
      </c>
      <c r="H84" s="24" t="s">
        <v>2</v>
      </c>
      <c r="I84" s="31"/>
      <c r="J84" s="35"/>
    </row>
    <row r="85" spans="1:10" x14ac:dyDescent="0.25">
      <c r="C85" s="56"/>
      <c r="D85" s="53"/>
      <c r="E85" s="6"/>
      <c r="F85" s="19"/>
      <c r="G85" s="24"/>
      <c r="H85" s="24"/>
      <c r="I85" s="31"/>
      <c r="J85" s="35"/>
    </row>
    <row r="86" spans="1:10" x14ac:dyDescent="0.25">
      <c r="C86" s="57" t="s">
        <v>16</v>
      </c>
      <c r="D86" s="53"/>
      <c r="E86" s="6"/>
      <c r="F86" s="19"/>
      <c r="G86" s="24" t="s">
        <v>2</v>
      </c>
      <c r="H86" s="24" t="s">
        <v>2</v>
      </c>
      <c r="I86" s="31"/>
      <c r="J86" s="35"/>
    </row>
    <row r="87" spans="1:10" x14ac:dyDescent="0.25">
      <c r="C87" s="56"/>
      <c r="D87" s="53"/>
      <c r="E87" s="6"/>
      <c r="F87" s="19"/>
      <c r="G87" s="24"/>
      <c r="H87" s="24"/>
      <c r="I87" s="31"/>
      <c r="J87" s="35"/>
    </row>
    <row r="88" spans="1:10" x14ac:dyDescent="0.25">
      <c r="A88" s="10"/>
      <c r="B88" s="28"/>
      <c r="C88" s="58" t="s">
        <v>17</v>
      </c>
      <c r="D88" s="53"/>
      <c r="E88" s="6"/>
      <c r="F88" s="19"/>
      <c r="G88" s="24"/>
      <c r="H88" s="24"/>
      <c r="I88" s="31"/>
      <c r="J88" s="35"/>
    </row>
    <row r="89" spans="1:10" x14ac:dyDescent="0.25">
      <c r="A89" s="28"/>
      <c r="B89" s="28"/>
      <c r="C89" s="58" t="s">
        <v>18</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19</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A93" s="28"/>
      <c r="B93" s="28"/>
      <c r="C93" s="58" t="s">
        <v>20</v>
      </c>
      <c r="D93" s="53"/>
      <c r="E93" s="6"/>
      <c r="F93" s="19"/>
      <c r="G93" s="24" t="s">
        <v>2</v>
      </c>
      <c r="H93" s="24" t="s">
        <v>2</v>
      </c>
      <c r="I93" s="31"/>
      <c r="J93" s="35"/>
    </row>
    <row r="94" spans="1:10" x14ac:dyDescent="0.25">
      <c r="A94" s="28"/>
      <c r="B94" s="28"/>
      <c r="C94" s="58"/>
      <c r="D94" s="53"/>
      <c r="E94" s="6"/>
      <c r="F94" s="19"/>
      <c r="G94" s="24"/>
      <c r="H94" s="24"/>
      <c r="I94" s="31"/>
      <c r="J94" s="35"/>
    </row>
    <row r="95" spans="1:10" x14ac:dyDescent="0.25">
      <c r="A95" s="28"/>
      <c r="B95" s="28"/>
      <c r="C95" s="58" t="s">
        <v>21</v>
      </c>
      <c r="D95" s="53"/>
      <c r="E95" s="6"/>
      <c r="F95" s="19"/>
      <c r="G95" s="24" t="s">
        <v>2</v>
      </c>
      <c r="H95" s="24" t="s">
        <v>2</v>
      </c>
      <c r="I95" s="31"/>
      <c r="J95" s="35"/>
    </row>
    <row r="96" spans="1:10" x14ac:dyDescent="0.25">
      <c r="A96" s="28"/>
      <c r="B96" s="28"/>
      <c r="C96" s="58"/>
      <c r="D96" s="53"/>
      <c r="E96" s="6"/>
      <c r="F96" s="19"/>
      <c r="G96" s="24"/>
      <c r="H96" s="24"/>
      <c r="I96" s="31"/>
      <c r="J96" s="35"/>
    </row>
    <row r="97" spans="1:10" x14ac:dyDescent="0.25">
      <c r="C97" s="59" t="s">
        <v>22</v>
      </c>
      <c r="D97" s="53"/>
      <c r="E97" s="6"/>
      <c r="F97" s="19"/>
      <c r="G97" s="24"/>
      <c r="H97" s="24"/>
      <c r="I97" s="31"/>
      <c r="J97" s="35"/>
    </row>
    <row r="98" spans="1:10" x14ac:dyDescent="0.25">
      <c r="B98" s="8" t="s">
        <v>33</v>
      </c>
      <c r="C98" s="56" t="s">
        <v>34</v>
      </c>
      <c r="D98" s="53"/>
      <c r="E98" s="6"/>
      <c r="F98" s="19"/>
      <c r="G98" s="24">
        <v>2029.94</v>
      </c>
      <c r="H98" s="24">
        <v>0.03</v>
      </c>
      <c r="I98" s="31"/>
      <c r="J98" s="35"/>
    </row>
    <row r="99" spans="1:10" x14ac:dyDescent="0.25">
      <c r="C99" s="57" t="s">
        <v>35</v>
      </c>
      <c r="D99" s="53"/>
      <c r="E99" s="6"/>
      <c r="F99" s="19"/>
      <c r="G99" s="25">
        <v>2029.94</v>
      </c>
      <c r="H99" s="25">
        <v>0.03</v>
      </c>
      <c r="I99" s="31"/>
      <c r="J99" s="35"/>
    </row>
    <row r="100" spans="1:10" x14ac:dyDescent="0.25">
      <c r="C100" s="56"/>
      <c r="D100" s="53"/>
      <c r="E100" s="6"/>
      <c r="F100" s="19"/>
      <c r="G100" s="24"/>
      <c r="H100" s="24"/>
      <c r="I100" s="31"/>
      <c r="J100" s="35"/>
    </row>
    <row r="101" spans="1:10" x14ac:dyDescent="0.25">
      <c r="A101" s="10"/>
      <c r="B101" s="28"/>
      <c r="C101" s="58" t="s">
        <v>23</v>
      </c>
      <c r="D101" s="53"/>
      <c r="E101" s="6"/>
      <c r="F101" s="19"/>
      <c r="G101" s="24"/>
      <c r="H101" s="24"/>
      <c r="I101" s="31"/>
      <c r="J101" s="35"/>
    </row>
    <row r="102" spans="1:10" x14ac:dyDescent="0.25">
      <c r="A102" s="28"/>
      <c r="B102" s="28"/>
      <c r="C102" s="60" t="s">
        <v>3398</v>
      </c>
      <c r="D102" s="53"/>
      <c r="E102" s="6"/>
      <c r="F102" s="19"/>
      <c r="G102" s="24" t="s">
        <v>2</v>
      </c>
      <c r="H102" s="24" t="s">
        <v>2</v>
      </c>
      <c r="I102" s="31"/>
      <c r="J102" s="35"/>
    </row>
    <row r="103" spans="1:10" x14ac:dyDescent="0.25">
      <c r="B103" s="8"/>
      <c r="C103" s="56" t="s">
        <v>36</v>
      </c>
      <c r="D103" s="53"/>
      <c r="E103" s="6"/>
      <c r="F103" s="19"/>
      <c r="G103" s="24">
        <v>1649.99</v>
      </c>
      <c r="H103" s="24">
        <v>0.02</v>
      </c>
      <c r="I103" s="31"/>
      <c r="J103" s="35"/>
    </row>
    <row r="104" spans="1:10" x14ac:dyDescent="0.25">
      <c r="C104" s="57" t="s">
        <v>35</v>
      </c>
      <c r="D104" s="53"/>
      <c r="E104" s="6"/>
      <c r="F104" s="19"/>
      <c r="G104" s="25">
        <v>1649.99</v>
      </c>
      <c r="H104" s="25">
        <v>0.02</v>
      </c>
      <c r="I104" s="31"/>
      <c r="J104" s="35"/>
    </row>
    <row r="105" spans="1:10" x14ac:dyDescent="0.25">
      <c r="C105" s="56"/>
      <c r="D105" s="53"/>
      <c r="E105" s="6"/>
      <c r="F105" s="19"/>
      <c r="G105" s="24"/>
      <c r="H105" s="24"/>
      <c r="I105" s="31"/>
      <c r="J105" s="35"/>
    </row>
    <row r="106" spans="1:10" x14ac:dyDescent="0.25">
      <c r="C106" s="61" t="s">
        <v>37</v>
      </c>
      <c r="D106" s="54"/>
      <c r="E106" s="5"/>
      <c r="F106" s="20"/>
      <c r="G106" s="26">
        <v>7486714.75</v>
      </c>
      <c r="H106" s="26">
        <f>SUMIFS(H:H,C:C,"Total")</f>
        <v>100</v>
      </c>
      <c r="I106" s="32"/>
      <c r="J106" s="36"/>
    </row>
    <row r="109" spans="1:10" x14ac:dyDescent="0.25">
      <c r="C109" s="65" t="s">
        <v>3404</v>
      </c>
      <c r="D109" s="66"/>
      <c r="E109" s="67"/>
      <c r="F109" s="68"/>
      <c r="G109" s="69"/>
      <c r="H109" s="69"/>
      <c r="I109" s="3"/>
      <c r="J109" s="2"/>
    </row>
    <row r="110" spans="1:10" ht="14.25" thickBot="1" x14ac:dyDescent="0.3">
      <c r="C110" s="66"/>
      <c r="D110" s="66"/>
      <c r="E110" s="67"/>
      <c r="F110" s="68"/>
      <c r="G110" s="69"/>
      <c r="H110" s="69"/>
      <c r="I110" s="3"/>
      <c r="J110" s="2"/>
    </row>
    <row r="111" spans="1:10" ht="27" x14ac:dyDescent="0.25">
      <c r="C111" s="70" t="s">
        <v>26</v>
      </c>
      <c r="D111" s="71" t="s">
        <v>27</v>
      </c>
      <c r="E111" s="72" t="s">
        <v>3320</v>
      </c>
      <c r="F111" s="17" t="s">
        <v>28</v>
      </c>
      <c r="G111" s="14" t="s">
        <v>29</v>
      </c>
      <c r="H111" s="14" t="s">
        <v>30</v>
      </c>
      <c r="I111" s="100" t="s">
        <v>32</v>
      </c>
      <c r="J111" s="2"/>
    </row>
    <row r="112" spans="1:10" x14ac:dyDescent="0.25">
      <c r="C112" s="73" t="s">
        <v>0</v>
      </c>
      <c r="D112" s="74"/>
      <c r="E112" s="75"/>
      <c r="F112" s="76"/>
      <c r="G112" s="77"/>
      <c r="H112" s="77"/>
      <c r="I112" s="101"/>
      <c r="J112" s="2"/>
    </row>
    <row r="113" spans="3:10" x14ac:dyDescent="0.25">
      <c r="C113" s="78" t="s">
        <v>3405</v>
      </c>
      <c r="D113" s="79"/>
      <c r="E113" s="80"/>
      <c r="F113" s="81"/>
      <c r="G113" s="82"/>
      <c r="H113" s="82"/>
      <c r="I113" s="102"/>
      <c r="J113" s="2"/>
    </row>
    <row r="114" spans="3:10" x14ac:dyDescent="0.25">
      <c r="C114" s="83"/>
      <c r="D114" s="79"/>
      <c r="E114" s="80"/>
      <c r="F114" s="81"/>
      <c r="G114" s="82"/>
      <c r="H114" s="82"/>
      <c r="I114" s="102"/>
      <c r="J114" s="2"/>
    </row>
    <row r="115" spans="3:10" x14ac:dyDescent="0.25">
      <c r="C115" s="84" t="s">
        <v>887</v>
      </c>
      <c r="D115" s="85" t="s">
        <v>3401</v>
      </c>
      <c r="E115" s="86" t="s">
        <v>51</v>
      </c>
      <c r="F115" s="87">
        <v>23667686</v>
      </c>
      <c r="G115" s="88">
        <v>0</v>
      </c>
      <c r="H115" s="89" t="s">
        <v>3399</v>
      </c>
      <c r="I115" s="103" t="s">
        <v>3408</v>
      </c>
      <c r="J115" s="2"/>
    </row>
    <row r="116" spans="3:10" ht="14.25" thickBot="1" x14ac:dyDescent="0.3">
      <c r="C116" s="90"/>
      <c r="D116" s="91"/>
      <c r="E116" s="92"/>
      <c r="F116" s="20"/>
      <c r="G116" s="93"/>
      <c r="H116" s="94"/>
      <c r="I116" s="36"/>
      <c r="J116" s="2"/>
    </row>
    <row r="117" spans="3:10" x14ac:dyDescent="0.25">
      <c r="C117" s="95"/>
      <c r="D117" s="95"/>
      <c r="E117" s="97"/>
      <c r="F117" s="98"/>
      <c r="G117" s="99"/>
      <c r="H117" s="99"/>
      <c r="I117" s="3"/>
      <c r="J117" s="2"/>
    </row>
    <row r="118" spans="3:10" x14ac:dyDescent="0.25">
      <c r="C118" s="1" t="s">
        <v>38</v>
      </c>
      <c r="I118" s="3"/>
      <c r="J118" s="2"/>
    </row>
    <row r="119" spans="3:10" x14ac:dyDescent="0.25">
      <c r="C119" s="2" t="s">
        <v>3406</v>
      </c>
      <c r="I119" s="3"/>
      <c r="J119" s="2"/>
    </row>
    <row r="120" spans="3:10" x14ac:dyDescent="0.25">
      <c r="C120" s="2" t="s">
        <v>40</v>
      </c>
      <c r="I120" s="3"/>
      <c r="J120" s="2"/>
    </row>
    <row r="121" spans="3:10" x14ac:dyDescent="0.25">
      <c r="C121" s="2" t="s">
        <v>3430</v>
      </c>
      <c r="I121" s="3"/>
      <c r="J121" s="2"/>
    </row>
    <row r="122" spans="3:10" ht="147.75" customHeight="1" x14ac:dyDescent="0.25">
      <c r="C122" s="116" t="s">
        <v>3407</v>
      </c>
      <c r="D122" s="116"/>
      <c r="E122" s="116"/>
      <c r="F122" s="116"/>
      <c r="G122" s="116"/>
      <c r="H122" s="116"/>
      <c r="I122" s="104"/>
      <c r="J122" s="2"/>
    </row>
  </sheetData>
  <mergeCells count="1">
    <mergeCell ref="C122:H122"/>
  </mergeCells>
  <hyperlinks>
    <hyperlink ref="J2" location="'Index'!A1" display="'Index'!A1"/>
  </hyperlinks>
  <pageMargins left="0.7" right="0.7" top="0.75" bottom="0.75" header="0.3" footer="0.3"/>
  <pageSetup orientation="portrait" horizontalDpi="4294967293"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0"/>
  <dimension ref="A1:J9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2262</v>
      </c>
      <c r="J2" s="37" t="s">
        <v>3307</v>
      </c>
    </row>
    <row r="3" spans="1:10" ht="16.5" x14ac:dyDescent="0.3">
      <c r="C3" s="1" t="s">
        <v>24</v>
      </c>
      <c r="D3" s="21" t="s">
        <v>2263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13630</v>
      </c>
      <c r="G10" s="24">
        <v>147.01</v>
      </c>
      <c r="H10" s="24">
        <v>9.0500000000000007</v>
      </c>
      <c r="I10" s="31"/>
      <c r="J10" s="35"/>
    </row>
    <row r="11" spans="1:10" x14ac:dyDescent="0.25">
      <c r="B11" s="8" t="s">
        <v>52</v>
      </c>
      <c r="C11" s="56" t="s">
        <v>53</v>
      </c>
      <c r="D11" s="53" t="s">
        <v>54</v>
      </c>
      <c r="E11" s="6" t="s">
        <v>55</v>
      </c>
      <c r="F11" s="19">
        <v>4585</v>
      </c>
      <c r="G11" s="24">
        <v>102.44</v>
      </c>
      <c r="H11" s="24">
        <v>6.31</v>
      </c>
      <c r="I11" s="31"/>
      <c r="J11" s="35"/>
    </row>
    <row r="12" spans="1:10" x14ac:dyDescent="0.25">
      <c r="B12" s="8" t="s">
        <v>62</v>
      </c>
      <c r="C12" s="56" t="s">
        <v>63</v>
      </c>
      <c r="D12" s="53" t="s">
        <v>64</v>
      </c>
      <c r="E12" s="6" t="s">
        <v>51</v>
      </c>
      <c r="F12" s="19">
        <v>26000</v>
      </c>
      <c r="G12" s="24">
        <v>92.24</v>
      </c>
      <c r="H12" s="24">
        <v>5.68</v>
      </c>
      <c r="I12" s="31"/>
      <c r="J12" s="35"/>
    </row>
    <row r="13" spans="1:10" x14ac:dyDescent="0.25">
      <c r="B13" s="8" t="s">
        <v>424</v>
      </c>
      <c r="C13" s="56" t="s">
        <v>425</v>
      </c>
      <c r="D13" s="53" t="s">
        <v>426</v>
      </c>
      <c r="E13" s="6" t="s">
        <v>83</v>
      </c>
      <c r="F13" s="19">
        <v>1000</v>
      </c>
      <c r="G13" s="24">
        <v>87.62</v>
      </c>
      <c r="H13" s="24">
        <v>5.39</v>
      </c>
      <c r="I13" s="31"/>
      <c r="J13" s="35"/>
    </row>
    <row r="14" spans="1:10" x14ac:dyDescent="0.25">
      <c r="B14" s="8" t="s">
        <v>112</v>
      </c>
      <c r="C14" s="56" t="s">
        <v>113</v>
      </c>
      <c r="D14" s="53" t="s">
        <v>114</v>
      </c>
      <c r="E14" s="6" t="s">
        <v>111</v>
      </c>
      <c r="F14" s="19">
        <v>2730</v>
      </c>
      <c r="G14" s="24">
        <v>83.21</v>
      </c>
      <c r="H14" s="24">
        <v>5.12</v>
      </c>
      <c r="I14" s="31"/>
      <c r="J14" s="35"/>
    </row>
    <row r="15" spans="1:10" x14ac:dyDescent="0.25">
      <c r="B15" s="8" t="s">
        <v>127</v>
      </c>
      <c r="C15" s="56" t="s">
        <v>128</v>
      </c>
      <c r="D15" s="53" t="s">
        <v>129</v>
      </c>
      <c r="E15" s="6" t="s">
        <v>90</v>
      </c>
      <c r="F15" s="19">
        <v>3369</v>
      </c>
      <c r="G15" s="24">
        <v>69.680000000000007</v>
      </c>
      <c r="H15" s="24">
        <v>4.29</v>
      </c>
      <c r="I15" s="31"/>
      <c r="J15" s="35"/>
    </row>
    <row r="16" spans="1:10" x14ac:dyDescent="0.25">
      <c r="B16" s="8" t="s">
        <v>56</v>
      </c>
      <c r="C16" s="56" t="s">
        <v>57</v>
      </c>
      <c r="D16" s="53" t="s">
        <v>58</v>
      </c>
      <c r="E16" s="6" t="s">
        <v>47</v>
      </c>
      <c r="F16" s="19">
        <v>2600</v>
      </c>
      <c r="G16" s="24">
        <v>64.8</v>
      </c>
      <c r="H16" s="24">
        <v>3.99</v>
      </c>
      <c r="I16" s="31"/>
      <c r="J16" s="35"/>
    </row>
    <row r="17" spans="2:10" x14ac:dyDescent="0.25">
      <c r="B17" s="8" t="s">
        <v>133</v>
      </c>
      <c r="C17" s="56" t="s">
        <v>134</v>
      </c>
      <c r="D17" s="53" t="s">
        <v>135</v>
      </c>
      <c r="E17" s="6" t="s">
        <v>47</v>
      </c>
      <c r="F17" s="19">
        <v>7320</v>
      </c>
      <c r="G17" s="24">
        <v>59.41</v>
      </c>
      <c r="H17" s="24">
        <v>3.66</v>
      </c>
      <c r="I17" s="31"/>
      <c r="J17" s="35"/>
    </row>
    <row r="18" spans="2:10" x14ac:dyDescent="0.25">
      <c r="B18" s="8" t="s">
        <v>206</v>
      </c>
      <c r="C18" s="56" t="s">
        <v>207</v>
      </c>
      <c r="D18" s="53" t="s">
        <v>208</v>
      </c>
      <c r="E18" s="6" t="s">
        <v>41</v>
      </c>
      <c r="F18" s="19">
        <v>3900</v>
      </c>
      <c r="G18" s="24">
        <v>58.77</v>
      </c>
      <c r="H18" s="24">
        <v>3.62</v>
      </c>
      <c r="I18" s="31"/>
      <c r="J18" s="35"/>
    </row>
    <row r="19" spans="2:10" x14ac:dyDescent="0.25">
      <c r="B19" s="8" t="s">
        <v>87</v>
      </c>
      <c r="C19" s="56" t="s">
        <v>88</v>
      </c>
      <c r="D19" s="53" t="s">
        <v>89</v>
      </c>
      <c r="E19" s="6" t="s">
        <v>90</v>
      </c>
      <c r="F19" s="19">
        <v>3850</v>
      </c>
      <c r="G19" s="24">
        <v>55.19</v>
      </c>
      <c r="H19" s="24">
        <v>3.4</v>
      </c>
      <c r="I19" s="31"/>
      <c r="J19" s="35"/>
    </row>
    <row r="20" spans="2:10" x14ac:dyDescent="0.25">
      <c r="B20" s="8" t="s">
        <v>65</v>
      </c>
      <c r="C20" s="56" t="s">
        <v>66</v>
      </c>
      <c r="D20" s="53" t="s">
        <v>67</v>
      </c>
      <c r="E20" s="6" t="s">
        <v>68</v>
      </c>
      <c r="F20" s="19">
        <v>12710</v>
      </c>
      <c r="G20" s="24">
        <v>53.5</v>
      </c>
      <c r="H20" s="24">
        <v>3.29</v>
      </c>
      <c r="I20" s="31"/>
      <c r="J20" s="35"/>
    </row>
    <row r="21" spans="2:10" x14ac:dyDescent="0.25">
      <c r="B21" s="8" t="s">
        <v>164</v>
      </c>
      <c r="C21" s="56" t="s">
        <v>165</v>
      </c>
      <c r="D21" s="53" t="s">
        <v>166</v>
      </c>
      <c r="E21" s="6" t="s">
        <v>51</v>
      </c>
      <c r="F21" s="19">
        <v>26550</v>
      </c>
      <c r="G21" s="24">
        <v>49.22</v>
      </c>
      <c r="H21" s="24">
        <v>3.03</v>
      </c>
      <c r="I21" s="31"/>
      <c r="J21" s="35"/>
    </row>
    <row r="22" spans="2:10" x14ac:dyDescent="0.25">
      <c r="B22" s="8" t="s">
        <v>171</v>
      </c>
      <c r="C22" s="56" t="s">
        <v>172</v>
      </c>
      <c r="D22" s="53" t="s">
        <v>173</v>
      </c>
      <c r="E22" s="6" t="s">
        <v>55</v>
      </c>
      <c r="F22" s="19">
        <v>12200</v>
      </c>
      <c r="G22" s="24">
        <v>43.07</v>
      </c>
      <c r="H22" s="24">
        <v>2.65</v>
      </c>
      <c r="I22" s="31"/>
      <c r="J22" s="35"/>
    </row>
    <row r="23" spans="2:10" x14ac:dyDescent="0.25">
      <c r="B23" s="8" t="s">
        <v>802</v>
      </c>
      <c r="C23" s="56" t="s">
        <v>803</v>
      </c>
      <c r="D23" s="53" t="s">
        <v>804</v>
      </c>
      <c r="E23" s="6" t="s">
        <v>195</v>
      </c>
      <c r="F23" s="19">
        <v>5700</v>
      </c>
      <c r="G23" s="24">
        <v>38.24</v>
      </c>
      <c r="H23" s="24">
        <v>2.35</v>
      </c>
      <c r="I23" s="31"/>
      <c r="J23" s="35"/>
    </row>
    <row r="24" spans="2:10" x14ac:dyDescent="0.25">
      <c r="B24" s="8" t="s">
        <v>80</v>
      </c>
      <c r="C24" s="56" t="s">
        <v>81</v>
      </c>
      <c r="D24" s="53" t="s">
        <v>82</v>
      </c>
      <c r="E24" s="6" t="s">
        <v>83</v>
      </c>
      <c r="F24" s="19">
        <v>3100</v>
      </c>
      <c r="G24" s="24">
        <v>37.24</v>
      </c>
      <c r="H24" s="24">
        <v>2.29</v>
      </c>
      <c r="I24" s="31"/>
      <c r="J24" s="35"/>
    </row>
    <row r="25" spans="2:10" x14ac:dyDescent="0.25">
      <c r="B25" s="8" t="s">
        <v>2203</v>
      </c>
      <c r="C25" s="56" t="s">
        <v>2204</v>
      </c>
      <c r="D25" s="53" t="s">
        <v>2205</v>
      </c>
      <c r="E25" s="6" t="s">
        <v>83</v>
      </c>
      <c r="F25" s="19">
        <v>13400</v>
      </c>
      <c r="G25" s="24">
        <v>34.83</v>
      </c>
      <c r="H25" s="24">
        <v>2.14</v>
      </c>
      <c r="I25" s="31"/>
      <c r="J25" s="35"/>
    </row>
    <row r="26" spans="2:10" x14ac:dyDescent="0.25">
      <c r="B26" s="8" t="s">
        <v>460</v>
      </c>
      <c r="C26" s="56" t="s">
        <v>461</v>
      </c>
      <c r="D26" s="53" t="s">
        <v>462</v>
      </c>
      <c r="E26" s="6" t="s">
        <v>51</v>
      </c>
      <c r="F26" s="19">
        <v>15375</v>
      </c>
      <c r="G26" s="24">
        <v>34.799999999999997</v>
      </c>
      <c r="H26" s="24">
        <v>2.14</v>
      </c>
      <c r="I26" s="31"/>
      <c r="J26" s="35"/>
    </row>
    <row r="27" spans="2:10" x14ac:dyDescent="0.25">
      <c r="B27" s="8" t="s">
        <v>439</v>
      </c>
      <c r="C27" s="56" t="s">
        <v>440</v>
      </c>
      <c r="D27" s="53" t="s">
        <v>441</v>
      </c>
      <c r="E27" s="6" t="s">
        <v>111</v>
      </c>
      <c r="F27" s="19">
        <v>7600</v>
      </c>
      <c r="G27" s="24">
        <v>34.03</v>
      </c>
      <c r="H27" s="24">
        <v>2.09</v>
      </c>
      <c r="I27" s="31"/>
      <c r="J27" s="35"/>
    </row>
    <row r="28" spans="2:10" x14ac:dyDescent="0.25">
      <c r="B28" s="8" t="s">
        <v>1997</v>
      </c>
      <c r="C28" s="56" t="s">
        <v>1150</v>
      </c>
      <c r="D28" s="53" t="s">
        <v>1998</v>
      </c>
      <c r="E28" s="6" t="s">
        <v>94</v>
      </c>
      <c r="F28" s="19">
        <v>7500</v>
      </c>
      <c r="G28" s="24">
        <v>31.18</v>
      </c>
      <c r="H28" s="24">
        <v>1.92</v>
      </c>
      <c r="I28" s="31"/>
      <c r="J28" s="35"/>
    </row>
    <row r="29" spans="2:10" x14ac:dyDescent="0.25">
      <c r="B29" s="8" t="s">
        <v>115</v>
      </c>
      <c r="C29" s="56" t="s">
        <v>116</v>
      </c>
      <c r="D29" s="53" t="s">
        <v>117</v>
      </c>
      <c r="E29" s="6" t="s">
        <v>94</v>
      </c>
      <c r="F29" s="19">
        <v>2300</v>
      </c>
      <c r="G29" s="24">
        <v>29.89</v>
      </c>
      <c r="H29" s="24">
        <v>1.84</v>
      </c>
      <c r="I29" s="31"/>
      <c r="J29" s="35"/>
    </row>
    <row r="30" spans="2:10" x14ac:dyDescent="0.25">
      <c r="B30" s="8" t="s">
        <v>856</v>
      </c>
      <c r="C30" s="56" t="s">
        <v>857</v>
      </c>
      <c r="D30" s="53" t="s">
        <v>858</v>
      </c>
      <c r="E30" s="6" t="s">
        <v>261</v>
      </c>
      <c r="F30" s="19">
        <v>35100</v>
      </c>
      <c r="G30" s="24">
        <v>29.87</v>
      </c>
      <c r="H30" s="24">
        <v>1.84</v>
      </c>
      <c r="I30" s="31"/>
      <c r="J30" s="35"/>
    </row>
    <row r="31" spans="2:10" x14ac:dyDescent="0.25">
      <c r="B31" s="8" t="s">
        <v>222</v>
      </c>
      <c r="C31" s="56" t="s">
        <v>223</v>
      </c>
      <c r="D31" s="53" t="s">
        <v>224</v>
      </c>
      <c r="E31" s="6" t="s">
        <v>83</v>
      </c>
      <c r="F31" s="19">
        <v>2250</v>
      </c>
      <c r="G31" s="24">
        <v>29.85</v>
      </c>
      <c r="H31" s="24">
        <v>1.84</v>
      </c>
      <c r="I31" s="31"/>
      <c r="J31" s="35"/>
    </row>
    <row r="32" spans="2:10" x14ac:dyDescent="0.25">
      <c r="B32" s="8" t="s">
        <v>59</v>
      </c>
      <c r="C32" s="56" t="s">
        <v>60</v>
      </c>
      <c r="D32" s="53" t="s">
        <v>61</v>
      </c>
      <c r="E32" s="6" t="s">
        <v>51</v>
      </c>
      <c r="F32" s="19">
        <v>2350</v>
      </c>
      <c r="G32" s="24">
        <v>29.8</v>
      </c>
      <c r="H32" s="24">
        <v>1.83</v>
      </c>
      <c r="I32" s="31"/>
      <c r="J32" s="35"/>
    </row>
    <row r="33" spans="2:10" x14ac:dyDescent="0.25">
      <c r="B33" s="8" t="s">
        <v>436</v>
      </c>
      <c r="C33" s="56" t="s">
        <v>437</v>
      </c>
      <c r="D33" s="53" t="s">
        <v>438</v>
      </c>
      <c r="E33" s="6" t="s">
        <v>111</v>
      </c>
      <c r="F33" s="19">
        <v>1800</v>
      </c>
      <c r="G33" s="24">
        <v>29.04</v>
      </c>
      <c r="H33" s="24">
        <v>1.79</v>
      </c>
      <c r="I33" s="31"/>
      <c r="J33" s="35"/>
    </row>
    <row r="34" spans="2:10" x14ac:dyDescent="0.25">
      <c r="B34" s="8" t="s">
        <v>1530</v>
      </c>
      <c r="C34" s="56" t="s">
        <v>1531</v>
      </c>
      <c r="D34" s="53" t="s">
        <v>1532</v>
      </c>
      <c r="E34" s="6" t="s">
        <v>195</v>
      </c>
      <c r="F34" s="19">
        <v>3535</v>
      </c>
      <c r="G34" s="24">
        <v>28.18</v>
      </c>
      <c r="H34" s="24">
        <v>1.73</v>
      </c>
      <c r="I34" s="31"/>
      <c r="J34" s="35"/>
    </row>
    <row r="35" spans="2:10" x14ac:dyDescent="0.25">
      <c r="B35" s="8" t="s">
        <v>209</v>
      </c>
      <c r="C35" s="56" t="s">
        <v>210</v>
      </c>
      <c r="D35" s="53" t="s">
        <v>211</v>
      </c>
      <c r="E35" s="6" t="s">
        <v>83</v>
      </c>
      <c r="F35" s="19">
        <v>4200</v>
      </c>
      <c r="G35" s="24">
        <v>28</v>
      </c>
      <c r="H35" s="24">
        <v>1.72</v>
      </c>
      <c r="I35" s="31"/>
      <c r="J35" s="35"/>
    </row>
    <row r="36" spans="2:10" x14ac:dyDescent="0.25">
      <c r="B36" s="8" t="s">
        <v>339</v>
      </c>
      <c r="C36" s="56" t="s">
        <v>340</v>
      </c>
      <c r="D36" s="53" t="s">
        <v>341</v>
      </c>
      <c r="E36" s="6" t="s">
        <v>261</v>
      </c>
      <c r="F36" s="19">
        <v>8800</v>
      </c>
      <c r="G36" s="24">
        <v>27.57</v>
      </c>
      <c r="H36" s="24">
        <v>1.7</v>
      </c>
      <c r="I36" s="31"/>
      <c r="J36" s="35"/>
    </row>
    <row r="37" spans="2:10" x14ac:dyDescent="0.25">
      <c r="B37" s="8" t="s">
        <v>755</v>
      </c>
      <c r="C37" s="56" t="s">
        <v>756</v>
      </c>
      <c r="D37" s="53" t="s">
        <v>757</v>
      </c>
      <c r="E37" s="6" t="s">
        <v>47</v>
      </c>
      <c r="F37" s="19">
        <v>12300</v>
      </c>
      <c r="G37" s="24">
        <v>26.66</v>
      </c>
      <c r="H37" s="24">
        <v>1.64</v>
      </c>
      <c r="I37" s="31"/>
      <c r="J37" s="35"/>
    </row>
    <row r="38" spans="2:10" x14ac:dyDescent="0.25">
      <c r="B38" s="8" t="s">
        <v>1354</v>
      </c>
      <c r="C38" s="56" t="s">
        <v>1355</v>
      </c>
      <c r="D38" s="53" t="s">
        <v>1356</v>
      </c>
      <c r="E38" s="6" t="s">
        <v>826</v>
      </c>
      <c r="F38" s="19">
        <v>11300</v>
      </c>
      <c r="G38" s="24">
        <v>24.93</v>
      </c>
      <c r="H38" s="24">
        <v>1.53</v>
      </c>
      <c r="I38" s="31"/>
      <c r="J38" s="35"/>
    </row>
    <row r="39" spans="2:10" x14ac:dyDescent="0.25">
      <c r="B39" s="8" t="s">
        <v>406</v>
      </c>
      <c r="C39" s="56" t="s">
        <v>407</v>
      </c>
      <c r="D39" s="53" t="s">
        <v>408</v>
      </c>
      <c r="E39" s="6" t="s">
        <v>90</v>
      </c>
      <c r="F39" s="19">
        <v>155</v>
      </c>
      <c r="G39" s="24">
        <v>24.67</v>
      </c>
      <c r="H39" s="24">
        <v>1.52</v>
      </c>
      <c r="I39" s="31"/>
      <c r="J39" s="35"/>
    </row>
    <row r="40" spans="2:10" x14ac:dyDescent="0.25">
      <c r="B40" s="8" t="s">
        <v>354</v>
      </c>
      <c r="C40" s="56" t="s">
        <v>355</v>
      </c>
      <c r="D40" s="53" t="s">
        <v>356</v>
      </c>
      <c r="E40" s="6" t="s">
        <v>90</v>
      </c>
      <c r="F40" s="19">
        <v>14100</v>
      </c>
      <c r="G40" s="24">
        <v>24.21</v>
      </c>
      <c r="H40" s="24">
        <v>1.49</v>
      </c>
      <c r="I40" s="31"/>
      <c r="J40" s="35"/>
    </row>
    <row r="41" spans="2:10" x14ac:dyDescent="0.25">
      <c r="B41" s="8" t="s">
        <v>73</v>
      </c>
      <c r="C41" s="56" t="s">
        <v>74</v>
      </c>
      <c r="D41" s="53" t="s">
        <v>75</v>
      </c>
      <c r="E41" s="6" t="s">
        <v>51</v>
      </c>
      <c r="F41" s="19">
        <v>5700</v>
      </c>
      <c r="G41" s="24">
        <v>24.21</v>
      </c>
      <c r="H41" s="24">
        <v>1.49</v>
      </c>
      <c r="I41" s="31"/>
      <c r="J41" s="35"/>
    </row>
    <row r="42" spans="2:10" x14ac:dyDescent="0.25">
      <c r="B42" s="8" t="s">
        <v>883</v>
      </c>
      <c r="C42" s="56" t="s">
        <v>884</v>
      </c>
      <c r="D42" s="53" t="s">
        <v>885</v>
      </c>
      <c r="E42" s="6" t="s">
        <v>886</v>
      </c>
      <c r="F42" s="19">
        <v>19700</v>
      </c>
      <c r="G42" s="24">
        <v>22.85</v>
      </c>
      <c r="H42" s="24">
        <v>1.41</v>
      </c>
      <c r="I42" s="31"/>
      <c r="J42" s="35"/>
    </row>
    <row r="43" spans="2:10" x14ac:dyDescent="0.25">
      <c r="B43" s="8" t="s">
        <v>2264</v>
      </c>
      <c r="C43" s="56" t="s">
        <v>2265</v>
      </c>
      <c r="D43" s="53" t="s">
        <v>2266</v>
      </c>
      <c r="E43" s="6" t="s">
        <v>722</v>
      </c>
      <c r="F43" s="19">
        <v>20700</v>
      </c>
      <c r="G43" s="24">
        <v>15.74</v>
      </c>
      <c r="H43" s="24">
        <v>0.97</v>
      </c>
      <c r="I43" s="31"/>
      <c r="J43" s="35"/>
    </row>
    <row r="44" spans="2:10" x14ac:dyDescent="0.25">
      <c r="B44" s="8" t="s">
        <v>1527</v>
      </c>
      <c r="C44" s="56" t="s">
        <v>1528</v>
      </c>
      <c r="D44" s="53" t="s">
        <v>1529</v>
      </c>
      <c r="E44" s="6" t="s">
        <v>157</v>
      </c>
      <c r="F44" s="19">
        <v>21600</v>
      </c>
      <c r="G44" s="24">
        <v>15.71</v>
      </c>
      <c r="H44" s="24">
        <v>0.97</v>
      </c>
      <c r="I44" s="31"/>
      <c r="J44" s="35"/>
    </row>
    <row r="45" spans="2:10" x14ac:dyDescent="0.25">
      <c r="B45" s="8" t="s">
        <v>180</v>
      </c>
      <c r="C45" s="56" t="s">
        <v>53</v>
      </c>
      <c r="D45" s="53" t="s">
        <v>181</v>
      </c>
      <c r="E45" s="6" t="s">
        <v>55</v>
      </c>
      <c r="F45" s="19">
        <v>305</v>
      </c>
      <c r="G45" s="24">
        <v>4.0999999999999996</v>
      </c>
      <c r="H45" s="24">
        <v>0.25</v>
      </c>
      <c r="I45" s="31"/>
      <c r="J45" s="35" t="s">
        <v>182</v>
      </c>
    </row>
    <row r="46" spans="2:10" x14ac:dyDescent="0.25">
      <c r="C46" s="57" t="s">
        <v>35</v>
      </c>
      <c r="D46" s="53"/>
      <c r="E46" s="6"/>
      <c r="F46" s="19"/>
      <c r="G46" s="25">
        <v>1591.76</v>
      </c>
      <c r="H46" s="25">
        <v>97.97</v>
      </c>
      <c r="I46" s="31"/>
      <c r="J46" s="35"/>
    </row>
    <row r="47" spans="2:10" x14ac:dyDescent="0.25">
      <c r="C47" s="56"/>
      <c r="D47" s="53"/>
      <c r="E47" s="6"/>
      <c r="F47" s="19"/>
      <c r="G47" s="24"/>
      <c r="H47" s="24"/>
      <c r="I47" s="31"/>
      <c r="J47" s="35"/>
    </row>
    <row r="48" spans="2:10" x14ac:dyDescent="0.25">
      <c r="C48" s="57" t="s">
        <v>3</v>
      </c>
      <c r="D48" s="53"/>
      <c r="E48" s="6"/>
      <c r="F48" s="19"/>
      <c r="G48" s="24" t="s">
        <v>2</v>
      </c>
      <c r="H48" s="24" t="s">
        <v>2</v>
      </c>
      <c r="I48" s="31"/>
      <c r="J48" s="35"/>
    </row>
    <row r="49" spans="3:10" x14ac:dyDescent="0.25">
      <c r="C49" s="56"/>
      <c r="D49" s="53"/>
      <c r="E49" s="6"/>
      <c r="F49" s="19"/>
      <c r="G49" s="24"/>
      <c r="H49" s="24"/>
      <c r="I49" s="31"/>
      <c r="J49" s="35"/>
    </row>
    <row r="50" spans="3:10" x14ac:dyDescent="0.25">
      <c r="C50" s="57" t="s">
        <v>4</v>
      </c>
      <c r="D50" s="53"/>
      <c r="E50" s="6"/>
      <c r="F50" s="19"/>
      <c r="G50" s="24" t="s">
        <v>2</v>
      </c>
      <c r="H50" s="24" t="s">
        <v>2</v>
      </c>
      <c r="I50" s="31"/>
      <c r="J50" s="35"/>
    </row>
    <row r="51" spans="3:10" x14ac:dyDescent="0.25">
      <c r="C51" s="56"/>
      <c r="D51" s="53"/>
      <c r="E51" s="6"/>
      <c r="F51" s="19"/>
      <c r="G51" s="24"/>
      <c r="H51" s="24"/>
      <c r="I51" s="31"/>
      <c r="J51" s="35"/>
    </row>
    <row r="52" spans="3:10" x14ac:dyDescent="0.25">
      <c r="C52" s="57" t="s">
        <v>5</v>
      </c>
      <c r="D52" s="53"/>
      <c r="E52" s="6"/>
      <c r="F52" s="19"/>
      <c r="G52" s="24"/>
      <c r="H52" s="24"/>
      <c r="I52" s="31"/>
      <c r="J52" s="35"/>
    </row>
    <row r="53" spans="3:10" x14ac:dyDescent="0.25">
      <c r="C53" s="56"/>
      <c r="D53" s="53"/>
      <c r="E53" s="6"/>
      <c r="F53" s="19"/>
      <c r="G53" s="24"/>
      <c r="H53" s="24"/>
      <c r="I53" s="31"/>
      <c r="J53" s="35"/>
    </row>
    <row r="54" spans="3:10" x14ac:dyDescent="0.25">
      <c r="C54" s="57" t="s">
        <v>6</v>
      </c>
      <c r="D54" s="53"/>
      <c r="E54" s="6"/>
      <c r="F54" s="19"/>
      <c r="G54" s="24" t="s">
        <v>2</v>
      </c>
      <c r="H54" s="24" t="s">
        <v>2</v>
      </c>
      <c r="I54" s="31"/>
      <c r="J54" s="35"/>
    </row>
    <row r="55" spans="3:10" x14ac:dyDescent="0.25">
      <c r="C55" s="56"/>
      <c r="D55" s="53"/>
      <c r="E55" s="6"/>
      <c r="F55" s="19"/>
      <c r="G55" s="24"/>
      <c r="H55" s="24"/>
      <c r="I55" s="31"/>
      <c r="J55" s="35"/>
    </row>
    <row r="56" spans="3:10" x14ac:dyDescent="0.25">
      <c r="C56" s="57" t="s">
        <v>7</v>
      </c>
      <c r="D56" s="53"/>
      <c r="E56" s="6"/>
      <c r="F56" s="19"/>
      <c r="G56" s="24" t="s">
        <v>2</v>
      </c>
      <c r="H56" s="24" t="s">
        <v>2</v>
      </c>
      <c r="I56" s="31"/>
      <c r="J56" s="35"/>
    </row>
    <row r="57" spans="3:10" x14ac:dyDescent="0.25">
      <c r="C57" s="56"/>
      <c r="D57" s="53"/>
      <c r="E57" s="6"/>
      <c r="F57" s="19"/>
      <c r="G57" s="24"/>
      <c r="H57" s="24"/>
      <c r="I57" s="31"/>
      <c r="J57" s="35"/>
    </row>
    <row r="58" spans="3:10" x14ac:dyDescent="0.25">
      <c r="C58" s="57" t="s">
        <v>8</v>
      </c>
      <c r="D58" s="53"/>
      <c r="E58" s="6"/>
      <c r="F58" s="19"/>
      <c r="G58" s="24" t="s">
        <v>2</v>
      </c>
      <c r="H58" s="24" t="s">
        <v>2</v>
      </c>
      <c r="I58" s="31"/>
      <c r="J58" s="35"/>
    </row>
    <row r="59" spans="3:10" x14ac:dyDescent="0.25">
      <c r="C59" s="56"/>
      <c r="D59" s="53"/>
      <c r="E59" s="6"/>
      <c r="F59" s="19"/>
      <c r="G59" s="24"/>
      <c r="H59" s="24"/>
      <c r="I59" s="31"/>
      <c r="J59" s="35"/>
    </row>
    <row r="60" spans="3:10" x14ac:dyDescent="0.25">
      <c r="C60" s="57" t="s">
        <v>9</v>
      </c>
      <c r="D60" s="53"/>
      <c r="E60" s="6"/>
      <c r="F60" s="19"/>
      <c r="G60" s="24" t="s">
        <v>2</v>
      </c>
      <c r="H60" s="24" t="s">
        <v>2</v>
      </c>
      <c r="I60" s="31"/>
      <c r="J60" s="35"/>
    </row>
    <row r="61" spans="3:10" x14ac:dyDescent="0.25">
      <c r="C61" s="56"/>
      <c r="D61" s="53"/>
      <c r="E61" s="6"/>
      <c r="F61" s="19"/>
      <c r="G61" s="24"/>
      <c r="H61" s="24"/>
      <c r="I61" s="31"/>
      <c r="J61" s="35"/>
    </row>
    <row r="62" spans="3:10" x14ac:dyDescent="0.25">
      <c r="C62" s="57" t="s">
        <v>10</v>
      </c>
      <c r="D62" s="53"/>
      <c r="E62" s="6"/>
      <c r="F62" s="19"/>
      <c r="G62" s="24" t="s">
        <v>2</v>
      </c>
      <c r="H62" s="24" t="s">
        <v>2</v>
      </c>
      <c r="I62" s="31"/>
      <c r="J62" s="35"/>
    </row>
    <row r="63" spans="3:10" x14ac:dyDescent="0.25">
      <c r="C63" s="56"/>
      <c r="D63" s="53"/>
      <c r="E63" s="6"/>
      <c r="F63" s="19"/>
      <c r="G63" s="24"/>
      <c r="H63" s="24"/>
      <c r="I63" s="31"/>
      <c r="J63" s="35"/>
    </row>
    <row r="64" spans="3:10" x14ac:dyDescent="0.25">
      <c r="C64" s="57" t="s">
        <v>11</v>
      </c>
      <c r="D64" s="53"/>
      <c r="E64" s="6"/>
      <c r="F64" s="19"/>
      <c r="G64" s="24"/>
      <c r="H64" s="24"/>
      <c r="I64" s="31"/>
      <c r="J64" s="35"/>
    </row>
    <row r="65" spans="1:10" x14ac:dyDescent="0.25">
      <c r="C65" s="56"/>
      <c r="D65" s="53"/>
      <c r="E65" s="6"/>
      <c r="F65" s="19"/>
      <c r="G65" s="24"/>
      <c r="H65" s="24"/>
      <c r="I65" s="31"/>
      <c r="J65" s="35"/>
    </row>
    <row r="66" spans="1:10" x14ac:dyDescent="0.25">
      <c r="C66" s="57" t="s">
        <v>13</v>
      </c>
      <c r="D66" s="53"/>
      <c r="E66" s="6"/>
      <c r="F66" s="19"/>
      <c r="G66" s="24" t="s">
        <v>2</v>
      </c>
      <c r="H66" s="24" t="s">
        <v>2</v>
      </c>
      <c r="I66" s="31"/>
      <c r="J66" s="35"/>
    </row>
    <row r="67" spans="1:10" x14ac:dyDescent="0.25">
      <c r="C67" s="56"/>
      <c r="D67" s="53"/>
      <c r="E67" s="6"/>
      <c r="F67" s="19"/>
      <c r="G67" s="24"/>
      <c r="H67" s="24"/>
      <c r="I67" s="31"/>
      <c r="J67" s="35"/>
    </row>
    <row r="68" spans="1:10" x14ac:dyDescent="0.25">
      <c r="C68" s="57" t="s">
        <v>14</v>
      </c>
      <c r="D68" s="53"/>
      <c r="E68" s="6"/>
      <c r="F68" s="19"/>
      <c r="G68" s="24" t="s">
        <v>2</v>
      </c>
      <c r="H68" s="24" t="s">
        <v>2</v>
      </c>
      <c r="I68" s="31"/>
      <c r="J68" s="35"/>
    </row>
    <row r="69" spans="1:10" x14ac:dyDescent="0.25">
      <c r="C69" s="56"/>
      <c r="D69" s="53"/>
      <c r="E69" s="6"/>
      <c r="F69" s="19"/>
      <c r="G69" s="24"/>
      <c r="H69" s="24"/>
      <c r="I69" s="31"/>
      <c r="J69" s="35"/>
    </row>
    <row r="70" spans="1:10" x14ac:dyDescent="0.25">
      <c r="C70" s="57" t="s">
        <v>15</v>
      </c>
      <c r="D70" s="53"/>
      <c r="E70" s="6"/>
      <c r="F70" s="19"/>
      <c r="G70" s="24" t="s">
        <v>2</v>
      </c>
      <c r="H70" s="24" t="s">
        <v>2</v>
      </c>
      <c r="I70" s="31"/>
      <c r="J70" s="35"/>
    </row>
    <row r="71" spans="1:10" x14ac:dyDescent="0.25">
      <c r="C71" s="56"/>
      <c r="D71" s="53"/>
      <c r="E71" s="6"/>
      <c r="F71" s="19"/>
      <c r="G71" s="24"/>
      <c r="H71" s="24"/>
      <c r="I71" s="31"/>
      <c r="J71" s="35"/>
    </row>
    <row r="72" spans="1:10" x14ac:dyDescent="0.25">
      <c r="C72" s="57" t="s">
        <v>16</v>
      </c>
      <c r="D72" s="53"/>
      <c r="E72" s="6"/>
      <c r="F72" s="19"/>
      <c r="G72" s="24" t="s">
        <v>2</v>
      </c>
      <c r="H72" s="24" t="s">
        <v>2</v>
      </c>
      <c r="I72" s="31"/>
      <c r="J72" s="35"/>
    </row>
    <row r="73" spans="1:10" x14ac:dyDescent="0.25">
      <c r="C73" s="56"/>
      <c r="D73" s="53"/>
      <c r="E73" s="6"/>
      <c r="F73" s="19"/>
      <c r="G73" s="24"/>
      <c r="H73" s="24"/>
      <c r="I73" s="31"/>
      <c r="J73" s="35"/>
    </row>
    <row r="74" spans="1:10" x14ac:dyDescent="0.25">
      <c r="A74" s="10"/>
      <c r="B74" s="28"/>
      <c r="C74" s="58" t="s">
        <v>17</v>
      </c>
      <c r="D74" s="53"/>
      <c r="E74" s="6"/>
      <c r="F74" s="19"/>
      <c r="G74" s="24"/>
      <c r="H74" s="24"/>
      <c r="I74" s="31"/>
      <c r="J74" s="35"/>
    </row>
    <row r="75" spans="1:10" x14ac:dyDescent="0.25">
      <c r="A75" s="28"/>
      <c r="B75" s="28"/>
      <c r="C75" s="58" t="s">
        <v>18</v>
      </c>
      <c r="D75" s="53"/>
      <c r="E75" s="6"/>
      <c r="F75" s="19"/>
      <c r="G75" s="24" t="s">
        <v>2</v>
      </c>
      <c r="H75" s="24" t="s">
        <v>2</v>
      </c>
      <c r="I75" s="31"/>
      <c r="J75" s="35"/>
    </row>
    <row r="76" spans="1:10" x14ac:dyDescent="0.25">
      <c r="A76" s="28"/>
      <c r="B76" s="28"/>
      <c r="C76" s="58"/>
      <c r="D76" s="53"/>
      <c r="E76" s="6"/>
      <c r="F76" s="19"/>
      <c r="G76" s="24"/>
      <c r="H76" s="24"/>
      <c r="I76" s="31"/>
      <c r="J76" s="35"/>
    </row>
    <row r="77" spans="1:10" x14ac:dyDescent="0.25">
      <c r="A77" s="28"/>
      <c r="B77" s="28"/>
      <c r="C77" s="58" t="s">
        <v>19</v>
      </c>
      <c r="D77" s="53"/>
      <c r="E77" s="6"/>
      <c r="F77" s="19"/>
      <c r="G77" s="24" t="s">
        <v>2</v>
      </c>
      <c r="H77" s="24" t="s">
        <v>2</v>
      </c>
      <c r="I77" s="31"/>
      <c r="J77" s="35"/>
    </row>
    <row r="78" spans="1:10" x14ac:dyDescent="0.25">
      <c r="A78" s="28"/>
      <c r="B78" s="28"/>
      <c r="C78" s="58"/>
      <c r="D78" s="53"/>
      <c r="E78" s="6"/>
      <c r="F78" s="19"/>
      <c r="G78" s="24"/>
      <c r="H78" s="24"/>
      <c r="I78" s="31"/>
      <c r="J78" s="35"/>
    </row>
    <row r="79" spans="1:10" x14ac:dyDescent="0.25">
      <c r="A79" s="28"/>
      <c r="B79" s="28"/>
      <c r="C79" s="58" t="s">
        <v>20</v>
      </c>
      <c r="D79" s="53"/>
      <c r="E79" s="6"/>
      <c r="F79" s="19"/>
      <c r="G79" s="24" t="s">
        <v>2</v>
      </c>
      <c r="H79" s="24" t="s">
        <v>2</v>
      </c>
      <c r="I79" s="31"/>
      <c r="J79" s="35"/>
    </row>
    <row r="80" spans="1:10" x14ac:dyDescent="0.25">
      <c r="A80" s="28"/>
      <c r="B80" s="28"/>
      <c r="C80" s="58"/>
      <c r="D80" s="53"/>
      <c r="E80" s="6"/>
      <c r="F80" s="19"/>
      <c r="G80" s="24"/>
      <c r="H80" s="24"/>
      <c r="I80" s="31"/>
      <c r="J80" s="35"/>
    </row>
    <row r="81" spans="1:10" x14ac:dyDescent="0.25">
      <c r="A81" s="28"/>
      <c r="B81" s="28"/>
      <c r="C81" s="58" t="s">
        <v>21</v>
      </c>
      <c r="D81" s="53"/>
      <c r="E81" s="6"/>
      <c r="F81" s="19"/>
      <c r="G81" s="24" t="s">
        <v>2</v>
      </c>
      <c r="H81" s="24" t="s">
        <v>2</v>
      </c>
      <c r="I81" s="31"/>
      <c r="J81" s="35"/>
    </row>
    <row r="82" spans="1:10" x14ac:dyDescent="0.25">
      <c r="A82" s="28"/>
      <c r="B82" s="28"/>
      <c r="C82" s="58"/>
      <c r="D82" s="53"/>
      <c r="E82" s="6"/>
      <c r="F82" s="19"/>
      <c r="G82" s="24"/>
      <c r="H82" s="24"/>
      <c r="I82" s="31"/>
      <c r="J82" s="35"/>
    </row>
    <row r="83" spans="1:10" x14ac:dyDescent="0.25">
      <c r="C83" s="59" t="s">
        <v>22</v>
      </c>
      <c r="D83" s="53"/>
      <c r="E83" s="6"/>
      <c r="F83" s="19"/>
      <c r="G83" s="24"/>
      <c r="H83" s="24"/>
      <c r="I83" s="31"/>
      <c r="J83" s="35"/>
    </row>
    <row r="84" spans="1:10" x14ac:dyDescent="0.25">
      <c r="B84" s="8" t="s">
        <v>33</v>
      </c>
      <c r="C84" s="56" t="s">
        <v>34</v>
      </c>
      <c r="D84" s="53"/>
      <c r="E84" s="6"/>
      <c r="F84" s="19"/>
      <c r="G84" s="24">
        <v>34.979999999999997</v>
      </c>
      <c r="H84" s="24">
        <v>2.15</v>
      </c>
      <c r="I84" s="31"/>
      <c r="J84" s="35"/>
    </row>
    <row r="85" spans="1:10" x14ac:dyDescent="0.25">
      <c r="C85" s="57" t="s">
        <v>35</v>
      </c>
      <c r="D85" s="53"/>
      <c r="E85" s="6"/>
      <c r="F85" s="19"/>
      <c r="G85" s="25">
        <v>34.979999999999997</v>
      </c>
      <c r="H85" s="25">
        <v>2.15</v>
      </c>
      <c r="I85" s="31"/>
      <c r="J85" s="35"/>
    </row>
    <row r="86" spans="1:10" x14ac:dyDescent="0.25">
      <c r="C86" s="56"/>
      <c r="D86" s="53"/>
      <c r="E86" s="6"/>
      <c r="F86" s="19"/>
      <c r="G86" s="24"/>
      <c r="H86" s="24"/>
      <c r="I86" s="31"/>
      <c r="J86" s="35"/>
    </row>
    <row r="87" spans="1:10" x14ac:dyDescent="0.25">
      <c r="A87" s="10"/>
      <c r="B87" s="28"/>
      <c r="C87" s="58" t="s">
        <v>23</v>
      </c>
      <c r="D87" s="53"/>
      <c r="E87" s="6"/>
      <c r="F87" s="19"/>
      <c r="G87" s="24"/>
      <c r="H87" s="24"/>
      <c r="I87" s="31"/>
      <c r="J87" s="35"/>
    </row>
    <row r="88" spans="1:10" x14ac:dyDescent="0.25">
      <c r="A88" s="28"/>
      <c r="B88" s="28"/>
      <c r="C88" s="60" t="s">
        <v>3398</v>
      </c>
      <c r="D88" s="53"/>
      <c r="E88" s="6"/>
      <c r="F88" s="19"/>
      <c r="G88" s="24" t="s">
        <v>2</v>
      </c>
      <c r="H88" s="24" t="s">
        <v>2</v>
      </c>
      <c r="I88" s="31"/>
      <c r="J88" s="35"/>
    </row>
    <row r="89" spans="1:10" x14ac:dyDescent="0.25">
      <c r="B89" s="8"/>
      <c r="C89" s="56" t="s">
        <v>36</v>
      </c>
      <c r="D89" s="53"/>
      <c r="E89" s="6"/>
      <c r="F89" s="19"/>
      <c r="G89" s="24">
        <v>-2.09</v>
      </c>
      <c r="H89" s="24">
        <v>-0.12000000000000001</v>
      </c>
      <c r="I89" s="31"/>
      <c r="J89" s="35"/>
    </row>
    <row r="90" spans="1:10" x14ac:dyDescent="0.25">
      <c r="C90" s="57" t="s">
        <v>35</v>
      </c>
      <c r="D90" s="53"/>
      <c r="E90" s="6"/>
      <c r="F90" s="19"/>
      <c r="G90" s="25">
        <v>-2.09</v>
      </c>
      <c r="H90" s="25">
        <v>-0.12000000000000001</v>
      </c>
      <c r="I90" s="31"/>
      <c r="J90" s="35"/>
    </row>
    <row r="91" spans="1:10" x14ac:dyDescent="0.25">
      <c r="C91" s="56"/>
      <c r="D91" s="53"/>
      <c r="E91" s="6"/>
      <c r="F91" s="19"/>
      <c r="G91" s="24"/>
      <c r="H91" s="24"/>
      <c r="I91" s="31"/>
      <c r="J91" s="35"/>
    </row>
    <row r="92" spans="1:10" x14ac:dyDescent="0.25">
      <c r="C92" s="61" t="s">
        <v>37</v>
      </c>
      <c r="D92" s="54"/>
      <c r="E92" s="5"/>
      <c r="F92" s="20"/>
      <c r="G92" s="26">
        <v>1624.65</v>
      </c>
      <c r="H92" s="26">
        <f>SUMIFS(H:H,C:C,"Total")</f>
        <v>100</v>
      </c>
      <c r="I92" s="32"/>
      <c r="J92" s="36"/>
    </row>
    <row r="95" spans="1:10" x14ac:dyDescent="0.25">
      <c r="C95" s="1" t="s">
        <v>38</v>
      </c>
    </row>
    <row r="96" spans="1:10" x14ac:dyDescent="0.25">
      <c r="C96" s="2" t="s">
        <v>39</v>
      </c>
    </row>
    <row r="97" spans="3:3" x14ac:dyDescent="0.25">
      <c r="C97" s="2" t="s">
        <v>40</v>
      </c>
    </row>
    <row r="98" spans="3:3" x14ac:dyDescent="0.25">
      <c r="C98" s="2" t="s">
        <v>3430</v>
      </c>
    </row>
  </sheetData>
  <hyperlinks>
    <hyperlink ref="J2" location="'Index'!A1" display="'Index'!A1"/>
  </hyperlinks>
  <pageMargins left="0.7" right="0.7" top="0.75" bottom="0.75" header="0.3" footer="0.3"/>
  <pageSetup orientation="portrait" horizontalDpi="4294967293"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1"/>
  <dimension ref="A1:J92"/>
  <sheetViews>
    <sheetView showGridLines="0" zoomScale="90" zoomScaleNormal="90" workbookViewId="0">
      <pane ySplit="6" topLeftCell="A7" activePane="bottomLeft" state="frozen"/>
      <selection pane="bottomLeft" activeCell="D16" sqref="D16"/>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2267</v>
      </c>
      <c r="J2" s="37" t="s">
        <v>3307</v>
      </c>
    </row>
    <row r="3" spans="1:10" ht="16.5" x14ac:dyDescent="0.3">
      <c r="C3" s="1" t="s">
        <v>24</v>
      </c>
      <c r="D3" s="21" t="s">
        <v>2268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52</v>
      </c>
      <c r="C10" s="56" t="s">
        <v>53</v>
      </c>
      <c r="D10" s="53" t="s">
        <v>54</v>
      </c>
      <c r="E10" s="6" t="s">
        <v>55</v>
      </c>
      <c r="F10" s="19">
        <v>20000</v>
      </c>
      <c r="G10" s="24">
        <v>446.87</v>
      </c>
      <c r="H10" s="24">
        <v>9.74</v>
      </c>
      <c r="I10" s="31"/>
      <c r="J10" s="35"/>
    </row>
    <row r="11" spans="1:10" x14ac:dyDescent="0.25">
      <c r="B11" s="8" t="s">
        <v>1357</v>
      </c>
      <c r="C11" s="56" t="s">
        <v>1358</v>
      </c>
      <c r="D11" s="53" t="s">
        <v>1359</v>
      </c>
      <c r="E11" s="6" t="s">
        <v>196</v>
      </c>
      <c r="F11" s="19">
        <v>55250</v>
      </c>
      <c r="G11" s="24">
        <v>333.88</v>
      </c>
      <c r="H11" s="24">
        <v>7.27</v>
      </c>
      <c r="I11" s="31"/>
      <c r="J11" s="35"/>
    </row>
    <row r="12" spans="1:10" x14ac:dyDescent="0.25">
      <c r="B12" s="8" t="s">
        <v>307</v>
      </c>
      <c r="C12" s="56" t="s">
        <v>308</v>
      </c>
      <c r="D12" s="53" t="s">
        <v>309</v>
      </c>
      <c r="E12" s="6" t="s">
        <v>90</v>
      </c>
      <c r="F12" s="19">
        <v>40187</v>
      </c>
      <c r="G12" s="24">
        <v>313.44</v>
      </c>
      <c r="H12" s="24">
        <v>6.83</v>
      </c>
      <c r="I12" s="31"/>
      <c r="J12" s="35"/>
    </row>
    <row r="13" spans="1:10" x14ac:dyDescent="0.25">
      <c r="B13" s="8" t="s">
        <v>802</v>
      </c>
      <c r="C13" s="56" t="s">
        <v>803</v>
      </c>
      <c r="D13" s="53" t="s">
        <v>804</v>
      </c>
      <c r="E13" s="6" t="s">
        <v>195</v>
      </c>
      <c r="F13" s="19">
        <v>35144</v>
      </c>
      <c r="G13" s="24">
        <v>235.8</v>
      </c>
      <c r="H13" s="24">
        <v>5.14</v>
      </c>
      <c r="I13" s="31"/>
      <c r="J13" s="35"/>
    </row>
    <row r="14" spans="1:10" x14ac:dyDescent="0.25">
      <c r="B14" s="8" t="s">
        <v>48</v>
      </c>
      <c r="C14" s="56" t="s">
        <v>49</v>
      </c>
      <c r="D14" s="53" t="s">
        <v>50</v>
      </c>
      <c r="E14" s="6" t="s">
        <v>51</v>
      </c>
      <c r="F14" s="19">
        <v>21400</v>
      </c>
      <c r="G14" s="24">
        <v>230.82</v>
      </c>
      <c r="H14" s="24">
        <v>5.03</v>
      </c>
      <c r="I14" s="31"/>
      <c r="J14" s="35"/>
    </row>
    <row r="15" spans="1:10" x14ac:dyDescent="0.25">
      <c r="B15" s="8" t="s">
        <v>412</v>
      </c>
      <c r="C15" s="56" t="s">
        <v>413</v>
      </c>
      <c r="D15" s="53" t="s">
        <v>414</v>
      </c>
      <c r="E15" s="6" t="s">
        <v>111</v>
      </c>
      <c r="F15" s="19">
        <v>4000</v>
      </c>
      <c r="G15" s="24">
        <v>207.51</v>
      </c>
      <c r="H15" s="24">
        <v>4.5199999999999996</v>
      </c>
      <c r="I15" s="31"/>
      <c r="J15" s="35"/>
    </row>
    <row r="16" spans="1:10" x14ac:dyDescent="0.25">
      <c r="B16" s="8" t="s">
        <v>451</v>
      </c>
      <c r="C16" s="56" t="s">
        <v>452</v>
      </c>
      <c r="D16" s="53" t="s">
        <v>453</v>
      </c>
      <c r="E16" s="6" t="s">
        <v>157</v>
      </c>
      <c r="F16" s="19">
        <v>165000</v>
      </c>
      <c r="G16" s="24">
        <v>200.23</v>
      </c>
      <c r="H16" s="24">
        <v>4.3600000000000003</v>
      </c>
      <c r="I16" s="31"/>
      <c r="J16" s="35"/>
    </row>
    <row r="17" spans="2:10" x14ac:dyDescent="0.25">
      <c r="B17" s="8" t="s">
        <v>1537</v>
      </c>
      <c r="C17" s="56" t="s">
        <v>1538</v>
      </c>
      <c r="D17" s="53" t="s">
        <v>1539</v>
      </c>
      <c r="E17" s="6" t="s">
        <v>195</v>
      </c>
      <c r="F17" s="19">
        <v>162000</v>
      </c>
      <c r="G17" s="24">
        <v>185.9</v>
      </c>
      <c r="H17" s="24">
        <v>4.05</v>
      </c>
      <c r="I17" s="31"/>
      <c r="J17" s="35"/>
    </row>
    <row r="18" spans="2:10" x14ac:dyDescent="0.25">
      <c r="B18" s="8" t="s">
        <v>76</v>
      </c>
      <c r="C18" s="56" t="s">
        <v>77</v>
      </c>
      <c r="D18" s="53" t="s">
        <v>78</v>
      </c>
      <c r="E18" s="6" t="s">
        <v>79</v>
      </c>
      <c r="F18" s="19">
        <v>20300</v>
      </c>
      <c r="G18" s="24">
        <v>183.02</v>
      </c>
      <c r="H18" s="24">
        <v>3.99</v>
      </c>
      <c r="I18" s="31"/>
      <c r="J18" s="35"/>
    </row>
    <row r="19" spans="2:10" x14ac:dyDescent="0.25">
      <c r="B19" s="8" t="s">
        <v>472</v>
      </c>
      <c r="C19" s="56" t="s">
        <v>473</v>
      </c>
      <c r="D19" s="53" t="s">
        <v>474</v>
      </c>
      <c r="E19" s="6" t="s">
        <v>254</v>
      </c>
      <c r="F19" s="19">
        <v>25000</v>
      </c>
      <c r="G19" s="24">
        <v>182.26</v>
      </c>
      <c r="H19" s="24">
        <v>3.97</v>
      </c>
      <c r="I19" s="31"/>
      <c r="J19" s="35"/>
    </row>
    <row r="20" spans="2:10" x14ac:dyDescent="0.25">
      <c r="B20" s="8" t="s">
        <v>336</v>
      </c>
      <c r="C20" s="56" t="s">
        <v>337</v>
      </c>
      <c r="D20" s="53" t="s">
        <v>338</v>
      </c>
      <c r="E20" s="6" t="s">
        <v>94</v>
      </c>
      <c r="F20" s="19">
        <v>9900</v>
      </c>
      <c r="G20" s="24">
        <v>170.56</v>
      </c>
      <c r="H20" s="24">
        <v>3.72</v>
      </c>
      <c r="I20" s="31"/>
      <c r="J20" s="35"/>
    </row>
    <row r="21" spans="2:10" x14ac:dyDescent="0.25">
      <c r="B21" s="8" t="s">
        <v>460</v>
      </c>
      <c r="C21" s="56" t="s">
        <v>461</v>
      </c>
      <c r="D21" s="53" t="s">
        <v>462</v>
      </c>
      <c r="E21" s="6" t="s">
        <v>51</v>
      </c>
      <c r="F21" s="19">
        <v>70950</v>
      </c>
      <c r="G21" s="24">
        <v>160.6</v>
      </c>
      <c r="H21" s="24">
        <v>3.5</v>
      </c>
      <c r="I21" s="31"/>
      <c r="J21" s="35"/>
    </row>
    <row r="22" spans="2:10" x14ac:dyDescent="0.25">
      <c r="B22" s="8" t="s">
        <v>209</v>
      </c>
      <c r="C22" s="56" t="s">
        <v>210</v>
      </c>
      <c r="D22" s="53" t="s">
        <v>211</v>
      </c>
      <c r="E22" s="6" t="s">
        <v>83</v>
      </c>
      <c r="F22" s="19">
        <v>23500</v>
      </c>
      <c r="G22" s="24">
        <v>156.66</v>
      </c>
      <c r="H22" s="24">
        <v>3.41</v>
      </c>
      <c r="I22" s="31"/>
      <c r="J22" s="35"/>
    </row>
    <row r="23" spans="2:10" x14ac:dyDescent="0.25">
      <c r="B23" s="8" t="s">
        <v>1530</v>
      </c>
      <c r="C23" s="56" t="s">
        <v>1531</v>
      </c>
      <c r="D23" s="53" t="s">
        <v>1532</v>
      </c>
      <c r="E23" s="6" t="s">
        <v>195</v>
      </c>
      <c r="F23" s="19">
        <v>19000</v>
      </c>
      <c r="G23" s="24">
        <v>151.49</v>
      </c>
      <c r="H23" s="24">
        <v>3.3</v>
      </c>
      <c r="I23" s="31"/>
      <c r="J23" s="35"/>
    </row>
    <row r="24" spans="2:10" x14ac:dyDescent="0.25">
      <c r="B24" s="8" t="s">
        <v>56</v>
      </c>
      <c r="C24" s="56" t="s">
        <v>57</v>
      </c>
      <c r="D24" s="53" t="s">
        <v>58</v>
      </c>
      <c r="E24" s="6" t="s">
        <v>47</v>
      </c>
      <c r="F24" s="19">
        <v>6000</v>
      </c>
      <c r="G24" s="24">
        <v>149.54</v>
      </c>
      <c r="H24" s="24">
        <v>3.26</v>
      </c>
      <c r="I24" s="31"/>
      <c r="J24" s="35"/>
    </row>
    <row r="25" spans="2:10" x14ac:dyDescent="0.25">
      <c r="B25" s="8" t="s">
        <v>363</v>
      </c>
      <c r="C25" s="56" t="s">
        <v>364</v>
      </c>
      <c r="D25" s="53" t="s">
        <v>365</v>
      </c>
      <c r="E25" s="6" t="s">
        <v>366</v>
      </c>
      <c r="F25" s="19">
        <v>40000</v>
      </c>
      <c r="G25" s="24">
        <v>143.19999999999999</v>
      </c>
      <c r="H25" s="24">
        <v>3.12</v>
      </c>
      <c r="I25" s="31"/>
      <c r="J25" s="35"/>
    </row>
    <row r="26" spans="2:10" x14ac:dyDescent="0.25">
      <c r="B26" s="8" t="s">
        <v>136</v>
      </c>
      <c r="C26" s="56" t="s">
        <v>137</v>
      </c>
      <c r="D26" s="53" t="s">
        <v>138</v>
      </c>
      <c r="E26" s="6" t="s">
        <v>41</v>
      </c>
      <c r="F26" s="19">
        <v>3500</v>
      </c>
      <c r="G26" s="24">
        <v>141.72999999999999</v>
      </c>
      <c r="H26" s="24">
        <v>3.09</v>
      </c>
      <c r="I26" s="31"/>
      <c r="J26" s="35"/>
    </row>
    <row r="27" spans="2:10" x14ac:dyDescent="0.25">
      <c r="B27" s="8" t="s">
        <v>769</v>
      </c>
      <c r="C27" s="56" t="s">
        <v>770</v>
      </c>
      <c r="D27" s="53" t="s">
        <v>771</v>
      </c>
      <c r="E27" s="6" t="s">
        <v>111</v>
      </c>
      <c r="F27" s="19">
        <v>17500</v>
      </c>
      <c r="G27" s="24">
        <v>139.38999999999999</v>
      </c>
      <c r="H27" s="24">
        <v>3.04</v>
      </c>
      <c r="I27" s="31"/>
      <c r="J27" s="35"/>
    </row>
    <row r="28" spans="2:10" x14ac:dyDescent="0.25">
      <c r="B28" s="8" t="s">
        <v>112</v>
      </c>
      <c r="C28" s="56" t="s">
        <v>113</v>
      </c>
      <c r="D28" s="53" t="s">
        <v>114</v>
      </c>
      <c r="E28" s="6" t="s">
        <v>111</v>
      </c>
      <c r="F28" s="19">
        <v>4500</v>
      </c>
      <c r="G28" s="24">
        <v>137.16</v>
      </c>
      <c r="H28" s="24">
        <v>2.99</v>
      </c>
      <c r="I28" s="31"/>
      <c r="J28" s="35"/>
    </row>
    <row r="29" spans="2:10" x14ac:dyDescent="0.25">
      <c r="B29" s="8" t="s">
        <v>161</v>
      </c>
      <c r="C29" s="56" t="s">
        <v>162</v>
      </c>
      <c r="D29" s="53" t="s">
        <v>163</v>
      </c>
      <c r="E29" s="6" t="s">
        <v>94</v>
      </c>
      <c r="F29" s="19">
        <v>31000</v>
      </c>
      <c r="G29" s="24">
        <v>130.47999999999999</v>
      </c>
      <c r="H29" s="24">
        <v>2.84</v>
      </c>
      <c r="I29" s="31"/>
      <c r="J29" s="35"/>
    </row>
    <row r="30" spans="2:10" x14ac:dyDescent="0.25">
      <c r="B30" s="8" t="s">
        <v>871</v>
      </c>
      <c r="C30" s="56" t="s">
        <v>872</v>
      </c>
      <c r="D30" s="53" t="s">
        <v>873</v>
      </c>
      <c r="E30" s="6" t="s">
        <v>51</v>
      </c>
      <c r="F30" s="19">
        <v>21500</v>
      </c>
      <c r="G30" s="24">
        <v>113.39</v>
      </c>
      <c r="H30" s="24">
        <v>2.4700000000000002</v>
      </c>
      <c r="I30" s="31"/>
      <c r="J30" s="35"/>
    </row>
    <row r="31" spans="2:10" x14ac:dyDescent="0.25">
      <c r="B31" s="8" t="s">
        <v>1491</v>
      </c>
      <c r="C31" s="56" t="s">
        <v>691</v>
      </c>
      <c r="D31" s="53" t="s">
        <v>1492</v>
      </c>
      <c r="E31" s="6" t="s">
        <v>94</v>
      </c>
      <c r="F31" s="19">
        <v>43500</v>
      </c>
      <c r="G31" s="24">
        <v>108.38</v>
      </c>
      <c r="H31" s="24">
        <v>2.36</v>
      </c>
      <c r="I31" s="31"/>
      <c r="J31" s="35"/>
    </row>
    <row r="32" spans="2:10" x14ac:dyDescent="0.25">
      <c r="B32" s="8" t="s">
        <v>164</v>
      </c>
      <c r="C32" s="56" t="s">
        <v>165</v>
      </c>
      <c r="D32" s="53" t="s">
        <v>166</v>
      </c>
      <c r="E32" s="6" t="s">
        <v>51</v>
      </c>
      <c r="F32" s="19">
        <v>56000</v>
      </c>
      <c r="G32" s="24">
        <v>103.82</v>
      </c>
      <c r="H32" s="24">
        <v>2.2599999999999998</v>
      </c>
      <c r="I32" s="31"/>
      <c r="J32" s="35"/>
    </row>
    <row r="33" spans="2:10" x14ac:dyDescent="0.25">
      <c r="B33" s="8" t="s">
        <v>180</v>
      </c>
      <c r="C33" s="56" t="s">
        <v>53</v>
      </c>
      <c r="D33" s="53" t="s">
        <v>181</v>
      </c>
      <c r="E33" s="6" t="s">
        <v>55</v>
      </c>
      <c r="F33" s="19">
        <v>1333</v>
      </c>
      <c r="G33" s="24">
        <v>17.91</v>
      </c>
      <c r="H33" s="24">
        <v>0.39</v>
      </c>
      <c r="I33" s="31"/>
      <c r="J33" s="35" t="s">
        <v>182</v>
      </c>
    </row>
    <row r="34" spans="2:10" x14ac:dyDescent="0.25">
      <c r="B34" s="8" t="s">
        <v>139</v>
      </c>
      <c r="C34" s="56" t="s">
        <v>140</v>
      </c>
      <c r="D34" s="53" t="s">
        <v>141</v>
      </c>
      <c r="E34" s="6" t="s">
        <v>142</v>
      </c>
      <c r="F34" s="19">
        <v>500</v>
      </c>
      <c r="G34" s="24">
        <v>6.25</v>
      </c>
      <c r="H34" s="24">
        <v>0.14000000000000001</v>
      </c>
      <c r="I34" s="31"/>
      <c r="J34" s="35"/>
    </row>
    <row r="35" spans="2:10" x14ac:dyDescent="0.25">
      <c r="B35" s="8" t="s">
        <v>2208</v>
      </c>
      <c r="C35" s="56" t="s">
        <v>2209</v>
      </c>
      <c r="D35" s="53" t="s">
        <v>2210</v>
      </c>
      <c r="E35" s="6" t="s">
        <v>254</v>
      </c>
      <c r="F35" s="19">
        <v>5000</v>
      </c>
      <c r="G35" s="24">
        <v>5.27</v>
      </c>
      <c r="H35" s="24">
        <v>0.11</v>
      </c>
      <c r="I35" s="31"/>
      <c r="J35" s="35"/>
    </row>
    <row r="36" spans="2:10" x14ac:dyDescent="0.25">
      <c r="B36" s="8" t="s">
        <v>44</v>
      </c>
      <c r="C36" s="56" t="s">
        <v>45</v>
      </c>
      <c r="D36" s="53" t="s">
        <v>46</v>
      </c>
      <c r="E36" s="6" t="s">
        <v>47</v>
      </c>
      <c r="F36" s="19">
        <v>500</v>
      </c>
      <c r="G36" s="24">
        <v>5.04</v>
      </c>
      <c r="H36" s="24">
        <v>0.11</v>
      </c>
      <c r="I36" s="31"/>
      <c r="J36" s="35"/>
    </row>
    <row r="37" spans="2:10" x14ac:dyDescent="0.25">
      <c r="B37" s="8" t="s">
        <v>1997</v>
      </c>
      <c r="C37" s="56" t="s">
        <v>1150</v>
      </c>
      <c r="D37" s="53" t="s">
        <v>1998</v>
      </c>
      <c r="E37" s="6" t="s">
        <v>94</v>
      </c>
      <c r="F37" s="19">
        <v>1000</v>
      </c>
      <c r="G37" s="24">
        <v>4.16</v>
      </c>
      <c r="H37" s="24">
        <v>0.09</v>
      </c>
      <c r="I37" s="31"/>
      <c r="J37" s="35"/>
    </row>
    <row r="38" spans="2:10" x14ac:dyDescent="0.25">
      <c r="B38" s="8" t="s">
        <v>150</v>
      </c>
      <c r="C38" s="56" t="s">
        <v>151</v>
      </c>
      <c r="D38" s="53" t="s">
        <v>152</v>
      </c>
      <c r="E38" s="6" t="s">
        <v>153</v>
      </c>
      <c r="F38" s="19">
        <v>1000</v>
      </c>
      <c r="G38" s="24">
        <v>3.6</v>
      </c>
      <c r="H38" s="24">
        <v>0.08</v>
      </c>
      <c r="I38" s="31"/>
      <c r="J38" s="35"/>
    </row>
    <row r="39" spans="2:10" x14ac:dyDescent="0.25">
      <c r="B39" s="8" t="s">
        <v>1692</v>
      </c>
      <c r="C39" s="56" t="s">
        <v>1693</v>
      </c>
      <c r="D39" s="53" t="s">
        <v>1694</v>
      </c>
      <c r="E39" s="6" t="s">
        <v>274</v>
      </c>
      <c r="F39" s="19">
        <v>2000</v>
      </c>
      <c r="G39" s="24">
        <v>1</v>
      </c>
      <c r="H39" s="24">
        <v>0.02</v>
      </c>
      <c r="I39" s="31"/>
      <c r="J39" s="35"/>
    </row>
    <row r="40" spans="2:10" x14ac:dyDescent="0.25">
      <c r="C40" s="57" t="s">
        <v>35</v>
      </c>
      <c r="D40" s="53"/>
      <c r="E40" s="6"/>
      <c r="F40" s="19"/>
      <c r="G40" s="25">
        <v>4369.3599999999997</v>
      </c>
      <c r="H40" s="25">
        <v>95.2</v>
      </c>
      <c r="I40" s="31"/>
      <c r="J40" s="35"/>
    </row>
    <row r="41" spans="2:10" x14ac:dyDescent="0.25">
      <c r="C41" s="56"/>
      <c r="D41" s="53"/>
      <c r="E41" s="6"/>
      <c r="F41" s="19"/>
      <c r="G41" s="24"/>
      <c r="H41" s="24"/>
      <c r="I41" s="31"/>
      <c r="J41" s="35"/>
    </row>
    <row r="42" spans="2:10" x14ac:dyDescent="0.25">
      <c r="C42" s="57" t="s">
        <v>3</v>
      </c>
      <c r="D42" s="53"/>
      <c r="E42" s="6"/>
      <c r="F42" s="19"/>
      <c r="G42" s="24" t="s">
        <v>2</v>
      </c>
      <c r="H42" s="24" t="s">
        <v>2</v>
      </c>
      <c r="I42" s="31"/>
      <c r="J42" s="35"/>
    </row>
    <row r="43" spans="2:10" x14ac:dyDescent="0.25">
      <c r="C43" s="56"/>
      <c r="D43" s="53"/>
      <c r="E43" s="6"/>
      <c r="F43" s="19"/>
      <c r="G43" s="24"/>
      <c r="H43" s="24"/>
      <c r="I43" s="31"/>
      <c r="J43" s="35"/>
    </row>
    <row r="44" spans="2:10" x14ac:dyDescent="0.25">
      <c r="C44" s="57" t="s">
        <v>4</v>
      </c>
      <c r="D44" s="53"/>
      <c r="E44" s="6"/>
      <c r="F44" s="19"/>
      <c r="G44" s="24" t="s">
        <v>2</v>
      </c>
      <c r="H44" s="24" t="s">
        <v>2</v>
      </c>
      <c r="I44" s="31"/>
      <c r="J44" s="35"/>
    </row>
    <row r="45" spans="2:10" x14ac:dyDescent="0.25">
      <c r="C45" s="56"/>
      <c r="D45" s="53"/>
      <c r="E45" s="6"/>
      <c r="F45" s="19"/>
      <c r="G45" s="24"/>
      <c r="H45" s="24"/>
      <c r="I45" s="31"/>
      <c r="J45" s="35"/>
    </row>
    <row r="46" spans="2:10" x14ac:dyDescent="0.25">
      <c r="C46" s="57" t="s">
        <v>5</v>
      </c>
      <c r="D46" s="53"/>
      <c r="E46" s="6"/>
      <c r="F46" s="19"/>
      <c r="G46" s="24"/>
      <c r="H46" s="24"/>
      <c r="I46" s="31"/>
      <c r="J46" s="35"/>
    </row>
    <row r="47" spans="2:10" x14ac:dyDescent="0.25">
      <c r="C47" s="56"/>
      <c r="D47" s="53"/>
      <c r="E47" s="6"/>
      <c r="F47" s="19"/>
      <c r="G47" s="24"/>
      <c r="H47" s="24"/>
      <c r="I47" s="31"/>
      <c r="J47" s="35"/>
    </row>
    <row r="48" spans="2:10" x14ac:dyDescent="0.25">
      <c r="C48" s="57" t="s">
        <v>6</v>
      </c>
      <c r="D48" s="53"/>
      <c r="E48" s="6"/>
      <c r="F48" s="19"/>
      <c r="G48" s="24" t="s">
        <v>2</v>
      </c>
      <c r="H48" s="24" t="s">
        <v>2</v>
      </c>
      <c r="I48" s="31"/>
      <c r="J48" s="35"/>
    </row>
    <row r="49" spans="3:10" x14ac:dyDescent="0.25">
      <c r="C49" s="56"/>
      <c r="D49" s="53"/>
      <c r="E49" s="6"/>
      <c r="F49" s="19"/>
      <c r="G49" s="24"/>
      <c r="H49" s="24"/>
      <c r="I49" s="31"/>
      <c r="J49" s="35"/>
    </row>
    <row r="50" spans="3:10" x14ac:dyDescent="0.25">
      <c r="C50" s="57" t="s">
        <v>7</v>
      </c>
      <c r="D50" s="53"/>
      <c r="E50" s="6"/>
      <c r="F50" s="19"/>
      <c r="G50" s="24" t="s">
        <v>2</v>
      </c>
      <c r="H50" s="24" t="s">
        <v>2</v>
      </c>
      <c r="I50" s="31"/>
      <c r="J50" s="35"/>
    </row>
    <row r="51" spans="3:10" x14ac:dyDescent="0.25">
      <c r="C51" s="56"/>
      <c r="D51" s="53"/>
      <c r="E51" s="6"/>
      <c r="F51" s="19"/>
      <c r="G51" s="24"/>
      <c r="H51" s="24"/>
      <c r="I51" s="31"/>
      <c r="J51" s="35"/>
    </row>
    <row r="52" spans="3:10" x14ac:dyDescent="0.25">
      <c r="C52" s="57" t="s">
        <v>8</v>
      </c>
      <c r="D52" s="53"/>
      <c r="E52" s="6"/>
      <c r="F52" s="19"/>
      <c r="G52" s="24" t="s">
        <v>2</v>
      </c>
      <c r="H52" s="24" t="s">
        <v>2</v>
      </c>
      <c r="I52" s="31"/>
      <c r="J52" s="35"/>
    </row>
    <row r="53" spans="3:10" x14ac:dyDescent="0.25">
      <c r="C53" s="56"/>
      <c r="D53" s="53"/>
      <c r="E53" s="6"/>
      <c r="F53" s="19"/>
      <c r="G53" s="24"/>
      <c r="H53" s="24"/>
      <c r="I53" s="31"/>
      <c r="J53" s="35"/>
    </row>
    <row r="54" spans="3:10" x14ac:dyDescent="0.25">
      <c r="C54" s="57" t="s">
        <v>9</v>
      </c>
      <c r="D54" s="53"/>
      <c r="E54" s="6"/>
      <c r="F54" s="19"/>
      <c r="G54" s="24" t="s">
        <v>2</v>
      </c>
      <c r="H54" s="24" t="s">
        <v>2</v>
      </c>
      <c r="I54" s="31"/>
      <c r="J54" s="35"/>
    </row>
    <row r="55" spans="3:10" x14ac:dyDescent="0.25">
      <c r="C55" s="56"/>
      <c r="D55" s="53"/>
      <c r="E55" s="6"/>
      <c r="F55" s="19"/>
      <c r="G55" s="24"/>
      <c r="H55" s="24"/>
      <c r="I55" s="31"/>
      <c r="J55" s="35"/>
    </row>
    <row r="56" spans="3:10" x14ac:dyDescent="0.25">
      <c r="C56" s="57" t="s">
        <v>10</v>
      </c>
      <c r="D56" s="53"/>
      <c r="E56" s="6"/>
      <c r="F56" s="19"/>
      <c r="G56" s="24" t="s">
        <v>2</v>
      </c>
      <c r="H56" s="24" t="s">
        <v>2</v>
      </c>
      <c r="I56" s="31"/>
      <c r="J56" s="35"/>
    </row>
    <row r="57" spans="3:10" x14ac:dyDescent="0.25">
      <c r="C57" s="56"/>
      <c r="D57" s="53"/>
      <c r="E57" s="6"/>
      <c r="F57" s="19"/>
      <c r="G57" s="24"/>
      <c r="H57" s="24"/>
      <c r="I57" s="31"/>
      <c r="J57" s="35"/>
    </row>
    <row r="58" spans="3:10" x14ac:dyDescent="0.25">
      <c r="C58" s="57" t="s">
        <v>11</v>
      </c>
      <c r="D58" s="53"/>
      <c r="E58" s="6"/>
      <c r="F58" s="19"/>
      <c r="G58" s="24"/>
      <c r="H58" s="24"/>
      <c r="I58" s="31"/>
      <c r="J58" s="35"/>
    </row>
    <row r="59" spans="3:10" x14ac:dyDescent="0.25">
      <c r="C59" s="56"/>
      <c r="D59" s="53"/>
      <c r="E59" s="6"/>
      <c r="F59" s="19"/>
      <c r="G59" s="24"/>
      <c r="H59" s="24"/>
      <c r="I59" s="31"/>
      <c r="J59" s="35"/>
    </row>
    <row r="60" spans="3:10" x14ac:dyDescent="0.25">
      <c r="C60" s="57" t="s">
        <v>13</v>
      </c>
      <c r="D60" s="53"/>
      <c r="E60" s="6"/>
      <c r="F60" s="19"/>
      <c r="G60" s="24" t="s">
        <v>2</v>
      </c>
      <c r="H60" s="24" t="s">
        <v>2</v>
      </c>
      <c r="I60" s="31"/>
      <c r="J60" s="35"/>
    </row>
    <row r="61" spans="3:10" x14ac:dyDescent="0.25">
      <c r="C61" s="56"/>
      <c r="D61" s="53"/>
      <c r="E61" s="6"/>
      <c r="F61" s="19"/>
      <c r="G61" s="24"/>
      <c r="H61" s="24"/>
      <c r="I61" s="31"/>
      <c r="J61" s="35"/>
    </row>
    <row r="62" spans="3:10" x14ac:dyDescent="0.25">
      <c r="C62" s="57" t="s">
        <v>14</v>
      </c>
      <c r="D62" s="53"/>
      <c r="E62" s="6"/>
      <c r="F62" s="19"/>
      <c r="G62" s="24" t="s">
        <v>2</v>
      </c>
      <c r="H62" s="24" t="s">
        <v>2</v>
      </c>
      <c r="I62" s="31"/>
      <c r="J62" s="35"/>
    </row>
    <row r="63" spans="3:10" x14ac:dyDescent="0.25">
      <c r="C63" s="56"/>
      <c r="D63" s="53"/>
      <c r="E63" s="6"/>
      <c r="F63" s="19"/>
      <c r="G63" s="24"/>
      <c r="H63" s="24"/>
      <c r="I63" s="31"/>
      <c r="J63" s="35"/>
    </row>
    <row r="64" spans="3:10" x14ac:dyDescent="0.25">
      <c r="C64" s="57" t="s">
        <v>15</v>
      </c>
      <c r="D64" s="53"/>
      <c r="E64" s="6"/>
      <c r="F64" s="19"/>
      <c r="G64" s="24" t="s">
        <v>2</v>
      </c>
      <c r="H64" s="24" t="s">
        <v>2</v>
      </c>
      <c r="I64" s="31"/>
      <c r="J64" s="35"/>
    </row>
    <row r="65" spans="1:10" x14ac:dyDescent="0.25">
      <c r="C65" s="56"/>
      <c r="D65" s="53"/>
      <c r="E65" s="6"/>
      <c r="F65" s="19"/>
      <c r="G65" s="24"/>
      <c r="H65" s="24"/>
      <c r="I65" s="31"/>
      <c r="J65" s="35"/>
    </row>
    <row r="66" spans="1:10" x14ac:dyDescent="0.25">
      <c r="C66" s="57" t="s">
        <v>16</v>
      </c>
      <c r="D66" s="53"/>
      <c r="E66" s="6"/>
      <c r="F66" s="19"/>
      <c r="G66" s="24" t="s">
        <v>2</v>
      </c>
      <c r="H66" s="24" t="s">
        <v>2</v>
      </c>
      <c r="I66" s="31"/>
      <c r="J66" s="35"/>
    </row>
    <row r="67" spans="1:10" x14ac:dyDescent="0.25">
      <c r="C67" s="56"/>
      <c r="D67" s="53"/>
      <c r="E67" s="6"/>
      <c r="F67" s="19"/>
      <c r="G67" s="24"/>
      <c r="H67" s="24"/>
      <c r="I67" s="31"/>
      <c r="J67" s="35"/>
    </row>
    <row r="68" spans="1:10" x14ac:dyDescent="0.25">
      <c r="A68" s="10"/>
      <c r="B68" s="28"/>
      <c r="C68" s="58" t="s">
        <v>17</v>
      </c>
      <c r="D68" s="53"/>
      <c r="E68" s="6"/>
      <c r="F68" s="19"/>
      <c r="G68" s="24"/>
      <c r="H68" s="24"/>
      <c r="I68" s="31"/>
      <c r="J68" s="35"/>
    </row>
    <row r="69" spans="1:10" x14ac:dyDescent="0.25">
      <c r="A69" s="28"/>
      <c r="B69" s="28"/>
      <c r="C69" s="58" t="s">
        <v>18</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19</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20</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A75" s="28"/>
      <c r="B75" s="28"/>
      <c r="C75" s="58" t="s">
        <v>21</v>
      </c>
      <c r="D75" s="53"/>
      <c r="E75" s="6"/>
      <c r="F75" s="19"/>
      <c r="G75" s="24" t="s">
        <v>2</v>
      </c>
      <c r="H75" s="24" t="s">
        <v>2</v>
      </c>
      <c r="I75" s="31"/>
      <c r="J75" s="35"/>
    </row>
    <row r="76" spans="1:10" x14ac:dyDescent="0.25">
      <c r="A76" s="28"/>
      <c r="B76" s="28"/>
      <c r="C76" s="58"/>
      <c r="D76" s="53"/>
      <c r="E76" s="6"/>
      <c r="F76" s="19"/>
      <c r="G76" s="24"/>
      <c r="H76" s="24"/>
      <c r="I76" s="31"/>
      <c r="J76" s="35"/>
    </row>
    <row r="77" spans="1:10" x14ac:dyDescent="0.25">
      <c r="C77" s="59" t="s">
        <v>22</v>
      </c>
      <c r="D77" s="53"/>
      <c r="E77" s="6"/>
      <c r="F77" s="19"/>
      <c r="G77" s="24"/>
      <c r="H77" s="24"/>
      <c r="I77" s="31"/>
      <c r="J77" s="35"/>
    </row>
    <row r="78" spans="1:10" x14ac:dyDescent="0.25">
      <c r="B78" s="8" t="s">
        <v>33</v>
      </c>
      <c r="C78" s="56" t="s">
        <v>34</v>
      </c>
      <c r="D78" s="53"/>
      <c r="E78" s="6"/>
      <c r="F78" s="19"/>
      <c r="G78" s="24">
        <v>160.99</v>
      </c>
      <c r="H78" s="24">
        <v>3.51</v>
      </c>
      <c r="I78" s="31"/>
      <c r="J78" s="35"/>
    </row>
    <row r="79" spans="1:10" x14ac:dyDescent="0.25">
      <c r="C79" s="57" t="s">
        <v>35</v>
      </c>
      <c r="D79" s="53"/>
      <c r="E79" s="6"/>
      <c r="F79" s="19"/>
      <c r="G79" s="25">
        <v>160.99</v>
      </c>
      <c r="H79" s="25">
        <v>3.51</v>
      </c>
      <c r="I79" s="31"/>
      <c r="J79" s="35"/>
    </row>
    <row r="80" spans="1:10" x14ac:dyDescent="0.25">
      <c r="C80" s="56"/>
      <c r="D80" s="53"/>
      <c r="E80" s="6"/>
      <c r="F80" s="19"/>
      <c r="G80" s="24"/>
      <c r="H80" s="24"/>
      <c r="I80" s="31"/>
      <c r="J80" s="35"/>
    </row>
    <row r="81" spans="1:10" x14ac:dyDescent="0.25">
      <c r="A81" s="10"/>
      <c r="B81" s="28"/>
      <c r="C81" s="58" t="s">
        <v>23</v>
      </c>
      <c r="D81" s="53"/>
      <c r="E81" s="6"/>
      <c r="F81" s="19"/>
      <c r="G81" s="24"/>
      <c r="H81" s="24"/>
      <c r="I81" s="31"/>
      <c r="J81" s="35"/>
    </row>
    <row r="82" spans="1:10" x14ac:dyDescent="0.25">
      <c r="A82" s="28"/>
      <c r="B82" s="28"/>
      <c r="C82" s="60" t="s">
        <v>3398</v>
      </c>
      <c r="D82" s="53"/>
      <c r="E82" s="6"/>
      <c r="F82" s="19"/>
      <c r="G82" s="24" t="s">
        <v>2</v>
      </c>
      <c r="H82" s="24" t="s">
        <v>2</v>
      </c>
      <c r="I82" s="31"/>
      <c r="J82" s="35"/>
    </row>
    <row r="83" spans="1:10" x14ac:dyDescent="0.25">
      <c r="B83" s="8"/>
      <c r="C83" s="56" t="s">
        <v>36</v>
      </c>
      <c r="D83" s="53"/>
      <c r="E83" s="6"/>
      <c r="F83" s="19"/>
      <c r="G83" s="24">
        <v>59.46</v>
      </c>
      <c r="H83" s="24">
        <v>1.29</v>
      </c>
      <c r="I83" s="31"/>
      <c r="J83" s="35"/>
    </row>
    <row r="84" spans="1:10" x14ac:dyDescent="0.25">
      <c r="C84" s="57" t="s">
        <v>35</v>
      </c>
      <c r="D84" s="53"/>
      <c r="E84" s="6"/>
      <c r="F84" s="19"/>
      <c r="G84" s="25">
        <v>59.46</v>
      </c>
      <c r="H84" s="25">
        <v>1.29</v>
      </c>
      <c r="I84" s="31"/>
      <c r="J84" s="35"/>
    </row>
    <row r="85" spans="1:10" x14ac:dyDescent="0.25">
      <c r="C85" s="56"/>
      <c r="D85" s="53"/>
      <c r="E85" s="6"/>
      <c r="F85" s="19"/>
      <c r="G85" s="24"/>
      <c r="H85" s="24"/>
      <c r="I85" s="31"/>
      <c r="J85" s="35"/>
    </row>
    <row r="86" spans="1:10" x14ac:dyDescent="0.25">
      <c r="C86" s="61" t="s">
        <v>37</v>
      </c>
      <c r="D86" s="54"/>
      <c r="E86" s="5"/>
      <c r="F86" s="20"/>
      <c r="G86" s="26">
        <v>4589.8100000000004</v>
      </c>
      <c r="H86" s="26">
        <f>SUMIFS(H:H,C:C,"Total")</f>
        <v>100.00000000000001</v>
      </c>
      <c r="I86" s="32"/>
      <c r="J86" s="36"/>
    </row>
    <row r="89" spans="1:10" x14ac:dyDescent="0.25">
      <c r="C89" s="1" t="s">
        <v>38</v>
      </c>
    </row>
    <row r="90" spans="1:10" x14ac:dyDescent="0.25">
      <c r="C90" s="2" t="s">
        <v>39</v>
      </c>
    </row>
    <row r="91" spans="1:10" x14ac:dyDescent="0.25">
      <c r="C91" s="2" t="s">
        <v>40</v>
      </c>
    </row>
    <row r="92" spans="1:10" x14ac:dyDescent="0.25">
      <c r="C92" s="2" t="s">
        <v>3430</v>
      </c>
    </row>
  </sheetData>
  <hyperlinks>
    <hyperlink ref="J2" location="'Index'!A1" display="'Index'!A1"/>
  </hyperlinks>
  <pageMargins left="0.7" right="0.7" top="0.75" bottom="0.75" header="0.3" footer="0.3"/>
  <pageSetup orientation="portrait" horizontalDpi="4294967293"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2"/>
  <dimension ref="A1:J63"/>
  <sheetViews>
    <sheetView showGridLines="0" zoomScale="90" zoomScaleNormal="90" workbookViewId="0">
      <pane ySplit="6" topLeftCell="A43" activePane="bottomLeft" state="frozen"/>
      <selection pane="bottomLeft" activeCell="D2" sqref="D2"/>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2269</v>
      </c>
      <c r="J2" s="37" t="s">
        <v>3307</v>
      </c>
    </row>
    <row r="3" spans="1:10" ht="16.5" x14ac:dyDescent="0.3">
      <c r="C3" s="1" t="s">
        <v>24</v>
      </c>
      <c r="D3" s="21" t="s">
        <v>2270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C23" s="59" t="s">
        <v>9</v>
      </c>
      <c r="D23" s="53"/>
      <c r="E23" s="6"/>
      <c r="F23" s="19"/>
      <c r="G23" s="24"/>
      <c r="H23" s="24"/>
      <c r="I23" s="31"/>
      <c r="J23" s="35"/>
    </row>
    <row r="24" spans="1:10" x14ac:dyDescent="0.25">
      <c r="B24" s="8" t="s">
        <v>671</v>
      </c>
      <c r="C24" s="56" t="s">
        <v>672</v>
      </c>
      <c r="D24" s="53" t="s">
        <v>673</v>
      </c>
      <c r="E24" s="6" t="s">
        <v>655</v>
      </c>
      <c r="F24" s="19">
        <v>178330</v>
      </c>
      <c r="G24" s="24">
        <v>175.12</v>
      </c>
      <c r="H24" s="24">
        <v>99.15</v>
      </c>
      <c r="I24" s="31">
        <v>6.0133999999999999</v>
      </c>
      <c r="J24" s="35"/>
    </row>
    <row r="25" spans="1:10" x14ac:dyDescent="0.25">
      <c r="C25" s="57" t="s">
        <v>35</v>
      </c>
      <c r="D25" s="53"/>
      <c r="E25" s="6"/>
      <c r="F25" s="19"/>
      <c r="G25" s="25">
        <v>175.12</v>
      </c>
      <c r="H25" s="25">
        <v>99.15</v>
      </c>
      <c r="I25" s="31"/>
      <c r="J25" s="35"/>
    </row>
    <row r="26" spans="1:10" x14ac:dyDescent="0.25">
      <c r="C26" s="56"/>
      <c r="D26" s="53"/>
      <c r="E26" s="6"/>
      <c r="F26" s="19"/>
      <c r="G26" s="24"/>
      <c r="H26" s="24"/>
      <c r="I26" s="31"/>
      <c r="J26" s="35"/>
    </row>
    <row r="27" spans="1:10" x14ac:dyDescent="0.25">
      <c r="C27" s="57" t="s">
        <v>10</v>
      </c>
      <c r="D27" s="53"/>
      <c r="E27" s="6"/>
      <c r="F27" s="19"/>
      <c r="G27" s="24" t="s">
        <v>2</v>
      </c>
      <c r="H27" s="24" t="s">
        <v>2</v>
      </c>
      <c r="I27" s="31"/>
      <c r="J27" s="35"/>
    </row>
    <row r="28" spans="1:10" x14ac:dyDescent="0.25">
      <c r="C28" s="56"/>
      <c r="D28" s="53"/>
      <c r="E28" s="6"/>
      <c r="F28" s="19"/>
      <c r="G28" s="24"/>
      <c r="H28" s="24"/>
      <c r="I28" s="31"/>
      <c r="J28" s="35"/>
    </row>
    <row r="29" spans="1:10" x14ac:dyDescent="0.25">
      <c r="C29" s="57" t="s">
        <v>11</v>
      </c>
      <c r="D29" s="53"/>
      <c r="E29" s="6"/>
      <c r="F29" s="19"/>
      <c r="G29" s="24"/>
      <c r="H29" s="24"/>
      <c r="I29" s="31"/>
      <c r="J29" s="35"/>
    </row>
    <row r="30" spans="1:10" x14ac:dyDescent="0.25">
      <c r="C30" s="56"/>
      <c r="D30" s="53"/>
      <c r="E30" s="6"/>
      <c r="F30" s="19"/>
      <c r="G30" s="24"/>
      <c r="H30" s="24"/>
      <c r="I30" s="31"/>
      <c r="J30" s="35"/>
    </row>
    <row r="31" spans="1:10" x14ac:dyDescent="0.25">
      <c r="C31" s="57" t="s">
        <v>13</v>
      </c>
      <c r="D31" s="53"/>
      <c r="E31" s="6"/>
      <c r="F31" s="19"/>
      <c r="G31" s="24" t="s">
        <v>2</v>
      </c>
      <c r="H31" s="24" t="s">
        <v>2</v>
      </c>
      <c r="I31" s="31"/>
      <c r="J31" s="35"/>
    </row>
    <row r="32" spans="1:10" x14ac:dyDescent="0.25">
      <c r="C32" s="56"/>
      <c r="D32" s="53"/>
      <c r="E32" s="6"/>
      <c r="F32" s="19"/>
      <c r="G32" s="24"/>
      <c r="H32" s="24"/>
      <c r="I32" s="31"/>
      <c r="J32" s="35"/>
    </row>
    <row r="33" spans="1:10" x14ac:dyDescent="0.25">
      <c r="C33" s="57" t="s">
        <v>14</v>
      </c>
      <c r="D33" s="53"/>
      <c r="E33" s="6"/>
      <c r="F33" s="19"/>
      <c r="G33" s="24" t="s">
        <v>2</v>
      </c>
      <c r="H33" s="24" t="s">
        <v>2</v>
      </c>
      <c r="I33" s="31"/>
      <c r="J33" s="35"/>
    </row>
    <row r="34" spans="1:10" x14ac:dyDescent="0.25">
      <c r="C34" s="56"/>
      <c r="D34" s="53"/>
      <c r="E34" s="6"/>
      <c r="F34" s="19"/>
      <c r="G34" s="24"/>
      <c r="H34" s="24"/>
      <c r="I34" s="31"/>
      <c r="J34" s="35"/>
    </row>
    <row r="35" spans="1:10" x14ac:dyDescent="0.25">
      <c r="C35" s="57" t="s">
        <v>15</v>
      </c>
      <c r="D35" s="53"/>
      <c r="E35" s="6"/>
      <c r="F35" s="19"/>
      <c r="G35" s="24" t="s">
        <v>2</v>
      </c>
      <c r="H35" s="24" t="s">
        <v>2</v>
      </c>
      <c r="I35" s="31"/>
      <c r="J35" s="35"/>
    </row>
    <row r="36" spans="1:10" x14ac:dyDescent="0.25">
      <c r="C36" s="56"/>
      <c r="D36" s="53"/>
      <c r="E36" s="6"/>
      <c r="F36" s="19"/>
      <c r="G36" s="24"/>
      <c r="H36" s="24"/>
      <c r="I36" s="31"/>
      <c r="J36" s="35"/>
    </row>
    <row r="37" spans="1:10" x14ac:dyDescent="0.25">
      <c r="C37" s="57" t="s">
        <v>16</v>
      </c>
      <c r="D37" s="53"/>
      <c r="E37" s="6"/>
      <c r="F37" s="19"/>
      <c r="G37" s="24" t="s">
        <v>2</v>
      </c>
      <c r="H37" s="24" t="s">
        <v>2</v>
      </c>
      <c r="I37" s="31"/>
      <c r="J37" s="35"/>
    </row>
    <row r="38" spans="1:10" x14ac:dyDescent="0.25">
      <c r="C38" s="56"/>
      <c r="D38" s="53"/>
      <c r="E38" s="6"/>
      <c r="F38" s="19"/>
      <c r="G38" s="24"/>
      <c r="H38" s="24"/>
      <c r="I38" s="31"/>
      <c r="J38" s="35"/>
    </row>
    <row r="39" spans="1:10" x14ac:dyDescent="0.25">
      <c r="A39" s="10"/>
      <c r="B39" s="28"/>
      <c r="C39" s="58" t="s">
        <v>17</v>
      </c>
      <c r="D39" s="53"/>
      <c r="E39" s="6"/>
      <c r="F39" s="19"/>
      <c r="G39" s="24"/>
      <c r="H39" s="24"/>
      <c r="I39" s="31"/>
      <c r="J39" s="35"/>
    </row>
    <row r="40" spans="1:10" x14ac:dyDescent="0.25">
      <c r="A40" s="28"/>
      <c r="B40" s="28"/>
      <c r="C40" s="58" t="s">
        <v>18</v>
      </c>
      <c r="D40" s="53"/>
      <c r="E40" s="6"/>
      <c r="F40" s="19"/>
      <c r="G40" s="24" t="s">
        <v>2</v>
      </c>
      <c r="H40" s="24" t="s">
        <v>2</v>
      </c>
      <c r="I40" s="31"/>
      <c r="J40" s="35"/>
    </row>
    <row r="41" spans="1:10" x14ac:dyDescent="0.25">
      <c r="A41" s="28"/>
      <c r="B41" s="28"/>
      <c r="C41" s="58"/>
      <c r="D41" s="53"/>
      <c r="E41" s="6"/>
      <c r="F41" s="19"/>
      <c r="G41" s="24"/>
      <c r="H41" s="24"/>
      <c r="I41" s="31"/>
      <c r="J41" s="35"/>
    </row>
    <row r="42" spans="1:10" x14ac:dyDescent="0.25">
      <c r="A42" s="28"/>
      <c r="B42" s="28"/>
      <c r="C42" s="58" t="s">
        <v>19</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A44" s="28"/>
      <c r="B44" s="28"/>
      <c r="C44" s="58" t="s">
        <v>20</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A46" s="28"/>
      <c r="B46" s="28"/>
      <c r="C46" s="58" t="s">
        <v>21</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C48" s="59" t="s">
        <v>22</v>
      </c>
      <c r="D48" s="53"/>
      <c r="E48" s="6"/>
      <c r="F48" s="19"/>
      <c r="G48" s="24"/>
      <c r="H48" s="24"/>
      <c r="I48" s="31"/>
      <c r="J48" s="35"/>
    </row>
    <row r="49" spans="1:10" x14ac:dyDescent="0.25">
      <c r="B49" s="8" t="s">
        <v>33</v>
      </c>
      <c r="C49" s="56" t="s">
        <v>34</v>
      </c>
      <c r="D49" s="53"/>
      <c r="E49" s="6"/>
      <c r="F49" s="19"/>
      <c r="G49" s="24">
        <v>0.05</v>
      </c>
      <c r="H49" s="24">
        <v>0.03</v>
      </c>
      <c r="I49" s="31"/>
      <c r="J49" s="35"/>
    </row>
    <row r="50" spans="1:10" x14ac:dyDescent="0.25">
      <c r="C50" s="57" t="s">
        <v>35</v>
      </c>
      <c r="D50" s="53"/>
      <c r="E50" s="6"/>
      <c r="F50" s="19"/>
      <c r="G50" s="25">
        <v>0.05</v>
      </c>
      <c r="H50" s="25">
        <v>0.03</v>
      </c>
      <c r="I50" s="31"/>
      <c r="J50" s="35"/>
    </row>
    <row r="51" spans="1:10" x14ac:dyDescent="0.25">
      <c r="C51" s="56"/>
      <c r="D51" s="53"/>
      <c r="E51" s="6"/>
      <c r="F51" s="19"/>
      <c r="G51" s="24"/>
      <c r="H51" s="24"/>
      <c r="I51" s="31"/>
      <c r="J51" s="35"/>
    </row>
    <row r="52" spans="1:10" x14ac:dyDescent="0.25">
      <c r="A52" s="10"/>
      <c r="B52" s="28"/>
      <c r="C52" s="58" t="s">
        <v>23</v>
      </c>
      <c r="D52" s="53"/>
      <c r="E52" s="6"/>
      <c r="F52" s="19"/>
      <c r="G52" s="24"/>
      <c r="H52" s="24"/>
      <c r="I52" s="31"/>
      <c r="J52" s="35"/>
    </row>
    <row r="53" spans="1:10" x14ac:dyDescent="0.25">
      <c r="A53" s="28"/>
      <c r="B53" s="28"/>
      <c r="C53" s="60" t="s">
        <v>3398</v>
      </c>
      <c r="D53" s="53"/>
      <c r="E53" s="6"/>
      <c r="F53" s="19"/>
      <c r="G53" s="24" t="s">
        <v>2</v>
      </c>
      <c r="H53" s="24" t="s">
        <v>2</v>
      </c>
      <c r="I53" s="31"/>
      <c r="J53" s="35"/>
    </row>
    <row r="54" spans="1:10" x14ac:dyDescent="0.25">
      <c r="B54" s="8"/>
      <c r="C54" s="56" t="s">
        <v>36</v>
      </c>
      <c r="D54" s="53"/>
      <c r="E54" s="6"/>
      <c r="F54" s="19"/>
      <c r="G54" s="24">
        <v>1.46</v>
      </c>
      <c r="H54" s="24">
        <v>0.82</v>
      </c>
      <c r="I54" s="31"/>
      <c r="J54" s="35"/>
    </row>
    <row r="55" spans="1:10" x14ac:dyDescent="0.25">
      <c r="C55" s="57" t="s">
        <v>35</v>
      </c>
      <c r="D55" s="53"/>
      <c r="E55" s="6"/>
      <c r="F55" s="19"/>
      <c r="G55" s="25">
        <v>1.46</v>
      </c>
      <c r="H55" s="25">
        <v>0.82</v>
      </c>
      <c r="I55" s="31"/>
      <c r="J55" s="35"/>
    </row>
    <row r="56" spans="1:10" x14ac:dyDescent="0.25">
      <c r="C56" s="56"/>
      <c r="D56" s="53"/>
      <c r="E56" s="6"/>
      <c r="F56" s="19"/>
      <c r="G56" s="24"/>
      <c r="H56" s="24"/>
      <c r="I56" s="31"/>
      <c r="J56" s="35"/>
    </row>
    <row r="57" spans="1:10" x14ac:dyDescent="0.25">
      <c r="C57" s="61" t="s">
        <v>37</v>
      </c>
      <c r="D57" s="54"/>
      <c r="E57" s="5"/>
      <c r="F57" s="20"/>
      <c r="G57" s="26">
        <v>176.63</v>
      </c>
      <c r="H57" s="26">
        <f>SUMIFS(H:H,C:C,"Total")</f>
        <v>100</v>
      </c>
      <c r="I57" s="32"/>
      <c r="J57" s="36"/>
    </row>
    <row r="60" spans="1:10" x14ac:dyDescent="0.25">
      <c r="C60" s="1" t="s">
        <v>38</v>
      </c>
    </row>
    <row r="61" spans="1:10" x14ac:dyDescent="0.25">
      <c r="C61" s="2" t="s">
        <v>39</v>
      </c>
    </row>
    <row r="62" spans="1:10" x14ac:dyDescent="0.25">
      <c r="C62" s="2" t="s">
        <v>40</v>
      </c>
    </row>
    <row r="63" spans="1:10" x14ac:dyDescent="0.25">
      <c r="C63" s="2" t="s">
        <v>3430</v>
      </c>
    </row>
  </sheetData>
  <hyperlinks>
    <hyperlink ref="J2" location="'Index'!A1" display="'Index'!A1"/>
  </hyperlinks>
  <pageMargins left="0.7" right="0.7" top="0.75" bottom="0.75" header="0.3" footer="0.3"/>
  <pageSetup orientation="portrait" horizontalDpi="4294967293"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3"/>
  <dimension ref="A1:J93"/>
  <sheetViews>
    <sheetView showGridLines="0" zoomScale="90" zoomScaleNormal="90" workbookViewId="0">
      <pane ySplit="6" topLeftCell="A28" activePane="bottomLeft" state="frozen"/>
      <selection pane="bottomLeft" activeCell="C35" sqref="C35"/>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2271</v>
      </c>
      <c r="J2" s="37" t="s">
        <v>3307</v>
      </c>
    </row>
    <row r="3" spans="1:10" ht="16.5" x14ac:dyDescent="0.3">
      <c r="C3" s="1" t="s">
        <v>24</v>
      </c>
      <c r="D3" s="21" t="s">
        <v>2272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77000</v>
      </c>
      <c r="G10" s="24">
        <v>830.52</v>
      </c>
      <c r="H10" s="24">
        <v>5.72</v>
      </c>
      <c r="I10" s="31"/>
      <c r="J10" s="35"/>
    </row>
    <row r="11" spans="1:10" x14ac:dyDescent="0.25">
      <c r="B11" s="8" t="s">
        <v>307</v>
      </c>
      <c r="C11" s="56" t="s">
        <v>308</v>
      </c>
      <c r="D11" s="53" t="s">
        <v>309</v>
      </c>
      <c r="E11" s="6" t="s">
        <v>90</v>
      </c>
      <c r="F11" s="19">
        <v>100000</v>
      </c>
      <c r="G11" s="24">
        <v>779.95</v>
      </c>
      <c r="H11" s="24">
        <v>5.37</v>
      </c>
      <c r="I11" s="31"/>
      <c r="J11" s="35"/>
    </row>
    <row r="12" spans="1:10" x14ac:dyDescent="0.25">
      <c r="B12" s="8" t="s">
        <v>698</v>
      </c>
      <c r="C12" s="56" t="s">
        <v>699</v>
      </c>
      <c r="D12" s="53" t="s">
        <v>700</v>
      </c>
      <c r="E12" s="6" t="s">
        <v>90</v>
      </c>
      <c r="F12" s="19">
        <v>14000</v>
      </c>
      <c r="G12" s="24">
        <v>722.48</v>
      </c>
      <c r="H12" s="24">
        <v>4.9800000000000004</v>
      </c>
      <c r="I12" s="31"/>
      <c r="J12" s="35"/>
    </row>
    <row r="13" spans="1:10" x14ac:dyDescent="0.25">
      <c r="B13" s="8" t="s">
        <v>2018</v>
      </c>
      <c r="C13" s="56" t="s">
        <v>2019</v>
      </c>
      <c r="D13" s="53" t="s">
        <v>2020</v>
      </c>
      <c r="E13" s="6" t="s">
        <v>157</v>
      </c>
      <c r="F13" s="19">
        <v>194246</v>
      </c>
      <c r="G13" s="24">
        <v>624.4</v>
      </c>
      <c r="H13" s="24">
        <v>4.3</v>
      </c>
      <c r="I13" s="31"/>
      <c r="J13" s="35"/>
    </row>
    <row r="14" spans="1:10" x14ac:dyDescent="0.25">
      <c r="B14" s="8" t="s">
        <v>91</v>
      </c>
      <c r="C14" s="56" t="s">
        <v>92</v>
      </c>
      <c r="D14" s="53" t="s">
        <v>93</v>
      </c>
      <c r="E14" s="6" t="s">
        <v>94</v>
      </c>
      <c r="F14" s="19">
        <v>19000</v>
      </c>
      <c r="G14" s="24">
        <v>622.92999999999995</v>
      </c>
      <c r="H14" s="24">
        <v>4.29</v>
      </c>
      <c r="I14" s="31"/>
      <c r="J14" s="35"/>
    </row>
    <row r="15" spans="1:10" x14ac:dyDescent="0.25">
      <c r="B15" s="8" t="s">
        <v>240</v>
      </c>
      <c r="C15" s="56" t="s">
        <v>241</v>
      </c>
      <c r="D15" s="53" t="s">
        <v>242</v>
      </c>
      <c r="E15" s="6" t="s">
        <v>196</v>
      </c>
      <c r="F15" s="19">
        <v>70000</v>
      </c>
      <c r="G15" s="24">
        <v>595.21</v>
      </c>
      <c r="H15" s="24">
        <v>4.0999999999999996</v>
      </c>
      <c r="I15" s="31"/>
      <c r="J15" s="35"/>
    </row>
    <row r="16" spans="1:10" x14ac:dyDescent="0.25">
      <c r="B16" s="8" t="s">
        <v>69</v>
      </c>
      <c r="C16" s="56" t="s">
        <v>70</v>
      </c>
      <c r="D16" s="53" t="s">
        <v>71</v>
      </c>
      <c r="E16" s="6" t="s">
        <v>72</v>
      </c>
      <c r="F16" s="19">
        <v>2700</v>
      </c>
      <c r="G16" s="24">
        <v>576.07000000000005</v>
      </c>
      <c r="H16" s="24">
        <v>3.97</v>
      </c>
      <c r="I16" s="31"/>
      <c r="J16" s="35"/>
    </row>
    <row r="17" spans="2:10" x14ac:dyDescent="0.25">
      <c r="B17" s="8" t="s">
        <v>143</v>
      </c>
      <c r="C17" s="56" t="s">
        <v>144</v>
      </c>
      <c r="D17" s="53" t="s">
        <v>145</v>
      </c>
      <c r="E17" s="6" t="s">
        <v>146</v>
      </c>
      <c r="F17" s="19">
        <v>25000</v>
      </c>
      <c r="G17" s="24">
        <v>550.79</v>
      </c>
      <c r="H17" s="24">
        <v>3.79</v>
      </c>
      <c r="I17" s="31"/>
      <c r="J17" s="35"/>
    </row>
    <row r="18" spans="2:10" x14ac:dyDescent="0.25">
      <c r="B18" s="8" t="s">
        <v>112</v>
      </c>
      <c r="C18" s="56" t="s">
        <v>113</v>
      </c>
      <c r="D18" s="53" t="s">
        <v>114</v>
      </c>
      <c r="E18" s="6" t="s">
        <v>111</v>
      </c>
      <c r="F18" s="19">
        <v>17000</v>
      </c>
      <c r="G18" s="24">
        <v>518.15</v>
      </c>
      <c r="H18" s="24">
        <v>3.57</v>
      </c>
      <c r="I18" s="31"/>
      <c r="J18" s="35"/>
    </row>
    <row r="19" spans="2:10" x14ac:dyDescent="0.25">
      <c r="B19" s="8" t="s">
        <v>2273</v>
      </c>
      <c r="C19" s="56" t="s">
        <v>2274</v>
      </c>
      <c r="D19" s="53" t="s">
        <v>2275</v>
      </c>
      <c r="E19" s="6" t="s">
        <v>504</v>
      </c>
      <c r="F19" s="19">
        <v>100000</v>
      </c>
      <c r="G19" s="24">
        <v>510</v>
      </c>
      <c r="H19" s="24">
        <v>3.51</v>
      </c>
      <c r="I19" s="31"/>
      <c r="J19" s="35"/>
    </row>
    <row r="20" spans="2:10" x14ac:dyDescent="0.25">
      <c r="B20" s="8" t="s">
        <v>814</v>
      </c>
      <c r="C20" s="56" t="s">
        <v>815</v>
      </c>
      <c r="D20" s="53" t="s">
        <v>816</v>
      </c>
      <c r="E20" s="6" t="s">
        <v>83</v>
      </c>
      <c r="F20" s="19">
        <v>290000</v>
      </c>
      <c r="G20" s="24">
        <v>494.31</v>
      </c>
      <c r="H20" s="24">
        <v>3.4</v>
      </c>
      <c r="I20" s="31"/>
      <c r="J20" s="35"/>
    </row>
    <row r="21" spans="2:10" x14ac:dyDescent="0.25">
      <c r="B21" s="8" t="s">
        <v>2021</v>
      </c>
      <c r="C21" s="56" t="s">
        <v>2022</v>
      </c>
      <c r="D21" s="53" t="s">
        <v>2023</v>
      </c>
      <c r="E21" s="6" t="s">
        <v>153</v>
      </c>
      <c r="F21" s="19">
        <v>40000</v>
      </c>
      <c r="G21" s="24">
        <v>494.08</v>
      </c>
      <c r="H21" s="24">
        <v>3.4</v>
      </c>
      <c r="I21" s="31"/>
      <c r="J21" s="35"/>
    </row>
    <row r="22" spans="2:10" x14ac:dyDescent="0.25">
      <c r="B22" s="8" t="s">
        <v>1360</v>
      </c>
      <c r="C22" s="56" t="s">
        <v>1361</v>
      </c>
      <c r="D22" s="53" t="s">
        <v>1362</v>
      </c>
      <c r="E22" s="6" t="s">
        <v>83</v>
      </c>
      <c r="F22" s="19">
        <v>77000</v>
      </c>
      <c r="G22" s="24">
        <v>493.69</v>
      </c>
      <c r="H22" s="24">
        <v>3.4</v>
      </c>
      <c r="I22" s="31"/>
      <c r="J22" s="35"/>
    </row>
    <row r="23" spans="2:10" x14ac:dyDescent="0.25">
      <c r="B23" s="8" t="s">
        <v>206</v>
      </c>
      <c r="C23" s="56" t="s">
        <v>207</v>
      </c>
      <c r="D23" s="53" t="s">
        <v>208</v>
      </c>
      <c r="E23" s="6" t="s">
        <v>41</v>
      </c>
      <c r="F23" s="19">
        <v>32314</v>
      </c>
      <c r="G23" s="24">
        <v>486.92</v>
      </c>
      <c r="H23" s="24">
        <v>3.35</v>
      </c>
      <c r="I23" s="31"/>
      <c r="J23" s="35"/>
    </row>
    <row r="24" spans="2:10" x14ac:dyDescent="0.25">
      <c r="B24" s="8" t="s">
        <v>2046</v>
      </c>
      <c r="C24" s="56" t="s">
        <v>2047</v>
      </c>
      <c r="D24" s="53" t="s">
        <v>2048</v>
      </c>
      <c r="E24" s="6" t="s">
        <v>306</v>
      </c>
      <c r="F24" s="19">
        <v>22082</v>
      </c>
      <c r="G24" s="24">
        <v>470.95</v>
      </c>
      <c r="H24" s="24">
        <v>3.24</v>
      </c>
      <c r="I24" s="31"/>
      <c r="J24" s="35"/>
    </row>
    <row r="25" spans="2:10" x14ac:dyDescent="0.25">
      <c r="B25" s="8" t="s">
        <v>802</v>
      </c>
      <c r="C25" s="56" t="s">
        <v>803</v>
      </c>
      <c r="D25" s="53" t="s">
        <v>804</v>
      </c>
      <c r="E25" s="6" t="s">
        <v>195</v>
      </c>
      <c r="F25" s="19">
        <v>70000</v>
      </c>
      <c r="G25" s="24">
        <v>469.67</v>
      </c>
      <c r="H25" s="24">
        <v>3.23</v>
      </c>
      <c r="I25" s="31"/>
      <c r="J25" s="35"/>
    </row>
    <row r="26" spans="2:10" x14ac:dyDescent="0.25">
      <c r="B26" s="8" t="s">
        <v>262</v>
      </c>
      <c r="C26" s="56" t="s">
        <v>263</v>
      </c>
      <c r="D26" s="53" t="s">
        <v>264</v>
      </c>
      <c r="E26" s="6" t="s">
        <v>194</v>
      </c>
      <c r="F26" s="19">
        <v>240000</v>
      </c>
      <c r="G26" s="24">
        <v>463.08</v>
      </c>
      <c r="H26" s="24">
        <v>3.19</v>
      </c>
      <c r="I26" s="31"/>
      <c r="J26" s="35"/>
    </row>
    <row r="27" spans="2:10" x14ac:dyDescent="0.25">
      <c r="B27" s="8" t="s">
        <v>65</v>
      </c>
      <c r="C27" s="56" t="s">
        <v>66</v>
      </c>
      <c r="D27" s="53" t="s">
        <v>67</v>
      </c>
      <c r="E27" s="6" t="s">
        <v>68</v>
      </c>
      <c r="F27" s="19">
        <v>110000</v>
      </c>
      <c r="G27" s="24">
        <v>463.05</v>
      </c>
      <c r="H27" s="24">
        <v>3.19</v>
      </c>
      <c r="I27" s="31"/>
      <c r="J27" s="35"/>
    </row>
    <row r="28" spans="2:10" x14ac:dyDescent="0.25">
      <c r="B28" s="8" t="s">
        <v>164</v>
      </c>
      <c r="C28" s="56" t="s">
        <v>165</v>
      </c>
      <c r="D28" s="53" t="s">
        <v>166</v>
      </c>
      <c r="E28" s="6" t="s">
        <v>51</v>
      </c>
      <c r="F28" s="19">
        <v>240000</v>
      </c>
      <c r="G28" s="24">
        <v>444.96</v>
      </c>
      <c r="H28" s="24">
        <v>3.06</v>
      </c>
      <c r="I28" s="31"/>
      <c r="J28" s="35"/>
    </row>
    <row r="29" spans="2:10" x14ac:dyDescent="0.25">
      <c r="B29" s="8" t="s">
        <v>2015</v>
      </c>
      <c r="C29" s="56" t="s">
        <v>2016</v>
      </c>
      <c r="D29" s="53" t="s">
        <v>2017</v>
      </c>
      <c r="E29" s="6" t="s">
        <v>196</v>
      </c>
      <c r="F29" s="19">
        <v>130000</v>
      </c>
      <c r="G29" s="24">
        <v>407.49</v>
      </c>
      <c r="H29" s="24">
        <v>2.81</v>
      </c>
      <c r="I29" s="31"/>
      <c r="J29" s="35"/>
    </row>
    <row r="30" spans="2:10" x14ac:dyDescent="0.25">
      <c r="B30" s="8" t="s">
        <v>460</v>
      </c>
      <c r="C30" s="56" t="s">
        <v>461</v>
      </c>
      <c r="D30" s="53" t="s">
        <v>462</v>
      </c>
      <c r="E30" s="6" t="s">
        <v>51</v>
      </c>
      <c r="F30" s="19">
        <v>170000</v>
      </c>
      <c r="G30" s="24">
        <v>384.8</v>
      </c>
      <c r="H30" s="24">
        <v>2.65</v>
      </c>
      <c r="I30" s="31"/>
      <c r="J30" s="35"/>
    </row>
    <row r="31" spans="2:10" x14ac:dyDescent="0.25">
      <c r="B31" s="8" t="s">
        <v>180</v>
      </c>
      <c r="C31" s="56" t="s">
        <v>53</v>
      </c>
      <c r="D31" s="53" t="s">
        <v>181</v>
      </c>
      <c r="E31" s="6" t="s">
        <v>55</v>
      </c>
      <c r="F31" s="19">
        <v>27000</v>
      </c>
      <c r="G31" s="24">
        <v>362.75</v>
      </c>
      <c r="H31" s="24">
        <v>2.5</v>
      </c>
      <c r="I31" s="31"/>
      <c r="J31" s="35" t="s">
        <v>182</v>
      </c>
    </row>
    <row r="32" spans="2:10" x14ac:dyDescent="0.25">
      <c r="B32" s="8" t="s">
        <v>1692</v>
      </c>
      <c r="C32" s="56" t="s">
        <v>1693</v>
      </c>
      <c r="D32" s="53" t="s">
        <v>1694</v>
      </c>
      <c r="E32" s="6" t="s">
        <v>274</v>
      </c>
      <c r="F32" s="19">
        <v>700000</v>
      </c>
      <c r="G32" s="24">
        <v>351.05</v>
      </c>
      <c r="H32" s="24">
        <v>2.42</v>
      </c>
      <c r="I32" s="31"/>
      <c r="J32" s="35"/>
    </row>
    <row r="33" spans="2:10" x14ac:dyDescent="0.25">
      <c r="B33" s="8" t="s">
        <v>278</v>
      </c>
      <c r="C33" s="56" t="s">
        <v>279</v>
      </c>
      <c r="D33" s="53" t="s">
        <v>280</v>
      </c>
      <c r="E33" s="6" t="s">
        <v>281</v>
      </c>
      <c r="F33" s="19">
        <v>140000</v>
      </c>
      <c r="G33" s="24">
        <v>326.13</v>
      </c>
      <c r="H33" s="24">
        <v>2.25</v>
      </c>
      <c r="I33" s="31"/>
      <c r="J33" s="35"/>
    </row>
    <row r="34" spans="2:10" x14ac:dyDescent="0.25">
      <c r="B34" s="8" t="s">
        <v>316</v>
      </c>
      <c r="C34" s="56" t="s">
        <v>317</v>
      </c>
      <c r="D34" s="53" t="s">
        <v>318</v>
      </c>
      <c r="E34" s="6" t="s">
        <v>94</v>
      </c>
      <c r="F34" s="19">
        <v>26112</v>
      </c>
      <c r="G34" s="24">
        <v>321.18</v>
      </c>
      <c r="H34" s="24">
        <v>2.21</v>
      </c>
      <c r="I34" s="31"/>
      <c r="J34" s="35" t="s">
        <v>3420</v>
      </c>
    </row>
    <row r="35" spans="2:10" x14ac:dyDescent="0.25">
      <c r="B35" s="8" t="s">
        <v>297</v>
      </c>
      <c r="C35" s="56" t="s">
        <v>298</v>
      </c>
      <c r="D35" s="53" t="s">
        <v>299</v>
      </c>
      <c r="E35" s="6" t="s">
        <v>195</v>
      </c>
      <c r="F35" s="19">
        <v>57000</v>
      </c>
      <c r="G35" s="24">
        <v>318.49</v>
      </c>
      <c r="H35" s="24">
        <v>2.19</v>
      </c>
      <c r="I35" s="31"/>
      <c r="J35" s="35"/>
    </row>
    <row r="36" spans="2:10" x14ac:dyDescent="0.25">
      <c r="B36" s="8" t="s">
        <v>130</v>
      </c>
      <c r="C36" s="56" t="s">
        <v>131</v>
      </c>
      <c r="D36" s="53" t="s">
        <v>132</v>
      </c>
      <c r="E36" s="6" t="s">
        <v>47</v>
      </c>
      <c r="F36" s="19">
        <v>7700</v>
      </c>
      <c r="G36" s="24">
        <v>279.87</v>
      </c>
      <c r="H36" s="24">
        <v>1.93</v>
      </c>
      <c r="I36" s="31"/>
      <c r="J36" s="35"/>
    </row>
    <row r="37" spans="2:10" x14ac:dyDescent="0.25">
      <c r="B37" s="8" t="s">
        <v>2024</v>
      </c>
      <c r="C37" s="56" t="s">
        <v>2025</v>
      </c>
      <c r="D37" s="53" t="s">
        <v>2026</v>
      </c>
      <c r="E37" s="6" t="s">
        <v>79</v>
      </c>
      <c r="F37" s="19">
        <v>123324</v>
      </c>
      <c r="G37" s="24">
        <v>248.56</v>
      </c>
      <c r="H37" s="24">
        <v>1.71</v>
      </c>
      <c r="I37" s="31"/>
      <c r="J37" s="35"/>
    </row>
    <row r="38" spans="2:10" x14ac:dyDescent="0.25">
      <c r="B38" s="8" t="s">
        <v>59</v>
      </c>
      <c r="C38" s="56" t="s">
        <v>60</v>
      </c>
      <c r="D38" s="53" t="s">
        <v>61</v>
      </c>
      <c r="E38" s="6" t="s">
        <v>51</v>
      </c>
      <c r="F38" s="19">
        <v>11000</v>
      </c>
      <c r="G38" s="24">
        <v>139.5</v>
      </c>
      <c r="H38" s="24">
        <v>0.96</v>
      </c>
      <c r="I38" s="31"/>
      <c r="J38" s="35"/>
    </row>
    <row r="39" spans="2:10" x14ac:dyDescent="0.25">
      <c r="C39" s="57" t="s">
        <v>35</v>
      </c>
      <c r="D39" s="53"/>
      <c r="E39" s="6"/>
      <c r="F39" s="19"/>
      <c r="G39" s="25">
        <f>SUM(XDO_?FINAL_MV?288?)</f>
        <v>13751.029999999995</v>
      </c>
      <c r="H39" s="25">
        <f>SUM(XDO_?FINAL_PER_NET?288?)</f>
        <v>94.689999999999984</v>
      </c>
      <c r="I39" s="31"/>
      <c r="J39" s="35"/>
    </row>
    <row r="40" spans="2:10" x14ac:dyDescent="0.25">
      <c r="C40" s="56"/>
      <c r="D40" s="53"/>
      <c r="E40" s="6"/>
      <c r="F40" s="19"/>
      <c r="G40" s="24"/>
      <c r="H40" s="24"/>
      <c r="I40" s="31"/>
      <c r="J40" s="35"/>
    </row>
    <row r="41" spans="2:10" x14ac:dyDescent="0.25">
      <c r="C41" s="59" t="s">
        <v>3</v>
      </c>
      <c r="D41" s="53"/>
      <c r="E41" s="6"/>
      <c r="F41" s="19"/>
      <c r="G41" s="24"/>
      <c r="H41" s="24"/>
      <c r="I41" s="31"/>
      <c r="J41" s="35"/>
    </row>
    <row r="42" spans="2:10" x14ac:dyDescent="0.25">
      <c r="B42" s="8" t="s">
        <v>796</v>
      </c>
      <c r="C42" s="56" t="s">
        <v>797</v>
      </c>
      <c r="D42" s="53" t="s">
        <v>798</v>
      </c>
      <c r="E42" s="6" t="s">
        <v>274</v>
      </c>
      <c r="F42" s="19">
        <v>846710</v>
      </c>
      <c r="G42" s="24">
        <v>115.49</v>
      </c>
      <c r="H42" s="24">
        <v>0.8</v>
      </c>
      <c r="I42" s="31"/>
      <c r="J42" s="35" t="s">
        <v>799</v>
      </c>
    </row>
    <row r="43" spans="2:10" x14ac:dyDescent="0.25">
      <c r="C43" s="57" t="s">
        <v>35</v>
      </c>
      <c r="D43" s="53"/>
      <c r="E43" s="6"/>
      <c r="F43" s="19"/>
      <c r="G43" s="25">
        <f>SUM(G42)</f>
        <v>115.49</v>
      </c>
      <c r="H43" s="25">
        <f>SUM(H42)</f>
        <v>0.8</v>
      </c>
      <c r="I43" s="31"/>
      <c r="J43" s="35"/>
    </row>
    <row r="44" spans="2:10" x14ac:dyDescent="0.25">
      <c r="C44" s="56"/>
      <c r="D44" s="53"/>
      <c r="E44" s="6"/>
      <c r="F44" s="19"/>
      <c r="G44" s="24"/>
      <c r="H44" s="24"/>
      <c r="I44" s="31"/>
      <c r="J44" s="35"/>
    </row>
    <row r="45" spans="2:10" x14ac:dyDescent="0.25">
      <c r="C45" s="57" t="s">
        <v>4</v>
      </c>
      <c r="D45" s="53"/>
      <c r="E45" s="6"/>
      <c r="F45" s="19"/>
      <c r="G45" s="24" t="s">
        <v>2</v>
      </c>
      <c r="H45" s="24" t="s">
        <v>2</v>
      </c>
      <c r="I45" s="31"/>
      <c r="J45" s="35"/>
    </row>
    <row r="46" spans="2:10" x14ac:dyDescent="0.25">
      <c r="C46" s="56"/>
      <c r="D46" s="53"/>
      <c r="E46" s="6"/>
      <c r="F46" s="19"/>
      <c r="G46" s="24"/>
      <c r="H46" s="24"/>
      <c r="I46" s="31"/>
      <c r="J46" s="35"/>
    </row>
    <row r="47" spans="2:10" x14ac:dyDescent="0.25">
      <c r="C47" s="57" t="s">
        <v>5</v>
      </c>
      <c r="D47" s="53"/>
      <c r="E47" s="6"/>
      <c r="F47" s="19"/>
      <c r="G47" s="24"/>
      <c r="H47" s="24"/>
      <c r="I47" s="31"/>
      <c r="J47" s="35"/>
    </row>
    <row r="48" spans="2:10" x14ac:dyDescent="0.25">
      <c r="C48" s="56"/>
      <c r="D48" s="53"/>
      <c r="E48" s="6"/>
      <c r="F48" s="19"/>
      <c r="G48" s="24"/>
      <c r="H48" s="24"/>
      <c r="I48" s="31"/>
      <c r="J48" s="35"/>
    </row>
    <row r="49" spans="3:10" x14ac:dyDescent="0.25">
      <c r="C49" s="57" t="s">
        <v>6</v>
      </c>
      <c r="D49" s="53"/>
      <c r="E49" s="6"/>
      <c r="F49" s="19"/>
      <c r="G49" s="24" t="s">
        <v>2</v>
      </c>
      <c r="H49" s="24" t="s">
        <v>2</v>
      </c>
      <c r="I49" s="31"/>
      <c r="J49" s="35"/>
    </row>
    <row r="50" spans="3:10" x14ac:dyDescent="0.25">
      <c r="C50" s="56"/>
      <c r="D50" s="53"/>
      <c r="E50" s="6"/>
      <c r="F50" s="19"/>
      <c r="G50" s="24"/>
      <c r="H50" s="24"/>
      <c r="I50" s="31"/>
      <c r="J50" s="35"/>
    </row>
    <row r="51" spans="3:10" x14ac:dyDescent="0.25">
      <c r="C51" s="57" t="s">
        <v>7</v>
      </c>
      <c r="D51" s="53"/>
      <c r="E51" s="6"/>
      <c r="F51" s="19"/>
      <c r="G51" s="24" t="s">
        <v>2</v>
      </c>
      <c r="H51" s="24" t="s">
        <v>2</v>
      </c>
      <c r="I51" s="31"/>
      <c r="J51" s="35"/>
    </row>
    <row r="52" spans="3:10" x14ac:dyDescent="0.25">
      <c r="C52" s="56"/>
      <c r="D52" s="53"/>
      <c r="E52" s="6"/>
      <c r="F52" s="19"/>
      <c r="G52" s="24"/>
      <c r="H52" s="24"/>
      <c r="I52" s="31"/>
      <c r="J52" s="35"/>
    </row>
    <row r="53" spans="3:10" x14ac:dyDescent="0.25">
      <c r="C53" s="57" t="s">
        <v>8</v>
      </c>
      <c r="D53" s="53"/>
      <c r="E53" s="6"/>
      <c r="F53" s="19"/>
      <c r="G53" s="24" t="s">
        <v>2</v>
      </c>
      <c r="H53" s="24" t="s">
        <v>2</v>
      </c>
      <c r="I53" s="31"/>
      <c r="J53" s="35"/>
    </row>
    <row r="54" spans="3:10" x14ac:dyDescent="0.25">
      <c r="C54" s="56"/>
      <c r="D54" s="53"/>
      <c r="E54" s="6"/>
      <c r="F54" s="19"/>
      <c r="G54" s="24"/>
      <c r="H54" s="24"/>
      <c r="I54" s="31"/>
      <c r="J54" s="35"/>
    </row>
    <row r="55" spans="3:10" x14ac:dyDescent="0.25">
      <c r="C55" s="57" t="s">
        <v>9</v>
      </c>
      <c r="D55" s="53"/>
      <c r="E55" s="6"/>
      <c r="F55" s="19"/>
      <c r="G55" s="24" t="s">
        <v>2</v>
      </c>
      <c r="H55" s="24" t="s">
        <v>2</v>
      </c>
      <c r="I55" s="31"/>
      <c r="J55" s="35"/>
    </row>
    <row r="56" spans="3:10" x14ac:dyDescent="0.25">
      <c r="C56" s="56"/>
      <c r="D56" s="53"/>
      <c r="E56" s="6"/>
      <c r="F56" s="19"/>
      <c r="G56" s="24"/>
      <c r="H56" s="24"/>
      <c r="I56" s="31"/>
      <c r="J56" s="35"/>
    </row>
    <row r="57" spans="3:10" x14ac:dyDescent="0.25">
      <c r="C57" s="57" t="s">
        <v>10</v>
      </c>
      <c r="D57" s="53"/>
      <c r="E57" s="6"/>
      <c r="F57" s="19"/>
      <c r="G57" s="24" t="s">
        <v>2</v>
      </c>
      <c r="H57" s="24" t="s">
        <v>2</v>
      </c>
      <c r="I57" s="31"/>
      <c r="J57" s="35"/>
    </row>
    <row r="58" spans="3:10" x14ac:dyDescent="0.25">
      <c r="C58" s="56"/>
      <c r="D58" s="53"/>
      <c r="E58" s="6"/>
      <c r="F58" s="19"/>
      <c r="G58" s="24"/>
      <c r="H58" s="24"/>
      <c r="I58" s="31"/>
      <c r="J58" s="35"/>
    </row>
    <row r="59" spans="3:10" x14ac:dyDescent="0.25">
      <c r="C59" s="57" t="s">
        <v>11</v>
      </c>
      <c r="D59" s="53"/>
      <c r="E59" s="6"/>
      <c r="F59" s="19"/>
      <c r="G59" s="24"/>
      <c r="H59" s="24"/>
      <c r="I59" s="31"/>
      <c r="J59" s="35"/>
    </row>
    <row r="60" spans="3:10" x14ac:dyDescent="0.25">
      <c r="C60" s="56"/>
      <c r="D60" s="53"/>
      <c r="E60" s="6"/>
      <c r="F60" s="19"/>
      <c r="G60" s="24"/>
      <c r="H60" s="24"/>
      <c r="I60" s="31"/>
      <c r="J60" s="35"/>
    </row>
    <row r="61" spans="3:10" x14ac:dyDescent="0.25">
      <c r="C61" s="57" t="s">
        <v>13</v>
      </c>
      <c r="D61" s="53"/>
      <c r="E61" s="6"/>
      <c r="F61" s="19"/>
      <c r="G61" s="24" t="s">
        <v>2</v>
      </c>
      <c r="H61" s="24" t="s">
        <v>2</v>
      </c>
      <c r="I61" s="31"/>
      <c r="J61" s="35"/>
    </row>
    <row r="62" spans="3:10" x14ac:dyDescent="0.25">
      <c r="C62" s="56"/>
      <c r="D62" s="53"/>
      <c r="E62" s="6"/>
      <c r="F62" s="19"/>
      <c r="G62" s="24"/>
      <c r="H62" s="24"/>
      <c r="I62" s="31"/>
      <c r="J62" s="35"/>
    </row>
    <row r="63" spans="3:10" x14ac:dyDescent="0.25">
      <c r="C63" s="57" t="s">
        <v>14</v>
      </c>
      <c r="D63" s="53"/>
      <c r="E63" s="6"/>
      <c r="F63" s="19"/>
      <c r="G63" s="24" t="s">
        <v>2</v>
      </c>
      <c r="H63" s="24" t="s">
        <v>2</v>
      </c>
      <c r="I63" s="31"/>
      <c r="J63" s="35"/>
    </row>
    <row r="64" spans="3:10" x14ac:dyDescent="0.25">
      <c r="C64" s="56"/>
      <c r="D64" s="53"/>
      <c r="E64" s="6"/>
      <c r="F64" s="19"/>
      <c r="G64" s="24"/>
      <c r="H64" s="24"/>
      <c r="I64" s="31"/>
      <c r="J64" s="35"/>
    </row>
    <row r="65" spans="1:10" x14ac:dyDescent="0.25">
      <c r="C65" s="57" t="s">
        <v>15</v>
      </c>
      <c r="D65" s="53"/>
      <c r="E65" s="6"/>
      <c r="F65" s="19"/>
      <c r="G65" s="24" t="s">
        <v>2</v>
      </c>
      <c r="H65" s="24" t="s">
        <v>2</v>
      </c>
      <c r="I65" s="31"/>
      <c r="J65" s="35"/>
    </row>
    <row r="66" spans="1:10" x14ac:dyDescent="0.25">
      <c r="C66" s="56"/>
      <c r="D66" s="53"/>
      <c r="E66" s="6"/>
      <c r="F66" s="19"/>
      <c r="G66" s="24"/>
      <c r="H66" s="24"/>
      <c r="I66" s="31"/>
      <c r="J66" s="35"/>
    </row>
    <row r="67" spans="1:10" x14ac:dyDescent="0.25">
      <c r="C67" s="57" t="s">
        <v>16</v>
      </c>
      <c r="D67" s="53"/>
      <c r="E67" s="6"/>
      <c r="F67" s="19"/>
      <c r="G67" s="24" t="s">
        <v>2</v>
      </c>
      <c r="H67" s="24" t="s">
        <v>2</v>
      </c>
      <c r="I67" s="31"/>
      <c r="J67" s="35"/>
    </row>
    <row r="68" spans="1:10" x14ac:dyDescent="0.25">
      <c r="C68" s="56"/>
      <c r="D68" s="53"/>
      <c r="E68" s="6"/>
      <c r="F68" s="19"/>
      <c r="G68" s="24"/>
      <c r="H68" s="24"/>
      <c r="I68" s="31"/>
      <c r="J68" s="35"/>
    </row>
    <row r="69" spans="1:10" x14ac:dyDescent="0.25">
      <c r="A69" s="10"/>
      <c r="B69" s="28"/>
      <c r="C69" s="58" t="s">
        <v>17</v>
      </c>
      <c r="D69" s="53"/>
      <c r="E69" s="6"/>
      <c r="F69" s="19"/>
      <c r="G69" s="24"/>
      <c r="H69" s="24"/>
      <c r="I69" s="31"/>
      <c r="J69" s="35"/>
    </row>
    <row r="70" spans="1:10" x14ac:dyDescent="0.25">
      <c r="A70" s="28"/>
      <c r="B70" s="28"/>
      <c r="C70" s="58" t="s">
        <v>18</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19</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A74" s="28"/>
      <c r="B74" s="28"/>
      <c r="C74" s="58" t="s">
        <v>20</v>
      </c>
      <c r="D74" s="53"/>
      <c r="E74" s="6"/>
      <c r="F74" s="19"/>
      <c r="G74" s="24" t="s">
        <v>2</v>
      </c>
      <c r="H74" s="24" t="s">
        <v>2</v>
      </c>
      <c r="I74" s="31"/>
      <c r="J74" s="35"/>
    </row>
    <row r="75" spans="1:10" x14ac:dyDescent="0.25">
      <c r="A75" s="28"/>
      <c r="B75" s="28"/>
      <c r="C75" s="58"/>
      <c r="D75" s="53"/>
      <c r="E75" s="6"/>
      <c r="F75" s="19"/>
      <c r="G75" s="24"/>
      <c r="H75" s="24"/>
      <c r="I75" s="31"/>
      <c r="J75" s="35"/>
    </row>
    <row r="76" spans="1:10" x14ac:dyDescent="0.25">
      <c r="A76" s="28"/>
      <c r="B76" s="28"/>
      <c r="C76" s="58" t="s">
        <v>21</v>
      </c>
      <c r="D76" s="53"/>
      <c r="E76" s="6"/>
      <c r="F76" s="19"/>
      <c r="G76" s="24" t="s">
        <v>2</v>
      </c>
      <c r="H76" s="24" t="s">
        <v>2</v>
      </c>
      <c r="I76" s="31"/>
      <c r="J76" s="35"/>
    </row>
    <row r="77" spans="1:10" x14ac:dyDescent="0.25">
      <c r="A77" s="28"/>
      <c r="B77" s="28"/>
      <c r="C77" s="58"/>
      <c r="D77" s="53"/>
      <c r="E77" s="6"/>
      <c r="F77" s="19"/>
      <c r="G77" s="24"/>
      <c r="H77" s="24"/>
      <c r="I77" s="31"/>
      <c r="J77" s="35"/>
    </row>
    <row r="78" spans="1:10" x14ac:dyDescent="0.25">
      <c r="C78" s="59" t="s">
        <v>22</v>
      </c>
      <c r="D78" s="53"/>
      <c r="E78" s="6"/>
      <c r="F78" s="19"/>
      <c r="G78" s="24"/>
      <c r="H78" s="24"/>
      <c r="I78" s="31"/>
      <c r="J78" s="35"/>
    </row>
    <row r="79" spans="1:10" x14ac:dyDescent="0.25">
      <c r="B79" s="8" t="s">
        <v>33</v>
      </c>
      <c r="C79" s="56" t="s">
        <v>34</v>
      </c>
      <c r="D79" s="53"/>
      <c r="E79" s="6"/>
      <c r="F79" s="19"/>
      <c r="G79" s="24">
        <v>983.58</v>
      </c>
      <c r="H79" s="24">
        <v>6.77</v>
      </c>
      <c r="I79" s="31"/>
      <c r="J79" s="35"/>
    </row>
    <row r="80" spans="1:10" x14ac:dyDescent="0.25">
      <c r="C80" s="57" t="s">
        <v>35</v>
      </c>
      <c r="D80" s="53"/>
      <c r="E80" s="6"/>
      <c r="F80" s="19"/>
      <c r="G80" s="25">
        <v>983.58</v>
      </c>
      <c r="H80" s="25">
        <v>6.77</v>
      </c>
      <c r="I80" s="31"/>
      <c r="J80" s="35"/>
    </row>
    <row r="81" spans="1:10" x14ac:dyDescent="0.25">
      <c r="C81" s="56"/>
      <c r="D81" s="53"/>
      <c r="E81" s="6"/>
      <c r="F81" s="19"/>
      <c r="G81" s="24"/>
      <c r="H81" s="24"/>
      <c r="I81" s="31"/>
      <c r="J81" s="35"/>
    </row>
    <row r="82" spans="1:10" x14ac:dyDescent="0.25">
      <c r="A82" s="10"/>
      <c r="B82" s="28"/>
      <c r="C82" s="58" t="s">
        <v>23</v>
      </c>
      <c r="D82" s="53"/>
      <c r="E82" s="6"/>
      <c r="F82" s="19"/>
      <c r="G82" s="24"/>
      <c r="H82" s="24"/>
      <c r="I82" s="31"/>
      <c r="J82" s="35"/>
    </row>
    <row r="83" spans="1:10" x14ac:dyDescent="0.25">
      <c r="A83" s="28"/>
      <c r="B83" s="28"/>
      <c r="C83" s="60" t="s">
        <v>3398</v>
      </c>
      <c r="D83" s="53"/>
      <c r="E83" s="6"/>
      <c r="F83" s="19"/>
      <c r="G83" s="24" t="s">
        <v>2</v>
      </c>
      <c r="H83" s="24" t="s">
        <v>2</v>
      </c>
      <c r="I83" s="31"/>
      <c r="J83" s="35"/>
    </row>
    <row r="84" spans="1:10" x14ac:dyDescent="0.25">
      <c r="B84" s="8"/>
      <c r="C84" s="56" t="s">
        <v>36</v>
      </c>
      <c r="D84" s="53"/>
      <c r="E84" s="6"/>
      <c r="F84" s="19"/>
      <c r="G84" s="24">
        <v>-329.2</v>
      </c>
      <c r="H84" s="24">
        <v>-2.2600000000000002</v>
      </c>
      <c r="I84" s="31"/>
      <c r="J84" s="35"/>
    </row>
    <row r="85" spans="1:10" x14ac:dyDescent="0.25">
      <c r="C85" s="57" t="s">
        <v>35</v>
      </c>
      <c r="D85" s="53"/>
      <c r="E85" s="6"/>
      <c r="F85" s="19"/>
      <c r="G85" s="25">
        <v>-329.2</v>
      </c>
      <c r="H85" s="25">
        <v>-2.2600000000000002</v>
      </c>
      <c r="I85" s="31"/>
      <c r="J85" s="35"/>
    </row>
    <row r="86" spans="1:10" x14ac:dyDescent="0.25">
      <c r="C86" s="56"/>
      <c r="D86" s="53"/>
      <c r="E86" s="6"/>
      <c r="F86" s="19"/>
      <c r="G86" s="24"/>
      <c r="H86" s="24"/>
      <c r="I86" s="31"/>
      <c r="J86" s="35"/>
    </row>
    <row r="87" spans="1:10" x14ac:dyDescent="0.25">
      <c r="C87" s="61" t="s">
        <v>37</v>
      </c>
      <c r="D87" s="54"/>
      <c r="E87" s="5"/>
      <c r="F87" s="20"/>
      <c r="G87" s="26">
        <v>14520.9</v>
      </c>
      <c r="H87" s="26">
        <f>SUMIFS(H:H,C:C,"Total")</f>
        <v>99.999999999999972</v>
      </c>
      <c r="I87" s="32"/>
      <c r="J87" s="36"/>
    </row>
    <row r="90" spans="1:10" x14ac:dyDescent="0.25">
      <c r="C90" s="1" t="s">
        <v>38</v>
      </c>
    </row>
    <row r="91" spans="1:10" x14ac:dyDescent="0.25">
      <c r="C91" s="2" t="s">
        <v>39</v>
      </c>
    </row>
    <row r="92" spans="1:10" x14ac:dyDescent="0.25">
      <c r="C92" s="2" t="s">
        <v>40</v>
      </c>
    </row>
    <row r="93" spans="1:10" x14ac:dyDescent="0.25">
      <c r="C93" s="2" t="s">
        <v>3430</v>
      </c>
    </row>
  </sheetData>
  <hyperlinks>
    <hyperlink ref="J2" location="'Index'!A1" display="'Index'!A1"/>
  </hyperlinks>
  <pageMargins left="0.7" right="0.7" top="0.75" bottom="0.75" header="0.3" footer="0.3"/>
  <pageSetup orientation="portrait" horizontalDpi="4294967293"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4"/>
  <dimension ref="A1:J7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2276</v>
      </c>
      <c r="J2" s="37" t="s">
        <v>3307</v>
      </c>
    </row>
    <row r="3" spans="1:10" ht="16.5" x14ac:dyDescent="0.3">
      <c r="C3" s="1" t="s">
        <v>24</v>
      </c>
      <c r="D3" s="21" t="s">
        <v>2277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2278</v>
      </c>
      <c r="C18" s="56" t="s">
        <v>1504</v>
      </c>
      <c r="D18" s="53" t="s">
        <v>2279</v>
      </c>
      <c r="E18" s="6" t="s">
        <v>2280</v>
      </c>
      <c r="F18" s="19">
        <v>2000</v>
      </c>
      <c r="G18" s="24">
        <v>25033.64</v>
      </c>
      <c r="H18" s="24">
        <v>9.93</v>
      </c>
      <c r="I18" s="31">
        <v>9.9351000000000003</v>
      </c>
      <c r="J18" s="35" t="s">
        <v>514</v>
      </c>
    </row>
    <row r="19" spans="2:10" x14ac:dyDescent="0.25">
      <c r="B19" s="8" t="s">
        <v>2281</v>
      </c>
      <c r="C19" s="56" t="s">
        <v>2282</v>
      </c>
      <c r="D19" s="53" t="s">
        <v>2283</v>
      </c>
      <c r="E19" s="6" t="s">
        <v>1314</v>
      </c>
      <c r="F19" s="19">
        <v>2000</v>
      </c>
      <c r="G19" s="24">
        <v>20009</v>
      </c>
      <c r="H19" s="24">
        <v>7.93</v>
      </c>
      <c r="I19" s="31">
        <v>4.7960000000000003</v>
      </c>
      <c r="J19" s="35" t="s">
        <v>514</v>
      </c>
    </row>
    <row r="20" spans="2:10" x14ac:dyDescent="0.25">
      <c r="B20" s="8" t="s">
        <v>2284</v>
      </c>
      <c r="C20" s="56" t="s">
        <v>691</v>
      </c>
      <c r="D20" s="53" t="s">
        <v>2285</v>
      </c>
      <c r="E20" s="6" t="s">
        <v>928</v>
      </c>
      <c r="F20" s="19">
        <v>1500</v>
      </c>
      <c r="G20" s="24">
        <v>15006.51</v>
      </c>
      <c r="H20" s="24">
        <v>5.95</v>
      </c>
      <c r="I20" s="31">
        <v>4.2643000000000004</v>
      </c>
      <c r="J20" s="35" t="s">
        <v>514</v>
      </c>
    </row>
    <row r="21" spans="2:10" x14ac:dyDescent="0.25">
      <c r="B21" s="8" t="s">
        <v>2286</v>
      </c>
      <c r="C21" s="56" t="s">
        <v>926</v>
      </c>
      <c r="D21" s="53" t="s">
        <v>2287</v>
      </c>
      <c r="E21" s="6" t="s">
        <v>928</v>
      </c>
      <c r="F21" s="19">
        <v>1000</v>
      </c>
      <c r="G21" s="24">
        <v>10003.5</v>
      </c>
      <c r="H21" s="24">
        <v>3.97</v>
      </c>
      <c r="I21" s="31">
        <v>5.2381000000000002</v>
      </c>
      <c r="J21" s="35" t="s">
        <v>514</v>
      </c>
    </row>
    <row r="22" spans="2:10" x14ac:dyDescent="0.25">
      <c r="C22" s="57" t="s">
        <v>35</v>
      </c>
      <c r="D22" s="53"/>
      <c r="E22" s="6"/>
      <c r="F22" s="19"/>
      <c r="G22" s="25">
        <v>70052.649999999994</v>
      </c>
      <c r="H22" s="25">
        <v>27.78</v>
      </c>
      <c r="I22" s="31"/>
      <c r="J22" s="35"/>
    </row>
    <row r="23" spans="2:10" x14ac:dyDescent="0.25">
      <c r="C23" s="56"/>
      <c r="D23" s="53"/>
      <c r="E23" s="6"/>
      <c r="F23" s="19"/>
      <c r="G23" s="24"/>
      <c r="H23" s="24"/>
      <c r="I23" s="31"/>
      <c r="J23" s="35"/>
    </row>
    <row r="24" spans="2:10" x14ac:dyDescent="0.25">
      <c r="C24" s="57" t="s">
        <v>7</v>
      </c>
      <c r="D24" s="53"/>
      <c r="E24" s="6"/>
      <c r="F24" s="19"/>
      <c r="G24" s="24" t="s">
        <v>2</v>
      </c>
      <c r="H24" s="24" t="s">
        <v>2</v>
      </c>
      <c r="I24" s="31"/>
      <c r="J24" s="35"/>
    </row>
    <row r="25" spans="2:10" x14ac:dyDescent="0.25">
      <c r="C25" s="56"/>
      <c r="D25" s="53"/>
      <c r="E25" s="6"/>
      <c r="F25" s="19"/>
      <c r="G25" s="24"/>
      <c r="H25" s="24"/>
      <c r="I25" s="31"/>
      <c r="J25" s="35"/>
    </row>
    <row r="26" spans="2:10" x14ac:dyDescent="0.25">
      <c r="C26" s="57" t="s">
        <v>8</v>
      </c>
      <c r="D26" s="53"/>
      <c r="E26" s="6"/>
      <c r="F26" s="19"/>
      <c r="G26" s="24" t="s">
        <v>2</v>
      </c>
      <c r="H26" s="24" t="s">
        <v>2</v>
      </c>
      <c r="I26" s="31"/>
      <c r="J26" s="35"/>
    </row>
    <row r="27" spans="2:10" x14ac:dyDescent="0.25">
      <c r="C27" s="56"/>
      <c r="D27" s="53"/>
      <c r="E27" s="6"/>
      <c r="F27" s="19"/>
      <c r="G27" s="24"/>
      <c r="H27" s="24"/>
      <c r="I27" s="31"/>
      <c r="J27" s="35"/>
    </row>
    <row r="28" spans="2:10" x14ac:dyDescent="0.25">
      <c r="C28" s="57" t="s">
        <v>9</v>
      </c>
      <c r="D28" s="53"/>
      <c r="E28" s="6"/>
      <c r="F28" s="19"/>
      <c r="G28" s="24" t="s">
        <v>2</v>
      </c>
      <c r="H28" s="24" t="s">
        <v>2</v>
      </c>
      <c r="I28" s="31"/>
      <c r="J28" s="35"/>
    </row>
    <row r="29" spans="2:10" x14ac:dyDescent="0.25">
      <c r="C29" s="56"/>
      <c r="D29" s="53"/>
      <c r="E29" s="6"/>
      <c r="F29" s="19"/>
      <c r="G29" s="24"/>
      <c r="H29" s="24"/>
      <c r="I29" s="31"/>
      <c r="J29" s="35"/>
    </row>
    <row r="30" spans="2:10" x14ac:dyDescent="0.25">
      <c r="C30" s="59" t="s">
        <v>10</v>
      </c>
      <c r="D30" s="53"/>
      <c r="E30" s="6"/>
      <c r="F30" s="19"/>
      <c r="G30" s="24"/>
      <c r="H30" s="24"/>
      <c r="I30" s="31"/>
      <c r="J30" s="35"/>
    </row>
    <row r="31" spans="2:10" x14ac:dyDescent="0.25">
      <c r="B31" s="8" t="s">
        <v>2288</v>
      </c>
      <c r="C31" s="56" t="s">
        <v>2289</v>
      </c>
      <c r="D31" s="53" t="s">
        <v>2290</v>
      </c>
      <c r="E31" s="6" t="s">
        <v>655</v>
      </c>
      <c r="F31" s="19">
        <v>14030900</v>
      </c>
      <c r="G31" s="24">
        <v>14036.27</v>
      </c>
      <c r="H31" s="24">
        <v>5.57</v>
      </c>
      <c r="I31" s="31">
        <v>3.7406999999999999</v>
      </c>
      <c r="J31" s="35"/>
    </row>
    <row r="32" spans="2:10" x14ac:dyDescent="0.25">
      <c r="B32" s="8" t="s">
        <v>2291</v>
      </c>
      <c r="C32" s="56" t="s">
        <v>2292</v>
      </c>
      <c r="D32" s="53" t="s">
        <v>2293</v>
      </c>
      <c r="E32" s="6" t="s">
        <v>655</v>
      </c>
      <c r="F32" s="19">
        <v>5097500</v>
      </c>
      <c r="G32" s="24">
        <v>5099.5600000000004</v>
      </c>
      <c r="H32" s="24">
        <v>2.02</v>
      </c>
      <c r="I32" s="31">
        <v>3.738</v>
      </c>
      <c r="J32" s="35"/>
    </row>
    <row r="33" spans="1:10" x14ac:dyDescent="0.25">
      <c r="C33" s="57" t="s">
        <v>35</v>
      </c>
      <c r="D33" s="53"/>
      <c r="E33" s="6"/>
      <c r="F33" s="19"/>
      <c r="G33" s="25">
        <v>19135.830000000002</v>
      </c>
      <c r="H33" s="25">
        <v>7.59</v>
      </c>
      <c r="I33" s="31"/>
      <c r="J33" s="35"/>
    </row>
    <row r="34" spans="1:10" x14ac:dyDescent="0.25">
      <c r="C34" s="56"/>
      <c r="D34" s="53"/>
      <c r="E34" s="6"/>
      <c r="F34" s="19"/>
      <c r="G34" s="24"/>
      <c r="H34" s="24"/>
      <c r="I34" s="31"/>
      <c r="J34" s="35"/>
    </row>
    <row r="35" spans="1:10" x14ac:dyDescent="0.25">
      <c r="A35" s="10"/>
      <c r="B35" s="28"/>
      <c r="C35" s="58" t="s">
        <v>11</v>
      </c>
      <c r="D35" s="53"/>
      <c r="E35" s="6"/>
      <c r="F35" s="19"/>
      <c r="G35" s="24"/>
      <c r="H35" s="24"/>
      <c r="I35" s="31"/>
      <c r="J35" s="35"/>
    </row>
    <row r="36" spans="1:10" x14ac:dyDescent="0.25">
      <c r="A36" s="28"/>
      <c r="B36" s="28"/>
      <c r="C36" s="58" t="s">
        <v>13</v>
      </c>
      <c r="D36" s="53"/>
      <c r="E36" s="6"/>
      <c r="F36" s="19"/>
      <c r="G36" s="24" t="s">
        <v>2</v>
      </c>
      <c r="H36" s="24" t="s">
        <v>2</v>
      </c>
      <c r="I36" s="31"/>
      <c r="J36" s="35"/>
    </row>
    <row r="37" spans="1:10" x14ac:dyDescent="0.25">
      <c r="A37" s="28"/>
      <c r="B37" s="28"/>
      <c r="C37" s="58"/>
      <c r="D37" s="53"/>
      <c r="E37" s="6"/>
      <c r="F37" s="19"/>
      <c r="G37" s="24"/>
      <c r="H37" s="24"/>
      <c r="I37" s="31"/>
      <c r="J37" s="35"/>
    </row>
    <row r="38" spans="1:10" x14ac:dyDescent="0.25">
      <c r="A38" s="28"/>
      <c r="B38" s="28"/>
      <c r="C38" s="58" t="s">
        <v>14</v>
      </c>
      <c r="D38" s="53"/>
      <c r="E38" s="6"/>
      <c r="F38" s="19"/>
      <c r="G38" s="24" t="s">
        <v>2</v>
      </c>
      <c r="H38" s="24" t="s">
        <v>2</v>
      </c>
      <c r="I38" s="31"/>
      <c r="J38" s="35"/>
    </row>
    <row r="39" spans="1:10" x14ac:dyDescent="0.25">
      <c r="A39" s="28"/>
      <c r="B39" s="28"/>
      <c r="C39" s="58"/>
      <c r="D39" s="53"/>
      <c r="E39" s="6"/>
      <c r="F39" s="19"/>
      <c r="G39" s="24"/>
      <c r="H39" s="24"/>
      <c r="I39" s="31"/>
      <c r="J39" s="35"/>
    </row>
    <row r="40" spans="1:10" x14ac:dyDescent="0.25">
      <c r="C40" s="59" t="s">
        <v>15</v>
      </c>
      <c r="D40" s="53"/>
      <c r="E40" s="6"/>
      <c r="F40" s="19"/>
      <c r="G40" s="24"/>
      <c r="H40" s="24"/>
      <c r="I40" s="31"/>
      <c r="J40" s="35"/>
    </row>
    <row r="41" spans="1:10" x14ac:dyDescent="0.25">
      <c r="B41" s="8" t="s">
        <v>2294</v>
      </c>
      <c r="C41" s="56" t="s">
        <v>2295</v>
      </c>
      <c r="D41" s="53" t="s">
        <v>2296</v>
      </c>
      <c r="E41" s="6" t="s">
        <v>655</v>
      </c>
      <c r="F41" s="19">
        <v>25000000</v>
      </c>
      <c r="G41" s="24">
        <v>25000</v>
      </c>
      <c r="H41" s="24">
        <v>9.91</v>
      </c>
      <c r="I41" s="31">
        <v>3.1705999999999999</v>
      </c>
      <c r="J41" s="35"/>
    </row>
    <row r="42" spans="1:10" x14ac:dyDescent="0.25">
      <c r="C42" s="57" t="s">
        <v>35</v>
      </c>
      <c r="D42" s="53"/>
      <c r="E42" s="6"/>
      <c r="F42" s="19"/>
      <c r="G42" s="25">
        <v>25000</v>
      </c>
      <c r="H42" s="25">
        <v>9.91</v>
      </c>
      <c r="I42" s="31"/>
      <c r="J42" s="35"/>
    </row>
    <row r="43" spans="1:10" x14ac:dyDescent="0.25">
      <c r="C43" s="56"/>
      <c r="D43" s="53"/>
      <c r="E43" s="6"/>
      <c r="F43" s="19"/>
      <c r="G43" s="24"/>
      <c r="H43" s="24"/>
      <c r="I43" s="31"/>
      <c r="J43" s="35"/>
    </row>
    <row r="44" spans="1:10" x14ac:dyDescent="0.25">
      <c r="C44" s="57" t="s">
        <v>16</v>
      </c>
      <c r="D44" s="53"/>
      <c r="E44" s="6"/>
      <c r="F44" s="19"/>
      <c r="G44" s="24" t="s">
        <v>2</v>
      </c>
      <c r="H44" s="24" t="s">
        <v>2</v>
      </c>
      <c r="I44" s="31"/>
      <c r="J44" s="35"/>
    </row>
    <row r="45" spans="1:10" x14ac:dyDescent="0.25">
      <c r="C45" s="56"/>
      <c r="D45" s="53"/>
      <c r="E45" s="6"/>
      <c r="F45" s="19"/>
      <c r="G45" s="24"/>
      <c r="H45" s="24"/>
      <c r="I45" s="31"/>
      <c r="J45" s="35"/>
    </row>
    <row r="46" spans="1:10" x14ac:dyDescent="0.25">
      <c r="A46" s="10"/>
      <c r="B46" s="28"/>
      <c r="C46" s="58" t="s">
        <v>17</v>
      </c>
      <c r="D46" s="53"/>
      <c r="E46" s="6"/>
      <c r="F46" s="19"/>
      <c r="G46" s="24"/>
      <c r="H46" s="24"/>
      <c r="I46" s="31"/>
      <c r="J46" s="35"/>
    </row>
    <row r="47" spans="1:10" x14ac:dyDescent="0.25">
      <c r="A47" s="28"/>
      <c r="B47" s="28"/>
      <c r="C47" s="58" t="s">
        <v>18</v>
      </c>
      <c r="D47" s="53"/>
      <c r="E47" s="6"/>
      <c r="F47" s="19"/>
      <c r="G47" s="24" t="s">
        <v>2</v>
      </c>
      <c r="H47" s="24" t="s">
        <v>2</v>
      </c>
      <c r="I47" s="31"/>
      <c r="J47" s="35"/>
    </row>
    <row r="48" spans="1:10" x14ac:dyDescent="0.25">
      <c r="A48" s="28"/>
      <c r="B48" s="28"/>
      <c r="C48" s="58"/>
      <c r="D48" s="53"/>
      <c r="E48" s="6"/>
      <c r="F48" s="19"/>
      <c r="G48" s="24"/>
      <c r="H48" s="24"/>
      <c r="I48" s="31"/>
      <c r="J48" s="35"/>
    </row>
    <row r="49" spans="1:10" x14ac:dyDescent="0.25">
      <c r="A49" s="28"/>
      <c r="B49" s="28"/>
      <c r="C49" s="58" t="s">
        <v>19</v>
      </c>
      <c r="D49" s="53"/>
      <c r="E49" s="6"/>
      <c r="F49" s="19"/>
      <c r="G49" s="24" t="s">
        <v>2</v>
      </c>
      <c r="H49" s="24" t="s">
        <v>2</v>
      </c>
      <c r="I49" s="31"/>
      <c r="J49" s="35"/>
    </row>
    <row r="50" spans="1:10" x14ac:dyDescent="0.25">
      <c r="A50" s="28"/>
      <c r="B50" s="28"/>
      <c r="C50" s="58"/>
      <c r="D50" s="53"/>
      <c r="E50" s="6"/>
      <c r="F50" s="19"/>
      <c r="G50" s="24"/>
      <c r="H50" s="24"/>
      <c r="I50" s="31"/>
      <c r="J50" s="35"/>
    </row>
    <row r="51" spans="1:10" x14ac:dyDescent="0.25">
      <c r="A51" s="28"/>
      <c r="B51" s="28"/>
      <c r="C51" s="58" t="s">
        <v>20</v>
      </c>
      <c r="D51" s="53"/>
      <c r="E51" s="6"/>
      <c r="F51" s="19"/>
      <c r="G51" s="24" t="s">
        <v>2</v>
      </c>
      <c r="H51" s="24" t="s">
        <v>2</v>
      </c>
      <c r="I51" s="31"/>
      <c r="J51" s="35"/>
    </row>
    <row r="52" spans="1:10" x14ac:dyDescent="0.25">
      <c r="A52" s="28"/>
      <c r="B52" s="28"/>
      <c r="C52" s="58"/>
      <c r="D52" s="53"/>
      <c r="E52" s="6"/>
      <c r="F52" s="19"/>
      <c r="G52" s="24"/>
      <c r="H52" s="24"/>
      <c r="I52" s="31"/>
      <c r="J52" s="35"/>
    </row>
    <row r="53" spans="1:10" x14ac:dyDescent="0.25">
      <c r="A53" s="28"/>
      <c r="B53" s="28"/>
      <c r="C53" s="58" t="s">
        <v>21</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C55" s="59" t="s">
        <v>22</v>
      </c>
      <c r="D55" s="53"/>
      <c r="E55" s="6"/>
      <c r="F55" s="19"/>
      <c r="G55" s="24"/>
      <c r="H55" s="24"/>
      <c r="I55" s="31"/>
      <c r="J55" s="35"/>
    </row>
    <row r="56" spans="1:10" x14ac:dyDescent="0.25">
      <c r="B56" s="8" t="s">
        <v>2297</v>
      </c>
      <c r="C56" s="56" t="s">
        <v>922</v>
      </c>
      <c r="D56" s="53"/>
      <c r="E56" s="6"/>
      <c r="F56" s="19"/>
      <c r="G56" s="24">
        <v>96598.61</v>
      </c>
      <c r="H56" s="24">
        <v>38.299999999999997</v>
      </c>
      <c r="I56" s="31"/>
      <c r="J56" s="35"/>
    </row>
    <row r="57" spans="1:10" x14ac:dyDescent="0.25">
      <c r="B57" s="8" t="s">
        <v>33</v>
      </c>
      <c r="C57" s="56" t="s">
        <v>34</v>
      </c>
      <c r="D57" s="53"/>
      <c r="E57" s="6"/>
      <c r="F57" s="19"/>
      <c r="G57" s="24">
        <v>32046.61</v>
      </c>
      <c r="H57" s="24">
        <v>12.71</v>
      </c>
      <c r="I57" s="31"/>
      <c r="J57" s="35"/>
    </row>
    <row r="58" spans="1:10" x14ac:dyDescent="0.25">
      <c r="C58" s="57" t="s">
        <v>35</v>
      </c>
      <c r="D58" s="53"/>
      <c r="E58" s="6"/>
      <c r="F58" s="19"/>
      <c r="G58" s="25">
        <v>128645.22</v>
      </c>
      <c r="H58" s="25">
        <v>51.01</v>
      </c>
      <c r="I58" s="31"/>
      <c r="J58" s="35"/>
    </row>
    <row r="59" spans="1:10" x14ac:dyDescent="0.25">
      <c r="C59" s="56"/>
      <c r="D59" s="53"/>
      <c r="E59" s="6"/>
      <c r="F59" s="19"/>
      <c r="G59" s="24"/>
      <c r="H59" s="24"/>
      <c r="I59" s="31"/>
      <c r="J59" s="35"/>
    </row>
    <row r="60" spans="1:10" x14ac:dyDescent="0.25">
      <c r="A60" s="10"/>
      <c r="B60" s="28"/>
      <c r="C60" s="58" t="s">
        <v>23</v>
      </c>
      <c r="D60" s="53"/>
      <c r="E60" s="6"/>
      <c r="F60" s="19"/>
      <c r="G60" s="24"/>
      <c r="H60" s="24"/>
      <c r="I60" s="31"/>
      <c r="J60" s="35"/>
    </row>
    <row r="61" spans="1:10" x14ac:dyDescent="0.25">
      <c r="A61" s="28"/>
      <c r="B61" s="28"/>
      <c r="C61" s="60" t="s">
        <v>3398</v>
      </c>
      <c r="D61" s="53"/>
      <c r="E61" s="6"/>
      <c r="F61" s="19"/>
      <c r="G61" s="24" t="s">
        <v>2</v>
      </c>
      <c r="H61" s="24" t="s">
        <v>2</v>
      </c>
      <c r="I61" s="31"/>
      <c r="J61" s="35"/>
    </row>
    <row r="62" spans="1:10" x14ac:dyDescent="0.25">
      <c r="B62" s="8"/>
      <c r="C62" s="56" t="s">
        <v>36</v>
      </c>
      <c r="D62" s="53"/>
      <c r="E62" s="6"/>
      <c r="F62" s="19"/>
      <c r="G62" s="24">
        <v>9384.4699999999993</v>
      </c>
      <c r="H62" s="24">
        <v>3.7100000000000004</v>
      </c>
      <c r="I62" s="31"/>
      <c r="J62" s="35"/>
    </row>
    <row r="63" spans="1:10" x14ac:dyDescent="0.25">
      <c r="C63" s="57" t="s">
        <v>35</v>
      </c>
      <c r="D63" s="53"/>
      <c r="E63" s="6"/>
      <c r="F63" s="19"/>
      <c r="G63" s="25">
        <v>9384.4699999999993</v>
      </c>
      <c r="H63" s="25">
        <v>3.7100000000000004</v>
      </c>
      <c r="I63" s="31"/>
      <c r="J63" s="35"/>
    </row>
    <row r="64" spans="1:10" x14ac:dyDescent="0.25">
      <c r="C64" s="56"/>
      <c r="D64" s="53"/>
      <c r="E64" s="6"/>
      <c r="F64" s="19"/>
      <c r="G64" s="24"/>
      <c r="H64" s="24"/>
      <c r="I64" s="31"/>
      <c r="J64" s="35"/>
    </row>
    <row r="65" spans="3:10" x14ac:dyDescent="0.25">
      <c r="C65" s="61" t="s">
        <v>37</v>
      </c>
      <c r="D65" s="54"/>
      <c r="E65" s="5"/>
      <c r="F65" s="20"/>
      <c r="G65" s="26">
        <v>252218.17</v>
      </c>
      <c r="H65" s="26">
        <f>SUMIFS(H:H,C:C,"Total")</f>
        <v>99.999999999999986</v>
      </c>
      <c r="I65" s="32"/>
      <c r="J65" s="36"/>
    </row>
    <row r="68" spans="3:10" x14ac:dyDescent="0.25">
      <c r="C68" s="1" t="s">
        <v>38</v>
      </c>
    </row>
    <row r="69" spans="3:10" x14ac:dyDescent="0.25">
      <c r="C69" s="2" t="s">
        <v>39</v>
      </c>
    </row>
    <row r="70" spans="3:10" x14ac:dyDescent="0.25">
      <c r="C70" s="2" t="s">
        <v>40</v>
      </c>
    </row>
    <row r="71" spans="3:10" x14ac:dyDescent="0.25">
      <c r="C71" s="2" t="s">
        <v>3430</v>
      </c>
    </row>
  </sheetData>
  <hyperlinks>
    <hyperlink ref="J2" location="'Index'!A1" display="'Index'!A1"/>
  </hyperlinks>
  <pageMargins left="0.7" right="0.7" top="0.75" bottom="0.75" header="0.3" footer="0.3"/>
  <pageSetup orientation="portrait" horizontalDpi="4294967293"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5"/>
  <dimension ref="A1:J10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2238</v>
      </c>
      <c r="J2" s="37" t="s">
        <v>3307</v>
      </c>
    </row>
    <row r="3" spans="1:10" ht="16.5" x14ac:dyDescent="0.3">
      <c r="C3" s="1" t="s">
        <v>24</v>
      </c>
      <c r="D3" s="21" t="s">
        <v>2298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380000</v>
      </c>
      <c r="G10" s="24">
        <v>3831.35</v>
      </c>
      <c r="H10" s="24">
        <v>1.44</v>
      </c>
      <c r="I10" s="31"/>
      <c r="J10" s="35"/>
    </row>
    <row r="11" spans="1:10" x14ac:dyDescent="0.25">
      <c r="B11" s="8" t="s">
        <v>48</v>
      </c>
      <c r="C11" s="56" t="s">
        <v>49</v>
      </c>
      <c r="D11" s="53" t="s">
        <v>50</v>
      </c>
      <c r="E11" s="6" t="s">
        <v>51</v>
      </c>
      <c r="F11" s="19">
        <v>248000</v>
      </c>
      <c r="G11" s="24">
        <v>2674.93</v>
      </c>
      <c r="H11" s="24">
        <v>1</v>
      </c>
      <c r="I11" s="31"/>
      <c r="J11" s="35"/>
    </row>
    <row r="12" spans="1:10" x14ac:dyDescent="0.25">
      <c r="B12" s="8" t="s">
        <v>59</v>
      </c>
      <c r="C12" s="56" t="s">
        <v>60</v>
      </c>
      <c r="D12" s="53" t="s">
        <v>61</v>
      </c>
      <c r="E12" s="6" t="s">
        <v>51</v>
      </c>
      <c r="F12" s="19">
        <v>160000</v>
      </c>
      <c r="G12" s="24">
        <v>2029.12</v>
      </c>
      <c r="H12" s="24">
        <v>0.76</v>
      </c>
      <c r="I12" s="31"/>
      <c r="J12" s="35"/>
    </row>
    <row r="13" spans="1:10" x14ac:dyDescent="0.25">
      <c r="B13" s="8" t="s">
        <v>56</v>
      </c>
      <c r="C13" s="56" t="s">
        <v>57</v>
      </c>
      <c r="D13" s="53" t="s">
        <v>58</v>
      </c>
      <c r="E13" s="6" t="s">
        <v>47</v>
      </c>
      <c r="F13" s="19">
        <v>70000</v>
      </c>
      <c r="G13" s="24">
        <v>1744.61</v>
      </c>
      <c r="H13" s="24">
        <v>0.65</v>
      </c>
      <c r="I13" s="31"/>
      <c r="J13" s="35"/>
    </row>
    <row r="14" spans="1:10" x14ac:dyDescent="0.25">
      <c r="B14" s="8" t="s">
        <v>62</v>
      </c>
      <c r="C14" s="56" t="s">
        <v>63</v>
      </c>
      <c r="D14" s="53" t="s">
        <v>64</v>
      </c>
      <c r="E14" s="6" t="s">
        <v>51</v>
      </c>
      <c r="F14" s="19">
        <v>450000</v>
      </c>
      <c r="G14" s="24">
        <v>1596.38</v>
      </c>
      <c r="H14" s="24">
        <v>0.6</v>
      </c>
      <c r="I14" s="31"/>
      <c r="J14" s="35"/>
    </row>
    <row r="15" spans="1:10" x14ac:dyDescent="0.25">
      <c r="B15" s="8" t="s">
        <v>859</v>
      </c>
      <c r="C15" s="56" t="s">
        <v>860</v>
      </c>
      <c r="D15" s="53" t="s">
        <v>861</v>
      </c>
      <c r="E15" s="6" t="s">
        <v>98</v>
      </c>
      <c r="F15" s="19">
        <v>50000</v>
      </c>
      <c r="G15" s="24">
        <v>1573.65</v>
      </c>
      <c r="H15" s="24">
        <v>0.59</v>
      </c>
      <c r="I15" s="31"/>
      <c r="J15" s="35"/>
    </row>
    <row r="16" spans="1:10" x14ac:dyDescent="0.25">
      <c r="B16" s="8" t="s">
        <v>409</v>
      </c>
      <c r="C16" s="56" t="s">
        <v>410</v>
      </c>
      <c r="D16" s="53" t="s">
        <v>411</v>
      </c>
      <c r="E16" s="6" t="s">
        <v>98</v>
      </c>
      <c r="F16" s="19">
        <v>22700</v>
      </c>
      <c r="G16" s="24">
        <v>1530.76</v>
      </c>
      <c r="H16" s="24">
        <v>0.56999999999999995</v>
      </c>
      <c r="I16" s="31"/>
      <c r="J16" s="35"/>
    </row>
    <row r="17" spans="2:10" x14ac:dyDescent="0.25">
      <c r="B17" s="8" t="s">
        <v>136</v>
      </c>
      <c r="C17" s="56" t="s">
        <v>137</v>
      </c>
      <c r="D17" s="53" t="s">
        <v>138</v>
      </c>
      <c r="E17" s="6" t="s">
        <v>41</v>
      </c>
      <c r="F17" s="19">
        <v>37000</v>
      </c>
      <c r="G17" s="24">
        <v>1498.33</v>
      </c>
      <c r="H17" s="24">
        <v>0.56000000000000005</v>
      </c>
      <c r="I17" s="31"/>
      <c r="J17" s="35"/>
    </row>
    <row r="18" spans="2:10" x14ac:dyDescent="0.25">
      <c r="B18" s="8" t="s">
        <v>139</v>
      </c>
      <c r="C18" s="56" t="s">
        <v>140</v>
      </c>
      <c r="D18" s="53" t="s">
        <v>141</v>
      </c>
      <c r="E18" s="6" t="s">
        <v>142</v>
      </c>
      <c r="F18" s="19">
        <v>115000</v>
      </c>
      <c r="G18" s="24">
        <v>1436.47</v>
      </c>
      <c r="H18" s="24">
        <v>0.54</v>
      </c>
      <c r="I18" s="31"/>
      <c r="J18" s="35"/>
    </row>
    <row r="19" spans="2:10" x14ac:dyDescent="0.25">
      <c r="B19" s="8" t="s">
        <v>1354</v>
      </c>
      <c r="C19" s="56" t="s">
        <v>1355</v>
      </c>
      <c r="D19" s="53" t="s">
        <v>1356</v>
      </c>
      <c r="E19" s="6" t="s">
        <v>826</v>
      </c>
      <c r="F19" s="19">
        <v>650000</v>
      </c>
      <c r="G19" s="24">
        <v>1434.23</v>
      </c>
      <c r="H19" s="24">
        <v>0.54</v>
      </c>
      <c r="I19" s="31"/>
      <c r="J19" s="35"/>
    </row>
    <row r="20" spans="2:10" x14ac:dyDescent="0.25">
      <c r="B20" s="8" t="s">
        <v>76</v>
      </c>
      <c r="C20" s="56" t="s">
        <v>77</v>
      </c>
      <c r="D20" s="53" t="s">
        <v>78</v>
      </c>
      <c r="E20" s="6" t="s">
        <v>79</v>
      </c>
      <c r="F20" s="19">
        <v>135000</v>
      </c>
      <c r="G20" s="24">
        <v>1217.1600000000001</v>
      </c>
      <c r="H20" s="24">
        <v>0.46</v>
      </c>
      <c r="I20" s="31"/>
      <c r="J20" s="35"/>
    </row>
    <row r="21" spans="2:10" x14ac:dyDescent="0.25">
      <c r="B21" s="8" t="s">
        <v>370</v>
      </c>
      <c r="C21" s="56" t="s">
        <v>371</v>
      </c>
      <c r="D21" s="53" t="s">
        <v>372</v>
      </c>
      <c r="E21" s="6" t="s">
        <v>41</v>
      </c>
      <c r="F21" s="19">
        <v>80000</v>
      </c>
      <c r="G21" s="24">
        <v>1114.76</v>
      </c>
      <c r="H21" s="24">
        <v>0.42</v>
      </c>
      <c r="I21" s="31"/>
      <c r="J21" s="35"/>
    </row>
    <row r="22" spans="2:10" x14ac:dyDescent="0.25">
      <c r="B22" s="8" t="s">
        <v>73</v>
      </c>
      <c r="C22" s="56" t="s">
        <v>74</v>
      </c>
      <c r="D22" s="53" t="s">
        <v>75</v>
      </c>
      <c r="E22" s="6" t="s">
        <v>51</v>
      </c>
      <c r="F22" s="19">
        <v>255000</v>
      </c>
      <c r="G22" s="24">
        <v>1082.8599999999999</v>
      </c>
      <c r="H22" s="24">
        <v>0.41</v>
      </c>
      <c r="I22" s="31"/>
      <c r="J22" s="35"/>
    </row>
    <row r="23" spans="2:10" x14ac:dyDescent="0.25">
      <c r="B23" s="8" t="s">
        <v>65</v>
      </c>
      <c r="C23" s="56" t="s">
        <v>66</v>
      </c>
      <c r="D23" s="53" t="s">
        <v>67</v>
      </c>
      <c r="E23" s="6" t="s">
        <v>68</v>
      </c>
      <c r="F23" s="19">
        <v>243880</v>
      </c>
      <c r="G23" s="24">
        <v>1026.6099999999999</v>
      </c>
      <c r="H23" s="24">
        <v>0.38</v>
      </c>
      <c r="I23" s="31"/>
      <c r="J23" s="35"/>
    </row>
    <row r="24" spans="2:10" x14ac:dyDescent="0.25">
      <c r="B24" s="8" t="s">
        <v>398</v>
      </c>
      <c r="C24" s="56" t="s">
        <v>399</v>
      </c>
      <c r="D24" s="53" t="s">
        <v>400</v>
      </c>
      <c r="E24" s="6" t="s">
        <v>90</v>
      </c>
      <c r="F24" s="19">
        <v>230000</v>
      </c>
      <c r="G24" s="24">
        <v>834.9</v>
      </c>
      <c r="H24" s="24">
        <v>0.31</v>
      </c>
      <c r="I24" s="31"/>
      <c r="J24" s="35"/>
    </row>
    <row r="25" spans="2:10" x14ac:dyDescent="0.25">
      <c r="B25" s="8" t="s">
        <v>164</v>
      </c>
      <c r="C25" s="56" t="s">
        <v>165</v>
      </c>
      <c r="D25" s="53" t="s">
        <v>166</v>
      </c>
      <c r="E25" s="6" t="s">
        <v>51</v>
      </c>
      <c r="F25" s="19">
        <v>420000</v>
      </c>
      <c r="G25" s="24">
        <v>778.68</v>
      </c>
      <c r="H25" s="24">
        <v>0.28999999999999998</v>
      </c>
      <c r="I25" s="31"/>
      <c r="J25" s="35"/>
    </row>
    <row r="26" spans="2:10" x14ac:dyDescent="0.25">
      <c r="B26" s="8" t="s">
        <v>154</v>
      </c>
      <c r="C26" s="56" t="s">
        <v>155</v>
      </c>
      <c r="D26" s="53" t="s">
        <v>156</v>
      </c>
      <c r="E26" s="6" t="s">
        <v>157</v>
      </c>
      <c r="F26" s="19">
        <v>160000</v>
      </c>
      <c r="G26" s="24">
        <v>712.32</v>
      </c>
      <c r="H26" s="24">
        <v>0.27</v>
      </c>
      <c r="I26" s="31"/>
      <c r="J26" s="35"/>
    </row>
    <row r="27" spans="2:10" x14ac:dyDescent="0.25">
      <c r="B27" s="8" t="s">
        <v>95</v>
      </c>
      <c r="C27" s="56" t="s">
        <v>96</v>
      </c>
      <c r="D27" s="53" t="s">
        <v>97</v>
      </c>
      <c r="E27" s="6" t="s">
        <v>98</v>
      </c>
      <c r="F27" s="19">
        <v>105000</v>
      </c>
      <c r="G27" s="24">
        <v>638.29999999999995</v>
      </c>
      <c r="H27" s="24">
        <v>0.24</v>
      </c>
      <c r="I27" s="31"/>
      <c r="J27" s="35"/>
    </row>
    <row r="28" spans="2:10" x14ac:dyDescent="0.25">
      <c r="B28" s="8" t="s">
        <v>167</v>
      </c>
      <c r="C28" s="56" t="s">
        <v>168</v>
      </c>
      <c r="D28" s="53" t="s">
        <v>169</v>
      </c>
      <c r="E28" s="6" t="s">
        <v>170</v>
      </c>
      <c r="F28" s="19">
        <v>350000</v>
      </c>
      <c r="G28" s="24">
        <v>613.38</v>
      </c>
      <c r="H28" s="24">
        <v>0.23</v>
      </c>
      <c r="I28" s="31"/>
      <c r="J28" s="35"/>
    </row>
    <row r="29" spans="2:10" x14ac:dyDescent="0.25">
      <c r="B29" s="8" t="s">
        <v>2256</v>
      </c>
      <c r="C29" s="56" t="s">
        <v>2257</v>
      </c>
      <c r="D29" s="53" t="s">
        <v>2258</v>
      </c>
      <c r="E29" s="6" t="s">
        <v>722</v>
      </c>
      <c r="F29" s="19">
        <v>260000</v>
      </c>
      <c r="G29" s="24">
        <v>503.62</v>
      </c>
      <c r="H29" s="24">
        <v>0.19</v>
      </c>
      <c r="I29" s="31"/>
      <c r="J29" s="35"/>
    </row>
    <row r="30" spans="2:10" x14ac:dyDescent="0.25">
      <c r="B30" s="8" t="s">
        <v>118</v>
      </c>
      <c r="C30" s="56" t="s">
        <v>119</v>
      </c>
      <c r="D30" s="53" t="s">
        <v>120</v>
      </c>
      <c r="E30" s="6" t="s">
        <v>98</v>
      </c>
      <c r="F30" s="19">
        <v>125000</v>
      </c>
      <c r="G30" s="24">
        <v>166.63</v>
      </c>
      <c r="H30" s="24">
        <v>0.06</v>
      </c>
      <c r="I30" s="31"/>
      <c r="J30" s="35"/>
    </row>
    <row r="31" spans="2:10" x14ac:dyDescent="0.25">
      <c r="B31" s="8" t="s">
        <v>1601</v>
      </c>
      <c r="C31" s="56" t="s">
        <v>1602</v>
      </c>
      <c r="D31" s="53" t="s">
        <v>1603</v>
      </c>
      <c r="E31" s="6" t="s">
        <v>826</v>
      </c>
      <c r="F31" s="19">
        <v>30436</v>
      </c>
      <c r="G31" s="24">
        <v>117.73</v>
      </c>
      <c r="H31" s="24">
        <v>0.04</v>
      </c>
      <c r="I31" s="31"/>
      <c r="J31" s="35"/>
    </row>
    <row r="32" spans="2:10" x14ac:dyDescent="0.25">
      <c r="C32" s="57" t="s">
        <v>35</v>
      </c>
      <c r="D32" s="53"/>
      <c r="E32" s="6"/>
      <c r="F32" s="19"/>
      <c r="G32" s="25">
        <v>28156.78</v>
      </c>
      <c r="H32" s="25">
        <v>10.55</v>
      </c>
      <c r="I32" s="31"/>
      <c r="J32" s="35"/>
    </row>
    <row r="33" spans="1:10" x14ac:dyDescent="0.25">
      <c r="C33" s="56"/>
      <c r="D33" s="53"/>
      <c r="E33" s="6"/>
      <c r="F33" s="19"/>
      <c r="G33" s="24"/>
      <c r="H33" s="24"/>
      <c r="I33" s="31"/>
      <c r="J33" s="35"/>
    </row>
    <row r="34" spans="1:10" x14ac:dyDescent="0.25">
      <c r="C34" s="57" t="s">
        <v>3</v>
      </c>
      <c r="D34" s="53"/>
      <c r="E34" s="6"/>
      <c r="F34" s="19"/>
      <c r="G34" s="24" t="s">
        <v>2</v>
      </c>
      <c r="H34" s="24" t="s">
        <v>2</v>
      </c>
      <c r="I34" s="31"/>
      <c r="J34" s="35"/>
    </row>
    <row r="35" spans="1:10" x14ac:dyDescent="0.25">
      <c r="C35" s="56"/>
      <c r="D35" s="53"/>
      <c r="E35" s="6"/>
      <c r="F35" s="19"/>
      <c r="G35" s="24"/>
      <c r="H35" s="24"/>
      <c r="I35" s="31"/>
      <c r="J35" s="35"/>
    </row>
    <row r="36" spans="1:10" x14ac:dyDescent="0.25">
      <c r="C36" s="57" t="s">
        <v>4</v>
      </c>
      <c r="D36" s="53"/>
      <c r="E36" s="6"/>
      <c r="F36" s="19"/>
      <c r="G36" s="24" t="s">
        <v>2</v>
      </c>
      <c r="H36" s="24" t="s">
        <v>2</v>
      </c>
      <c r="I36" s="31"/>
      <c r="J36" s="35"/>
    </row>
    <row r="37" spans="1:10" x14ac:dyDescent="0.25">
      <c r="C37" s="56"/>
      <c r="D37" s="53"/>
      <c r="E37" s="6"/>
      <c r="F37" s="19"/>
      <c r="G37" s="24"/>
      <c r="H37" s="24"/>
      <c r="I37" s="31"/>
      <c r="J37" s="35"/>
    </row>
    <row r="38" spans="1:10" x14ac:dyDescent="0.25">
      <c r="A38" s="10"/>
      <c r="B38" s="28"/>
      <c r="C38" s="58" t="s">
        <v>5</v>
      </c>
      <c r="D38" s="53"/>
      <c r="E38" s="6"/>
      <c r="F38" s="19"/>
      <c r="G38" s="24"/>
      <c r="H38" s="24"/>
      <c r="I38" s="31"/>
      <c r="J38" s="35"/>
    </row>
    <row r="39" spans="1:10" x14ac:dyDescent="0.25">
      <c r="C39" s="59" t="s">
        <v>6</v>
      </c>
      <c r="D39" s="53"/>
      <c r="E39" s="6"/>
      <c r="F39" s="19"/>
      <c r="G39" s="24"/>
      <c r="H39" s="24"/>
      <c r="I39" s="31"/>
      <c r="J39" s="35"/>
    </row>
    <row r="40" spans="1:10" x14ac:dyDescent="0.25">
      <c r="B40" s="8" t="s">
        <v>2299</v>
      </c>
      <c r="C40" s="56" t="s">
        <v>938</v>
      </c>
      <c r="D40" s="53" t="s">
        <v>2300</v>
      </c>
      <c r="E40" s="6" t="s">
        <v>573</v>
      </c>
      <c r="F40" s="19">
        <v>2300</v>
      </c>
      <c r="G40" s="24">
        <v>27999.4</v>
      </c>
      <c r="H40" s="24">
        <v>10.5</v>
      </c>
      <c r="I40" s="31">
        <v>11.9499</v>
      </c>
      <c r="J40" s="35" t="s">
        <v>514</v>
      </c>
    </row>
    <row r="41" spans="1:10" x14ac:dyDescent="0.25">
      <c r="B41" s="8" t="s">
        <v>2301</v>
      </c>
      <c r="C41" s="56" t="s">
        <v>691</v>
      </c>
      <c r="D41" s="53" t="s">
        <v>2302</v>
      </c>
      <c r="E41" s="6" t="s">
        <v>928</v>
      </c>
      <c r="F41" s="19">
        <v>2300</v>
      </c>
      <c r="G41" s="24">
        <v>23397.88</v>
      </c>
      <c r="H41" s="24">
        <v>8.77</v>
      </c>
      <c r="I41" s="31">
        <v>5.1614000000000004</v>
      </c>
      <c r="J41" s="35" t="s">
        <v>514</v>
      </c>
    </row>
    <row r="42" spans="1:10" x14ac:dyDescent="0.25">
      <c r="B42" s="8" t="s">
        <v>2303</v>
      </c>
      <c r="C42" s="56" t="s">
        <v>53</v>
      </c>
      <c r="D42" s="53" t="s">
        <v>2304</v>
      </c>
      <c r="E42" s="6" t="s">
        <v>534</v>
      </c>
      <c r="F42" s="19">
        <v>2300</v>
      </c>
      <c r="G42" s="24">
        <v>23156.68</v>
      </c>
      <c r="H42" s="24">
        <v>8.68</v>
      </c>
      <c r="I42" s="31">
        <v>3.4950999999999999</v>
      </c>
      <c r="J42" s="35" t="s">
        <v>514</v>
      </c>
    </row>
    <row r="43" spans="1:10" x14ac:dyDescent="0.25">
      <c r="B43" s="8" t="s">
        <v>2305</v>
      </c>
      <c r="C43" s="56" t="s">
        <v>1130</v>
      </c>
      <c r="D43" s="53" t="s">
        <v>2306</v>
      </c>
      <c r="E43" s="6" t="s">
        <v>911</v>
      </c>
      <c r="F43" s="19">
        <v>1850</v>
      </c>
      <c r="G43" s="24">
        <v>18648.669999999998</v>
      </c>
      <c r="H43" s="24">
        <v>6.99</v>
      </c>
      <c r="I43" s="31">
        <v>3.4512</v>
      </c>
      <c r="J43" s="35" t="s">
        <v>514</v>
      </c>
    </row>
    <row r="44" spans="1:10" x14ac:dyDescent="0.25">
      <c r="B44" s="8" t="s">
        <v>1937</v>
      </c>
      <c r="C44" s="56" t="s">
        <v>1752</v>
      </c>
      <c r="D44" s="53" t="s">
        <v>1938</v>
      </c>
      <c r="E44" s="6" t="s">
        <v>1314</v>
      </c>
      <c r="F44" s="19">
        <v>1500</v>
      </c>
      <c r="G44" s="24">
        <v>15118.76</v>
      </c>
      <c r="H44" s="24">
        <v>5.67</v>
      </c>
      <c r="I44" s="31">
        <v>3.4035000000000002</v>
      </c>
      <c r="J44" s="35" t="s">
        <v>514</v>
      </c>
    </row>
    <row r="45" spans="1:10" x14ac:dyDescent="0.25">
      <c r="B45" s="8" t="s">
        <v>2307</v>
      </c>
      <c r="C45" s="56" t="s">
        <v>1035</v>
      </c>
      <c r="D45" s="53" t="s">
        <v>2308</v>
      </c>
      <c r="E45" s="6" t="s">
        <v>693</v>
      </c>
      <c r="F45" s="19">
        <v>1150</v>
      </c>
      <c r="G45" s="24">
        <v>14373.26</v>
      </c>
      <c r="H45" s="24">
        <v>5.39</v>
      </c>
      <c r="I45" s="31">
        <v>5.85</v>
      </c>
      <c r="J45" s="35" t="s">
        <v>514</v>
      </c>
    </row>
    <row r="46" spans="1:10" x14ac:dyDescent="0.25">
      <c r="B46" s="8" t="s">
        <v>2309</v>
      </c>
      <c r="C46" s="56" t="s">
        <v>909</v>
      </c>
      <c r="D46" s="53" t="s">
        <v>2310</v>
      </c>
      <c r="E46" s="6" t="s">
        <v>534</v>
      </c>
      <c r="F46" s="19">
        <v>500</v>
      </c>
      <c r="G46" s="24">
        <v>5060.43</v>
      </c>
      <c r="H46" s="24">
        <v>1.9</v>
      </c>
      <c r="I46" s="31">
        <v>3.7</v>
      </c>
      <c r="J46" s="35" t="s">
        <v>514</v>
      </c>
    </row>
    <row r="47" spans="1:10" x14ac:dyDescent="0.25">
      <c r="B47" s="8" t="s">
        <v>2311</v>
      </c>
      <c r="C47" s="56" t="s">
        <v>1376</v>
      </c>
      <c r="D47" s="53" t="s">
        <v>2312</v>
      </c>
      <c r="E47" s="6" t="s">
        <v>534</v>
      </c>
      <c r="F47" s="19">
        <v>500</v>
      </c>
      <c r="G47" s="24">
        <v>5040.82</v>
      </c>
      <c r="H47" s="24">
        <v>1.89</v>
      </c>
      <c r="I47" s="31">
        <v>3.4950000000000001</v>
      </c>
      <c r="J47" s="35" t="s">
        <v>514</v>
      </c>
    </row>
    <row r="48" spans="1:10" x14ac:dyDescent="0.25">
      <c r="B48" s="8" t="s">
        <v>2313</v>
      </c>
      <c r="C48" s="56" t="s">
        <v>1376</v>
      </c>
      <c r="D48" s="53" t="s">
        <v>2314</v>
      </c>
      <c r="E48" s="6" t="s">
        <v>534</v>
      </c>
      <c r="F48" s="19">
        <v>400</v>
      </c>
      <c r="G48" s="24">
        <v>4065.82</v>
      </c>
      <c r="H48" s="24">
        <v>1.52</v>
      </c>
      <c r="I48" s="31">
        <v>3.8349000000000002</v>
      </c>
      <c r="J48" s="35" t="s">
        <v>514</v>
      </c>
    </row>
    <row r="49" spans="2:10" x14ac:dyDescent="0.25">
      <c r="B49" s="8" t="s">
        <v>2315</v>
      </c>
      <c r="C49" s="56" t="s">
        <v>2316</v>
      </c>
      <c r="D49" s="53" t="s">
        <v>2317</v>
      </c>
      <c r="E49" s="6" t="s">
        <v>534</v>
      </c>
      <c r="F49" s="19">
        <v>300</v>
      </c>
      <c r="G49" s="24">
        <v>3754.92</v>
      </c>
      <c r="H49" s="24">
        <v>1.41</v>
      </c>
      <c r="I49" s="31">
        <v>4.6425000000000001</v>
      </c>
      <c r="J49" s="35" t="s">
        <v>514</v>
      </c>
    </row>
    <row r="50" spans="2:10" x14ac:dyDescent="0.25">
      <c r="B50" s="8" t="s">
        <v>1920</v>
      </c>
      <c r="C50" s="56" t="s">
        <v>854</v>
      </c>
      <c r="D50" s="53" t="s">
        <v>1921</v>
      </c>
      <c r="E50" s="6" t="s">
        <v>534</v>
      </c>
      <c r="F50" s="19">
        <v>370</v>
      </c>
      <c r="G50" s="24">
        <v>3738.97</v>
      </c>
      <c r="H50" s="24">
        <v>1.4</v>
      </c>
      <c r="I50" s="31">
        <v>3.42</v>
      </c>
      <c r="J50" s="35" t="s">
        <v>514</v>
      </c>
    </row>
    <row r="51" spans="2:10" x14ac:dyDescent="0.25">
      <c r="B51" s="8" t="s">
        <v>2318</v>
      </c>
      <c r="C51" s="56" t="s">
        <v>1950</v>
      </c>
      <c r="D51" s="53" t="s">
        <v>2319</v>
      </c>
      <c r="E51" s="6" t="s">
        <v>534</v>
      </c>
      <c r="F51" s="19">
        <v>200</v>
      </c>
      <c r="G51" s="24">
        <v>2499.5700000000002</v>
      </c>
      <c r="H51" s="24">
        <v>0.94</v>
      </c>
      <c r="I51" s="31">
        <v>4.9499000000000004</v>
      </c>
      <c r="J51" s="35" t="s">
        <v>514</v>
      </c>
    </row>
    <row r="52" spans="2:10" x14ac:dyDescent="0.25">
      <c r="B52" s="8" t="s">
        <v>2320</v>
      </c>
      <c r="C52" s="56" t="s">
        <v>2321</v>
      </c>
      <c r="D52" s="53" t="s">
        <v>2322</v>
      </c>
      <c r="E52" s="6" t="s">
        <v>518</v>
      </c>
      <c r="F52" s="19">
        <v>150</v>
      </c>
      <c r="G52" s="24">
        <v>1492.79</v>
      </c>
      <c r="H52" s="24">
        <v>0.56000000000000005</v>
      </c>
      <c r="I52" s="31">
        <v>9.4293999999999993</v>
      </c>
      <c r="J52" s="35" t="s">
        <v>514</v>
      </c>
    </row>
    <row r="53" spans="2:10" x14ac:dyDescent="0.25">
      <c r="C53" s="57" t="s">
        <v>35</v>
      </c>
      <c r="D53" s="53"/>
      <c r="E53" s="6"/>
      <c r="F53" s="19"/>
      <c r="G53" s="25">
        <v>148347.97</v>
      </c>
      <c r="H53" s="25">
        <v>55.62</v>
      </c>
      <c r="I53" s="31"/>
      <c r="J53" s="35"/>
    </row>
    <row r="54" spans="2:10" x14ac:dyDescent="0.25">
      <c r="C54" s="56"/>
      <c r="D54" s="53"/>
      <c r="E54" s="6"/>
      <c r="F54" s="19"/>
      <c r="G54" s="24"/>
      <c r="H54" s="24"/>
      <c r="I54" s="31"/>
      <c r="J54" s="35"/>
    </row>
    <row r="55" spans="2:10" x14ac:dyDescent="0.25">
      <c r="C55" s="57" t="s">
        <v>7</v>
      </c>
      <c r="D55" s="53"/>
      <c r="E55" s="6"/>
      <c r="F55" s="19"/>
      <c r="G55" s="24" t="s">
        <v>2</v>
      </c>
      <c r="H55" s="24" t="s">
        <v>2</v>
      </c>
      <c r="I55" s="31"/>
      <c r="J55" s="35"/>
    </row>
    <row r="56" spans="2:10" x14ac:dyDescent="0.25">
      <c r="C56" s="56"/>
      <c r="D56" s="53"/>
      <c r="E56" s="6"/>
      <c r="F56" s="19"/>
      <c r="G56" s="24"/>
      <c r="H56" s="24"/>
      <c r="I56" s="31"/>
      <c r="J56" s="35"/>
    </row>
    <row r="57" spans="2:10" x14ac:dyDescent="0.25">
      <c r="C57" s="57" t="s">
        <v>8</v>
      </c>
      <c r="D57" s="53"/>
      <c r="E57" s="6"/>
      <c r="F57" s="19"/>
      <c r="G57" s="24" t="s">
        <v>2</v>
      </c>
      <c r="H57" s="24" t="s">
        <v>2</v>
      </c>
      <c r="I57" s="31"/>
      <c r="J57" s="35"/>
    </row>
    <row r="58" spans="2:10" x14ac:dyDescent="0.25">
      <c r="C58" s="56"/>
      <c r="D58" s="53"/>
      <c r="E58" s="6"/>
      <c r="F58" s="19"/>
      <c r="G58" s="24"/>
      <c r="H58" s="24"/>
      <c r="I58" s="31"/>
      <c r="J58" s="35"/>
    </row>
    <row r="59" spans="2:10" x14ac:dyDescent="0.25">
      <c r="C59" s="57" t="s">
        <v>9</v>
      </c>
      <c r="D59" s="53"/>
      <c r="E59" s="6"/>
      <c r="F59" s="19"/>
      <c r="G59" s="24" t="s">
        <v>2</v>
      </c>
      <c r="H59" s="24" t="s">
        <v>2</v>
      </c>
      <c r="I59" s="31"/>
      <c r="J59" s="35"/>
    </row>
    <row r="60" spans="2:10" x14ac:dyDescent="0.25">
      <c r="C60" s="56"/>
      <c r="D60" s="53"/>
      <c r="E60" s="6"/>
      <c r="F60" s="19"/>
      <c r="G60" s="24"/>
      <c r="H60" s="24"/>
      <c r="I60" s="31"/>
      <c r="J60" s="35"/>
    </row>
    <row r="61" spans="2:10" x14ac:dyDescent="0.25">
      <c r="C61" s="59" t="s">
        <v>10</v>
      </c>
      <c r="D61" s="53"/>
      <c r="E61" s="6"/>
      <c r="F61" s="19"/>
      <c r="G61" s="24"/>
      <c r="H61" s="24"/>
      <c r="I61" s="31"/>
      <c r="J61" s="35"/>
    </row>
    <row r="62" spans="2:10" x14ac:dyDescent="0.25">
      <c r="B62" s="8" t="s">
        <v>2323</v>
      </c>
      <c r="C62" s="56" t="s">
        <v>2324</v>
      </c>
      <c r="D62" s="53" t="s">
        <v>2325</v>
      </c>
      <c r="E62" s="6" t="s">
        <v>655</v>
      </c>
      <c r="F62" s="19">
        <v>22700000</v>
      </c>
      <c r="G62" s="24">
        <v>23143.74</v>
      </c>
      <c r="H62" s="24">
        <v>8.68</v>
      </c>
      <c r="I62" s="31">
        <v>4.0368000000000004</v>
      </c>
      <c r="J62" s="35"/>
    </row>
    <row r="63" spans="2:10" x14ac:dyDescent="0.25">
      <c r="B63" s="8" t="s">
        <v>2326</v>
      </c>
      <c r="C63" s="56" t="s">
        <v>2327</v>
      </c>
      <c r="D63" s="53" t="s">
        <v>2328</v>
      </c>
      <c r="E63" s="6" t="s">
        <v>655</v>
      </c>
      <c r="F63" s="19">
        <v>9000000</v>
      </c>
      <c r="G63" s="24">
        <v>9189.34</v>
      </c>
      <c r="H63" s="24">
        <v>3.44</v>
      </c>
      <c r="I63" s="31">
        <v>3.7279</v>
      </c>
      <c r="J63" s="35"/>
    </row>
    <row r="64" spans="2:10" x14ac:dyDescent="0.25">
      <c r="B64" s="8" t="s">
        <v>2329</v>
      </c>
      <c r="C64" s="56" t="s">
        <v>2330</v>
      </c>
      <c r="D64" s="53" t="s">
        <v>2331</v>
      </c>
      <c r="E64" s="6" t="s">
        <v>655</v>
      </c>
      <c r="F64" s="19">
        <v>8000000</v>
      </c>
      <c r="G64" s="24">
        <v>8179</v>
      </c>
      <c r="H64" s="24">
        <v>3.07</v>
      </c>
      <c r="I64" s="31">
        <v>3.9918</v>
      </c>
      <c r="J64" s="35"/>
    </row>
    <row r="65" spans="1:10" x14ac:dyDescent="0.25">
      <c r="B65" s="8" t="s">
        <v>2332</v>
      </c>
      <c r="C65" s="56" t="s">
        <v>2333</v>
      </c>
      <c r="D65" s="53" t="s">
        <v>2334</v>
      </c>
      <c r="E65" s="6" t="s">
        <v>655</v>
      </c>
      <c r="F65" s="19">
        <v>7796000</v>
      </c>
      <c r="G65" s="24">
        <v>7954.98</v>
      </c>
      <c r="H65" s="24">
        <v>2.98</v>
      </c>
      <c r="I65" s="31">
        <v>4.0366999999999997</v>
      </c>
      <c r="J65" s="35"/>
    </row>
    <row r="66" spans="1:10" x14ac:dyDescent="0.25">
      <c r="B66" s="8" t="s">
        <v>2335</v>
      </c>
      <c r="C66" s="56" t="s">
        <v>2336</v>
      </c>
      <c r="D66" s="53" t="s">
        <v>2337</v>
      </c>
      <c r="E66" s="6" t="s">
        <v>655</v>
      </c>
      <c r="F66" s="19">
        <v>3366000</v>
      </c>
      <c r="G66" s="24">
        <v>3438.2</v>
      </c>
      <c r="H66" s="24">
        <v>1.29</v>
      </c>
      <c r="I66" s="31">
        <v>4.0368000000000004</v>
      </c>
      <c r="J66" s="35"/>
    </row>
    <row r="67" spans="1:10" x14ac:dyDescent="0.25">
      <c r="C67" s="57" t="s">
        <v>35</v>
      </c>
      <c r="D67" s="53"/>
      <c r="E67" s="6"/>
      <c r="F67" s="19"/>
      <c r="G67" s="25">
        <v>51905.26</v>
      </c>
      <c r="H67" s="25">
        <v>19.46</v>
      </c>
      <c r="I67" s="31"/>
      <c r="J67" s="35"/>
    </row>
    <row r="68" spans="1:10" x14ac:dyDescent="0.25">
      <c r="C68" s="56"/>
      <c r="D68" s="53"/>
      <c r="E68" s="6"/>
      <c r="F68" s="19"/>
      <c r="G68" s="24"/>
      <c r="H68" s="24"/>
      <c r="I68" s="31"/>
      <c r="J68" s="35"/>
    </row>
    <row r="69" spans="1:10" x14ac:dyDescent="0.25">
      <c r="A69" s="10"/>
      <c r="B69" s="28"/>
      <c r="C69" s="58" t="s">
        <v>11</v>
      </c>
      <c r="D69" s="53"/>
      <c r="E69" s="6"/>
      <c r="F69" s="19"/>
      <c r="G69" s="24"/>
      <c r="H69" s="24"/>
      <c r="I69" s="31"/>
      <c r="J69" s="35"/>
    </row>
    <row r="70" spans="1:10" x14ac:dyDescent="0.25">
      <c r="A70" s="28"/>
      <c r="B70" s="28"/>
      <c r="C70" s="58" t="s">
        <v>13</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C72" s="59" t="s">
        <v>14</v>
      </c>
      <c r="D72" s="53"/>
      <c r="E72" s="6"/>
      <c r="F72" s="19"/>
      <c r="G72" s="24"/>
      <c r="H72" s="24"/>
      <c r="I72" s="31"/>
      <c r="J72" s="35"/>
    </row>
    <row r="73" spans="1:10" x14ac:dyDescent="0.25">
      <c r="B73" s="8" t="s">
        <v>1225</v>
      </c>
      <c r="C73" s="56" t="s">
        <v>818</v>
      </c>
      <c r="D73" s="53" t="s">
        <v>1226</v>
      </c>
      <c r="E73" s="6" t="s">
        <v>1000</v>
      </c>
      <c r="F73" s="19">
        <v>7500</v>
      </c>
      <c r="G73" s="24">
        <v>7386.89</v>
      </c>
      <c r="H73" s="24">
        <v>2.77</v>
      </c>
      <c r="I73" s="31">
        <v>3.5150000000000001</v>
      </c>
      <c r="J73" s="35" t="s">
        <v>514</v>
      </c>
    </row>
    <row r="74" spans="1:10" x14ac:dyDescent="0.25">
      <c r="B74" s="8" t="s">
        <v>2338</v>
      </c>
      <c r="C74" s="56" t="s">
        <v>2339</v>
      </c>
      <c r="D74" s="53" t="s">
        <v>2340</v>
      </c>
      <c r="E74" s="6" t="s">
        <v>992</v>
      </c>
      <c r="F74" s="19">
        <v>5400</v>
      </c>
      <c r="G74" s="24">
        <v>5279.86</v>
      </c>
      <c r="H74" s="24">
        <v>1.98</v>
      </c>
      <c r="I74" s="31">
        <v>5.65</v>
      </c>
      <c r="J74" s="35" t="s">
        <v>514</v>
      </c>
    </row>
    <row r="75" spans="1:10" x14ac:dyDescent="0.25">
      <c r="C75" s="57" t="s">
        <v>35</v>
      </c>
      <c r="D75" s="53"/>
      <c r="E75" s="6"/>
      <c r="F75" s="19"/>
      <c r="G75" s="25">
        <v>12666.75</v>
      </c>
      <c r="H75" s="25">
        <v>4.75</v>
      </c>
      <c r="I75" s="31"/>
      <c r="J75" s="35"/>
    </row>
    <row r="76" spans="1:10" x14ac:dyDescent="0.25">
      <c r="C76" s="56"/>
      <c r="D76" s="53"/>
      <c r="E76" s="6"/>
      <c r="F76" s="19"/>
      <c r="G76" s="24"/>
      <c r="H76" s="24"/>
      <c r="I76" s="31"/>
      <c r="J76" s="35"/>
    </row>
    <row r="77" spans="1:10" x14ac:dyDescent="0.25">
      <c r="C77" s="59" t="s">
        <v>15</v>
      </c>
      <c r="D77" s="53"/>
      <c r="E77" s="6"/>
      <c r="F77" s="19"/>
      <c r="G77" s="24"/>
      <c r="H77" s="24"/>
      <c r="I77" s="31"/>
      <c r="J77" s="35"/>
    </row>
    <row r="78" spans="1:10" x14ac:dyDescent="0.25">
      <c r="B78" s="8" t="s">
        <v>1278</v>
      </c>
      <c r="C78" s="56" t="s">
        <v>1279</v>
      </c>
      <c r="D78" s="53" t="s">
        <v>1280</v>
      </c>
      <c r="E78" s="6" t="s">
        <v>655</v>
      </c>
      <c r="F78" s="19">
        <v>10000000</v>
      </c>
      <c r="G78" s="24">
        <v>9837.2800000000007</v>
      </c>
      <c r="H78" s="24">
        <v>3.69</v>
      </c>
      <c r="I78" s="31">
        <v>3.45</v>
      </c>
      <c r="J78" s="35"/>
    </row>
    <row r="79" spans="1:10" x14ac:dyDescent="0.25">
      <c r="C79" s="57" t="s">
        <v>35</v>
      </c>
      <c r="D79" s="53"/>
      <c r="E79" s="6"/>
      <c r="F79" s="19"/>
      <c r="G79" s="25">
        <v>9837.2800000000007</v>
      </c>
      <c r="H79" s="25">
        <v>3.69</v>
      </c>
      <c r="I79" s="31"/>
      <c r="J79" s="35"/>
    </row>
    <row r="80" spans="1:10" x14ac:dyDescent="0.25">
      <c r="C80" s="56"/>
      <c r="D80" s="53"/>
      <c r="E80" s="6"/>
      <c r="F80" s="19"/>
      <c r="G80" s="24"/>
      <c r="H80" s="24"/>
      <c r="I80" s="31"/>
      <c r="J80" s="35"/>
    </row>
    <row r="81" spans="1:10" x14ac:dyDescent="0.25">
      <c r="C81" s="57" t="s">
        <v>16</v>
      </c>
      <c r="D81" s="53"/>
      <c r="E81" s="6"/>
      <c r="F81" s="19"/>
      <c r="G81" s="24" t="s">
        <v>2</v>
      </c>
      <c r="H81" s="24" t="s">
        <v>2</v>
      </c>
      <c r="I81" s="31"/>
      <c r="J81" s="35"/>
    </row>
    <row r="82" spans="1:10" x14ac:dyDescent="0.25">
      <c r="C82" s="56"/>
      <c r="D82" s="53"/>
      <c r="E82" s="6"/>
      <c r="F82" s="19"/>
      <c r="G82" s="24"/>
      <c r="H82" s="24"/>
      <c r="I82" s="31"/>
      <c r="J82" s="35"/>
    </row>
    <row r="83" spans="1:10" x14ac:dyDescent="0.25">
      <c r="A83" s="10"/>
      <c r="B83" s="28"/>
      <c r="C83" s="58" t="s">
        <v>17</v>
      </c>
      <c r="D83" s="53"/>
      <c r="E83" s="6"/>
      <c r="F83" s="19"/>
      <c r="G83" s="24"/>
      <c r="H83" s="24"/>
      <c r="I83" s="31"/>
      <c r="J83" s="35"/>
    </row>
    <row r="84" spans="1:10" x14ac:dyDescent="0.25">
      <c r="A84" s="28"/>
      <c r="B84" s="28"/>
      <c r="C84" s="58" t="s">
        <v>18</v>
      </c>
      <c r="D84" s="53"/>
      <c r="E84" s="6"/>
      <c r="F84" s="19"/>
      <c r="G84" s="24" t="s">
        <v>2</v>
      </c>
      <c r="H84" s="24" t="s">
        <v>2</v>
      </c>
      <c r="I84" s="31"/>
      <c r="J84" s="35"/>
    </row>
    <row r="85" spans="1:10" x14ac:dyDescent="0.25">
      <c r="A85" s="28"/>
      <c r="B85" s="28"/>
      <c r="C85" s="58"/>
      <c r="D85" s="53"/>
      <c r="E85" s="6"/>
      <c r="F85" s="19"/>
      <c r="G85" s="24"/>
      <c r="H85" s="24"/>
      <c r="I85" s="31"/>
      <c r="J85" s="35"/>
    </row>
    <row r="86" spans="1:10" x14ac:dyDescent="0.25">
      <c r="A86" s="28"/>
      <c r="B86" s="28"/>
      <c r="C86" s="58" t="s">
        <v>19</v>
      </c>
      <c r="D86" s="53"/>
      <c r="E86" s="6"/>
      <c r="F86" s="19"/>
      <c r="G86" s="24" t="s">
        <v>2</v>
      </c>
      <c r="H86" s="24" t="s">
        <v>2</v>
      </c>
      <c r="I86" s="31"/>
      <c r="J86" s="35"/>
    </row>
    <row r="87" spans="1:10" x14ac:dyDescent="0.25">
      <c r="A87" s="28"/>
      <c r="B87" s="28"/>
      <c r="C87" s="58"/>
      <c r="D87" s="53"/>
      <c r="E87" s="6"/>
      <c r="F87" s="19"/>
      <c r="G87" s="24"/>
      <c r="H87" s="24"/>
      <c r="I87" s="31"/>
      <c r="J87" s="35"/>
    </row>
    <row r="88" spans="1:10" x14ac:dyDescent="0.25">
      <c r="A88" s="28"/>
      <c r="B88" s="28"/>
      <c r="C88" s="58" t="s">
        <v>20</v>
      </c>
      <c r="D88" s="53"/>
      <c r="E88" s="6"/>
      <c r="F88" s="19"/>
      <c r="G88" s="24" t="s">
        <v>2</v>
      </c>
      <c r="H88" s="24" t="s">
        <v>2</v>
      </c>
      <c r="I88" s="31"/>
      <c r="J88" s="35"/>
    </row>
    <row r="89" spans="1:10" x14ac:dyDescent="0.25">
      <c r="A89" s="28"/>
      <c r="B89" s="28"/>
      <c r="C89" s="58"/>
      <c r="D89" s="53"/>
      <c r="E89" s="6"/>
      <c r="F89" s="19"/>
      <c r="G89" s="24"/>
      <c r="H89" s="24"/>
      <c r="I89" s="31"/>
      <c r="J89" s="35"/>
    </row>
    <row r="90" spans="1:10" x14ac:dyDescent="0.25">
      <c r="A90" s="28"/>
      <c r="B90" s="28"/>
      <c r="C90" s="58" t="s">
        <v>21</v>
      </c>
      <c r="D90" s="53"/>
      <c r="E90" s="6"/>
      <c r="F90" s="19"/>
      <c r="G90" s="24" t="s">
        <v>2</v>
      </c>
      <c r="H90" s="24" t="s">
        <v>2</v>
      </c>
      <c r="I90" s="31"/>
      <c r="J90" s="35"/>
    </row>
    <row r="91" spans="1:10" x14ac:dyDescent="0.25">
      <c r="A91" s="28"/>
      <c r="B91" s="28"/>
      <c r="C91" s="58"/>
      <c r="D91" s="53"/>
      <c r="E91" s="6"/>
      <c r="F91" s="19"/>
      <c r="G91" s="24"/>
      <c r="H91" s="24"/>
      <c r="I91" s="31"/>
      <c r="J91" s="35"/>
    </row>
    <row r="92" spans="1:10" x14ac:dyDescent="0.25">
      <c r="C92" s="59" t="s">
        <v>22</v>
      </c>
      <c r="D92" s="53"/>
      <c r="E92" s="6"/>
      <c r="F92" s="19"/>
      <c r="G92" s="24"/>
      <c r="H92" s="24"/>
      <c r="I92" s="31"/>
      <c r="J92" s="35"/>
    </row>
    <row r="93" spans="1:10" x14ac:dyDescent="0.25">
      <c r="B93" s="8" t="s">
        <v>33</v>
      </c>
      <c r="C93" s="56" t="s">
        <v>34</v>
      </c>
      <c r="D93" s="53"/>
      <c r="E93" s="6"/>
      <c r="F93" s="19"/>
      <c r="G93" s="24">
        <v>4264.95</v>
      </c>
      <c r="H93" s="24">
        <v>1.6</v>
      </c>
      <c r="I93" s="31"/>
      <c r="J93" s="35"/>
    </row>
    <row r="94" spans="1:10" x14ac:dyDescent="0.25">
      <c r="C94" s="57" t="s">
        <v>35</v>
      </c>
      <c r="D94" s="53"/>
      <c r="E94" s="6"/>
      <c r="F94" s="19"/>
      <c r="G94" s="25">
        <v>4264.95</v>
      </c>
      <c r="H94" s="25">
        <v>1.6</v>
      </c>
      <c r="I94" s="31"/>
      <c r="J94" s="35"/>
    </row>
    <row r="95" spans="1:10" x14ac:dyDescent="0.25">
      <c r="C95" s="56"/>
      <c r="D95" s="53"/>
      <c r="E95" s="6"/>
      <c r="F95" s="19"/>
      <c r="G95" s="24"/>
      <c r="H95" s="24"/>
      <c r="I95" s="31"/>
      <c r="J95" s="35"/>
    </row>
    <row r="96" spans="1:10" x14ac:dyDescent="0.25">
      <c r="A96" s="10"/>
      <c r="B96" s="28"/>
      <c r="C96" s="58" t="s">
        <v>23</v>
      </c>
      <c r="D96" s="53"/>
      <c r="E96" s="6"/>
      <c r="F96" s="19"/>
      <c r="G96" s="24"/>
      <c r="H96" s="24"/>
      <c r="I96" s="31"/>
      <c r="J96" s="35"/>
    </row>
    <row r="97" spans="1:10" x14ac:dyDescent="0.25">
      <c r="A97" s="28"/>
      <c r="B97" s="28"/>
      <c r="C97" s="60" t="s">
        <v>3398</v>
      </c>
      <c r="D97" s="53"/>
      <c r="E97" s="6"/>
      <c r="F97" s="19"/>
      <c r="G97" s="24" t="s">
        <v>2</v>
      </c>
      <c r="H97" s="24" t="s">
        <v>2</v>
      </c>
      <c r="I97" s="31"/>
      <c r="J97" s="35"/>
    </row>
    <row r="98" spans="1:10" x14ac:dyDescent="0.25">
      <c r="B98" s="8"/>
      <c r="C98" s="56" t="s">
        <v>36</v>
      </c>
      <c r="D98" s="53"/>
      <c r="E98" s="6"/>
      <c r="F98" s="19"/>
      <c r="G98" s="24">
        <v>11584.19</v>
      </c>
      <c r="H98" s="24">
        <v>4.33</v>
      </c>
      <c r="I98" s="31"/>
      <c r="J98" s="35"/>
    </row>
    <row r="99" spans="1:10" x14ac:dyDescent="0.25">
      <c r="C99" s="57" t="s">
        <v>35</v>
      </c>
      <c r="D99" s="53"/>
      <c r="E99" s="6"/>
      <c r="F99" s="19"/>
      <c r="G99" s="25">
        <v>11584.19</v>
      </c>
      <c r="H99" s="25">
        <v>4.33</v>
      </c>
      <c r="I99" s="31"/>
      <c r="J99" s="35"/>
    </row>
    <row r="100" spans="1:10" x14ac:dyDescent="0.25">
      <c r="C100" s="56"/>
      <c r="D100" s="53"/>
      <c r="E100" s="6"/>
      <c r="F100" s="19"/>
      <c r="G100" s="24"/>
      <c r="H100" s="24"/>
      <c r="I100" s="31"/>
      <c r="J100" s="35"/>
    </row>
    <row r="101" spans="1:10" x14ac:dyDescent="0.25">
      <c r="C101" s="61" t="s">
        <v>37</v>
      </c>
      <c r="D101" s="54"/>
      <c r="E101" s="5"/>
      <c r="F101" s="20"/>
      <c r="G101" s="26">
        <v>266763.18</v>
      </c>
      <c r="H101" s="26">
        <f>SUMIFS(H:H,C:C,"Total")</f>
        <v>99.999999999999986</v>
      </c>
      <c r="I101" s="32"/>
      <c r="J101" s="36"/>
    </row>
    <row r="104" spans="1:10" x14ac:dyDescent="0.25">
      <c r="C104" s="1" t="s">
        <v>38</v>
      </c>
    </row>
    <row r="105" spans="1:10" x14ac:dyDescent="0.25">
      <c r="C105" s="2" t="s">
        <v>39</v>
      </c>
    </row>
    <row r="106" spans="1:10" x14ac:dyDescent="0.25">
      <c r="C106" s="2" t="s">
        <v>40</v>
      </c>
    </row>
    <row r="107" spans="1:10" x14ac:dyDescent="0.25">
      <c r="C107" s="2" t="s">
        <v>3430</v>
      </c>
    </row>
  </sheetData>
  <hyperlinks>
    <hyperlink ref="J2" location="'Index'!A1" display="'Index'!A1"/>
  </hyperlinks>
  <pageMargins left="0.7" right="0.7" top="0.75" bottom="0.75" header="0.3" footer="0.3"/>
  <pageSetup orientation="portrait" horizontalDpi="4294967293"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6"/>
  <dimension ref="A1:J9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2237</v>
      </c>
      <c r="J2" s="37" t="s">
        <v>3307</v>
      </c>
    </row>
    <row r="3" spans="1:10" ht="16.5" x14ac:dyDescent="0.3">
      <c r="C3" s="1" t="s">
        <v>24</v>
      </c>
      <c r="D3" s="21" t="s">
        <v>2341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267632</v>
      </c>
      <c r="G10" s="24">
        <v>2886.68</v>
      </c>
      <c r="H10" s="24">
        <v>9.41</v>
      </c>
      <c r="I10" s="31"/>
      <c r="J10" s="35"/>
    </row>
    <row r="11" spans="1:10" x14ac:dyDescent="0.25">
      <c r="B11" s="8" t="s">
        <v>52</v>
      </c>
      <c r="C11" s="56" t="s">
        <v>53</v>
      </c>
      <c r="D11" s="53" t="s">
        <v>54</v>
      </c>
      <c r="E11" s="6" t="s">
        <v>55</v>
      </c>
      <c r="F11" s="19">
        <v>96400</v>
      </c>
      <c r="G11" s="24">
        <v>2153.91</v>
      </c>
      <c r="H11" s="24">
        <v>7.02</v>
      </c>
      <c r="I11" s="31"/>
      <c r="J11" s="35"/>
    </row>
    <row r="12" spans="1:10" x14ac:dyDescent="0.25">
      <c r="B12" s="8" t="s">
        <v>112</v>
      </c>
      <c r="C12" s="56" t="s">
        <v>113</v>
      </c>
      <c r="D12" s="53" t="s">
        <v>114</v>
      </c>
      <c r="E12" s="6" t="s">
        <v>111</v>
      </c>
      <c r="F12" s="19">
        <v>66304</v>
      </c>
      <c r="G12" s="24">
        <v>2020.91</v>
      </c>
      <c r="H12" s="24">
        <v>6.59</v>
      </c>
      <c r="I12" s="31"/>
      <c r="J12" s="35"/>
    </row>
    <row r="13" spans="1:10" x14ac:dyDescent="0.25">
      <c r="B13" s="8" t="s">
        <v>62</v>
      </c>
      <c r="C13" s="56" t="s">
        <v>63</v>
      </c>
      <c r="D13" s="53" t="s">
        <v>64</v>
      </c>
      <c r="E13" s="6" t="s">
        <v>51</v>
      </c>
      <c r="F13" s="19">
        <v>481457</v>
      </c>
      <c r="G13" s="24">
        <v>1707.97</v>
      </c>
      <c r="H13" s="24">
        <v>5.57</v>
      </c>
      <c r="I13" s="31"/>
      <c r="J13" s="35"/>
    </row>
    <row r="14" spans="1:10" x14ac:dyDescent="0.25">
      <c r="B14" s="8" t="s">
        <v>424</v>
      </c>
      <c r="C14" s="56" t="s">
        <v>425</v>
      </c>
      <c r="D14" s="53" t="s">
        <v>426</v>
      </c>
      <c r="E14" s="6" t="s">
        <v>83</v>
      </c>
      <c r="F14" s="19">
        <v>17250</v>
      </c>
      <c r="G14" s="24">
        <v>1511.45</v>
      </c>
      <c r="H14" s="24">
        <v>4.93</v>
      </c>
      <c r="I14" s="31"/>
      <c r="J14" s="35"/>
    </row>
    <row r="15" spans="1:10" x14ac:dyDescent="0.25">
      <c r="B15" s="8" t="s">
        <v>802</v>
      </c>
      <c r="C15" s="56" t="s">
        <v>803</v>
      </c>
      <c r="D15" s="53" t="s">
        <v>804</v>
      </c>
      <c r="E15" s="6" t="s">
        <v>195</v>
      </c>
      <c r="F15" s="19">
        <v>200005</v>
      </c>
      <c r="G15" s="24">
        <v>1341.93</v>
      </c>
      <c r="H15" s="24">
        <v>4.38</v>
      </c>
      <c r="I15" s="31"/>
      <c r="J15" s="35"/>
    </row>
    <row r="16" spans="1:10" x14ac:dyDescent="0.25">
      <c r="B16" s="8" t="s">
        <v>87</v>
      </c>
      <c r="C16" s="56" t="s">
        <v>88</v>
      </c>
      <c r="D16" s="53" t="s">
        <v>89</v>
      </c>
      <c r="E16" s="6" t="s">
        <v>90</v>
      </c>
      <c r="F16" s="19">
        <v>91694</v>
      </c>
      <c r="G16" s="24">
        <v>1314.43</v>
      </c>
      <c r="H16" s="24">
        <v>4.29</v>
      </c>
      <c r="I16" s="31"/>
      <c r="J16" s="35"/>
    </row>
    <row r="17" spans="2:10" x14ac:dyDescent="0.25">
      <c r="B17" s="8" t="s">
        <v>56</v>
      </c>
      <c r="C17" s="56" t="s">
        <v>57</v>
      </c>
      <c r="D17" s="53" t="s">
        <v>58</v>
      </c>
      <c r="E17" s="6" t="s">
        <v>47</v>
      </c>
      <c r="F17" s="19">
        <v>49200</v>
      </c>
      <c r="G17" s="24">
        <v>1226.21</v>
      </c>
      <c r="H17" s="24">
        <v>4</v>
      </c>
      <c r="I17" s="31"/>
      <c r="J17" s="35"/>
    </row>
    <row r="18" spans="2:10" x14ac:dyDescent="0.25">
      <c r="B18" s="8" t="s">
        <v>1530</v>
      </c>
      <c r="C18" s="56" t="s">
        <v>1531</v>
      </c>
      <c r="D18" s="53" t="s">
        <v>1532</v>
      </c>
      <c r="E18" s="6" t="s">
        <v>195</v>
      </c>
      <c r="F18" s="19">
        <v>143990</v>
      </c>
      <c r="G18" s="24">
        <v>1148.03</v>
      </c>
      <c r="H18" s="24">
        <v>3.74</v>
      </c>
      <c r="I18" s="31"/>
      <c r="J18" s="35"/>
    </row>
    <row r="19" spans="2:10" x14ac:dyDescent="0.25">
      <c r="B19" s="8" t="s">
        <v>65</v>
      </c>
      <c r="C19" s="56" t="s">
        <v>66</v>
      </c>
      <c r="D19" s="53" t="s">
        <v>67</v>
      </c>
      <c r="E19" s="6" t="s">
        <v>68</v>
      </c>
      <c r="F19" s="19">
        <v>235383</v>
      </c>
      <c r="G19" s="24">
        <v>990.84</v>
      </c>
      <c r="H19" s="24">
        <v>3.23</v>
      </c>
      <c r="I19" s="31"/>
      <c r="J19" s="35"/>
    </row>
    <row r="20" spans="2:10" x14ac:dyDescent="0.25">
      <c r="B20" s="8" t="s">
        <v>115</v>
      </c>
      <c r="C20" s="56" t="s">
        <v>116</v>
      </c>
      <c r="D20" s="53" t="s">
        <v>117</v>
      </c>
      <c r="E20" s="6" t="s">
        <v>94</v>
      </c>
      <c r="F20" s="19">
        <v>69400</v>
      </c>
      <c r="G20" s="24">
        <v>901.85</v>
      </c>
      <c r="H20" s="24">
        <v>2.94</v>
      </c>
      <c r="I20" s="31"/>
      <c r="J20" s="35"/>
    </row>
    <row r="21" spans="2:10" x14ac:dyDescent="0.25">
      <c r="B21" s="8" t="s">
        <v>164</v>
      </c>
      <c r="C21" s="56" t="s">
        <v>165</v>
      </c>
      <c r="D21" s="53" t="s">
        <v>166</v>
      </c>
      <c r="E21" s="6" t="s">
        <v>51</v>
      </c>
      <c r="F21" s="19">
        <v>478000</v>
      </c>
      <c r="G21" s="24">
        <v>886.21</v>
      </c>
      <c r="H21" s="24">
        <v>2.89</v>
      </c>
      <c r="I21" s="31"/>
      <c r="J21" s="35"/>
    </row>
    <row r="22" spans="2:10" x14ac:dyDescent="0.25">
      <c r="B22" s="8" t="s">
        <v>1354</v>
      </c>
      <c r="C22" s="56" t="s">
        <v>1355</v>
      </c>
      <c r="D22" s="53" t="s">
        <v>1356</v>
      </c>
      <c r="E22" s="6" t="s">
        <v>826</v>
      </c>
      <c r="F22" s="19">
        <v>363700</v>
      </c>
      <c r="G22" s="24">
        <v>802.5</v>
      </c>
      <c r="H22" s="24">
        <v>2.62</v>
      </c>
      <c r="I22" s="31"/>
      <c r="J22" s="35"/>
    </row>
    <row r="23" spans="2:10" x14ac:dyDescent="0.25">
      <c r="B23" s="8" t="s">
        <v>133</v>
      </c>
      <c r="C23" s="56" t="s">
        <v>134</v>
      </c>
      <c r="D23" s="53" t="s">
        <v>135</v>
      </c>
      <c r="E23" s="6" t="s">
        <v>47</v>
      </c>
      <c r="F23" s="19">
        <v>97000</v>
      </c>
      <c r="G23" s="24">
        <v>787.25</v>
      </c>
      <c r="H23" s="24">
        <v>2.57</v>
      </c>
      <c r="I23" s="31"/>
      <c r="J23" s="35"/>
    </row>
    <row r="24" spans="2:10" x14ac:dyDescent="0.25">
      <c r="B24" s="8" t="s">
        <v>448</v>
      </c>
      <c r="C24" s="56" t="s">
        <v>449</v>
      </c>
      <c r="D24" s="53" t="s">
        <v>450</v>
      </c>
      <c r="E24" s="6" t="s">
        <v>157</v>
      </c>
      <c r="F24" s="19">
        <v>71000</v>
      </c>
      <c r="G24" s="24">
        <v>785.54</v>
      </c>
      <c r="H24" s="24">
        <v>2.56</v>
      </c>
      <c r="I24" s="31"/>
      <c r="J24" s="35"/>
    </row>
    <row r="25" spans="2:10" x14ac:dyDescent="0.25">
      <c r="B25" s="8" t="s">
        <v>127</v>
      </c>
      <c r="C25" s="56" t="s">
        <v>128</v>
      </c>
      <c r="D25" s="53" t="s">
        <v>129</v>
      </c>
      <c r="E25" s="6" t="s">
        <v>90</v>
      </c>
      <c r="F25" s="19">
        <v>35998</v>
      </c>
      <c r="G25" s="24">
        <v>744.53</v>
      </c>
      <c r="H25" s="24">
        <v>2.4300000000000002</v>
      </c>
      <c r="I25" s="31"/>
      <c r="J25" s="35"/>
    </row>
    <row r="26" spans="2:10" x14ac:dyDescent="0.25">
      <c r="B26" s="8" t="s">
        <v>1351</v>
      </c>
      <c r="C26" s="56" t="s">
        <v>1352</v>
      </c>
      <c r="D26" s="53" t="s">
        <v>1353</v>
      </c>
      <c r="E26" s="6" t="s">
        <v>195</v>
      </c>
      <c r="F26" s="19">
        <v>27530</v>
      </c>
      <c r="G26" s="24">
        <v>735.79</v>
      </c>
      <c r="H26" s="24">
        <v>2.4</v>
      </c>
      <c r="I26" s="31"/>
      <c r="J26" s="35"/>
    </row>
    <row r="27" spans="2:10" x14ac:dyDescent="0.25">
      <c r="B27" s="8" t="s">
        <v>80</v>
      </c>
      <c r="C27" s="56" t="s">
        <v>81</v>
      </c>
      <c r="D27" s="53" t="s">
        <v>82</v>
      </c>
      <c r="E27" s="6" t="s">
        <v>83</v>
      </c>
      <c r="F27" s="19">
        <v>58600</v>
      </c>
      <c r="G27" s="24">
        <v>703.99</v>
      </c>
      <c r="H27" s="24">
        <v>2.2999999999999998</v>
      </c>
      <c r="I27" s="31"/>
      <c r="J27" s="35"/>
    </row>
    <row r="28" spans="2:10" x14ac:dyDescent="0.25">
      <c r="B28" s="8" t="s">
        <v>171</v>
      </c>
      <c r="C28" s="56" t="s">
        <v>172</v>
      </c>
      <c r="D28" s="53" t="s">
        <v>173</v>
      </c>
      <c r="E28" s="6" t="s">
        <v>55</v>
      </c>
      <c r="F28" s="19">
        <v>191800</v>
      </c>
      <c r="G28" s="24">
        <v>677.15</v>
      </c>
      <c r="H28" s="24">
        <v>2.21</v>
      </c>
      <c r="I28" s="31"/>
      <c r="J28" s="35"/>
    </row>
    <row r="29" spans="2:10" x14ac:dyDescent="0.25">
      <c r="B29" s="8" t="s">
        <v>439</v>
      </c>
      <c r="C29" s="56" t="s">
        <v>440</v>
      </c>
      <c r="D29" s="53" t="s">
        <v>441</v>
      </c>
      <c r="E29" s="6" t="s">
        <v>111</v>
      </c>
      <c r="F29" s="19">
        <v>140000</v>
      </c>
      <c r="G29" s="24">
        <v>626.78</v>
      </c>
      <c r="H29" s="24">
        <v>2.04</v>
      </c>
      <c r="I29" s="31"/>
      <c r="J29" s="35"/>
    </row>
    <row r="30" spans="2:10" x14ac:dyDescent="0.25">
      <c r="B30" s="8" t="s">
        <v>1997</v>
      </c>
      <c r="C30" s="56" t="s">
        <v>1150</v>
      </c>
      <c r="D30" s="53" t="s">
        <v>1998</v>
      </c>
      <c r="E30" s="6" t="s">
        <v>94</v>
      </c>
      <c r="F30" s="19">
        <v>136400</v>
      </c>
      <c r="G30" s="24">
        <v>567.08000000000004</v>
      </c>
      <c r="H30" s="24">
        <v>1.85</v>
      </c>
      <c r="I30" s="31"/>
      <c r="J30" s="35"/>
    </row>
    <row r="31" spans="2:10" x14ac:dyDescent="0.25">
      <c r="B31" s="8" t="s">
        <v>436</v>
      </c>
      <c r="C31" s="56" t="s">
        <v>437</v>
      </c>
      <c r="D31" s="53" t="s">
        <v>438</v>
      </c>
      <c r="E31" s="6" t="s">
        <v>111</v>
      </c>
      <c r="F31" s="19">
        <v>34340</v>
      </c>
      <c r="G31" s="24">
        <v>554.11</v>
      </c>
      <c r="H31" s="24">
        <v>1.81</v>
      </c>
      <c r="I31" s="31"/>
      <c r="J31" s="35"/>
    </row>
    <row r="32" spans="2:10" x14ac:dyDescent="0.25">
      <c r="B32" s="8" t="s">
        <v>856</v>
      </c>
      <c r="C32" s="56" t="s">
        <v>857</v>
      </c>
      <c r="D32" s="53" t="s">
        <v>858</v>
      </c>
      <c r="E32" s="6" t="s">
        <v>261</v>
      </c>
      <c r="F32" s="19">
        <v>640300</v>
      </c>
      <c r="G32" s="24">
        <v>544.9</v>
      </c>
      <c r="H32" s="24">
        <v>1.78</v>
      </c>
      <c r="I32" s="31"/>
      <c r="J32" s="35"/>
    </row>
    <row r="33" spans="2:10" x14ac:dyDescent="0.25">
      <c r="B33" s="8" t="s">
        <v>209</v>
      </c>
      <c r="C33" s="56" t="s">
        <v>210</v>
      </c>
      <c r="D33" s="53" t="s">
        <v>211</v>
      </c>
      <c r="E33" s="6" t="s">
        <v>83</v>
      </c>
      <c r="F33" s="19">
        <v>79000</v>
      </c>
      <c r="G33" s="24">
        <v>526.65</v>
      </c>
      <c r="H33" s="24">
        <v>1.72</v>
      </c>
      <c r="I33" s="31"/>
      <c r="J33" s="35"/>
    </row>
    <row r="34" spans="2:10" x14ac:dyDescent="0.25">
      <c r="B34" s="8" t="s">
        <v>412</v>
      </c>
      <c r="C34" s="56" t="s">
        <v>413</v>
      </c>
      <c r="D34" s="53" t="s">
        <v>414</v>
      </c>
      <c r="E34" s="6" t="s">
        <v>111</v>
      </c>
      <c r="F34" s="19">
        <v>9960</v>
      </c>
      <c r="G34" s="24">
        <v>516.70000000000005</v>
      </c>
      <c r="H34" s="24">
        <v>1.68</v>
      </c>
      <c r="I34" s="31"/>
      <c r="J34" s="35"/>
    </row>
    <row r="35" spans="2:10" x14ac:dyDescent="0.25">
      <c r="B35" s="8" t="s">
        <v>883</v>
      </c>
      <c r="C35" s="56" t="s">
        <v>884</v>
      </c>
      <c r="D35" s="53" t="s">
        <v>885</v>
      </c>
      <c r="E35" s="6" t="s">
        <v>886</v>
      </c>
      <c r="F35" s="19">
        <v>429000</v>
      </c>
      <c r="G35" s="24">
        <v>497.64</v>
      </c>
      <c r="H35" s="24">
        <v>1.62</v>
      </c>
      <c r="I35" s="31"/>
      <c r="J35" s="35"/>
    </row>
    <row r="36" spans="2:10" x14ac:dyDescent="0.25">
      <c r="B36" s="8" t="s">
        <v>59</v>
      </c>
      <c r="C36" s="56" t="s">
        <v>60</v>
      </c>
      <c r="D36" s="53" t="s">
        <v>61</v>
      </c>
      <c r="E36" s="6" t="s">
        <v>51</v>
      </c>
      <c r="F36" s="19">
        <v>38000</v>
      </c>
      <c r="G36" s="24">
        <v>481.92</v>
      </c>
      <c r="H36" s="24">
        <v>1.57</v>
      </c>
      <c r="I36" s="31"/>
      <c r="J36" s="35"/>
    </row>
    <row r="37" spans="2:10" x14ac:dyDescent="0.25">
      <c r="B37" s="8" t="s">
        <v>73</v>
      </c>
      <c r="C37" s="56" t="s">
        <v>74</v>
      </c>
      <c r="D37" s="53" t="s">
        <v>75</v>
      </c>
      <c r="E37" s="6" t="s">
        <v>51</v>
      </c>
      <c r="F37" s="19">
        <v>108900</v>
      </c>
      <c r="G37" s="24">
        <v>462.44</v>
      </c>
      <c r="H37" s="24">
        <v>1.51</v>
      </c>
      <c r="I37" s="31"/>
      <c r="J37" s="35"/>
    </row>
    <row r="38" spans="2:10" x14ac:dyDescent="0.25">
      <c r="B38" s="8" t="s">
        <v>354</v>
      </c>
      <c r="C38" s="56" t="s">
        <v>355</v>
      </c>
      <c r="D38" s="53" t="s">
        <v>356</v>
      </c>
      <c r="E38" s="6" t="s">
        <v>90</v>
      </c>
      <c r="F38" s="19">
        <v>261846</v>
      </c>
      <c r="G38" s="24">
        <v>449.59</v>
      </c>
      <c r="H38" s="24">
        <v>1.47</v>
      </c>
      <c r="I38" s="31"/>
      <c r="J38" s="35"/>
    </row>
    <row r="39" spans="2:10" x14ac:dyDescent="0.25">
      <c r="B39" s="8" t="s">
        <v>406</v>
      </c>
      <c r="C39" s="56" t="s">
        <v>407</v>
      </c>
      <c r="D39" s="53" t="s">
        <v>408</v>
      </c>
      <c r="E39" s="6" t="s">
        <v>90</v>
      </c>
      <c r="F39" s="19">
        <v>2745</v>
      </c>
      <c r="G39" s="24">
        <v>436.97</v>
      </c>
      <c r="H39" s="24">
        <v>1.42</v>
      </c>
      <c r="I39" s="31"/>
      <c r="J39" s="35"/>
    </row>
    <row r="40" spans="2:10" x14ac:dyDescent="0.25">
      <c r="B40" s="8" t="s">
        <v>222</v>
      </c>
      <c r="C40" s="56" t="s">
        <v>223</v>
      </c>
      <c r="D40" s="53" t="s">
        <v>224</v>
      </c>
      <c r="E40" s="6" t="s">
        <v>83</v>
      </c>
      <c r="F40" s="19">
        <v>23982</v>
      </c>
      <c r="G40" s="24">
        <v>318.17</v>
      </c>
      <c r="H40" s="24">
        <v>1.04</v>
      </c>
      <c r="I40" s="31"/>
      <c r="J40" s="35"/>
    </row>
    <row r="41" spans="2:10" x14ac:dyDescent="0.25">
      <c r="B41" s="8" t="s">
        <v>2256</v>
      </c>
      <c r="C41" s="56" t="s">
        <v>2257</v>
      </c>
      <c r="D41" s="53" t="s">
        <v>2258</v>
      </c>
      <c r="E41" s="6" t="s">
        <v>722</v>
      </c>
      <c r="F41" s="19">
        <v>51284</v>
      </c>
      <c r="G41" s="24">
        <v>99.34</v>
      </c>
      <c r="H41" s="24">
        <v>0.32</v>
      </c>
      <c r="I41" s="31"/>
      <c r="J41" s="35"/>
    </row>
    <row r="42" spans="2:10" x14ac:dyDescent="0.25">
      <c r="B42" s="8" t="s">
        <v>180</v>
      </c>
      <c r="C42" s="56" t="s">
        <v>53</v>
      </c>
      <c r="D42" s="53" t="s">
        <v>181</v>
      </c>
      <c r="E42" s="6" t="s">
        <v>55</v>
      </c>
      <c r="F42" s="19">
        <v>2800</v>
      </c>
      <c r="G42" s="24">
        <v>37.619999999999997</v>
      </c>
      <c r="H42" s="24">
        <v>0.12</v>
      </c>
      <c r="I42" s="31"/>
      <c r="J42" s="35" t="s">
        <v>182</v>
      </c>
    </row>
    <row r="43" spans="2:10" x14ac:dyDescent="0.25">
      <c r="C43" s="57" t="s">
        <v>35</v>
      </c>
      <c r="D43" s="53"/>
      <c r="E43" s="6"/>
      <c r="F43" s="19"/>
      <c r="G43" s="25">
        <v>29447.08</v>
      </c>
      <c r="H43" s="25">
        <v>96.03</v>
      </c>
      <c r="I43" s="31"/>
      <c r="J43" s="35"/>
    </row>
    <row r="44" spans="2:10" x14ac:dyDescent="0.25">
      <c r="C44" s="56"/>
      <c r="D44" s="53"/>
      <c r="E44" s="6"/>
      <c r="F44" s="19"/>
      <c r="G44" s="24"/>
      <c r="H44" s="24"/>
      <c r="I44" s="31"/>
      <c r="J44" s="35"/>
    </row>
    <row r="45" spans="2:10" x14ac:dyDescent="0.25">
      <c r="C45" s="57" t="s">
        <v>3</v>
      </c>
      <c r="D45" s="53"/>
      <c r="E45" s="6"/>
      <c r="F45" s="19"/>
      <c r="G45" s="24" t="s">
        <v>2</v>
      </c>
      <c r="H45" s="24" t="s">
        <v>2</v>
      </c>
      <c r="I45" s="31"/>
      <c r="J45" s="35"/>
    </row>
    <row r="46" spans="2:10" x14ac:dyDescent="0.25">
      <c r="C46" s="56"/>
      <c r="D46" s="53"/>
      <c r="E46" s="6"/>
      <c r="F46" s="19"/>
      <c r="G46" s="24"/>
      <c r="H46" s="24"/>
      <c r="I46" s="31"/>
      <c r="J46" s="35"/>
    </row>
    <row r="47" spans="2:10" x14ac:dyDescent="0.25">
      <c r="C47" s="57" t="s">
        <v>4</v>
      </c>
      <c r="D47" s="53"/>
      <c r="E47" s="6"/>
      <c r="F47" s="19"/>
      <c r="G47" s="24" t="s">
        <v>2</v>
      </c>
      <c r="H47" s="24" t="s">
        <v>2</v>
      </c>
      <c r="I47" s="31"/>
      <c r="J47" s="35"/>
    </row>
    <row r="48" spans="2:10" x14ac:dyDescent="0.25">
      <c r="C48" s="56"/>
      <c r="D48" s="53"/>
      <c r="E48" s="6"/>
      <c r="F48" s="19"/>
      <c r="G48" s="24"/>
      <c r="H48" s="24"/>
      <c r="I48" s="31"/>
      <c r="J48" s="35"/>
    </row>
    <row r="49" spans="3:10" x14ac:dyDescent="0.25">
      <c r="C49" s="57" t="s">
        <v>5</v>
      </c>
      <c r="D49" s="53"/>
      <c r="E49" s="6"/>
      <c r="F49" s="19"/>
      <c r="G49" s="24"/>
      <c r="H49" s="24"/>
      <c r="I49" s="31"/>
      <c r="J49" s="35"/>
    </row>
    <row r="50" spans="3:10" x14ac:dyDescent="0.25">
      <c r="C50" s="56"/>
      <c r="D50" s="53"/>
      <c r="E50" s="6"/>
      <c r="F50" s="19"/>
      <c r="G50" s="24"/>
      <c r="H50" s="24"/>
      <c r="I50" s="31"/>
      <c r="J50" s="35"/>
    </row>
    <row r="51" spans="3:10" x14ac:dyDescent="0.25">
      <c r="C51" s="57" t="s">
        <v>6</v>
      </c>
      <c r="D51" s="53"/>
      <c r="E51" s="6"/>
      <c r="F51" s="19"/>
      <c r="G51" s="24" t="s">
        <v>2</v>
      </c>
      <c r="H51" s="24" t="s">
        <v>2</v>
      </c>
      <c r="I51" s="31"/>
      <c r="J51" s="35"/>
    </row>
    <row r="52" spans="3:10" x14ac:dyDescent="0.25">
      <c r="C52" s="56"/>
      <c r="D52" s="53"/>
      <c r="E52" s="6"/>
      <c r="F52" s="19"/>
      <c r="G52" s="24"/>
      <c r="H52" s="24"/>
      <c r="I52" s="31"/>
      <c r="J52" s="35"/>
    </row>
    <row r="53" spans="3:10" x14ac:dyDescent="0.25">
      <c r="C53" s="57" t="s">
        <v>7</v>
      </c>
      <c r="D53" s="53"/>
      <c r="E53" s="6"/>
      <c r="F53" s="19"/>
      <c r="G53" s="24" t="s">
        <v>2</v>
      </c>
      <c r="H53" s="24" t="s">
        <v>2</v>
      </c>
      <c r="I53" s="31"/>
      <c r="J53" s="35"/>
    </row>
    <row r="54" spans="3:10" x14ac:dyDescent="0.25">
      <c r="C54" s="56"/>
      <c r="D54" s="53"/>
      <c r="E54" s="6"/>
      <c r="F54" s="19"/>
      <c r="G54" s="24"/>
      <c r="H54" s="24"/>
      <c r="I54" s="31"/>
      <c r="J54" s="35"/>
    </row>
    <row r="55" spans="3:10" x14ac:dyDescent="0.25">
      <c r="C55" s="57" t="s">
        <v>8</v>
      </c>
      <c r="D55" s="53"/>
      <c r="E55" s="6"/>
      <c r="F55" s="19"/>
      <c r="G55" s="24" t="s">
        <v>2</v>
      </c>
      <c r="H55" s="24" t="s">
        <v>2</v>
      </c>
      <c r="I55" s="31"/>
      <c r="J55" s="35"/>
    </row>
    <row r="56" spans="3:10" x14ac:dyDescent="0.25">
      <c r="C56" s="56"/>
      <c r="D56" s="53"/>
      <c r="E56" s="6"/>
      <c r="F56" s="19"/>
      <c r="G56" s="24"/>
      <c r="H56" s="24"/>
      <c r="I56" s="31"/>
      <c r="J56" s="35"/>
    </row>
    <row r="57" spans="3:10" x14ac:dyDescent="0.25">
      <c r="C57" s="57" t="s">
        <v>9</v>
      </c>
      <c r="D57" s="53"/>
      <c r="E57" s="6"/>
      <c r="F57" s="19"/>
      <c r="G57" s="24" t="s">
        <v>2</v>
      </c>
      <c r="H57" s="24" t="s">
        <v>2</v>
      </c>
      <c r="I57" s="31"/>
      <c r="J57" s="35"/>
    </row>
    <row r="58" spans="3:10" x14ac:dyDescent="0.25">
      <c r="C58" s="56"/>
      <c r="D58" s="53"/>
      <c r="E58" s="6"/>
      <c r="F58" s="19"/>
      <c r="G58" s="24"/>
      <c r="H58" s="24"/>
      <c r="I58" s="31"/>
      <c r="J58" s="35"/>
    </row>
    <row r="59" spans="3:10" x14ac:dyDescent="0.25">
      <c r="C59" s="57" t="s">
        <v>10</v>
      </c>
      <c r="D59" s="53"/>
      <c r="E59" s="6"/>
      <c r="F59" s="19"/>
      <c r="G59" s="24" t="s">
        <v>2</v>
      </c>
      <c r="H59" s="24" t="s">
        <v>2</v>
      </c>
      <c r="I59" s="31"/>
      <c r="J59" s="35"/>
    </row>
    <row r="60" spans="3:10" x14ac:dyDescent="0.25">
      <c r="C60" s="56"/>
      <c r="D60" s="53"/>
      <c r="E60" s="6"/>
      <c r="F60" s="19"/>
      <c r="G60" s="24"/>
      <c r="H60" s="24"/>
      <c r="I60" s="31"/>
      <c r="J60" s="35"/>
    </row>
    <row r="61" spans="3:10" x14ac:dyDescent="0.25">
      <c r="C61" s="57" t="s">
        <v>11</v>
      </c>
      <c r="D61" s="53"/>
      <c r="E61" s="6"/>
      <c r="F61" s="19"/>
      <c r="G61" s="24"/>
      <c r="H61" s="24"/>
      <c r="I61" s="31"/>
      <c r="J61" s="35"/>
    </row>
    <row r="62" spans="3:10" x14ac:dyDescent="0.25">
      <c r="C62" s="56"/>
      <c r="D62" s="53"/>
      <c r="E62" s="6"/>
      <c r="F62" s="19"/>
      <c r="G62" s="24"/>
      <c r="H62" s="24"/>
      <c r="I62" s="31"/>
      <c r="J62" s="35"/>
    </row>
    <row r="63" spans="3:10" x14ac:dyDescent="0.25">
      <c r="C63" s="57" t="s">
        <v>13</v>
      </c>
      <c r="D63" s="53"/>
      <c r="E63" s="6"/>
      <c r="F63" s="19"/>
      <c r="G63" s="24" t="s">
        <v>2</v>
      </c>
      <c r="H63" s="24" t="s">
        <v>2</v>
      </c>
      <c r="I63" s="31"/>
      <c r="J63" s="35"/>
    </row>
    <row r="64" spans="3:10" x14ac:dyDescent="0.25">
      <c r="C64" s="56"/>
      <c r="D64" s="53"/>
      <c r="E64" s="6"/>
      <c r="F64" s="19"/>
      <c r="G64" s="24"/>
      <c r="H64" s="24"/>
      <c r="I64" s="31"/>
      <c r="J64" s="35"/>
    </row>
    <row r="65" spans="1:10" x14ac:dyDescent="0.25">
      <c r="C65" s="57" t="s">
        <v>14</v>
      </c>
      <c r="D65" s="53"/>
      <c r="E65" s="6"/>
      <c r="F65" s="19"/>
      <c r="G65" s="24" t="s">
        <v>2</v>
      </c>
      <c r="H65" s="24" t="s">
        <v>2</v>
      </c>
      <c r="I65" s="31"/>
      <c r="J65" s="35"/>
    </row>
    <row r="66" spans="1:10" x14ac:dyDescent="0.25">
      <c r="C66" s="56"/>
      <c r="D66" s="53"/>
      <c r="E66" s="6"/>
      <c r="F66" s="19"/>
      <c r="G66" s="24"/>
      <c r="H66" s="24"/>
      <c r="I66" s="31"/>
      <c r="J66" s="35"/>
    </row>
    <row r="67" spans="1:10" x14ac:dyDescent="0.25">
      <c r="C67" s="57" t="s">
        <v>15</v>
      </c>
      <c r="D67" s="53"/>
      <c r="E67" s="6"/>
      <c r="F67" s="19"/>
      <c r="G67" s="24" t="s">
        <v>2</v>
      </c>
      <c r="H67" s="24" t="s">
        <v>2</v>
      </c>
      <c r="I67" s="31"/>
      <c r="J67" s="35"/>
    </row>
    <row r="68" spans="1:10" x14ac:dyDescent="0.25">
      <c r="C68" s="56"/>
      <c r="D68" s="53"/>
      <c r="E68" s="6"/>
      <c r="F68" s="19"/>
      <c r="G68" s="24"/>
      <c r="H68" s="24"/>
      <c r="I68" s="31"/>
      <c r="J68" s="35"/>
    </row>
    <row r="69" spans="1:10" x14ac:dyDescent="0.25">
      <c r="C69" s="57" t="s">
        <v>16</v>
      </c>
      <c r="D69" s="53"/>
      <c r="E69" s="6"/>
      <c r="F69" s="19"/>
      <c r="G69" s="24" t="s">
        <v>2</v>
      </c>
      <c r="H69" s="24" t="s">
        <v>2</v>
      </c>
      <c r="I69" s="31"/>
      <c r="J69" s="35"/>
    </row>
    <row r="70" spans="1:10" x14ac:dyDescent="0.25">
      <c r="C70" s="56"/>
      <c r="D70" s="53"/>
      <c r="E70" s="6"/>
      <c r="F70" s="19"/>
      <c r="G70" s="24"/>
      <c r="H70" s="24"/>
      <c r="I70" s="31"/>
      <c r="J70" s="35"/>
    </row>
    <row r="71" spans="1:10" x14ac:dyDescent="0.25">
      <c r="A71" s="10"/>
      <c r="B71" s="28"/>
      <c r="C71" s="58" t="s">
        <v>17</v>
      </c>
      <c r="D71" s="53"/>
      <c r="E71" s="6"/>
      <c r="F71" s="19"/>
      <c r="G71" s="24"/>
      <c r="H71" s="24"/>
      <c r="I71" s="31"/>
      <c r="J71" s="35"/>
    </row>
    <row r="72" spans="1:10" x14ac:dyDescent="0.25">
      <c r="A72" s="28"/>
      <c r="B72" s="28"/>
      <c r="C72" s="58" t="s">
        <v>18</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A74" s="28"/>
      <c r="B74" s="28"/>
      <c r="C74" s="58" t="s">
        <v>19</v>
      </c>
      <c r="D74" s="53"/>
      <c r="E74" s="6"/>
      <c r="F74" s="19"/>
      <c r="G74" s="24" t="s">
        <v>2</v>
      </c>
      <c r="H74" s="24" t="s">
        <v>2</v>
      </c>
      <c r="I74" s="31"/>
      <c r="J74" s="35"/>
    </row>
    <row r="75" spans="1:10" x14ac:dyDescent="0.25">
      <c r="A75" s="28"/>
      <c r="B75" s="28"/>
      <c r="C75" s="58"/>
      <c r="D75" s="53"/>
      <c r="E75" s="6"/>
      <c r="F75" s="19"/>
      <c r="G75" s="24"/>
      <c r="H75" s="24"/>
      <c r="I75" s="31"/>
      <c r="J75" s="35"/>
    </row>
    <row r="76" spans="1:10" x14ac:dyDescent="0.25">
      <c r="A76" s="28"/>
      <c r="B76" s="28"/>
      <c r="C76" s="58" t="s">
        <v>20</v>
      </c>
      <c r="D76" s="53"/>
      <c r="E76" s="6"/>
      <c r="F76" s="19"/>
      <c r="G76" s="24" t="s">
        <v>2</v>
      </c>
      <c r="H76" s="24" t="s">
        <v>2</v>
      </c>
      <c r="I76" s="31"/>
      <c r="J76" s="35"/>
    </row>
    <row r="77" spans="1:10" x14ac:dyDescent="0.25">
      <c r="A77" s="28"/>
      <c r="B77" s="28"/>
      <c r="C77" s="58"/>
      <c r="D77" s="53"/>
      <c r="E77" s="6"/>
      <c r="F77" s="19"/>
      <c r="G77" s="24"/>
      <c r="H77" s="24"/>
      <c r="I77" s="31"/>
      <c r="J77" s="35"/>
    </row>
    <row r="78" spans="1:10" x14ac:dyDescent="0.25">
      <c r="A78" s="28"/>
      <c r="B78" s="28"/>
      <c r="C78" s="58" t="s">
        <v>21</v>
      </c>
      <c r="D78" s="53"/>
      <c r="E78" s="6"/>
      <c r="F78" s="19"/>
      <c r="G78" s="24" t="s">
        <v>2</v>
      </c>
      <c r="H78" s="24" t="s">
        <v>2</v>
      </c>
      <c r="I78" s="31"/>
      <c r="J78" s="35"/>
    </row>
    <row r="79" spans="1:10" x14ac:dyDescent="0.25">
      <c r="A79" s="28"/>
      <c r="B79" s="28"/>
      <c r="C79" s="58"/>
      <c r="D79" s="53"/>
      <c r="E79" s="6"/>
      <c r="F79" s="19"/>
      <c r="G79" s="24"/>
      <c r="H79" s="24"/>
      <c r="I79" s="31"/>
      <c r="J79" s="35"/>
    </row>
    <row r="80" spans="1:10" x14ac:dyDescent="0.25">
      <c r="C80" s="59" t="s">
        <v>22</v>
      </c>
      <c r="D80" s="53"/>
      <c r="E80" s="6"/>
      <c r="F80" s="19"/>
      <c r="G80" s="24"/>
      <c r="H80" s="24"/>
      <c r="I80" s="31"/>
      <c r="J80" s="35"/>
    </row>
    <row r="81" spans="1:10" x14ac:dyDescent="0.25">
      <c r="B81" s="8" t="s">
        <v>33</v>
      </c>
      <c r="C81" s="56" t="s">
        <v>34</v>
      </c>
      <c r="D81" s="53"/>
      <c r="E81" s="6"/>
      <c r="F81" s="19"/>
      <c r="G81" s="24">
        <v>1239.9000000000001</v>
      </c>
      <c r="H81" s="24">
        <v>4.04</v>
      </c>
      <c r="I81" s="31"/>
      <c r="J81" s="35"/>
    </row>
    <row r="82" spans="1:10" x14ac:dyDescent="0.25">
      <c r="C82" s="57" t="s">
        <v>35</v>
      </c>
      <c r="D82" s="53"/>
      <c r="E82" s="6"/>
      <c r="F82" s="19"/>
      <c r="G82" s="25">
        <v>1239.9000000000001</v>
      </c>
      <c r="H82" s="25">
        <v>4.04</v>
      </c>
      <c r="I82" s="31"/>
      <c r="J82" s="35"/>
    </row>
    <row r="83" spans="1:10" x14ac:dyDescent="0.25">
      <c r="C83" s="56"/>
      <c r="D83" s="53"/>
      <c r="E83" s="6"/>
      <c r="F83" s="19"/>
      <c r="G83" s="24"/>
      <c r="H83" s="24"/>
      <c r="I83" s="31"/>
      <c r="J83" s="35"/>
    </row>
    <row r="84" spans="1:10" x14ac:dyDescent="0.25">
      <c r="A84" s="10"/>
      <c r="B84" s="28"/>
      <c r="C84" s="58" t="s">
        <v>23</v>
      </c>
      <c r="D84" s="53"/>
      <c r="E84" s="6"/>
      <c r="F84" s="19"/>
      <c r="G84" s="24"/>
      <c r="H84" s="24"/>
      <c r="I84" s="31"/>
      <c r="J84" s="35"/>
    </row>
    <row r="85" spans="1:10" x14ac:dyDescent="0.25">
      <c r="A85" s="28"/>
      <c r="B85" s="28"/>
      <c r="C85" s="60" t="s">
        <v>3398</v>
      </c>
      <c r="D85" s="53"/>
      <c r="E85" s="6"/>
      <c r="F85" s="19"/>
      <c r="G85" s="24" t="s">
        <v>2</v>
      </c>
      <c r="H85" s="24" t="s">
        <v>2</v>
      </c>
      <c r="I85" s="31"/>
      <c r="J85" s="35"/>
    </row>
    <row r="86" spans="1:10" x14ac:dyDescent="0.25">
      <c r="B86" s="8"/>
      <c r="C86" s="56" t="s">
        <v>36</v>
      </c>
      <c r="D86" s="53"/>
      <c r="E86" s="6"/>
      <c r="F86" s="19"/>
      <c r="G86" s="24">
        <v>-18.5</v>
      </c>
      <c r="H86" s="24">
        <v>-6.9999999999999993E-2</v>
      </c>
      <c r="I86" s="31"/>
      <c r="J86" s="35"/>
    </row>
    <row r="87" spans="1:10" x14ac:dyDescent="0.25">
      <c r="C87" s="57" t="s">
        <v>35</v>
      </c>
      <c r="D87" s="53"/>
      <c r="E87" s="6"/>
      <c r="F87" s="19"/>
      <c r="G87" s="25">
        <v>-18.5</v>
      </c>
      <c r="H87" s="25">
        <v>-6.9999999999999993E-2</v>
      </c>
      <c r="I87" s="31"/>
      <c r="J87" s="35"/>
    </row>
    <row r="88" spans="1:10" x14ac:dyDescent="0.25">
      <c r="C88" s="56"/>
      <c r="D88" s="53"/>
      <c r="E88" s="6"/>
      <c r="F88" s="19"/>
      <c r="G88" s="24"/>
      <c r="H88" s="24"/>
      <c r="I88" s="31"/>
      <c r="J88" s="35"/>
    </row>
    <row r="89" spans="1:10" x14ac:dyDescent="0.25">
      <c r="C89" s="61" t="s">
        <v>37</v>
      </c>
      <c r="D89" s="54"/>
      <c r="E89" s="5"/>
      <c r="F89" s="20"/>
      <c r="G89" s="26">
        <v>30668.48</v>
      </c>
      <c r="H89" s="26">
        <f>SUMIFS(H:H,C:C,"Total")</f>
        <v>100.00000000000001</v>
      </c>
      <c r="I89" s="32"/>
      <c r="J89" s="36"/>
    </row>
    <row r="92" spans="1:10" x14ac:dyDescent="0.25">
      <c r="C92" s="1" t="s">
        <v>38</v>
      </c>
    </row>
    <row r="93" spans="1:10" x14ac:dyDescent="0.25">
      <c r="C93" s="2" t="s">
        <v>39</v>
      </c>
    </row>
    <row r="94" spans="1:10" x14ac:dyDescent="0.25">
      <c r="C94" s="2" t="s">
        <v>40</v>
      </c>
    </row>
    <row r="95" spans="1:10" x14ac:dyDescent="0.25">
      <c r="C95" s="2" t="s">
        <v>3430</v>
      </c>
    </row>
  </sheetData>
  <hyperlinks>
    <hyperlink ref="J2" location="'Index'!A1" display="'Index'!A1"/>
  </hyperlinks>
  <pageMargins left="0.7" right="0.7" top="0.75" bottom="0.75" header="0.3" footer="0.3"/>
  <pageSetup orientation="portrait" horizontalDpi="4294967293"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7"/>
  <dimension ref="A1:J7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2342</v>
      </c>
      <c r="J2" s="37" t="s">
        <v>3307</v>
      </c>
    </row>
    <row r="3" spans="1:10" ht="16.5" x14ac:dyDescent="0.3">
      <c r="C3" s="1" t="s">
        <v>24</v>
      </c>
      <c r="D3" s="21" t="s">
        <v>2343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1343</v>
      </c>
      <c r="C18" s="56" t="s">
        <v>1344</v>
      </c>
      <c r="D18" s="53" t="s">
        <v>1345</v>
      </c>
      <c r="E18" s="6" t="s">
        <v>534</v>
      </c>
      <c r="F18" s="19">
        <v>240</v>
      </c>
      <c r="G18" s="24">
        <v>3009.2</v>
      </c>
      <c r="H18" s="24">
        <v>9.85</v>
      </c>
      <c r="I18" s="31">
        <v>4</v>
      </c>
      <c r="J18" s="35" t="s">
        <v>514</v>
      </c>
    </row>
    <row r="19" spans="2:10" x14ac:dyDescent="0.25">
      <c r="B19" s="8" t="s">
        <v>2315</v>
      </c>
      <c r="C19" s="56" t="s">
        <v>2316</v>
      </c>
      <c r="D19" s="53" t="s">
        <v>2317</v>
      </c>
      <c r="E19" s="6" t="s">
        <v>534</v>
      </c>
      <c r="F19" s="19">
        <v>240</v>
      </c>
      <c r="G19" s="24">
        <v>3003.94</v>
      </c>
      <c r="H19" s="24">
        <v>9.83</v>
      </c>
      <c r="I19" s="31">
        <v>4.6425000000000001</v>
      </c>
      <c r="J19" s="35" t="s">
        <v>514</v>
      </c>
    </row>
    <row r="20" spans="2:10" x14ac:dyDescent="0.25">
      <c r="B20" s="8" t="s">
        <v>2344</v>
      </c>
      <c r="C20" s="56" t="s">
        <v>2345</v>
      </c>
      <c r="D20" s="53" t="s">
        <v>2346</v>
      </c>
      <c r="E20" s="6" t="s">
        <v>526</v>
      </c>
      <c r="F20" s="19">
        <v>240</v>
      </c>
      <c r="G20" s="24">
        <v>2925.81</v>
      </c>
      <c r="H20" s="24">
        <v>9.58</v>
      </c>
      <c r="I20" s="31">
        <v>10.0549</v>
      </c>
      <c r="J20" s="35" t="s">
        <v>514</v>
      </c>
    </row>
    <row r="21" spans="2:10" x14ac:dyDescent="0.25">
      <c r="B21" s="8" t="s">
        <v>2347</v>
      </c>
      <c r="C21" s="56" t="s">
        <v>1935</v>
      </c>
      <c r="D21" s="53" t="s">
        <v>2348</v>
      </c>
      <c r="E21" s="6" t="s">
        <v>911</v>
      </c>
      <c r="F21" s="19">
        <v>240</v>
      </c>
      <c r="G21" s="24">
        <v>2450.19</v>
      </c>
      <c r="H21" s="24">
        <v>8.02</v>
      </c>
      <c r="I21" s="31">
        <v>4.3213999999999997</v>
      </c>
      <c r="J21" s="35" t="s">
        <v>514</v>
      </c>
    </row>
    <row r="22" spans="2:10" x14ac:dyDescent="0.25">
      <c r="B22" s="8" t="s">
        <v>1920</v>
      </c>
      <c r="C22" s="56" t="s">
        <v>854</v>
      </c>
      <c r="D22" s="53" t="s">
        <v>1921</v>
      </c>
      <c r="E22" s="6" t="s">
        <v>534</v>
      </c>
      <c r="F22" s="19">
        <v>230</v>
      </c>
      <c r="G22" s="24">
        <v>2324.2199999999998</v>
      </c>
      <c r="H22" s="24">
        <v>7.61</v>
      </c>
      <c r="I22" s="31">
        <v>3.42</v>
      </c>
      <c r="J22" s="35" t="s">
        <v>514</v>
      </c>
    </row>
    <row r="23" spans="2:10" x14ac:dyDescent="0.25">
      <c r="B23" s="8" t="s">
        <v>2349</v>
      </c>
      <c r="C23" s="56" t="s">
        <v>1752</v>
      </c>
      <c r="D23" s="53" t="s">
        <v>2350</v>
      </c>
      <c r="E23" s="6" t="s">
        <v>1314</v>
      </c>
      <c r="F23" s="19">
        <v>200</v>
      </c>
      <c r="G23" s="24">
        <v>2026.85</v>
      </c>
      <c r="H23" s="24">
        <v>6.63</v>
      </c>
      <c r="I23" s="31">
        <v>3.66</v>
      </c>
      <c r="J23" s="35" t="s">
        <v>514</v>
      </c>
    </row>
    <row r="24" spans="2:10" x14ac:dyDescent="0.25">
      <c r="B24" s="8" t="s">
        <v>2309</v>
      </c>
      <c r="C24" s="56" t="s">
        <v>909</v>
      </c>
      <c r="D24" s="53" t="s">
        <v>2310</v>
      </c>
      <c r="E24" s="6" t="s">
        <v>534</v>
      </c>
      <c r="F24" s="19">
        <v>200</v>
      </c>
      <c r="G24" s="24">
        <v>2024.17</v>
      </c>
      <c r="H24" s="24">
        <v>6.62</v>
      </c>
      <c r="I24" s="31">
        <v>3.7</v>
      </c>
      <c r="J24" s="35" t="s">
        <v>514</v>
      </c>
    </row>
    <row r="25" spans="2:10" x14ac:dyDescent="0.25">
      <c r="B25" s="8" t="s">
        <v>1723</v>
      </c>
      <c r="C25" s="56" t="s">
        <v>53</v>
      </c>
      <c r="D25" s="53" t="s">
        <v>1724</v>
      </c>
      <c r="E25" s="6" t="s">
        <v>534</v>
      </c>
      <c r="F25" s="19">
        <v>200</v>
      </c>
      <c r="G25" s="24">
        <v>2015.34</v>
      </c>
      <c r="H25" s="24">
        <v>6.6</v>
      </c>
      <c r="I25" s="31">
        <v>3.5099</v>
      </c>
      <c r="J25" s="35" t="s">
        <v>514</v>
      </c>
    </row>
    <row r="26" spans="2:10" x14ac:dyDescent="0.25">
      <c r="B26" s="8" t="s">
        <v>2351</v>
      </c>
      <c r="C26" s="56" t="s">
        <v>601</v>
      </c>
      <c r="D26" s="53" t="s">
        <v>2352</v>
      </c>
      <c r="E26" s="6" t="s">
        <v>534</v>
      </c>
      <c r="F26" s="19">
        <v>200</v>
      </c>
      <c r="G26" s="24">
        <v>2012.41</v>
      </c>
      <c r="H26" s="24">
        <v>6.59</v>
      </c>
      <c r="I26" s="31">
        <v>3.4449999999999998</v>
      </c>
      <c r="J26" s="35" t="s">
        <v>514</v>
      </c>
    </row>
    <row r="27" spans="2:10" x14ac:dyDescent="0.25">
      <c r="B27" s="8" t="s">
        <v>2353</v>
      </c>
      <c r="C27" s="56" t="s">
        <v>601</v>
      </c>
      <c r="D27" s="53" t="s">
        <v>2354</v>
      </c>
      <c r="E27" s="6" t="s">
        <v>534</v>
      </c>
      <c r="F27" s="19">
        <v>40</v>
      </c>
      <c r="G27" s="24">
        <v>407.06</v>
      </c>
      <c r="H27" s="24">
        <v>1.33</v>
      </c>
      <c r="I27" s="31">
        <v>4.1150000000000002</v>
      </c>
      <c r="J27" s="35" t="s">
        <v>514</v>
      </c>
    </row>
    <row r="28" spans="2:10" x14ac:dyDescent="0.25">
      <c r="B28" s="8" t="s">
        <v>2355</v>
      </c>
      <c r="C28" s="56" t="s">
        <v>1130</v>
      </c>
      <c r="D28" s="53" t="s">
        <v>2356</v>
      </c>
      <c r="E28" s="6" t="s">
        <v>911</v>
      </c>
      <c r="F28" s="19">
        <v>30</v>
      </c>
      <c r="G28" s="24">
        <v>305.32</v>
      </c>
      <c r="H28" s="24">
        <v>1</v>
      </c>
      <c r="I28" s="31">
        <v>4.0250000000000004</v>
      </c>
      <c r="J28" s="35" t="s">
        <v>514</v>
      </c>
    </row>
    <row r="29" spans="2:10" x14ac:dyDescent="0.25">
      <c r="C29" s="57" t="s">
        <v>35</v>
      </c>
      <c r="D29" s="53"/>
      <c r="E29" s="6"/>
      <c r="F29" s="19"/>
      <c r="G29" s="25">
        <v>22504.51</v>
      </c>
      <c r="H29" s="25">
        <v>73.66</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2323</v>
      </c>
      <c r="C38" s="56" t="s">
        <v>2324</v>
      </c>
      <c r="D38" s="53" t="s">
        <v>2325</v>
      </c>
      <c r="E38" s="6" t="s">
        <v>655</v>
      </c>
      <c r="F38" s="19">
        <v>4000000</v>
      </c>
      <c r="G38" s="24">
        <v>4078.19</v>
      </c>
      <c r="H38" s="24">
        <v>13.35</v>
      </c>
      <c r="I38" s="31">
        <v>4.0368000000000004</v>
      </c>
      <c r="J38" s="35"/>
    </row>
    <row r="39" spans="1:10" x14ac:dyDescent="0.25">
      <c r="C39" s="57" t="s">
        <v>35</v>
      </c>
      <c r="D39" s="53"/>
      <c r="E39" s="6"/>
      <c r="F39" s="19"/>
      <c r="G39" s="25">
        <v>4078.19</v>
      </c>
      <c r="H39" s="25">
        <v>13.35</v>
      </c>
      <c r="I39" s="31"/>
      <c r="J39" s="35"/>
    </row>
    <row r="40" spans="1:10" x14ac:dyDescent="0.25">
      <c r="C40" s="56"/>
      <c r="D40" s="53"/>
      <c r="E40" s="6"/>
      <c r="F40" s="19"/>
      <c r="G40" s="24"/>
      <c r="H40" s="24"/>
      <c r="I40" s="31"/>
      <c r="J40" s="35"/>
    </row>
    <row r="41" spans="1:10" x14ac:dyDescent="0.25">
      <c r="A41" s="10"/>
      <c r="B41" s="28"/>
      <c r="C41" s="58" t="s">
        <v>11</v>
      </c>
      <c r="D41" s="53"/>
      <c r="E41" s="6"/>
      <c r="F41" s="19"/>
      <c r="G41" s="24"/>
      <c r="H41" s="24"/>
      <c r="I41" s="31"/>
      <c r="J41" s="35"/>
    </row>
    <row r="42" spans="1:10" x14ac:dyDescent="0.25">
      <c r="A42" s="28"/>
      <c r="B42" s="28"/>
      <c r="C42" s="58" t="s">
        <v>13</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C44" s="59" t="s">
        <v>14</v>
      </c>
      <c r="D44" s="53"/>
      <c r="E44" s="6"/>
      <c r="F44" s="19"/>
      <c r="G44" s="24"/>
      <c r="H44" s="24"/>
      <c r="I44" s="31"/>
      <c r="J44" s="35"/>
    </row>
    <row r="45" spans="1:10" x14ac:dyDescent="0.25">
      <c r="B45" s="8" t="s">
        <v>1234</v>
      </c>
      <c r="C45" s="56" t="s">
        <v>74</v>
      </c>
      <c r="D45" s="53" t="s">
        <v>1235</v>
      </c>
      <c r="E45" s="6" t="s">
        <v>992</v>
      </c>
      <c r="F45" s="19">
        <v>1300</v>
      </c>
      <c r="G45" s="24">
        <v>1279.83</v>
      </c>
      <c r="H45" s="24">
        <v>4.1900000000000004</v>
      </c>
      <c r="I45" s="31">
        <v>3.5950000000000002</v>
      </c>
      <c r="J45" s="35" t="s">
        <v>514</v>
      </c>
    </row>
    <row r="46" spans="1:10" x14ac:dyDescent="0.25">
      <c r="B46" s="8" t="s">
        <v>2357</v>
      </c>
      <c r="C46" s="56" t="s">
        <v>74</v>
      </c>
      <c r="D46" s="53" t="s">
        <v>2358</v>
      </c>
      <c r="E46" s="6" t="s">
        <v>992</v>
      </c>
      <c r="F46" s="19">
        <v>800</v>
      </c>
      <c r="G46" s="24">
        <v>794.39</v>
      </c>
      <c r="H46" s="24">
        <v>2.6</v>
      </c>
      <c r="I46" s="31">
        <v>3.3050999999999999</v>
      </c>
      <c r="J46" s="35"/>
    </row>
    <row r="47" spans="1:10" x14ac:dyDescent="0.25">
      <c r="B47" s="8" t="s">
        <v>1260</v>
      </c>
      <c r="C47" s="56" t="s">
        <v>402</v>
      </c>
      <c r="D47" s="53" t="s">
        <v>1261</v>
      </c>
      <c r="E47" s="6" t="s">
        <v>992</v>
      </c>
      <c r="F47" s="19">
        <v>400</v>
      </c>
      <c r="G47" s="24">
        <v>396.96</v>
      </c>
      <c r="H47" s="24">
        <v>1.3</v>
      </c>
      <c r="I47" s="31">
        <v>3.3250000000000002</v>
      </c>
      <c r="J47" s="35" t="s">
        <v>514</v>
      </c>
    </row>
    <row r="48" spans="1:10" x14ac:dyDescent="0.25">
      <c r="C48" s="57" t="s">
        <v>35</v>
      </c>
      <c r="D48" s="53"/>
      <c r="E48" s="6"/>
      <c r="F48" s="19"/>
      <c r="G48" s="25">
        <v>2471.1799999999998</v>
      </c>
      <c r="H48" s="25">
        <v>8.09</v>
      </c>
      <c r="I48" s="31"/>
      <c r="J48" s="35"/>
    </row>
    <row r="49" spans="1:10" x14ac:dyDescent="0.25">
      <c r="C49" s="56"/>
      <c r="D49" s="53"/>
      <c r="E49" s="6"/>
      <c r="F49" s="19"/>
      <c r="G49" s="24"/>
      <c r="H49" s="24"/>
      <c r="I49" s="31"/>
      <c r="J49" s="35"/>
    </row>
    <row r="50" spans="1:10" x14ac:dyDescent="0.25">
      <c r="C50" s="57" t="s">
        <v>15</v>
      </c>
      <c r="D50" s="53"/>
      <c r="E50" s="6"/>
      <c r="F50" s="19"/>
      <c r="G50" s="24" t="s">
        <v>2</v>
      </c>
      <c r="H50" s="24" t="s">
        <v>2</v>
      </c>
      <c r="I50" s="31"/>
      <c r="J50" s="35"/>
    </row>
    <row r="51" spans="1:10" x14ac:dyDescent="0.25">
      <c r="C51" s="56"/>
      <c r="D51" s="53"/>
      <c r="E51" s="6"/>
      <c r="F51" s="19"/>
      <c r="G51" s="24"/>
      <c r="H51" s="24"/>
      <c r="I51" s="31"/>
      <c r="J51" s="35"/>
    </row>
    <row r="52" spans="1:10" x14ac:dyDescent="0.25">
      <c r="C52" s="57" t="s">
        <v>16</v>
      </c>
      <c r="D52" s="53"/>
      <c r="E52" s="6"/>
      <c r="F52" s="19"/>
      <c r="G52" s="24" t="s">
        <v>2</v>
      </c>
      <c r="H52" s="24" t="s">
        <v>2</v>
      </c>
      <c r="I52" s="31"/>
      <c r="J52" s="35"/>
    </row>
    <row r="53" spans="1:10" x14ac:dyDescent="0.25">
      <c r="C53" s="56"/>
      <c r="D53" s="53"/>
      <c r="E53" s="6"/>
      <c r="F53" s="19"/>
      <c r="G53" s="24"/>
      <c r="H53" s="24"/>
      <c r="I53" s="31"/>
      <c r="J53" s="35"/>
    </row>
    <row r="54" spans="1:10" x14ac:dyDescent="0.25">
      <c r="A54" s="10"/>
      <c r="B54" s="28"/>
      <c r="C54" s="58" t="s">
        <v>17</v>
      </c>
      <c r="D54" s="53"/>
      <c r="E54" s="6"/>
      <c r="F54" s="19"/>
      <c r="G54" s="24"/>
      <c r="H54" s="24"/>
      <c r="I54" s="31"/>
      <c r="J54" s="35"/>
    </row>
    <row r="55" spans="1:10" x14ac:dyDescent="0.25">
      <c r="A55" s="28"/>
      <c r="B55" s="28"/>
      <c r="C55" s="58" t="s">
        <v>18</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19</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20</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21</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C63" s="59" t="s">
        <v>22</v>
      </c>
      <c r="D63" s="53"/>
      <c r="E63" s="6"/>
      <c r="F63" s="19"/>
      <c r="G63" s="24"/>
      <c r="H63" s="24"/>
      <c r="I63" s="31"/>
      <c r="J63" s="35"/>
    </row>
    <row r="64" spans="1:10" x14ac:dyDescent="0.25">
      <c r="B64" s="8" t="s">
        <v>33</v>
      </c>
      <c r="C64" s="56" t="s">
        <v>34</v>
      </c>
      <c r="D64" s="53"/>
      <c r="E64" s="6"/>
      <c r="F64" s="19"/>
      <c r="G64" s="24">
        <v>260.67</v>
      </c>
      <c r="H64" s="24">
        <v>0.85</v>
      </c>
      <c r="I64" s="31"/>
      <c r="J64" s="35"/>
    </row>
    <row r="65" spans="1:10" x14ac:dyDescent="0.25">
      <c r="C65" s="57" t="s">
        <v>35</v>
      </c>
      <c r="D65" s="53"/>
      <c r="E65" s="6"/>
      <c r="F65" s="19"/>
      <c r="G65" s="25">
        <v>260.67</v>
      </c>
      <c r="H65" s="25">
        <v>0.85</v>
      </c>
      <c r="I65" s="31"/>
      <c r="J65" s="35"/>
    </row>
    <row r="66" spans="1:10" x14ac:dyDescent="0.25">
      <c r="C66" s="56"/>
      <c r="D66" s="53"/>
      <c r="E66" s="6"/>
      <c r="F66" s="19"/>
      <c r="G66" s="24"/>
      <c r="H66" s="24"/>
      <c r="I66" s="31"/>
      <c r="J66" s="35"/>
    </row>
    <row r="67" spans="1:10" x14ac:dyDescent="0.25">
      <c r="A67" s="10"/>
      <c r="B67" s="28"/>
      <c r="C67" s="58" t="s">
        <v>23</v>
      </c>
      <c r="D67" s="53"/>
      <c r="E67" s="6"/>
      <c r="F67" s="19"/>
      <c r="G67" s="24"/>
      <c r="H67" s="24"/>
      <c r="I67" s="31"/>
      <c r="J67" s="35"/>
    </row>
    <row r="68" spans="1:10" x14ac:dyDescent="0.25">
      <c r="A68" s="28"/>
      <c r="B68" s="28"/>
      <c r="C68" s="60" t="s">
        <v>3398</v>
      </c>
      <c r="D68" s="53"/>
      <c r="E68" s="6"/>
      <c r="F68" s="19"/>
      <c r="G68" s="24" t="s">
        <v>2</v>
      </c>
      <c r="H68" s="24" t="s">
        <v>2</v>
      </c>
      <c r="I68" s="31"/>
      <c r="J68" s="35"/>
    </row>
    <row r="69" spans="1:10" x14ac:dyDescent="0.25">
      <c r="B69" s="8"/>
      <c r="C69" s="56" t="s">
        <v>36</v>
      </c>
      <c r="D69" s="53"/>
      <c r="E69" s="6"/>
      <c r="F69" s="19"/>
      <c r="G69" s="24">
        <v>1239.73</v>
      </c>
      <c r="H69" s="24">
        <v>4.05</v>
      </c>
      <c r="I69" s="31"/>
      <c r="J69" s="35"/>
    </row>
    <row r="70" spans="1:10" x14ac:dyDescent="0.25">
      <c r="C70" s="57" t="s">
        <v>35</v>
      </c>
      <c r="D70" s="53"/>
      <c r="E70" s="6"/>
      <c r="F70" s="19"/>
      <c r="G70" s="25">
        <v>1239.73</v>
      </c>
      <c r="H70" s="25">
        <v>4.05</v>
      </c>
      <c r="I70" s="31"/>
      <c r="J70" s="35"/>
    </row>
    <row r="71" spans="1:10" x14ac:dyDescent="0.25">
      <c r="C71" s="56"/>
      <c r="D71" s="53"/>
      <c r="E71" s="6"/>
      <c r="F71" s="19"/>
      <c r="G71" s="24"/>
      <c r="H71" s="24"/>
      <c r="I71" s="31"/>
      <c r="J71" s="35"/>
    </row>
    <row r="72" spans="1:10" x14ac:dyDescent="0.25">
      <c r="C72" s="61" t="s">
        <v>37</v>
      </c>
      <c r="D72" s="54"/>
      <c r="E72" s="5"/>
      <c r="F72" s="20"/>
      <c r="G72" s="26">
        <v>30554.28</v>
      </c>
      <c r="H72" s="26">
        <f>SUMIFS(H:H,C:C,"Total")</f>
        <v>99.999999999999986</v>
      </c>
      <c r="I72" s="32"/>
      <c r="J72" s="36"/>
    </row>
    <row r="75" spans="1:10" x14ac:dyDescent="0.25">
      <c r="C75" s="1" t="s">
        <v>38</v>
      </c>
    </row>
    <row r="76" spans="1:10" x14ac:dyDescent="0.25">
      <c r="C76" s="2" t="s">
        <v>39</v>
      </c>
    </row>
    <row r="77" spans="1:10" x14ac:dyDescent="0.25">
      <c r="C77" s="2" t="s">
        <v>40</v>
      </c>
    </row>
    <row r="78" spans="1:10" x14ac:dyDescent="0.25">
      <c r="C78" s="2" t="s">
        <v>3430</v>
      </c>
    </row>
  </sheetData>
  <hyperlinks>
    <hyperlink ref="J2" location="'Index'!A1" display="'Index'!A1"/>
  </hyperlinks>
  <pageMargins left="0.7" right="0.7" top="0.75" bottom="0.75" header="0.3" footer="0.3"/>
  <pageSetup orientation="portrait" horizontalDpi="4294967293"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8"/>
  <dimension ref="A1:J10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2239</v>
      </c>
      <c r="J2" s="37" t="s">
        <v>3307</v>
      </c>
    </row>
    <row r="3" spans="1:10" ht="16.5" x14ac:dyDescent="0.3">
      <c r="C3" s="1" t="s">
        <v>24</v>
      </c>
      <c r="D3" s="21" t="s">
        <v>2359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305000</v>
      </c>
      <c r="G10" s="24">
        <v>3075.16</v>
      </c>
      <c r="H10" s="24">
        <v>1.43</v>
      </c>
      <c r="I10" s="31"/>
      <c r="J10" s="35"/>
    </row>
    <row r="11" spans="1:10" x14ac:dyDescent="0.25">
      <c r="B11" s="8" t="s">
        <v>48</v>
      </c>
      <c r="C11" s="56" t="s">
        <v>49</v>
      </c>
      <c r="D11" s="53" t="s">
        <v>50</v>
      </c>
      <c r="E11" s="6" t="s">
        <v>51</v>
      </c>
      <c r="F11" s="19">
        <v>202000</v>
      </c>
      <c r="G11" s="24">
        <v>2178.77</v>
      </c>
      <c r="H11" s="24">
        <v>1.01</v>
      </c>
      <c r="I11" s="31"/>
      <c r="J11" s="35"/>
    </row>
    <row r="12" spans="1:10" x14ac:dyDescent="0.25">
      <c r="B12" s="8" t="s">
        <v>59</v>
      </c>
      <c r="C12" s="56" t="s">
        <v>60</v>
      </c>
      <c r="D12" s="53" t="s">
        <v>61</v>
      </c>
      <c r="E12" s="6" t="s">
        <v>51</v>
      </c>
      <c r="F12" s="19">
        <v>130000</v>
      </c>
      <c r="G12" s="24">
        <v>1648.66</v>
      </c>
      <c r="H12" s="24">
        <v>0.77</v>
      </c>
      <c r="I12" s="31"/>
      <c r="J12" s="35"/>
    </row>
    <row r="13" spans="1:10" x14ac:dyDescent="0.25">
      <c r="B13" s="8" t="s">
        <v>56</v>
      </c>
      <c r="C13" s="56" t="s">
        <v>57</v>
      </c>
      <c r="D13" s="53" t="s">
        <v>58</v>
      </c>
      <c r="E13" s="6" t="s">
        <v>47</v>
      </c>
      <c r="F13" s="19">
        <v>56000</v>
      </c>
      <c r="G13" s="24">
        <v>1395.69</v>
      </c>
      <c r="H13" s="24">
        <v>0.65</v>
      </c>
      <c r="I13" s="31"/>
      <c r="J13" s="35"/>
    </row>
    <row r="14" spans="1:10" x14ac:dyDescent="0.25">
      <c r="B14" s="8" t="s">
        <v>62</v>
      </c>
      <c r="C14" s="56" t="s">
        <v>63</v>
      </c>
      <c r="D14" s="53" t="s">
        <v>64</v>
      </c>
      <c r="E14" s="6" t="s">
        <v>51</v>
      </c>
      <c r="F14" s="19">
        <v>390000</v>
      </c>
      <c r="G14" s="24">
        <v>1383.53</v>
      </c>
      <c r="H14" s="24">
        <v>0.64</v>
      </c>
      <c r="I14" s="31"/>
      <c r="J14" s="35"/>
    </row>
    <row r="15" spans="1:10" x14ac:dyDescent="0.25">
      <c r="B15" s="8" t="s">
        <v>409</v>
      </c>
      <c r="C15" s="56" t="s">
        <v>410</v>
      </c>
      <c r="D15" s="53" t="s">
        <v>411</v>
      </c>
      <c r="E15" s="6" t="s">
        <v>98</v>
      </c>
      <c r="F15" s="19">
        <v>18750</v>
      </c>
      <c r="G15" s="24">
        <v>1264.4000000000001</v>
      </c>
      <c r="H15" s="24">
        <v>0.59</v>
      </c>
      <c r="I15" s="31"/>
      <c r="J15" s="35"/>
    </row>
    <row r="16" spans="1:10" x14ac:dyDescent="0.25">
      <c r="B16" s="8" t="s">
        <v>1354</v>
      </c>
      <c r="C16" s="56" t="s">
        <v>1355</v>
      </c>
      <c r="D16" s="53" t="s">
        <v>1356</v>
      </c>
      <c r="E16" s="6" t="s">
        <v>826</v>
      </c>
      <c r="F16" s="19">
        <v>540000</v>
      </c>
      <c r="G16" s="24">
        <v>1191.51</v>
      </c>
      <c r="H16" s="24">
        <v>0.55000000000000004</v>
      </c>
      <c r="I16" s="31"/>
      <c r="J16" s="35"/>
    </row>
    <row r="17" spans="2:10" x14ac:dyDescent="0.25">
      <c r="B17" s="8" t="s">
        <v>139</v>
      </c>
      <c r="C17" s="56" t="s">
        <v>140</v>
      </c>
      <c r="D17" s="53" t="s">
        <v>141</v>
      </c>
      <c r="E17" s="6" t="s">
        <v>142</v>
      </c>
      <c r="F17" s="19">
        <v>95000</v>
      </c>
      <c r="G17" s="24">
        <v>1186.6500000000001</v>
      </c>
      <c r="H17" s="24">
        <v>0.55000000000000004</v>
      </c>
      <c r="I17" s="31"/>
      <c r="J17" s="35"/>
    </row>
    <row r="18" spans="2:10" x14ac:dyDescent="0.25">
      <c r="B18" s="8" t="s">
        <v>136</v>
      </c>
      <c r="C18" s="56" t="s">
        <v>137</v>
      </c>
      <c r="D18" s="53" t="s">
        <v>138</v>
      </c>
      <c r="E18" s="6" t="s">
        <v>41</v>
      </c>
      <c r="F18" s="19">
        <v>29000</v>
      </c>
      <c r="G18" s="24">
        <v>1174.3699999999999</v>
      </c>
      <c r="H18" s="24">
        <v>0.55000000000000004</v>
      </c>
      <c r="I18" s="31"/>
      <c r="J18" s="35"/>
    </row>
    <row r="19" spans="2:10" x14ac:dyDescent="0.25">
      <c r="B19" s="8" t="s">
        <v>859</v>
      </c>
      <c r="C19" s="56" t="s">
        <v>860</v>
      </c>
      <c r="D19" s="53" t="s">
        <v>861</v>
      </c>
      <c r="E19" s="6" t="s">
        <v>98</v>
      </c>
      <c r="F19" s="19">
        <v>34000</v>
      </c>
      <c r="G19" s="24">
        <v>1070.08</v>
      </c>
      <c r="H19" s="24">
        <v>0.5</v>
      </c>
      <c r="I19" s="31"/>
      <c r="J19" s="35"/>
    </row>
    <row r="20" spans="2:10" x14ac:dyDescent="0.25">
      <c r="B20" s="8" t="s">
        <v>76</v>
      </c>
      <c r="C20" s="56" t="s">
        <v>77</v>
      </c>
      <c r="D20" s="53" t="s">
        <v>78</v>
      </c>
      <c r="E20" s="6" t="s">
        <v>79</v>
      </c>
      <c r="F20" s="19">
        <v>106000</v>
      </c>
      <c r="G20" s="24">
        <v>955.7</v>
      </c>
      <c r="H20" s="24">
        <v>0.44</v>
      </c>
      <c r="I20" s="31"/>
      <c r="J20" s="35"/>
    </row>
    <row r="21" spans="2:10" x14ac:dyDescent="0.25">
      <c r="B21" s="8" t="s">
        <v>370</v>
      </c>
      <c r="C21" s="56" t="s">
        <v>371</v>
      </c>
      <c r="D21" s="53" t="s">
        <v>372</v>
      </c>
      <c r="E21" s="6" t="s">
        <v>41</v>
      </c>
      <c r="F21" s="19">
        <v>65000</v>
      </c>
      <c r="G21" s="24">
        <v>905.74</v>
      </c>
      <c r="H21" s="24">
        <v>0.42</v>
      </c>
      <c r="I21" s="31"/>
      <c r="J21" s="35"/>
    </row>
    <row r="22" spans="2:10" x14ac:dyDescent="0.25">
      <c r="B22" s="8" t="s">
        <v>73</v>
      </c>
      <c r="C22" s="56" t="s">
        <v>74</v>
      </c>
      <c r="D22" s="53" t="s">
        <v>75</v>
      </c>
      <c r="E22" s="6" t="s">
        <v>51</v>
      </c>
      <c r="F22" s="19">
        <v>205000</v>
      </c>
      <c r="G22" s="24">
        <v>870.53</v>
      </c>
      <c r="H22" s="24">
        <v>0.4</v>
      </c>
      <c r="I22" s="31"/>
      <c r="J22" s="35"/>
    </row>
    <row r="23" spans="2:10" x14ac:dyDescent="0.25">
      <c r="B23" s="8" t="s">
        <v>65</v>
      </c>
      <c r="C23" s="56" t="s">
        <v>66</v>
      </c>
      <c r="D23" s="53" t="s">
        <v>67</v>
      </c>
      <c r="E23" s="6" t="s">
        <v>68</v>
      </c>
      <c r="F23" s="19">
        <v>192537</v>
      </c>
      <c r="G23" s="24">
        <v>810.48</v>
      </c>
      <c r="H23" s="24">
        <v>0.38</v>
      </c>
      <c r="I23" s="31"/>
      <c r="J23" s="35"/>
    </row>
    <row r="24" spans="2:10" x14ac:dyDescent="0.25">
      <c r="B24" s="8" t="s">
        <v>398</v>
      </c>
      <c r="C24" s="56" t="s">
        <v>399</v>
      </c>
      <c r="D24" s="53" t="s">
        <v>400</v>
      </c>
      <c r="E24" s="6" t="s">
        <v>90</v>
      </c>
      <c r="F24" s="19">
        <v>181000</v>
      </c>
      <c r="G24" s="24">
        <v>657.03</v>
      </c>
      <c r="H24" s="24">
        <v>0.31</v>
      </c>
      <c r="I24" s="31"/>
      <c r="J24" s="35"/>
    </row>
    <row r="25" spans="2:10" x14ac:dyDescent="0.25">
      <c r="B25" s="8" t="s">
        <v>164</v>
      </c>
      <c r="C25" s="56" t="s">
        <v>165</v>
      </c>
      <c r="D25" s="53" t="s">
        <v>166</v>
      </c>
      <c r="E25" s="6" t="s">
        <v>51</v>
      </c>
      <c r="F25" s="19">
        <v>350000</v>
      </c>
      <c r="G25" s="24">
        <v>648.9</v>
      </c>
      <c r="H25" s="24">
        <v>0.3</v>
      </c>
      <c r="I25" s="31"/>
      <c r="J25" s="35"/>
    </row>
    <row r="26" spans="2:10" x14ac:dyDescent="0.25">
      <c r="B26" s="8" t="s">
        <v>154</v>
      </c>
      <c r="C26" s="56" t="s">
        <v>155</v>
      </c>
      <c r="D26" s="53" t="s">
        <v>156</v>
      </c>
      <c r="E26" s="6" t="s">
        <v>157</v>
      </c>
      <c r="F26" s="19">
        <v>130000</v>
      </c>
      <c r="G26" s="24">
        <v>578.76</v>
      </c>
      <c r="H26" s="24">
        <v>0.27</v>
      </c>
      <c r="I26" s="31"/>
      <c r="J26" s="35"/>
    </row>
    <row r="27" spans="2:10" x14ac:dyDescent="0.25">
      <c r="B27" s="8" t="s">
        <v>95</v>
      </c>
      <c r="C27" s="56" t="s">
        <v>96</v>
      </c>
      <c r="D27" s="53" t="s">
        <v>97</v>
      </c>
      <c r="E27" s="6" t="s">
        <v>98</v>
      </c>
      <c r="F27" s="19">
        <v>85000</v>
      </c>
      <c r="G27" s="24">
        <v>516.72</v>
      </c>
      <c r="H27" s="24">
        <v>0.24</v>
      </c>
      <c r="I27" s="31"/>
      <c r="J27" s="35"/>
    </row>
    <row r="28" spans="2:10" x14ac:dyDescent="0.25">
      <c r="B28" s="8" t="s">
        <v>2256</v>
      </c>
      <c r="C28" s="56" t="s">
        <v>2257</v>
      </c>
      <c r="D28" s="53" t="s">
        <v>2258</v>
      </c>
      <c r="E28" s="6" t="s">
        <v>722</v>
      </c>
      <c r="F28" s="19">
        <v>251297</v>
      </c>
      <c r="G28" s="24">
        <v>486.76</v>
      </c>
      <c r="H28" s="24">
        <v>0.23</v>
      </c>
      <c r="I28" s="31"/>
      <c r="J28" s="35"/>
    </row>
    <row r="29" spans="2:10" x14ac:dyDescent="0.25">
      <c r="B29" s="8" t="s">
        <v>167</v>
      </c>
      <c r="C29" s="56" t="s">
        <v>168</v>
      </c>
      <c r="D29" s="53" t="s">
        <v>169</v>
      </c>
      <c r="E29" s="6" t="s">
        <v>170</v>
      </c>
      <c r="F29" s="19">
        <v>260000</v>
      </c>
      <c r="G29" s="24">
        <v>455.65</v>
      </c>
      <c r="H29" s="24">
        <v>0.21</v>
      </c>
      <c r="I29" s="31"/>
      <c r="J29" s="35"/>
    </row>
    <row r="30" spans="2:10" x14ac:dyDescent="0.25">
      <c r="B30" s="8" t="s">
        <v>118</v>
      </c>
      <c r="C30" s="56" t="s">
        <v>119</v>
      </c>
      <c r="D30" s="53" t="s">
        <v>120</v>
      </c>
      <c r="E30" s="6" t="s">
        <v>98</v>
      </c>
      <c r="F30" s="19">
        <v>140000</v>
      </c>
      <c r="G30" s="24">
        <v>186.62</v>
      </c>
      <c r="H30" s="24">
        <v>0.09</v>
      </c>
      <c r="I30" s="31"/>
      <c r="J30" s="35"/>
    </row>
    <row r="31" spans="2:10" x14ac:dyDescent="0.25">
      <c r="B31" s="8" t="s">
        <v>1601</v>
      </c>
      <c r="C31" s="56" t="s">
        <v>1602</v>
      </c>
      <c r="D31" s="53" t="s">
        <v>1603</v>
      </c>
      <c r="E31" s="6" t="s">
        <v>826</v>
      </c>
      <c r="F31" s="19">
        <v>20321</v>
      </c>
      <c r="G31" s="24">
        <v>78.599999999999994</v>
      </c>
      <c r="H31" s="24">
        <v>0.04</v>
      </c>
      <c r="I31" s="31"/>
      <c r="J31" s="35"/>
    </row>
    <row r="32" spans="2:10" x14ac:dyDescent="0.25">
      <c r="C32" s="57" t="s">
        <v>35</v>
      </c>
      <c r="D32" s="53"/>
      <c r="E32" s="6"/>
      <c r="F32" s="19"/>
      <c r="G32" s="25">
        <v>22720.31</v>
      </c>
      <c r="H32" s="25">
        <v>10.57</v>
      </c>
      <c r="I32" s="31"/>
      <c r="J32" s="35"/>
    </row>
    <row r="33" spans="1:10" x14ac:dyDescent="0.25">
      <c r="C33" s="56"/>
      <c r="D33" s="53"/>
      <c r="E33" s="6"/>
      <c r="F33" s="19"/>
      <c r="G33" s="24"/>
      <c r="H33" s="24"/>
      <c r="I33" s="31"/>
      <c r="J33" s="35"/>
    </row>
    <row r="34" spans="1:10" x14ac:dyDescent="0.25">
      <c r="C34" s="57" t="s">
        <v>3</v>
      </c>
      <c r="D34" s="53"/>
      <c r="E34" s="6"/>
      <c r="F34" s="19"/>
      <c r="G34" s="24" t="s">
        <v>2</v>
      </c>
      <c r="H34" s="24" t="s">
        <v>2</v>
      </c>
      <c r="I34" s="31"/>
      <c r="J34" s="35"/>
    </row>
    <row r="35" spans="1:10" x14ac:dyDescent="0.25">
      <c r="C35" s="56"/>
      <c r="D35" s="53"/>
      <c r="E35" s="6"/>
      <c r="F35" s="19"/>
      <c r="G35" s="24"/>
      <c r="H35" s="24"/>
      <c r="I35" s="31"/>
      <c r="J35" s="35"/>
    </row>
    <row r="36" spans="1:10" x14ac:dyDescent="0.25">
      <c r="C36" s="57" t="s">
        <v>4</v>
      </c>
      <c r="D36" s="53"/>
      <c r="E36" s="6"/>
      <c r="F36" s="19"/>
      <c r="G36" s="24" t="s">
        <v>2</v>
      </c>
      <c r="H36" s="24" t="s">
        <v>2</v>
      </c>
      <c r="I36" s="31"/>
      <c r="J36" s="35"/>
    </row>
    <row r="37" spans="1:10" x14ac:dyDescent="0.25">
      <c r="C37" s="56"/>
      <c r="D37" s="53"/>
      <c r="E37" s="6"/>
      <c r="F37" s="19"/>
      <c r="G37" s="24"/>
      <c r="H37" s="24"/>
      <c r="I37" s="31"/>
      <c r="J37" s="35"/>
    </row>
    <row r="38" spans="1:10" x14ac:dyDescent="0.25">
      <c r="A38" s="10"/>
      <c r="B38" s="28"/>
      <c r="C38" s="58" t="s">
        <v>5</v>
      </c>
      <c r="D38" s="53"/>
      <c r="E38" s="6"/>
      <c r="F38" s="19"/>
      <c r="G38" s="24"/>
      <c r="H38" s="24"/>
      <c r="I38" s="31"/>
      <c r="J38" s="35"/>
    </row>
    <row r="39" spans="1:10" x14ac:dyDescent="0.25">
      <c r="C39" s="59" t="s">
        <v>6</v>
      </c>
      <c r="D39" s="53"/>
      <c r="E39" s="6"/>
      <c r="F39" s="19"/>
      <c r="G39" s="24"/>
      <c r="H39" s="24"/>
      <c r="I39" s="31"/>
      <c r="J39" s="35"/>
    </row>
    <row r="40" spans="1:10" x14ac:dyDescent="0.25">
      <c r="B40" s="8" t="s">
        <v>1322</v>
      </c>
      <c r="C40" s="56" t="s">
        <v>562</v>
      </c>
      <c r="D40" s="53" t="s">
        <v>1323</v>
      </c>
      <c r="E40" s="6" t="s">
        <v>541</v>
      </c>
      <c r="F40" s="19">
        <v>1500</v>
      </c>
      <c r="G40" s="24">
        <v>18715.5</v>
      </c>
      <c r="H40" s="24">
        <v>8.6999999999999993</v>
      </c>
      <c r="I40" s="31">
        <v>7.2232000000000003</v>
      </c>
      <c r="J40" s="35" t="s">
        <v>514</v>
      </c>
    </row>
    <row r="41" spans="1:10" x14ac:dyDescent="0.25">
      <c r="B41" s="8" t="s">
        <v>2301</v>
      </c>
      <c r="C41" s="56" t="s">
        <v>691</v>
      </c>
      <c r="D41" s="53" t="s">
        <v>2302</v>
      </c>
      <c r="E41" s="6" t="s">
        <v>928</v>
      </c>
      <c r="F41" s="19">
        <v>1800</v>
      </c>
      <c r="G41" s="24">
        <v>18311.38</v>
      </c>
      <c r="H41" s="24">
        <v>8.51</v>
      </c>
      <c r="I41" s="31">
        <v>5.1614000000000004</v>
      </c>
      <c r="J41" s="35" t="s">
        <v>514</v>
      </c>
    </row>
    <row r="42" spans="1:10" x14ac:dyDescent="0.25">
      <c r="B42" s="8" t="s">
        <v>2344</v>
      </c>
      <c r="C42" s="56" t="s">
        <v>2345</v>
      </c>
      <c r="D42" s="53" t="s">
        <v>2346</v>
      </c>
      <c r="E42" s="6" t="s">
        <v>526</v>
      </c>
      <c r="F42" s="19">
        <v>1400</v>
      </c>
      <c r="G42" s="24">
        <v>17067.2</v>
      </c>
      <c r="H42" s="24">
        <v>7.93</v>
      </c>
      <c r="I42" s="31">
        <v>10.0549</v>
      </c>
      <c r="J42" s="35" t="s">
        <v>514</v>
      </c>
    </row>
    <row r="43" spans="1:10" x14ac:dyDescent="0.25">
      <c r="B43" s="8" t="s">
        <v>2303</v>
      </c>
      <c r="C43" s="56" t="s">
        <v>53</v>
      </c>
      <c r="D43" s="53" t="s">
        <v>2304</v>
      </c>
      <c r="E43" s="6" t="s">
        <v>534</v>
      </c>
      <c r="F43" s="19">
        <v>1650</v>
      </c>
      <c r="G43" s="24">
        <v>16612.400000000001</v>
      </c>
      <c r="H43" s="24">
        <v>7.72</v>
      </c>
      <c r="I43" s="31">
        <v>3.4950999999999999</v>
      </c>
      <c r="J43" s="35" t="s">
        <v>514</v>
      </c>
    </row>
    <row r="44" spans="1:10" x14ac:dyDescent="0.25">
      <c r="B44" s="8" t="s">
        <v>2311</v>
      </c>
      <c r="C44" s="56" t="s">
        <v>1376</v>
      </c>
      <c r="D44" s="53" t="s">
        <v>2312</v>
      </c>
      <c r="E44" s="6" t="s">
        <v>534</v>
      </c>
      <c r="F44" s="19">
        <v>1300</v>
      </c>
      <c r="G44" s="24">
        <v>13106.12</v>
      </c>
      <c r="H44" s="24">
        <v>6.09</v>
      </c>
      <c r="I44" s="31">
        <v>3.4950000000000001</v>
      </c>
      <c r="J44" s="35" t="s">
        <v>514</v>
      </c>
    </row>
    <row r="45" spans="1:10" x14ac:dyDescent="0.25">
      <c r="B45" s="8" t="s">
        <v>2360</v>
      </c>
      <c r="C45" s="56" t="s">
        <v>1312</v>
      </c>
      <c r="D45" s="53" t="s">
        <v>2361</v>
      </c>
      <c r="E45" s="6" t="s">
        <v>1314</v>
      </c>
      <c r="F45" s="19">
        <v>1000</v>
      </c>
      <c r="G45" s="24">
        <v>12595.87</v>
      </c>
      <c r="H45" s="24">
        <v>5.86</v>
      </c>
      <c r="I45" s="31">
        <v>5.8047000000000004</v>
      </c>
      <c r="J45" s="35" t="s">
        <v>514</v>
      </c>
    </row>
    <row r="46" spans="1:10" x14ac:dyDescent="0.25">
      <c r="B46" s="8" t="s">
        <v>2362</v>
      </c>
      <c r="C46" s="56" t="s">
        <v>2282</v>
      </c>
      <c r="D46" s="53" t="s">
        <v>2363</v>
      </c>
      <c r="E46" s="6" t="s">
        <v>1314</v>
      </c>
      <c r="F46" s="19">
        <v>950</v>
      </c>
      <c r="G46" s="24">
        <v>11938.14</v>
      </c>
      <c r="H46" s="24">
        <v>5.55</v>
      </c>
      <c r="I46" s="31">
        <v>5.5</v>
      </c>
      <c r="J46" s="35" t="s">
        <v>514</v>
      </c>
    </row>
    <row r="47" spans="1:10" x14ac:dyDescent="0.25">
      <c r="B47" s="8" t="s">
        <v>2364</v>
      </c>
      <c r="C47" s="56" t="s">
        <v>1358</v>
      </c>
      <c r="D47" s="53" t="s">
        <v>2365</v>
      </c>
      <c r="E47" s="6" t="s">
        <v>573</v>
      </c>
      <c r="F47" s="19">
        <v>500</v>
      </c>
      <c r="G47" s="24">
        <v>5039.53</v>
      </c>
      <c r="H47" s="24">
        <v>2.34</v>
      </c>
      <c r="I47" s="31">
        <v>4.0101000000000004</v>
      </c>
      <c r="J47" s="35" t="s">
        <v>514</v>
      </c>
    </row>
    <row r="48" spans="1:10" x14ac:dyDescent="0.25">
      <c r="B48" s="8" t="s">
        <v>2309</v>
      </c>
      <c r="C48" s="56" t="s">
        <v>909</v>
      </c>
      <c r="D48" s="53" t="s">
        <v>2310</v>
      </c>
      <c r="E48" s="6" t="s">
        <v>534</v>
      </c>
      <c r="F48" s="19">
        <v>370</v>
      </c>
      <c r="G48" s="24">
        <v>3744.71</v>
      </c>
      <c r="H48" s="24">
        <v>1.74</v>
      </c>
      <c r="I48" s="31">
        <v>3.7</v>
      </c>
      <c r="J48" s="35" t="s">
        <v>514</v>
      </c>
    </row>
    <row r="49" spans="2:10" x14ac:dyDescent="0.25">
      <c r="B49" s="8" t="s">
        <v>2366</v>
      </c>
      <c r="C49" s="56" t="s">
        <v>1376</v>
      </c>
      <c r="D49" s="53" t="s">
        <v>2367</v>
      </c>
      <c r="E49" s="6" t="s">
        <v>534</v>
      </c>
      <c r="F49" s="19">
        <v>250</v>
      </c>
      <c r="G49" s="24">
        <v>2544.33</v>
      </c>
      <c r="H49" s="24">
        <v>1.18</v>
      </c>
      <c r="I49" s="31">
        <v>4.1151</v>
      </c>
      <c r="J49" s="35" t="s">
        <v>514</v>
      </c>
    </row>
    <row r="50" spans="2:10" x14ac:dyDescent="0.25">
      <c r="B50" s="8" t="s">
        <v>2368</v>
      </c>
      <c r="C50" s="56" t="s">
        <v>1376</v>
      </c>
      <c r="D50" s="53" t="s">
        <v>2369</v>
      </c>
      <c r="E50" s="6" t="s">
        <v>534</v>
      </c>
      <c r="F50" s="19">
        <v>100</v>
      </c>
      <c r="G50" s="24">
        <v>1008.15</v>
      </c>
      <c r="H50" s="24">
        <v>0.47</v>
      </c>
      <c r="I50" s="31">
        <v>3.46</v>
      </c>
      <c r="J50" s="35" t="s">
        <v>514</v>
      </c>
    </row>
    <row r="51" spans="2:10" x14ac:dyDescent="0.25">
      <c r="C51" s="57" t="s">
        <v>35</v>
      </c>
      <c r="D51" s="53"/>
      <c r="E51" s="6"/>
      <c r="F51" s="19"/>
      <c r="G51" s="25">
        <v>120683.33</v>
      </c>
      <c r="H51" s="25">
        <v>56.09</v>
      </c>
      <c r="I51" s="31"/>
      <c r="J51" s="35"/>
    </row>
    <row r="52" spans="2:10" x14ac:dyDescent="0.25">
      <c r="C52" s="56"/>
      <c r="D52" s="53"/>
      <c r="E52" s="6"/>
      <c r="F52" s="19"/>
      <c r="G52" s="24"/>
      <c r="H52" s="24"/>
      <c r="I52" s="31"/>
      <c r="J52" s="35"/>
    </row>
    <row r="53" spans="2:10" x14ac:dyDescent="0.25">
      <c r="C53" s="59" t="s">
        <v>7</v>
      </c>
      <c r="D53" s="53"/>
      <c r="E53" s="6"/>
      <c r="F53" s="19"/>
      <c r="G53" s="24"/>
      <c r="H53" s="24"/>
      <c r="I53" s="31"/>
      <c r="J53" s="35"/>
    </row>
    <row r="54" spans="2:10" x14ac:dyDescent="0.25">
      <c r="B54" s="8" t="s">
        <v>2370</v>
      </c>
      <c r="C54" s="56" t="s">
        <v>2371</v>
      </c>
      <c r="D54" s="53" t="s">
        <v>2372</v>
      </c>
      <c r="E54" s="6" t="s">
        <v>573</v>
      </c>
      <c r="F54" s="19">
        <v>1800</v>
      </c>
      <c r="G54" s="24">
        <v>22659.73</v>
      </c>
      <c r="H54" s="24">
        <v>10.53</v>
      </c>
      <c r="I54" s="31">
        <v>4.5137</v>
      </c>
      <c r="J54" s="35" t="s">
        <v>514</v>
      </c>
    </row>
    <row r="55" spans="2:10" x14ac:dyDescent="0.25">
      <c r="C55" s="57" t="s">
        <v>35</v>
      </c>
      <c r="D55" s="53"/>
      <c r="E55" s="6"/>
      <c r="F55" s="19"/>
      <c r="G55" s="25">
        <v>22659.73</v>
      </c>
      <c r="H55" s="25">
        <v>10.53</v>
      </c>
      <c r="I55" s="31"/>
      <c r="J55" s="35"/>
    </row>
    <row r="56" spans="2:10" x14ac:dyDescent="0.25">
      <c r="C56" s="56"/>
      <c r="D56" s="53"/>
      <c r="E56" s="6"/>
      <c r="F56" s="19"/>
      <c r="G56" s="24"/>
      <c r="H56" s="24"/>
      <c r="I56" s="31"/>
      <c r="J56" s="35"/>
    </row>
    <row r="57" spans="2:10" x14ac:dyDescent="0.25">
      <c r="C57" s="57" t="s">
        <v>8</v>
      </c>
      <c r="D57" s="53"/>
      <c r="E57" s="6"/>
      <c r="F57" s="19"/>
      <c r="G57" s="24" t="s">
        <v>2</v>
      </c>
      <c r="H57" s="24" t="s">
        <v>2</v>
      </c>
      <c r="I57" s="31"/>
      <c r="J57" s="35"/>
    </row>
    <row r="58" spans="2:10" x14ac:dyDescent="0.25">
      <c r="C58" s="56"/>
      <c r="D58" s="53"/>
      <c r="E58" s="6"/>
      <c r="F58" s="19"/>
      <c r="G58" s="24"/>
      <c r="H58" s="24"/>
      <c r="I58" s="31"/>
      <c r="J58" s="35"/>
    </row>
    <row r="59" spans="2:10" x14ac:dyDescent="0.25">
      <c r="C59" s="59" t="s">
        <v>9</v>
      </c>
      <c r="D59" s="53"/>
      <c r="E59" s="6"/>
      <c r="F59" s="19"/>
      <c r="G59" s="24"/>
      <c r="H59" s="24"/>
      <c r="I59" s="31"/>
      <c r="J59" s="35"/>
    </row>
    <row r="60" spans="2:10" x14ac:dyDescent="0.25">
      <c r="B60" s="8" t="s">
        <v>2373</v>
      </c>
      <c r="C60" s="56" t="s">
        <v>2374</v>
      </c>
      <c r="D60" s="53" t="s">
        <v>2375</v>
      </c>
      <c r="E60" s="6" t="s">
        <v>655</v>
      </c>
      <c r="F60" s="19">
        <v>4500000</v>
      </c>
      <c r="G60" s="24">
        <v>4596.13</v>
      </c>
      <c r="H60" s="24">
        <v>2.14</v>
      </c>
      <c r="I60" s="31">
        <v>3.6724000000000001</v>
      </c>
      <c r="J60" s="35"/>
    </row>
    <row r="61" spans="2:10" x14ac:dyDescent="0.25">
      <c r="C61" s="57" t="s">
        <v>35</v>
      </c>
      <c r="D61" s="53"/>
      <c r="E61" s="6"/>
      <c r="F61" s="19"/>
      <c r="G61" s="25">
        <v>4596.13</v>
      </c>
      <c r="H61" s="25">
        <v>2.14</v>
      </c>
      <c r="I61" s="31"/>
      <c r="J61" s="35"/>
    </row>
    <row r="62" spans="2:10" x14ac:dyDescent="0.25">
      <c r="C62" s="56"/>
      <c r="D62" s="53"/>
      <c r="E62" s="6"/>
      <c r="F62" s="19"/>
      <c r="G62" s="24"/>
      <c r="H62" s="24"/>
      <c r="I62" s="31"/>
      <c r="J62" s="35"/>
    </row>
    <row r="63" spans="2:10" x14ac:dyDescent="0.25">
      <c r="C63" s="59" t="s">
        <v>10</v>
      </c>
      <c r="D63" s="53"/>
      <c r="E63" s="6"/>
      <c r="F63" s="19"/>
      <c r="G63" s="24"/>
      <c r="H63" s="24"/>
      <c r="I63" s="31"/>
      <c r="J63" s="35"/>
    </row>
    <row r="64" spans="2:10" x14ac:dyDescent="0.25">
      <c r="B64" s="8" t="s">
        <v>2323</v>
      </c>
      <c r="C64" s="56" t="s">
        <v>2324</v>
      </c>
      <c r="D64" s="53" t="s">
        <v>2325</v>
      </c>
      <c r="E64" s="6" t="s">
        <v>655</v>
      </c>
      <c r="F64" s="19">
        <v>21000000</v>
      </c>
      <c r="G64" s="24">
        <v>21410.51</v>
      </c>
      <c r="H64" s="24">
        <v>9.9499999999999993</v>
      </c>
      <c r="I64" s="31">
        <v>4.0368000000000004</v>
      </c>
      <c r="J64" s="35"/>
    </row>
    <row r="65" spans="1:10" x14ac:dyDescent="0.25">
      <c r="B65" s="8" t="s">
        <v>2376</v>
      </c>
      <c r="C65" s="56" t="s">
        <v>2377</v>
      </c>
      <c r="D65" s="53" t="s">
        <v>2378</v>
      </c>
      <c r="E65" s="6" t="s">
        <v>655</v>
      </c>
      <c r="F65" s="19">
        <v>6000000</v>
      </c>
      <c r="G65" s="24">
        <v>6125.02</v>
      </c>
      <c r="H65" s="24">
        <v>2.85</v>
      </c>
      <c r="I65" s="31">
        <v>4.0366999999999997</v>
      </c>
      <c r="J65" s="35"/>
    </row>
    <row r="66" spans="1:10" x14ac:dyDescent="0.25">
      <c r="B66" s="8" t="s">
        <v>2326</v>
      </c>
      <c r="C66" s="56" t="s">
        <v>2327</v>
      </c>
      <c r="D66" s="53" t="s">
        <v>2328</v>
      </c>
      <c r="E66" s="6" t="s">
        <v>655</v>
      </c>
      <c r="F66" s="19">
        <v>3500000</v>
      </c>
      <c r="G66" s="24">
        <v>3573.63</v>
      </c>
      <c r="H66" s="24">
        <v>1.66</v>
      </c>
      <c r="I66" s="31">
        <v>3.7279</v>
      </c>
      <c r="J66" s="35"/>
    </row>
    <row r="67" spans="1:10" x14ac:dyDescent="0.25">
      <c r="C67" s="57" t="s">
        <v>35</v>
      </c>
      <c r="D67" s="53"/>
      <c r="E67" s="6"/>
      <c r="F67" s="19"/>
      <c r="G67" s="25">
        <v>31109.16</v>
      </c>
      <c r="H67" s="25">
        <v>14.46</v>
      </c>
      <c r="I67" s="31"/>
      <c r="J67" s="35"/>
    </row>
    <row r="68" spans="1:10" x14ac:dyDescent="0.25">
      <c r="C68" s="56"/>
      <c r="D68" s="53"/>
      <c r="E68" s="6"/>
      <c r="F68" s="19"/>
      <c r="G68" s="24"/>
      <c r="H68" s="24"/>
      <c r="I68" s="31"/>
      <c r="J68" s="35"/>
    </row>
    <row r="69" spans="1:10" x14ac:dyDescent="0.25">
      <c r="A69" s="10"/>
      <c r="B69" s="28"/>
      <c r="C69" s="58" t="s">
        <v>11</v>
      </c>
      <c r="D69" s="53"/>
      <c r="E69" s="6"/>
      <c r="F69" s="19"/>
      <c r="G69" s="24"/>
      <c r="H69" s="24"/>
      <c r="I69" s="31"/>
      <c r="J69" s="35"/>
    </row>
    <row r="70" spans="1:10" x14ac:dyDescent="0.25">
      <c r="A70" s="28"/>
      <c r="B70" s="28"/>
      <c r="C70" s="58" t="s">
        <v>13</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14</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C74" s="59" t="s">
        <v>15</v>
      </c>
      <c r="D74" s="53"/>
      <c r="E74" s="6"/>
      <c r="F74" s="19"/>
      <c r="G74" s="24"/>
      <c r="H74" s="24"/>
      <c r="I74" s="31"/>
      <c r="J74" s="35"/>
    </row>
    <row r="75" spans="1:10" x14ac:dyDescent="0.25">
      <c r="B75" s="8" t="s">
        <v>1278</v>
      </c>
      <c r="C75" s="56" t="s">
        <v>1279</v>
      </c>
      <c r="D75" s="53" t="s">
        <v>1280</v>
      </c>
      <c r="E75" s="6" t="s">
        <v>655</v>
      </c>
      <c r="F75" s="19">
        <v>700000</v>
      </c>
      <c r="G75" s="24">
        <v>688.61</v>
      </c>
      <c r="H75" s="24">
        <v>0.32</v>
      </c>
      <c r="I75" s="31">
        <v>3.45</v>
      </c>
      <c r="J75" s="35"/>
    </row>
    <row r="76" spans="1:10" x14ac:dyDescent="0.25">
      <c r="C76" s="57" t="s">
        <v>35</v>
      </c>
      <c r="D76" s="53"/>
      <c r="E76" s="6"/>
      <c r="F76" s="19"/>
      <c r="G76" s="25">
        <v>688.61</v>
      </c>
      <c r="H76" s="25">
        <v>0.32</v>
      </c>
      <c r="I76" s="31"/>
      <c r="J76" s="35"/>
    </row>
    <row r="77" spans="1:10" x14ac:dyDescent="0.25">
      <c r="C77" s="56"/>
      <c r="D77" s="53"/>
      <c r="E77" s="6"/>
      <c r="F77" s="19"/>
      <c r="G77" s="24"/>
      <c r="H77" s="24"/>
      <c r="I77" s="31"/>
      <c r="J77" s="35"/>
    </row>
    <row r="78" spans="1:10" x14ac:dyDescent="0.25">
      <c r="C78" s="57" t="s">
        <v>16</v>
      </c>
      <c r="D78" s="53"/>
      <c r="E78" s="6"/>
      <c r="F78" s="19"/>
      <c r="G78" s="24" t="s">
        <v>2</v>
      </c>
      <c r="H78" s="24" t="s">
        <v>2</v>
      </c>
      <c r="I78" s="31"/>
      <c r="J78" s="35"/>
    </row>
    <row r="79" spans="1:10" x14ac:dyDescent="0.25">
      <c r="C79" s="56"/>
      <c r="D79" s="53"/>
      <c r="E79" s="6"/>
      <c r="F79" s="19"/>
      <c r="G79" s="24"/>
      <c r="H79" s="24"/>
      <c r="I79" s="31"/>
      <c r="J79" s="35"/>
    </row>
    <row r="80" spans="1:10" x14ac:dyDescent="0.25">
      <c r="A80" s="10"/>
      <c r="B80" s="28"/>
      <c r="C80" s="58" t="s">
        <v>17</v>
      </c>
      <c r="D80" s="53"/>
      <c r="E80" s="6"/>
      <c r="F80" s="19"/>
      <c r="G80" s="24"/>
      <c r="H80" s="24"/>
      <c r="I80" s="31"/>
      <c r="J80" s="35"/>
    </row>
    <row r="81" spans="1:10" x14ac:dyDescent="0.25">
      <c r="A81" s="28"/>
      <c r="B81" s="28"/>
      <c r="C81" s="58" t="s">
        <v>18</v>
      </c>
      <c r="D81" s="53"/>
      <c r="E81" s="6"/>
      <c r="F81" s="19"/>
      <c r="G81" s="24" t="s">
        <v>2</v>
      </c>
      <c r="H81" s="24" t="s">
        <v>2</v>
      </c>
      <c r="I81" s="31"/>
      <c r="J81" s="35"/>
    </row>
    <row r="82" spans="1:10" x14ac:dyDescent="0.25">
      <c r="A82" s="28"/>
      <c r="B82" s="28"/>
      <c r="C82" s="58"/>
      <c r="D82" s="53"/>
      <c r="E82" s="6"/>
      <c r="F82" s="19"/>
      <c r="G82" s="24"/>
      <c r="H82" s="24"/>
      <c r="I82" s="31"/>
      <c r="J82" s="35"/>
    </row>
    <row r="83" spans="1:10" x14ac:dyDescent="0.25">
      <c r="A83" s="28"/>
      <c r="B83" s="28"/>
      <c r="C83" s="58" t="s">
        <v>19</v>
      </c>
      <c r="D83" s="53"/>
      <c r="E83" s="6"/>
      <c r="F83" s="19"/>
      <c r="G83" s="24" t="s">
        <v>2</v>
      </c>
      <c r="H83" s="24" t="s">
        <v>2</v>
      </c>
      <c r="I83" s="31"/>
      <c r="J83" s="35"/>
    </row>
    <row r="84" spans="1:10" x14ac:dyDescent="0.25">
      <c r="A84" s="28"/>
      <c r="B84" s="28"/>
      <c r="C84" s="58"/>
      <c r="D84" s="53"/>
      <c r="E84" s="6"/>
      <c r="F84" s="19"/>
      <c r="G84" s="24"/>
      <c r="H84" s="24"/>
      <c r="I84" s="31"/>
      <c r="J84" s="35"/>
    </row>
    <row r="85" spans="1:10" x14ac:dyDescent="0.25">
      <c r="A85" s="28"/>
      <c r="B85" s="28"/>
      <c r="C85" s="58" t="s">
        <v>20</v>
      </c>
      <c r="D85" s="53"/>
      <c r="E85" s="6"/>
      <c r="F85" s="19"/>
      <c r="G85" s="24" t="s">
        <v>2</v>
      </c>
      <c r="H85" s="24" t="s">
        <v>2</v>
      </c>
      <c r="I85" s="31"/>
      <c r="J85" s="35"/>
    </row>
    <row r="86" spans="1:10" x14ac:dyDescent="0.25">
      <c r="A86" s="28"/>
      <c r="B86" s="28"/>
      <c r="C86" s="58"/>
      <c r="D86" s="53"/>
      <c r="E86" s="6"/>
      <c r="F86" s="19"/>
      <c r="G86" s="24"/>
      <c r="H86" s="24"/>
      <c r="I86" s="31"/>
      <c r="J86" s="35"/>
    </row>
    <row r="87" spans="1:10" x14ac:dyDescent="0.25">
      <c r="A87" s="28"/>
      <c r="B87" s="28"/>
      <c r="C87" s="58" t="s">
        <v>21</v>
      </c>
      <c r="D87" s="53"/>
      <c r="E87" s="6"/>
      <c r="F87" s="19"/>
      <c r="G87" s="24" t="s">
        <v>2</v>
      </c>
      <c r="H87" s="24" t="s">
        <v>2</v>
      </c>
      <c r="I87" s="31"/>
      <c r="J87" s="35"/>
    </row>
    <row r="88" spans="1:10" x14ac:dyDescent="0.25">
      <c r="A88" s="28"/>
      <c r="B88" s="28"/>
      <c r="C88" s="58"/>
      <c r="D88" s="53"/>
      <c r="E88" s="6"/>
      <c r="F88" s="19"/>
      <c r="G88" s="24"/>
      <c r="H88" s="24"/>
      <c r="I88" s="31"/>
      <c r="J88" s="35"/>
    </row>
    <row r="89" spans="1:10" x14ac:dyDescent="0.25">
      <c r="C89" s="59" t="s">
        <v>22</v>
      </c>
      <c r="D89" s="53"/>
      <c r="E89" s="6"/>
      <c r="F89" s="19"/>
      <c r="G89" s="24"/>
      <c r="H89" s="24"/>
      <c r="I89" s="31"/>
      <c r="J89" s="35"/>
    </row>
    <row r="90" spans="1:10" x14ac:dyDescent="0.25">
      <c r="B90" s="8" t="s">
        <v>33</v>
      </c>
      <c r="C90" s="56" t="s">
        <v>34</v>
      </c>
      <c r="D90" s="53"/>
      <c r="E90" s="6"/>
      <c r="F90" s="19"/>
      <c r="G90" s="24">
        <v>4805.54</v>
      </c>
      <c r="H90" s="24">
        <v>2.23</v>
      </c>
      <c r="I90" s="31"/>
      <c r="J90" s="35"/>
    </row>
    <row r="91" spans="1:10" x14ac:dyDescent="0.25">
      <c r="C91" s="57" t="s">
        <v>35</v>
      </c>
      <c r="D91" s="53"/>
      <c r="E91" s="6"/>
      <c r="F91" s="19"/>
      <c r="G91" s="25">
        <v>4805.54</v>
      </c>
      <c r="H91" s="25">
        <v>2.23</v>
      </c>
      <c r="I91" s="31"/>
      <c r="J91" s="35"/>
    </row>
    <row r="92" spans="1:10" x14ac:dyDescent="0.25">
      <c r="C92" s="56"/>
      <c r="D92" s="53"/>
      <c r="E92" s="6"/>
      <c r="F92" s="19"/>
      <c r="G92" s="24"/>
      <c r="H92" s="24"/>
      <c r="I92" s="31"/>
      <c r="J92" s="35"/>
    </row>
    <row r="93" spans="1:10" x14ac:dyDescent="0.25">
      <c r="A93" s="10"/>
      <c r="B93" s="28"/>
      <c r="C93" s="58" t="s">
        <v>23</v>
      </c>
      <c r="D93" s="53"/>
      <c r="E93" s="6"/>
      <c r="F93" s="19"/>
      <c r="G93" s="24"/>
      <c r="H93" s="24"/>
      <c r="I93" s="31"/>
      <c r="J93" s="35"/>
    </row>
    <row r="94" spans="1:10" x14ac:dyDescent="0.25">
      <c r="A94" s="28"/>
      <c r="B94" s="28"/>
      <c r="C94" s="60" t="s">
        <v>3398</v>
      </c>
      <c r="D94" s="53"/>
      <c r="E94" s="6"/>
      <c r="F94" s="19"/>
      <c r="G94" s="24" t="s">
        <v>2</v>
      </c>
      <c r="H94" s="24" t="s">
        <v>2</v>
      </c>
      <c r="I94" s="31"/>
      <c r="J94" s="35"/>
    </row>
    <row r="95" spans="1:10" x14ac:dyDescent="0.25">
      <c r="B95" s="8"/>
      <c r="C95" s="56" t="s">
        <v>36</v>
      </c>
      <c r="D95" s="53"/>
      <c r="E95" s="6"/>
      <c r="F95" s="19"/>
      <c r="G95" s="24">
        <v>7828.75</v>
      </c>
      <c r="H95" s="24">
        <v>3.66</v>
      </c>
      <c r="I95" s="31"/>
      <c r="J95" s="35"/>
    </row>
    <row r="96" spans="1:10" x14ac:dyDescent="0.25">
      <c r="C96" s="57" t="s">
        <v>35</v>
      </c>
      <c r="D96" s="53"/>
      <c r="E96" s="6"/>
      <c r="F96" s="19"/>
      <c r="G96" s="25">
        <v>7828.75</v>
      </c>
      <c r="H96" s="25">
        <v>3.66</v>
      </c>
      <c r="I96" s="31"/>
      <c r="J96" s="35"/>
    </row>
    <row r="97" spans="3:10" x14ac:dyDescent="0.25">
      <c r="C97" s="56"/>
      <c r="D97" s="53"/>
      <c r="E97" s="6"/>
      <c r="F97" s="19"/>
      <c r="G97" s="24"/>
      <c r="H97" s="24"/>
      <c r="I97" s="31"/>
      <c r="J97" s="35"/>
    </row>
    <row r="98" spans="3:10" x14ac:dyDescent="0.25">
      <c r="C98" s="61" t="s">
        <v>37</v>
      </c>
      <c r="D98" s="54"/>
      <c r="E98" s="5"/>
      <c r="F98" s="20"/>
      <c r="G98" s="26">
        <v>215091.56</v>
      </c>
      <c r="H98" s="26">
        <f>SUMIFS(H:H,C:C,"Total")</f>
        <v>99.999999999999986</v>
      </c>
      <c r="I98" s="32"/>
      <c r="J98" s="36"/>
    </row>
    <row r="101" spans="3:10" x14ac:dyDescent="0.25">
      <c r="C101" s="1" t="s">
        <v>38</v>
      </c>
    </row>
    <row r="102" spans="3:10" x14ac:dyDescent="0.25">
      <c r="C102" s="2" t="s">
        <v>39</v>
      </c>
    </row>
    <row r="103" spans="3:10" x14ac:dyDescent="0.25">
      <c r="C103" s="2" t="s">
        <v>40</v>
      </c>
    </row>
    <row r="104" spans="3:10" x14ac:dyDescent="0.25">
      <c r="C104" s="2" t="s">
        <v>3430</v>
      </c>
    </row>
  </sheetData>
  <hyperlinks>
    <hyperlink ref="J2" location="'Index'!A1" display="'Index'!A1"/>
  </hyperlinks>
  <pageMargins left="0.7" right="0.7" top="0.75" bottom="0.75" header="0.3" footer="0.3"/>
  <pageSetup orientation="portrait" horizontalDpi="4294967293"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9"/>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2379</v>
      </c>
      <c r="J2" s="37" t="s">
        <v>3307</v>
      </c>
    </row>
    <row r="3" spans="1:10" ht="16.5" x14ac:dyDescent="0.3">
      <c r="C3" s="1" t="s">
        <v>24</v>
      </c>
      <c r="D3" s="21" t="s">
        <v>2380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1343</v>
      </c>
      <c r="C18" s="56" t="s">
        <v>1344</v>
      </c>
      <c r="D18" s="53" t="s">
        <v>1345</v>
      </c>
      <c r="E18" s="6" t="s">
        <v>534</v>
      </c>
      <c r="F18" s="19">
        <v>200</v>
      </c>
      <c r="G18" s="24">
        <v>2507.67</v>
      </c>
      <c r="H18" s="24">
        <v>9.6999999999999993</v>
      </c>
      <c r="I18" s="31">
        <v>4</v>
      </c>
      <c r="J18" s="35" t="s">
        <v>514</v>
      </c>
    </row>
    <row r="19" spans="2:10" x14ac:dyDescent="0.25">
      <c r="B19" s="8" t="s">
        <v>2315</v>
      </c>
      <c r="C19" s="56" t="s">
        <v>2316</v>
      </c>
      <c r="D19" s="53" t="s">
        <v>2317</v>
      </c>
      <c r="E19" s="6" t="s">
        <v>534</v>
      </c>
      <c r="F19" s="19">
        <v>200</v>
      </c>
      <c r="G19" s="24">
        <v>2503.2800000000002</v>
      </c>
      <c r="H19" s="24">
        <v>9.68</v>
      </c>
      <c r="I19" s="31">
        <v>4.6425000000000001</v>
      </c>
      <c r="J19" s="35" t="s">
        <v>514</v>
      </c>
    </row>
    <row r="20" spans="2:10" x14ac:dyDescent="0.25">
      <c r="B20" s="8" t="s">
        <v>2381</v>
      </c>
      <c r="C20" s="56" t="s">
        <v>1950</v>
      </c>
      <c r="D20" s="53" t="s">
        <v>2382</v>
      </c>
      <c r="E20" s="6" t="s">
        <v>534</v>
      </c>
      <c r="F20" s="19">
        <v>200</v>
      </c>
      <c r="G20" s="24">
        <v>2498.63</v>
      </c>
      <c r="H20" s="24">
        <v>9.66</v>
      </c>
      <c r="I20" s="31">
        <v>4.9499000000000004</v>
      </c>
      <c r="J20" s="35" t="s">
        <v>514</v>
      </c>
    </row>
    <row r="21" spans="2:10" x14ac:dyDescent="0.25">
      <c r="B21" s="8" t="s">
        <v>2353</v>
      </c>
      <c r="C21" s="56" t="s">
        <v>601</v>
      </c>
      <c r="D21" s="53" t="s">
        <v>2354</v>
      </c>
      <c r="E21" s="6" t="s">
        <v>534</v>
      </c>
      <c r="F21" s="19">
        <v>200</v>
      </c>
      <c r="G21" s="24">
        <v>2035.31</v>
      </c>
      <c r="H21" s="24">
        <v>7.87</v>
      </c>
      <c r="I21" s="31">
        <v>4.1150000000000002</v>
      </c>
      <c r="J21" s="35" t="s">
        <v>514</v>
      </c>
    </row>
    <row r="22" spans="2:10" x14ac:dyDescent="0.25">
      <c r="B22" s="8" t="s">
        <v>2383</v>
      </c>
      <c r="C22" s="56" t="s">
        <v>1127</v>
      </c>
      <c r="D22" s="53" t="s">
        <v>2384</v>
      </c>
      <c r="E22" s="6" t="s">
        <v>534</v>
      </c>
      <c r="F22" s="19">
        <v>200</v>
      </c>
      <c r="G22" s="24">
        <v>2025.77</v>
      </c>
      <c r="H22" s="24">
        <v>7.84</v>
      </c>
      <c r="I22" s="31">
        <v>3.9649000000000001</v>
      </c>
      <c r="J22" s="35" t="s">
        <v>514</v>
      </c>
    </row>
    <row r="23" spans="2:10" x14ac:dyDescent="0.25">
      <c r="B23" s="8" t="s">
        <v>2311</v>
      </c>
      <c r="C23" s="56" t="s">
        <v>1376</v>
      </c>
      <c r="D23" s="53" t="s">
        <v>2312</v>
      </c>
      <c r="E23" s="6" t="s">
        <v>534</v>
      </c>
      <c r="F23" s="19">
        <v>200</v>
      </c>
      <c r="G23" s="24">
        <v>2016.33</v>
      </c>
      <c r="H23" s="24">
        <v>7.8</v>
      </c>
      <c r="I23" s="31">
        <v>3.4950000000000001</v>
      </c>
      <c r="J23" s="35" t="s">
        <v>514</v>
      </c>
    </row>
    <row r="24" spans="2:10" x14ac:dyDescent="0.25">
      <c r="B24" s="8" t="s">
        <v>1723</v>
      </c>
      <c r="C24" s="56" t="s">
        <v>53</v>
      </c>
      <c r="D24" s="53" t="s">
        <v>1724</v>
      </c>
      <c r="E24" s="6" t="s">
        <v>534</v>
      </c>
      <c r="F24" s="19">
        <v>200</v>
      </c>
      <c r="G24" s="24">
        <v>2015.34</v>
      </c>
      <c r="H24" s="24">
        <v>7.8</v>
      </c>
      <c r="I24" s="31">
        <v>3.5099</v>
      </c>
      <c r="J24" s="35" t="s">
        <v>514</v>
      </c>
    </row>
    <row r="25" spans="2:10" x14ac:dyDescent="0.25">
      <c r="B25" s="8" t="s">
        <v>2309</v>
      </c>
      <c r="C25" s="56" t="s">
        <v>909</v>
      </c>
      <c r="D25" s="53" t="s">
        <v>2310</v>
      </c>
      <c r="E25" s="6" t="s">
        <v>534</v>
      </c>
      <c r="F25" s="19">
        <v>190</v>
      </c>
      <c r="G25" s="24">
        <v>1922.96</v>
      </c>
      <c r="H25" s="24">
        <v>7.44</v>
      </c>
      <c r="I25" s="31">
        <v>3.7</v>
      </c>
      <c r="J25" s="35" t="s">
        <v>514</v>
      </c>
    </row>
    <row r="26" spans="2:10" x14ac:dyDescent="0.25">
      <c r="B26" s="8" t="s">
        <v>1764</v>
      </c>
      <c r="C26" s="56" t="s">
        <v>857</v>
      </c>
      <c r="D26" s="53" t="s">
        <v>1765</v>
      </c>
      <c r="E26" s="6" t="s">
        <v>534</v>
      </c>
      <c r="F26" s="19">
        <v>50</v>
      </c>
      <c r="G26" s="24">
        <v>508.9</v>
      </c>
      <c r="H26" s="24">
        <v>1.97</v>
      </c>
      <c r="I26" s="31">
        <v>3.6200999999999999</v>
      </c>
      <c r="J26" s="35" t="s">
        <v>514</v>
      </c>
    </row>
    <row r="27" spans="2:10" x14ac:dyDescent="0.25">
      <c r="B27" s="8" t="s">
        <v>1737</v>
      </c>
      <c r="C27" s="56" t="s">
        <v>1738</v>
      </c>
      <c r="D27" s="53" t="s">
        <v>1739</v>
      </c>
      <c r="E27" s="6" t="s">
        <v>534</v>
      </c>
      <c r="F27" s="19">
        <v>50</v>
      </c>
      <c r="G27" s="24">
        <v>508.72</v>
      </c>
      <c r="H27" s="24">
        <v>1.97</v>
      </c>
      <c r="I27" s="31">
        <v>3.75</v>
      </c>
      <c r="J27" s="35" t="s">
        <v>514</v>
      </c>
    </row>
    <row r="28" spans="2:10" x14ac:dyDescent="0.25">
      <c r="B28" s="8" t="s">
        <v>2355</v>
      </c>
      <c r="C28" s="56" t="s">
        <v>1130</v>
      </c>
      <c r="D28" s="53" t="s">
        <v>2356</v>
      </c>
      <c r="E28" s="6" t="s">
        <v>911</v>
      </c>
      <c r="F28" s="19">
        <v>35</v>
      </c>
      <c r="G28" s="24">
        <v>356.21</v>
      </c>
      <c r="H28" s="24">
        <v>1.38</v>
      </c>
      <c r="I28" s="31">
        <v>4.0250000000000004</v>
      </c>
      <c r="J28" s="35" t="s">
        <v>514</v>
      </c>
    </row>
    <row r="29" spans="2:10" x14ac:dyDescent="0.25">
      <c r="C29" s="57" t="s">
        <v>35</v>
      </c>
      <c r="D29" s="53"/>
      <c r="E29" s="6"/>
      <c r="F29" s="19"/>
      <c r="G29" s="25">
        <v>18899.12</v>
      </c>
      <c r="H29" s="25">
        <v>73.11</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2323</v>
      </c>
      <c r="C38" s="56" t="s">
        <v>2324</v>
      </c>
      <c r="D38" s="53" t="s">
        <v>2325</v>
      </c>
      <c r="E38" s="6" t="s">
        <v>655</v>
      </c>
      <c r="F38" s="19">
        <v>3656000</v>
      </c>
      <c r="G38" s="24">
        <v>3727.47</v>
      </c>
      <c r="H38" s="24">
        <v>14.42</v>
      </c>
      <c r="I38" s="31">
        <v>4.0368000000000004</v>
      </c>
      <c r="J38" s="35"/>
    </row>
    <row r="39" spans="1:10" x14ac:dyDescent="0.25">
      <c r="B39" s="8" t="s">
        <v>1435</v>
      </c>
      <c r="C39" s="56" t="s">
        <v>1436</v>
      </c>
      <c r="D39" s="53" t="s">
        <v>1437</v>
      </c>
      <c r="E39" s="6" t="s">
        <v>655</v>
      </c>
      <c r="F39" s="19">
        <v>137500</v>
      </c>
      <c r="G39" s="24">
        <v>140.22</v>
      </c>
      <c r="H39" s="24">
        <v>0.54</v>
      </c>
      <c r="I39" s="31">
        <v>3.7057000000000002</v>
      </c>
      <c r="J39" s="35"/>
    </row>
    <row r="40" spans="1:10" x14ac:dyDescent="0.25">
      <c r="C40" s="57" t="s">
        <v>35</v>
      </c>
      <c r="D40" s="53"/>
      <c r="E40" s="6"/>
      <c r="F40" s="19"/>
      <c r="G40" s="25">
        <v>3867.69</v>
      </c>
      <c r="H40" s="25">
        <v>14.96</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1234</v>
      </c>
      <c r="C46" s="56" t="s">
        <v>74</v>
      </c>
      <c r="D46" s="53" t="s">
        <v>1235</v>
      </c>
      <c r="E46" s="6" t="s">
        <v>992</v>
      </c>
      <c r="F46" s="19">
        <v>1600</v>
      </c>
      <c r="G46" s="24">
        <v>1575.18</v>
      </c>
      <c r="H46" s="24">
        <v>6.09</v>
      </c>
      <c r="I46" s="31">
        <v>3.5950000000000002</v>
      </c>
      <c r="J46" s="35" t="s">
        <v>514</v>
      </c>
    </row>
    <row r="47" spans="1:10" x14ac:dyDescent="0.25">
      <c r="B47" s="8" t="s">
        <v>2357</v>
      </c>
      <c r="C47" s="56" t="s">
        <v>74</v>
      </c>
      <c r="D47" s="53" t="s">
        <v>2358</v>
      </c>
      <c r="E47" s="6" t="s">
        <v>992</v>
      </c>
      <c r="F47" s="19">
        <v>500</v>
      </c>
      <c r="G47" s="24">
        <v>496.49</v>
      </c>
      <c r="H47" s="24">
        <v>1.92</v>
      </c>
      <c r="I47" s="31">
        <v>3.3050999999999999</v>
      </c>
      <c r="J47" s="35"/>
    </row>
    <row r="48" spans="1:10" x14ac:dyDescent="0.25">
      <c r="B48" s="8" t="s">
        <v>1260</v>
      </c>
      <c r="C48" s="56" t="s">
        <v>402</v>
      </c>
      <c r="D48" s="53" t="s">
        <v>1261</v>
      </c>
      <c r="E48" s="6" t="s">
        <v>992</v>
      </c>
      <c r="F48" s="19">
        <v>200</v>
      </c>
      <c r="G48" s="24">
        <v>198.48</v>
      </c>
      <c r="H48" s="24">
        <v>0.77</v>
      </c>
      <c r="I48" s="31">
        <v>3.3250000000000002</v>
      </c>
      <c r="J48" s="35" t="s">
        <v>514</v>
      </c>
    </row>
    <row r="49" spans="1:10" x14ac:dyDescent="0.25">
      <c r="C49" s="57" t="s">
        <v>35</v>
      </c>
      <c r="D49" s="53"/>
      <c r="E49" s="6"/>
      <c r="F49" s="19"/>
      <c r="G49" s="25">
        <v>2270.15</v>
      </c>
      <c r="H49" s="25">
        <v>8.7799999999999994</v>
      </c>
      <c r="I49" s="31"/>
      <c r="J49" s="35"/>
    </row>
    <row r="50" spans="1:10" x14ac:dyDescent="0.25">
      <c r="C50" s="56"/>
      <c r="D50" s="53"/>
      <c r="E50" s="6"/>
      <c r="F50" s="19"/>
      <c r="G50" s="24"/>
      <c r="H50" s="24"/>
      <c r="I50" s="31"/>
      <c r="J50" s="35"/>
    </row>
    <row r="51" spans="1:10" x14ac:dyDescent="0.25">
      <c r="C51" s="57" t="s">
        <v>15</v>
      </c>
      <c r="D51" s="53"/>
      <c r="E51" s="6"/>
      <c r="F51" s="19"/>
      <c r="G51" s="24" t="s">
        <v>2</v>
      </c>
      <c r="H51" s="24" t="s">
        <v>2</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209.94</v>
      </c>
      <c r="H65" s="24">
        <v>0.81</v>
      </c>
      <c r="I65" s="31"/>
      <c r="J65" s="35"/>
    </row>
    <row r="66" spans="1:10" x14ac:dyDescent="0.25">
      <c r="C66" s="57" t="s">
        <v>35</v>
      </c>
      <c r="D66" s="53"/>
      <c r="E66" s="6"/>
      <c r="F66" s="19"/>
      <c r="G66" s="25">
        <v>209.94</v>
      </c>
      <c r="H66" s="25">
        <v>0.81</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606.30999999999995</v>
      </c>
      <c r="H70" s="24">
        <v>2.3400000000000003</v>
      </c>
      <c r="I70" s="31"/>
      <c r="J70" s="35"/>
    </row>
    <row r="71" spans="1:10" x14ac:dyDescent="0.25">
      <c r="C71" s="57" t="s">
        <v>35</v>
      </c>
      <c r="D71" s="53"/>
      <c r="E71" s="6"/>
      <c r="F71" s="19"/>
      <c r="G71" s="25">
        <v>606.30999999999995</v>
      </c>
      <c r="H71" s="25">
        <v>2.3400000000000003</v>
      </c>
      <c r="I71" s="31"/>
      <c r="J71" s="35"/>
    </row>
    <row r="72" spans="1:10" x14ac:dyDescent="0.25">
      <c r="C72" s="56"/>
      <c r="D72" s="53"/>
      <c r="E72" s="6"/>
      <c r="F72" s="19"/>
      <c r="G72" s="24"/>
      <c r="H72" s="24"/>
      <c r="I72" s="31"/>
      <c r="J72" s="35"/>
    </row>
    <row r="73" spans="1:10" x14ac:dyDescent="0.25">
      <c r="C73" s="61" t="s">
        <v>37</v>
      </c>
      <c r="D73" s="54"/>
      <c r="E73" s="5"/>
      <c r="F73" s="20"/>
      <c r="G73" s="26">
        <v>25853.21</v>
      </c>
      <c r="H73" s="26">
        <f>SUMIFS(H:H,C:C,"Total")</f>
        <v>100</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0"/>
  <dimension ref="A1:J7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2385</v>
      </c>
      <c r="J2" s="37" t="s">
        <v>3307</v>
      </c>
    </row>
    <row r="3" spans="1:10" ht="16.5" x14ac:dyDescent="0.3">
      <c r="C3" s="1" t="s">
        <v>24</v>
      </c>
      <c r="D3" s="21" t="s">
        <v>2386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1343</v>
      </c>
      <c r="C18" s="56" t="s">
        <v>1344</v>
      </c>
      <c r="D18" s="53" t="s">
        <v>1345</v>
      </c>
      <c r="E18" s="6" t="s">
        <v>534</v>
      </c>
      <c r="F18" s="19">
        <v>200</v>
      </c>
      <c r="G18" s="24">
        <v>2507.67</v>
      </c>
      <c r="H18" s="24">
        <v>9.82</v>
      </c>
      <c r="I18" s="31">
        <v>4</v>
      </c>
      <c r="J18" s="35" t="s">
        <v>514</v>
      </c>
    </row>
    <row r="19" spans="2:10" x14ac:dyDescent="0.25">
      <c r="B19" s="8" t="s">
        <v>2315</v>
      </c>
      <c r="C19" s="56" t="s">
        <v>2316</v>
      </c>
      <c r="D19" s="53" t="s">
        <v>2317</v>
      </c>
      <c r="E19" s="6" t="s">
        <v>534</v>
      </c>
      <c r="F19" s="19">
        <v>200</v>
      </c>
      <c r="G19" s="24">
        <v>2503.2800000000002</v>
      </c>
      <c r="H19" s="24">
        <v>9.8000000000000007</v>
      </c>
      <c r="I19" s="31">
        <v>4.6425000000000001</v>
      </c>
      <c r="J19" s="35" t="s">
        <v>514</v>
      </c>
    </row>
    <row r="20" spans="2:10" x14ac:dyDescent="0.25">
      <c r="B20" s="8" t="s">
        <v>2318</v>
      </c>
      <c r="C20" s="56" t="s">
        <v>1950</v>
      </c>
      <c r="D20" s="53" t="s">
        <v>2319</v>
      </c>
      <c r="E20" s="6" t="s">
        <v>534</v>
      </c>
      <c r="F20" s="19">
        <v>200</v>
      </c>
      <c r="G20" s="24">
        <v>2499.5700000000002</v>
      </c>
      <c r="H20" s="24">
        <v>9.7799999999999994</v>
      </c>
      <c r="I20" s="31">
        <v>4.9499000000000004</v>
      </c>
      <c r="J20" s="35" t="s">
        <v>514</v>
      </c>
    </row>
    <row r="21" spans="2:10" x14ac:dyDescent="0.25">
      <c r="B21" s="8" t="s">
        <v>2353</v>
      </c>
      <c r="C21" s="56" t="s">
        <v>601</v>
      </c>
      <c r="D21" s="53" t="s">
        <v>2354</v>
      </c>
      <c r="E21" s="6" t="s">
        <v>534</v>
      </c>
      <c r="F21" s="19">
        <v>200</v>
      </c>
      <c r="G21" s="24">
        <v>2035.31</v>
      </c>
      <c r="H21" s="24">
        <v>7.97</v>
      </c>
      <c r="I21" s="31">
        <v>4.1150000000000002</v>
      </c>
      <c r="J21" s="35" t="s">
        <v>514</v>
      </c>
    </row>
    <row r="22" spans="2:10" x14ac:dyDescent="0.25">
      <c r="B22" s="8" t="s">
        <v>1737</v>
      </c>
      <c r="C22" s="56" t="s">
        <v>1738</v>
      </c>
      <c r="D22" s="53" t="s">
        <v>1739</v>
      </c>
      <c r="E22" s="6" t="s">
        <v>534</v>
      </c>
      <c r="F22" s="19">
        <v>200</v>
      </c>
      <c r="G22" s="24">
        <v>2034.89</v>
      </c>
      <c r="H22" s="24">
        <v>7.96</v>
      </c>
      <c r="I22" s="31">
        <v>3.75</v>
      </c>
      <c r="J22" s="35" t="s">
        <v>514</v>
      </c>
    </row>
    <row r="23" spans="2:10" x14ac:dyDescent="0.25">
      <c r="B23" s="8" t="s">
        <v>2313</v>
      </c>
      <c r="C23" s="56" t="s">
        <v>1376</v>
      </c>
      <c r="D23" s="53" t="s">
        <v>2314</v>
      </c>
      <c r="E23" s="6" t="s">
        <v>534</v>
      </c>
      <c r="F23" s="19">
        <v>200</v>
      </c>
      <c r="G23" s="24">
        <v>2032.91</v>
      </c>
      <c r="H23" s="24">
        <v>7.96</v>
      </c>
      <c r="I23" s="31">
        <v>3.8349000000000002</v>
      </c>
      <c r="J23" s="35" t="s">
        <v>514</v>
      </c>
    </row>
    <row r="24" spans="2:10" x14ac:dyDescent="0.25">
      <c r="B24" s="8" t="s">
        <v>1723</v>
      </c>
      <c r="C24" s="56" t="s">
        <v>53</v>
      </c>
      <c r="D24" s="53" t="s">
        <v>1724</v>
      </c>
      <c r="E24" s="6" t="s">
        <v>534</v>
      </c>
      <c r="F24" s="19">
        <v>200</v>
      </c>
      <c r="G24" s="24">
        <v>2015.34</v>
      </c>
      <c r="H24" s="24">
        <v>7.89</v>
      </c>
      <c r="I24" s="31">
        <v>3.5099</v>
      </c>
      <c r="J24" s="35" t="s">
        <v>514</v>
      </c>
    </row>
    <row r="25" spans="2:10" x14ac:dyDescent="0.25">
      <c r="B25" s="8" t="s">
        <v>2355</v>
      </c>
      <c r="C25" s="56" t="s">
        <v>1130</v>
      </c>
      <c r="D25" s="53" t="s">
        <v>2356</v>
      </c>
      <c r="E25" s="6" t="s">
        <v>911</v>
      </c>
      <c r="F25" s="19">
        <v>170</v>
      </c>
      <c r="G25" s="24">
        <v>1730.15</v>
      </c>
      <c r="H25" s="24">
        <v>6.77</v>
      </c>
      <c r="I25" s="31">
        <v>4.0250000000000004</v>
      </c>
      <c r="J25" s="35" t="s">
        <v>514</v>
      </c>
    </row>
    <row r="26" spans="2:10" x14ac:dyDescent="0.25">
      <c r="B26" s="8" t="s">
        <v>2387</v>
      </c>
      <c r="C26" s="56" t="s">
        <v>1127</v>
      </c>
      <c r="D26" s="53" t="s">
        <v>2388</v>
      </c>
      <c r="E26" s="6" t="s">
        <v>534</v>
      </c>
      <c r="F26" s="19">
        <v>90</v>
      </c>
      <c r="G26" s="24">
        <v>1121.8499999999999</v>
      </c>
      <c r="H26" s="24">
        <v>4.3899999999999997</v>
      </c>
      <c r="I26" s="31">
        <v>3.9649999999999999</v>
      </c>
      <c r="J26" s="35" t="s">
        <v>514</v>
      </c>
    </row>
    <row r="27" spans="2:10" x14ac:dyDescent="0.25">
      <c r="B27" s="8" t="s">
        <v>2389</v>
      </c>
      <c r="C27" s="56" t="s">
        <v>1127</v>
      </c>
      <c r="D27" s="53" t="s">
        <v>2390</v>
      </c>
      <c r="E27" s="6" t="s">
        <v>534</v>
      </c>
      <c r="F27" s="19">
        <v>100</v>
      </c>
      <c r="G27" s="24">
        <v>1016.63</v>
      </c>
      <c r="H27" s="24">
        <v>3.98</v>
      </c>
      <c r="I27" s="31">
        <v>3.9649999999999999</v>
      </c>
      <c r="J27" s="35" t="s">
        <v>514</v>
      </c>
    </row>
    <row r="28" spans="2:10" x14ac:dyDescent="0.25">
      <c r="C28" s="57" t="s">
        <v>35</v>
      </c>
      <c r="D28" s="53"/>
      <c r="E28" s="6"/>
      <c r="F28" s="19"/>
      <c r="G28" s="25">
        <v>19497.599999999999</v>
      </c>
      <c r="H28" s="25">
        <v>76.319999999999993</v>
      </c>
      <c r="I28" s="31"/>
      <c r="J28" s="35"/>
    </row>
    <row r="29" spans="2:10" x14ac:dyDescent="0.25">
      <c r="C29" s="56"/>
      <c r="D29" s="53"/>
      <c r="E29" s="6"/>
      <c r="F29" s="19"/>
      <c r="G29" s="24"/>
      <c r="H29" s="24"/>
      <c r="I29" s="31"/>
      <c r="J29" s="35"/>
    </row>
    <row r="30" spans="2:10" x14ac:dyDescent="0.25">
      <c r="C30" s="57" t="s">
        <v>7</v>
      </c>
      <c r="D30" s="53"/>
      <c r="E30" s="6"/>
      <c r="F30" s="19"/>
      <c r="G30" s="24" t="s">
        <v>2</v>
      </c>
      <c r="H30" s="24" t="s">
        <v>2</v>
      </c>
      <c r="I30" s="31"/>
      <c r="J30" s="35"/>
    </row>
    <row r="31" spans="2:10" x14ac:dyDescent="0.25">
      <c r="C31" s="56"/>
      <c r="D31" s="53"/>
      <c r="E31" s="6"/>
      <c r="F31" s="19"/>
      <c r="G31" s="24"/>
      <c r="H31" s="24"/>
      <c r="I31" s="31"/>
      <c r="J31" s="35"/>
    </row>
    <row r="32" spans="2:10" x14ac:dyDescent="0.25">
      <c r="C32" s="57" t="s">
        <v>8</v>
      </c>
      <c r="D32" s="53"/>
      <c r="E32" s="6"/>
      <c r="F32" s="19"/>
      <c r="G32" s="24" t="s">
        <v>2</v>
      </c>
      <c r="H32" s="24" t="s">
        <v>2</v>
      </c>
      <c r="I32" s="31"/>
      <c r="J32" s="35"/>
    </row>
    <row r="33" spans="1:10" x14ac:dyDescent="0.25">
      <c r="C33" s="56"/>
      <c r="D33" s="53"/>
      <c r="E33" s="6"/>
      <c r="F33" s="19"/>
      <c r="G33" s="24"/>
      <c r="H33" s="24"/>
      <c r="I33" s="31"/>
      <c r="J33" s="35"/>
    </row>
    <row r="34" spans="1:10" x14ac:dyDescent="0.25">
      <c r="C34" s="57" t="s">
        <v>9</v>
      </c>
      <c r="D34" s="53"/>
      <c r="E34" s="6"/>
      <c r="F34" s="19"/>
      <c r="G34" s="24" t="s">
        <v>2</v>
      </c>
      <c r="H34" s="24" t="s">
        <v>2</v>
      </c>
      <c r="I34" s="31"/>
      <c r="J34" s="35"/>
    </row>
    <row r="35" spans="1:10" x14ac:dyDescent="0.25">
      <c r="C35" s="56"/>
      <c r="D35" s="53"/>
      <c r="E35" s="6"/>
      <c r="F35" s="19"/>
      <c r="G35" s="24"/>
      <c r="H35" s="24"/>
      <c r="I35" s="31"/>
      <c r="J35" s="35"/>
    </row>
    <row r="36" spans="1:10" x14ac:dyDescent="0.25">
      <c r="C36" s="59" t="s">
        <v>10</v>
      </c>
      <c r="D36" s="53"/>
      <c r="E36" s="6"/>
      <c r="F36" s="19"/>
      <c r="G36" s="24"/>
      <c r="H36" s="24"/>
      <c r="I36" s="31"/>
      <c r="J36" s="35"/>
    </row>
    <row r="37" spans="1:10" x14ac:dyDescent="0.25">
      <c r="B37" s="8" t="s">
        <v>2323</v>
      </c>
      <c r="C37" s="56" t="s">
        <v>2324</v>
      </c>
      <c r="D37" s="53" t="s">
        <v>2325</v>
      </c>
      <c r="E37" s="6" t="s">
        <v>655</v>
      </c>
      <c r="F37" s="19">
        <v>3000000</v>
      </c>
      <c r="G37" s="24">
        <v>3058.64</v>
      </c>
      <c r="H37" s="24">
        <v>11.97</v>
      </c>
      <c r="I37" s="31">
        <v>4.0368000000000004</v>
      </c>
      <c r="J37" s="35"/>
    </row>
    <row r="38" spans="1:10" x14ac:dyDescent="0.25">
      <c r="B38" s="8" t="s">
        <v>1435</v>
      </c>
      <c r="C38" s="56" t="s">
        <v>1436</v>
      </c>
      <c r="D38" s="53" t="s">
        <v>1437</v>
      </c>
      <c r="E38" s="6" t="s">
        <v>655</v>
      </c>
      <c r="F38" s="19">
        <v>400000</v>
      </c>
      <c r="G38" s="24">
        <v>407.91</v>
      </c>
      <c r="H38" s="24">
        <v>1.6</v>
      </c>
      <c r="I38" s="31">
        <v>3.7057000000000002</v>
      </c>
      <c r="J38" s="35"/>
    </row>
    <row r="39" spans="1:10" x14ac:dyDescent="0.25">
      <c r="C39" s="57" t="s">
        <v>35</v>
      </c>
      <c r="D39" s="53"/>
      <c r="E39" s="6"/>
      <c r="F39" s="19"/>
      <c r="G39" s="25">
        <v>3466.55</v>
      </c>
      <c r="H39" s="25">
        <v>13.57</v>
      </c>
      <c r="I39" s="31"/>
      <c r="J39" s="35"/>
    </row>
    <row r="40" spans="1:10" x14ac:dyDescent="0.25">
      <c r="C40" s="56"/>
      <c r="D40" s="53"/>
      <c r="E40" s="6"/>
      <c r="F40" s="19"/>
      <c r="G40" s="24"/>
      <c r="H40" s="24"/>
      <c r="I40" s="31"/>
      <c r="J40" s="35"/>
    </row>
    <row r="41" spans="1:10" x14ac:dyDescent="0.25">
      <c r="A41" s="10"/>
      <c r="B41" s="28"/>
      <c r="C41" s="58" t="s">
        <v>11</v>
      </c>
      <c r="D41" s="53"/>
      <c r="E41" s="6"/>
      <c r="F41" s="19"/>
      <c r="G41" s="24"/>
      <c r="H41" s="24"/>
      <c r="I41" s="31"/>
      <c r="J41" s="35"/>
    </row>
    <row r="42" spans="1:10" x14ac:dyDescent="0.25">
      <c r="A42" s="28"/>
      <c r="B42" s="28"/>
      <c r="C42" s="58" t="s">
        <v>13</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C44" s="59" t="s">
        <v>14</v>
      </c>
      <c r="D44" s="53"/>
      <c r="E44" s="6"/>
      <c r="F44" s="19"/>
      <c r="G44" s="24"/>
      <c r="H44" s="24"/>
      <c r="I44" s="31"/>
      <c r="J44" s="35"/>
    </row>
    <row r="45" spans="1:10" x14ac:dyDescent="0.25">
      <c r="B45" s="8" t="s">
        <v>1234</v>
      </c>
      <c r="C45" s="56" t="s">
        <v>74</v>
      </c>
      <c r="D45" s="53" t="s">
        <v>1235</v>
      </c>
      <c r="E45" s="6" t="s">
        <v>992</v>
      </c>
      <c r="F45" s="19">
        <v>1200</v>
      </c>
      <c r="G45" s="24">
        <v>1181.3800000000001</v>
      </c>
      <c r="H45" s="24">
        <v>4.62</v>
      </c>
      <c r="I45" s="31">
        <v>3.5950000000000002</v>
      </c>
      <c r="J45" s="35" t="s">
        <v>514</v>
      </c>
    </row>
    <row r="46" spans="1:10" x14ac:dyDescent="0.25">
      <c r="B46" s="8" t="s">
        <v>2357</v>
      </c>
      <c r="C46" s="56" t="s">
        <v>74</v>
      </c>
      <c r="D46" s="53" t="s">
        <v>2358</v>
      </c>
      <c r="E46" s="6" t="s">
        <v>992</v>
      </c>
      <c r="F46" s="19">
        <v>500</v>
      </c>
      <c r="G46" s="24">
        <v>496.49</v>
      </c>
      <c r="H46" s="24">
        <v>1.94</v>
      </c>
      <c r="I46" s="31">
        <v>3.3050999999999999</v>
      </c>
      <c r="J46" s="35"/>
    </row>
    <row r="47" spans="1:10" x14ac:dyDescent="0.25">
      <c r="B47" s="8" t="s">
        <v>1260</v>
      </c>
      <c r="C47" s="56" t="s">
        <v>402</v>
      </c>
      <c r="D47" s="53" t="s">
        <v>1261</v>
      </c>
      <c r="E47" s="6" t="s">
        <v>992</v>
      </c>
      <c r="F47" s="19">
        <v>200</v>
      </c>
      <c r="G47" s="24">
        <v>198.48</v>
      </c>
      <c r="H47" s="24">
        <v>0.78</v>
      </c>
      <c r="I47" s="31">
        <v>3.3250000000000002</v>
      </c>
      <c r="J47" s="35" t="s">
        <v>514</v>
      </c>
    </row>
    <row r="48" spans="1:10" x14ac:dyDescent="0.25">
      <c r="C48" s="57" t="s">
        <v>35</v>
      </c>
      <c r="D48" s="53"/>
      <c r="E48" s="6"/>
      <c r="F48" s="19"/>
      <c r="G48" s="25">
        <v>1876.35</v>
      </c>
      <c r="H48" s="25">
        <v>7.34</v>
      </c>
      <c r="I48" s="31"/>
      <c r="J48" s="35"/>
    </row>
    <row r="49" spans="1:10" x14ac:dyDescent="0.25">
      <c r="C49" s="56"/>
      <c r="D49" s="53"/>
      <c r="E49" s="6"/>
      <c r="F49" s="19"/>
      <c r="G49" s="24"/>
      <c r="H49" s="24"/>
      <c r="I49" s="31"/>
      <c r="J49" s="35"/>
    </row>
    <row r="50" spans="1:10" x14ac:dyDescent="0.25">
      <c r="C50" s="57" t="s">
        <v>15</v>
      </c>
      <c r="D50" s="53"/>
      <c r="E50" s="6"/>
      <c r="F50" s="19"/>
      <c r="G50" s="24" t="s">
        <v>2</v>
      </c>
      <c r="H50" s="24" t="s">
        <v>2</v>
      </c>
      <c r="I50" s="31"/>
      <c r="J50" s="35"/>
    </row>
    <row r="51" spans="1:10" x14ac:dyDescent="0.25">
      <c r="C51" s="56"/>
      <c r="D51" s="53"/>
      <c r="E51" s="6"/>
      <c r="F51" s="19"/>
      <c r="G51" s="24"/>
      <c r="H51" s="24"/>
      <c r="I51" s="31"/>
      <c r="J51" s="35"/>
    </row>
    <row r="52" spans="1:10" x14ac:dyDescent="0.25">
      <c r="C52" s="57" t="s">
        <v>16</v>
      </c>
      <c r="D52" s="53"/>
      <c r="E52" s="6"/>
      <c r="F52" s="19"/>
      <c r="G52" s="24" t="s">
        <v>2</v>
      </c>
      <c r="H52" s="24" t="s">
        <v>2</v>
      </c>
      <c r="I52" s="31"/>
      <c r="J52" s="35"/>
    </row>
    <row r="53" spans="1:10" x14ac:dyDescent="0.25">
      <c r="C53" s="56"/>
      <c r="D53" s="53"/>
      <c r="E53" s="6"/>
      <c r="F53" s="19"/>
      <c r="G53" s="24"/>
      <c r="H53" s="24"/>
      <c r="I53" s="31"/>
      <c r="J53" s="35"/>
    </row>
    <row r="54" spans="1:10" x14ac:dyDescent="0.25">
      <c r="A54" s="10"/>
      <c r="B54" s="28"/>
      <c r="C54" s="58" t="s">
        <v>17</v>
      </c>
      <c r="D54" s="53"/>
      <c r="E54" s="6"/>
      <c r="F54" s="19"/>
      <c r="G54" s="24"/>
      <c r="H54" s="24"/>
      <c r="I54" s="31"/>
      <c r="J54" s="35"/>
    </row>
    <row r="55" spans="1:10" x14ac:dyDescent="0.25">
      <c r="A55" s="28"/>
      <c r="B55" s="28"/>
      <c r="C55" s="58" t="s">
        <v>18</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19</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20</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21</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C63" s="59" t="s">
        <v>22</v>
      </c>
      <c r="D63" s="53"/>
      <c r="E63" s="6"/>
      <c r="F63" s="19"/>
      <c r="G63" s="24"/>
      <c r="H63" s="24"/>
      <c r="I63" s="31"/>
      <c r="J63" s="35"/>
    </row>
    <row r="64" spans="1:10" x14ac:dyDescent="0.25">
      <c r="B64" s="8" t="s">
        <v>33</v>
      </c>
      <c r="C64" s="56" t="s">
        <v>34</v>
      </c>
      <c r="D64" s="53"/>
      <c r="E64" s="6"/>
      <c r="F64" s="19"/>
      <c r="G64" s="24">
        <v>141.63999999999999</v>
      </c>
      <c r="H64" s="24">
        <v>0.55000000000000004</v>
      </c>
      <c r="I64" s="31"/>
      <c r="J64" s="35"/>
    </row>
    <row r="65" spans="1:10" x14ac:dyDescent="0.25">
      <c r="C65" s="57" t="s">
        <v>35</v>
      </c>
      <c r="D65" s="53"/>
      <c r="E65" s="6"/>
      <c r="F65" s="19"/>
      <c r="G65" s="25">
        <v>141.63999999999999</v>
      </c>
      <c r="H65" s="25">
        <v>0.55000000000000004</v>
      </c>
      <c r="I65" s="31"/>
      <c r="J65" s="35"/>
    </row>
    <row r="66" spans="1:10" x14ac:dyDescent="0.25">
      <c r="C66" s="56"/>
      <c r="D66" s="53"/>
      <c r="E66" s="6"/>
      <c r="F66" s="19"/>
      <c r="G66" s="24"/>
      <c r="H66" s="24"/>
      <c r="I66" s="31"/>
      <c r="J66" s="35"/>
    </row>
    <row r="67" spans="1:10" x14ac:dyDescent="0.25">
      <c r="A67" s="10"/>
      <c r="B67" s="28"/>
      <c r="C67" s="58" t="s">
        <v>23</v>
      </c>
      <c r="D67" s="53"/>
      <c r="E67" s="6"/>
      <c r="F67" s="19"/>
      <c r="G67" s="24"/>
      <c r="H67" s="24"/>
      <c r="I67" s="31"/>
      <c r="J67" s="35"/>
    </row>
    <row r="68" spans="1:10" x14ac:dyDescent="0.25">
      <c r="A68" s="28"/>
      <c r="B68" s="28"/>
      <c r="C68" s="60" t="s">
        <v>3398</v>
      </c>
      <c r="D68" s="53"/>
      <c r="E68" s="6"/>
      <c r="F68" s="19"/>
      <c r="G68" s="24" t="s">
        <v>2</v>
      </c>
      <c r="H68" s="24" t="s">
        <v>2</v>
      </c>
      <c r="I68" s="31"/>
      <c r="J68" s="35"/>
    </row>
    <row r="69" spans="1:10" x14ac:dyDescent="0.25">
      <c r="B69" s="8"/>
      <c r="C69" s="56" t="s">
        <v>36</v>
      </c>
      <c r="D69" s="53"/>
      <c r="E69" s="6"/>
      <c r="F69" s="19"/>
      <c r="G69" s="24">
        <v>565.77</v>
      </c>
      <c r="H69" s="24">
        <v>2.2199999999999998</v>
      </c>
      <c r="I69" s="31"/>
      <c r="J69" s="35"/>
    </row>
    <row r="70" spans="1:10" x14ac:dyDescent="0.25">
      <c r="C70" s="57" t="s">
        <v>35</v>
      </c>
      <c r="D70" s="53"/>
      <c r="E70" s="6"/>
      <c r="F70" s="19"/>
      <c r="G70" s="25">
        <v>565.77</v>
      </c>
      <c r="H70" s="25">
        <v>2.2199999999999998</v>
      </c>
      <c r="I70" s="31"/>
      <c r="J70" s="35"/>
    </row>
    <row r="71" spans="1:10" x14ac:dyDescent="0.25">
      <c r="C71" s="56"/>
      <c r="D71" s="53"/>
      <c r="E71" s="6"/>
      <c r="F71" s="19"/>
      <c r="G71" s="24"/>
      <c r="H71" s="24"/>
      <c r="I71" s="31"/>
      <c r="J71" s="35"/>
    </row>
    <row r="72" spans="1:10" x14ac:dyDescent="0.25">
      <c r="C72" s="61" t="s">
        <v>37</v>
      </c>
      <c r="D72" s="54"/>
      <c r="E72" s="5"/>
      <c r="F72" s="20"/>
      <c r="G72" s="26">
        <v>25547.91</v>
      </c>
      <c r="H72" s="26">
        <f>SUMIFS(H:H,C:C,"Total")</f>
        <v>99.999999999999986</v>
      </c>
      <c r="I72" s="32"/>
      <c r="J72" s="36"/>
    </row>
    <row r="75" spans="1:10" x14ac:dyDescent="0.25">
      <c r="C75" s="1" t="s">
        <v>38</v>
      </c>
    </row>
    <row r="76" spans="1:10" x14ac:dyDescent="0.25">
      <c r="C76" s="2" t="s">
        <v>39</v>
      </c>
    </row>
    <row r="77" spans="1:10" x14ac:dyDescent="0.25">
      <c r="C77" s="2" t="s">
        <v>40</v>
      </c>
    </row>
    <row r="78" spans="1:10" x14ac:dyDescent="0.25">
      <c r="C78" s="2" t="s">
        <v>3430</v>
      </c>
    </row>
  </sheetData>
  <hyperlinks>
    <hyperlink ref="J2" location="'Index'!A1" display="'Index'!A1"/>
  </hyperlinks>
  <pageMargins left="0.7" right="0.7" top="0.75" bottom="0.75" header="0.3" footer="0.3"/>
  <pageSetup orientation="portrait" horizontalDpi="4294967293"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1"/>
  <dimension ref="A1:J8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2391</v>
      </c>
      <c r="J2" s="37" t="s">
        <v>3307</v>
      </c>
    </row>
    <row r="3" spans="1:10" ht="16.5" x14ac:dyDescent="0.3">
      <c r="C3" s="1" t="s">
        <v>24</v>
      </c>
      <c r="D3" s="21" t="s">
        <v>2392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2315</v>
      </c>
      <c r="C18" s="56" t="s">
        <v>2316</v>
      </c>
      <c r="D18" s="53" t="s">
        <v>2317</v>
      </c>
      <c r="E18" s="6" t="s">
        <v>534</v>
      </c>
      <c r="F18" s="19">
        <v>250</v>
      </c>
      <c r="G18" s="24">
        <v>3129.1</v>
      </c>
      <c r="H18" s="24">
        <v>9.9</v>
      </c>
      <c r="I18" s="31">
        <v>4.6425000000000001</v>
      </c>
      <c r="J18" s="35" t="s">
        <v>514</v>
      </c>
    </row>
    <row r="19" spans="2:10" x14ac:dyDescent="0.25">
      <c r="B19" s="8" t="s">
        <v>2381</v>
      </c>
      <c r="C19" s="56" t="s">
        <v>1950</v>
      </c>
      <c r="D19" s="53" t="s">
        <v>2382</v>
      </c>
      <c r="E19" s="6" t="s">
        <v>534</v>
      </c>
      <c r="F19" s="19">
        <v>250</v>
      </c>
      <c r="G19" s="24">
        <v>3123.29</v>
      </c>
      <c r="H19" s="24">
        <v>9.8800000000000008</v>
      </c>
      <c r="I19" s="31">
        <v>4.9499000000000004</v>
      </c>
      <c r="J19" s="35" t="s">
        <v>514</v>
      </c>
    </row>
    <row r="20" spans="2:10" x14ac:dyDescent="0.25">
      <c r="B20" s="8" t="s">
        <v>1343</v>
      </c>
      <c r="C20" s="56" t="s">
        <v>1344</v>
      </c>
      <c r="D20" s="53" t="s">
        <v>1345</v>
      </c>
      <c r="E20" s="6" t="s">
        <v>534</v>
      </c>
      <c r="F20" s="19">
        <v>249</v>
      </c>
      <c r="G20" s="24">
        <v>3122.05</v>
      </c>
      <c r="H20" s="24">
        <v>9.8699999999999992</v>
      </c>
      <c r="I20" s="31">
        <v>4</v>
      </c>
      <c r="J20" s="35" t="s">
        <v>514</v>
      </c>
    </row>
    <row r="21" spans="2:10" x14ac:dyDescent="0.25">
      <c r="B21" s="8" t="s">
        <v>2393</v>
      </c>
      <c r="C21" s="56" t="s">
        <v>1130</v>
      </c>
      <c r="D21" s="53" t="s">
        <v>2394</v>
      </c>
      <c r="E21" s="6" t="s">
        <v>911</v>
      </c>
      <c r="F21" s="19">
        <v>250</v>
      </c>
      <c r="G21" s="24">
        <v>2555.91</v>
      </c>
      <c r="H21" s="24">
        <v>8.08</v>
      </c>
      <c r="I21" s="31">
        <v>4.0209000000000001</v>
      </c>
      <c r="J21" s="35" t="s">
        <v>514</v>
      </c>
    </row>
    <row r="22" spans="2:10" x14ac:dyDescent="0.25">
      <c r="B22" s="8" t="s">
        <v>2353</v>
      </c>
      <c r="C22" s="56" t="s">
        <v>601</v>
      </c>
      <c r="D22" s="53" t="s">
        <v>2354</v>
      </c>
      <c r="E22" s="6" t="s">
        <v>534</v>
      </c>
      <c r="F22" s="19">
        <v>250</v>
      </c>
      <c r="G22" s="24">
        <v>2544.14</v>
      </c>
      <c r="H22" s="24">
        <v>8.0500000000000007</v>
      </c>
      <c r="I22" s="31">
        <v>4.1150000000000002</v>
      </c>
      <c r="J22" s="35" t="s">
        <v>514</v>
      </c>
    </row>
    <row r="23" spans="2:10" x14ac:dyDescent="0.25">
      <c r="B23" s="8" t="s">
        <v>1737</v>
      </c>
      <c r="C23" s="56" t="s">
        <v>1738</v>
      </c>
      <c r="D23" s="53" t="s">
        <v>1739</v>
      </c>
      <c r="E23" s="6" t="s">
        <v>534</v>
      </c>
      <c r="F23" s="19">
        <v>250</v>
      </c>
      <c r="G23" s="24">
        <v>2543.61</v>
      </c>
      <c r="H23" s="24">
        <v>8.0500000000000007</v>
      </c>
      <c r="I23" s="31">
        <v>3.75</v>
      </c>
      <c r="J23" s="35" t="s">
        <v>514</v>
      </c>
    </row>
    <row r="24" spans="2:10" x14ac:dyDescent="0.25">
      <c r="B24" s="8" t="s">
        <v>2313</v>
      </c>
      <c r="C24" s="56" t="s">
        <v>1376</v>
      </c>
      <c r="D24" s="53" t="s">
        <v>2314</v>
      </c>
      <c r="E24" s="6" t="s">
        <v>534</v>
      </c>
      <c r="F24" s="19">
        <v>250</v>
      </c>
      <c r="G24" s="24">
        <v>2541.14</v>
      </c>
      <c r="H24" s="24">
        <v>8.0399999999999991</v>
      </c>
      <c r="I24" s="31">
        <v>3.8349000000000002</v>
      </c>
      <c r="J24" s="35" t="s">
        <v>514</v>
      </c>
    </row>
    <row r="25" spans="2:10" x14ac:dyDescent="0.25">
      <c r="B25" s="8" t="s">
        <v>2395</v>
      </c>
      <c r="C25" s="56" t="s">
        <v>1127</v>
      </c>
      <c r="D25" s="53" t="s">
        <v>2396</v>
      </c>
      <c r="E25" s="6" t="s">
        <v>534</v>
      </c>
      <c r="F25" s="19">
        <v>135</v>
      </c>
      <c r="G25" s="24">
        <v>1374.04</v>
      </c>
      <c r="H25" s="24">
        <v>4.3499999999999996</v>
      </c>
      <c r="I25" s="31">
        <v>3.9649999999999999</v>
      </c>
      <c r="J25" s="35" t="s">
        <v>514</v>
      </c>
    </row>
    <row r="26" spans="2:10" x14ac:dyDescent="0.25">
      <c r="B26" s="8" t="s">
        <v>2387</v>
      </c>
      <c r="C26" s="56" t="s">
        <v>1127</v>
      </c>
      <c r="D26" s="53" t="s">
        <v>2388</v>
      </c>
      <c r="E26" s="6" t="s">
        <v>534</v>
      </c>
      <c r="F26" s="19">
        <v>110</v>
      </c>
      <c r="G26" s="24">
        <v>1371.15</v>
      </c>
      <c r="H26" s="24">
        <v>4.34</v>
      </c>
      <c r="I26" s="31">
        <v>3.9649999999999999</v>
      </c>
      <c r="J26" s="35" t="s">
        <v>514</v>
      </c>
    </row>
    <row r="27" spans="2:10" x14ac:dyDescent="0.25">
      <c r="B27" s="8" t="s">
        <v>2397</v>
      </c>
      <c r="C27" s="56" t="s">
        <v>1752</v>
      </c>
      <c r="D27" s="53" t="s">
        <v>2398</v>
      </c>
      <c r="E27" s="6" t="s">
        <v>1314</v>
      </c>
      <c r="F27" s="19">
        <v>100</v>
      </c>
      <c r="G27" s="24">
        <v>1018.67</v>
      </c>
      <c r="H27" s="24">
        <v>3.22</v>
      </c>
      <c r="I27" s="31">
        <v>3.9590999999999998</v>
      </c>
      <c r="J27" s="35" t="s">
        <v>514</v>
      </c>
    </row>
    <row r="28" spans="2:10" x14ac:dyDescent="0.25">
      <c r="B28" s="8" t="s">
        <v>2399</v>
      </c>
      <c r="C28" s="56" t="s">
        <v>1230</v>
      </c>
      <c r="D28" s="53" t="s">
        <v>2400</v>
      </c>
      <c r="E28" s="6" t="s">
        <v>534</v>
      </c>
      <c r="F28" s="19">
        <v>50</v>
      </c>
      <c r="G28" s="24">
        <v>512.08000000000004</v>
      </c>
      <c r="H28" s="24">
        <v>1.62</v>
      </c>
      <c r="I28" s="31">
        <v>3.6349</v>
      </c>
      <c r="J28" s="35" t="s">
        <v>514</v>
      </c>
    </row>
    <row r="29" spans="2:10" x14ac:dyDescent="0.25">
      <c r="B29" s="8" t="s">
        <v>1723</v>
      </c>
      <c r="C29" s="56" t="s">
        <v>53</v>
      </c>
      <c r="D29" s="53" t="s">
        <v>1724</v>
      </c>
      <c r="E29" s="6" t="s">
        <v>534</v>
      </c>
      <c r="F29" s="19">
        <v>50</v>
      </c>
      <c r="G29" s="24">
        <v>503.84</v>
      </c>
      <c r="H29" s="24">
        <v>1.59</v>
      </c>
      <c r="I29" s="31">
        <v>3.5099</v>
      </c>
      <c r="J29" s="35" t="s">
        <v>514</v>
      </c>
    </row>
    <row r="30" spans="2:10" x14ac:dyDescent="0.25">
      <c r="C30" s="57" t="s">
        <v>35</v>
      </c>
      <c r="D30" s="53"/>
      <c r="E30" s="6"/>
      <c r="F30" s="19"/>
      <c r="G30" s="25">
        <v>24339.02</v>
      </c>
      <c r="H30" s="25">
        <v>76.989999999999995</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7" t="s">
        <v>8</v>
      </c>
      <c r="D34" s="53"/>
      <c r="E34" s="6"/>
      <c r="F34" s="19"/>
      <c r="G34" s="24" t="s">
        <v>2</v>
      </c>
      <c r="H34" s="24" t="s">
        <v>2</v>
      </c>
      <c r="I34" s="31"/>
      <c r="J34" s="35"/>
    </row>
    <row r="35" spans="1:10" x14ac:dyDescent="0.25">
      <c r="C35" s="56"/>
      <c r="D35" s="53"/>
      <c r="E35" s="6"/>
      <c r="F35" s="19"/>
      <c r="G35" s="24"/>
      <c r="H35" s="24"/>
      <c r="I35" s="31"/>
      <c r="J35" s="35"/>
    </row>
    <row r="36" spans="1:10" x14ac:dyDescent="0.25">
      <c r="C36" s="57" t="s">
        <v>9</v>
      </c>
      <c r="D36" s="53"/>
      <c r="E36" s="6"/>
      <c r="F36" s="19"/>
      <c r="G36" s="24" t="s">
        <v>2</v>
      </c>
      <c r="H36" s="24" t="s">
        <v>2</v>
      </c>
      <c r="I36" s="31"/>
      <c r="J36" s="35"/>
    </row>
    <row r="37" spans="1:10" x14ac:dyDescent="0.25">
      <c r="C37" s="56"/>
      <c r="D37" s="53"/>
      <c r="E37" s="6"/>
      <c r="F37" s="19"/>
      <c r="G37" s="24"/>
      <c r="H37" s="24"/>
      <c r="I37" s="31"/>
      <c r="J37" s="35"/>
    </row>
    <row r="38" spans="1:10" x14ac:dyDescent="0.25">
      <c r="C38" s="59" t="s">
        <v>10</v>
      </c>
      <c r="D38" s="53"/>
      <c r="E38" s="6"/>
      <c r="F38" s="19"/>
      <c r="G38" s="24"/>
      <c r="H38" s="24"/>
      <c r="I38" s="31"/>
      <c r="J38" s="35"/>
    </row>
    <row r="39" spans="1:10" x14ac:dyDescent="0.25">
      <c r="B39" s="8" t="s">
        <v>2323</v>
      </c>
      <c r="C39" s="56" t="s">
        <v>2324</v>
      </c>
      <c r="D39" s="53" t="s">
        <v>2325</v>
      </c>
      <c r="E39" s="6" t="s">
        <v>655</v>
      </c>
      <c r="F39" s="19">
        <v>3500000</v>
      </c>
      <c r="G39" s="24">
        <v>3568.42</v>
      </c>
      <c r="H39" s="24">
        <v>11.29</v>
      </c>
      <c r="I39" s="31">
        <v>4.0368000000000004</v>
      </c>
      <c r="J39" s="35"/>
    </row>
    <row r="40" spans="1:10" x14ac:dyDescent="0.25">
      <c r="B40" s="8" t="s">
        <v>1435</v>
      </c>
      <c r="C40" s="56" t="s">
        <v>1436</v>
      </c>
      <c r="D40" s="53" t="s">
        <v>1437</v>
      </c>
      <c r="E40" s="6" t="s">
        <v>655</v>
      </c>
      <c r="F40" s="19">
        <v>700000</v>
      </c>
      <c r="G40" s="24">
        <v>713.84</v>
      </c>
      <c r="H40" s="24">
        <v>2.2599999999999998</v>
      </c>
      <c r="I40" s="31">
        <v>3.7057000000000002</v>
      </c>
      <c r="J40" s="35"/>
    </row>
    <row r="41" spans="1:10" x14ac:dyDescent="0.25">
      <c r="C41" s="57" t="s">
        <v>35</v>
      </c>
      <c r="D41" s="53"/>
      <c r="E41" s="6"/>
      <c r="F41" s="19"/>
      <c r="G41" s="25">
        <v>4282.26</v>
      </c>
      <c r="H41" s="25">
        <v>13.55</v>
      </c>
      <c r="I41" s="31"/>
      <c r="J41" s="35"/>
    </row>
    <row r="42" spans="1:10" x14ac:dyDescent="0.25">
      <c r="C42" s="56"/>
      <c r="D42" s="53"/>
      <c r="E42" s="6"/>
      <c r="F42" s="19"/>
      <c r="G42" s="24"/>
      <c r="H42" s="24"/>
      <c r="I42" s="31"/>
      <c r="J42" s="35"/>
    </row>
    <row r="43" spans="1:10" x14ac:dyDescent="0.25">
      <c r="A43" s="10"/>
      <c r="B43" s="28"/>
      <c r="C43" s="58" t="s">
        <v>11</v>
      </c>
      <c r="D43" s="53"/>
      <c r="E43" s="6"/>
      <c r="F43" s="19"/>
      <c r="G43" s="24"/>
      <c r="H43" s="24"/>
      <c r="I43" s="31"/>
      <c r="J43" s="35"/>
    </row>
    <row r="44" spans="1:10" x14ac:dyDescent="0.25">
      <c r="A44" s="28"/>
      <c r="B44" s="28"/>
      <c r="C44" s="58" t="s">
        <v>13</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C46" s="59" t="s">
        <v>14</v>
      </c>
      <c r="D46" s="53"/>
      <c r="E46" s="6"/>
      <c r="F46" s="19"/>
      <c r="G46" s="24"/>
      <c r="H46" s="24"/>
      <c r="I46" s="31"/>
      <c r="J46" s="35"/>
    </row>
    <row r="47" spans="1:10" x14ac:dyDescent="0.25">
      <c r="B47" s="8" t="s">
        <v>1234</v>
      </c>
      <c r="C47" s="56" t="s">
        <v>74</v>
      </c>
      <c r="D47" s="53" t="s">
        <v>1235</v>
      </c>
      <c r="E47" s="6" t="s">
        <v>992</v>
      </c>
      <c r="F47" s="19">
        <v>1100</v>
      </c>
      <c r="G47" s="24">
        <v>1082.93</v>
      </c>
      <c r="H47" s="24">
        <v>3.43</v>
      </c>
      <c r="I47" s="31">
        <v>3.5950000000000002</v>
      </c>
      <c r="J47" s="35" t="s">
        <v>514</v>
      </c>
    </row>
    <row r="48" spans="1:10" x14ac:dyDescent="0.25">
      <c r="B48" s="8" t="s">
        <v>2357</v>
      </c>
      <c r="C48" s="56" t="s">
        <v>74</v>
      </c>
      <c r="D48" s="53" t="s">
        <v>2358</v>
      </c>
      <c r="E48" s="6" t="s">
        <v>992</v>
      </c>
      <c r="F48" s="19">
        <v>200</v>
      </c>
      <c r="G48" s="24">
        <v>198.6</v>
      </c>
      <c r="H48" s="24">
        <v>0.63</v>
      </c>
      <c r="I48" s="31">
        <v>3.3050999999999999</v>
      </c>
      <c r="J48" s="35"/>
    </row>
    <row r="49" spans="1:10" x14ac:dyDescent="0.25">
      <c r="B49" s="8" t="s">
        <v>1225</v>
      </c>
      <c r="C49" s="56" t="s">
        <v>818</v>
      </c>
      <c r="D49" s="53" t="s">
        <v>1226</v>
      </c>
      <c r="E49" s="6" t="s">
        <v>1000</v>
      </c>
      <c r="F49" s="19">
        <v>200</v>
      </c>
      <c r="G49" s="24">
        <v>196.98</v>
      </c>
      <c r="H49" s="24">
        <v>0.62</v>
      </c>
      <c r="I49" s="31">
        <v>3.5150000000000001</v>
      </c>
      <c r="J49" s="35" t="s">
        <v>514</v>
      </c>
    </row>
    <row r="50" spans="1:10" x14ac:dyDescent="0.25">
      <c r="B50" s="8" t="s">
        <v>1260</v>
      </c>
      <c r="C50" s="56" t="s">
        <v>402</v>
      </c>
      <c r="D50" s="53" t="s">
        <v>1261</v>
      </c>
      <c r="E50" s="6" t="s">
        <v>992</v>
      </c>
      <c r="F50" s="19">
        <v>100</v>
      </c>
      <c r="G50" s="24">
        <v>99.24</v>
      </c>
      <c r="H50" s="24">
        <v>0.31</v>
      </c>
      <c r="I50" s="31">
        <v>3.3250000000000002</v>
      </c>
      <c r="J50" s="35" t="s">
        <v>514</v>
      </c>
    </row>
    <row r="51" spans="1:10" x14ac:dyDescent="0.25">
      <c r="C51" s="57" t="s">
        <v>35</v>
      </c>
      <c r="D51" s="53"/>
      <c r="E51" s="6"/>
      <c r="F51" s="19"/>
      <c r="G51" s="25">
        <v>1577.75</v>
      </c>
      <c r="H51" s="25">
        <v>4.99</v>
      </c>
      <c r="I51" s="31"/>
      <c r="J51" s="35"/>
    </row>
    <row r="52" spans="1:10" x14ac:dyDescent="0.25">
      <c r="C52" s="56"/>
      <c r="D52" s="53"/>
      <c r="E52" s="6"/>
      <c r="F52" s="19"/>
      <c r="G52" s="24"/>
      <c r="H52" s="24"/>
      <c r="I52" s="31"/>
      <c r="J52" s="35"/>
    </row>
    <row r="53" spans="1:10" x14ac:dyDescent="0.25">
      <c r="C53" s="59" t="s">
        <v>15</v>
      </c>
      <c r="D53" s="53"/>
      <c r="E53" s="6"/>
      <c r="F53" s="19"/>
      <c r="G53" s="24"/>
      <c r="H53" s="24"/>
      <c r="I53" s="31"/>
      <c r="J53" s="35"/>
    </row>
    <row r="54" spans="1:10" x14ac:dyDescent="0.25">
      <c r="B54" s="8" t="s">
        <v>1266</v>
      </c>
      <c r="C54" s="56" t="s">
        <v>1267</v>
      </c>
      <c r="D54" s="53" t="s">
        <v>1268</v>
      </c>
      <c r="E54" s="6" t="s">
        <v>655</v>
      </c>
      <c r="F54" s="19">
        <v>200000</v>
      </c>
      <c r="G54" s="24">
        <v>196.75</v>
      </c>
      <c r="H54" s="24">
        <v>0.62</v>
      </c>
      <c r="I54" s="31">
        <v>3.45</v>
      </c>
      <c r="J54" s="35"/>
    </row>
    <row r="55" spans="1:10" x14ac:dyDescent="0.25">
      <c r="C55" s="57" t="s">
        <v>35</v>
      </c>
      <c r="D55" s="53"/>
      <c r="E55" s="6"/>
      <c r="F55" s="19"/>
      <c r="G55" s="25">
        <v>196.75</v>
      </c>
      <c r="H55" s="25">
        <v>0.62</v>
      </c>
      <c r="I55" s="31"/>
      <c r="J55" s="35"/>
    </row>
    <row r="56" spans="1:10" x14ac:dyDescent="0.25">
      <c r="C56" s="56"/>
      <c r="D56" s="53"/>
      <c r="E56" s="6"/>
      <c r="F56" s="19"/>
      <c r="G56" s="24"/>
      <c r="H56" s="24"/>
      <c r="I56" s="31"/>
      <c r="J56" s="35"/>
    </row>
    <row r="57" spans="1:10" x14ac:dyDescent="0.25">
      <c r="C57" s="57" t="s">
        <v>16</v>
      </c>
      <c r="D57" s="53"/>
      <c r="E57" s="6"/>
      <c r="F57" s="19"/>
      <c r="G57" s="24" t="s">
        <v>2</v>
      </c>
      <c r="H57" s="24" t="s">
        <v>2</v>
      </c>
      <c r="I57" s="31"/>
      <c r="J57" s="35"/>
    </row>
    <row r="58" spans="1:10" x14ac:dyDescent="0.25">
      <c r="C58" s="56"/>
      <c r="D58" s="53"/>
      <c r="E58" s="6"/>
      <c r="F58" s="19"/>
      <c r="G58" s="24"/>
      <c r="H58" s="24"/>
      <c r="I58" s="31"/>
      <c r="J58" s="35"/>
    </row>
    <row r="59" spans="1:10" x14ac:dyDescent="0.25">
      <c r="A59" s="10"/>
      <c r="B59" s="28"/>
      <c r="C59" s="58" t="s">
        <v>17</v>
      </c>
      <c r="D59" s="53"/>
      <c r="E59" s="6"/>
      <c r="F59" s="19"/>
      <c r="G59" s="24"/>
      <c r="H59" s="24"/>
      <c r="I59" s="31"/>
      <c r="J59" s="35"/>
    </row>
    <row r="60" spans="1:10" x14ac:dyDescent="0.25">
      <c r="A60" s="28"/>
      <c r="B60" s="28"/>
      <c r="C60" s="58" t="s">
        <v>18</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19</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20</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21</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C68" s="59" t="s">
        <v>22</v>
      </c>
      <c r="D68" s="53"/>
      <c r="E68" s="6"/>
      <c r="F68" s="19"/>
      <c r="G68" s="24"/>
      <c r="H68" s="24"/>
      <c r="I68" s="31"/>
      <c r="J68" s="35"/>
    </row>
    <row r="69" spans="1:10" x14ac:dyDescent="0.25">
      <c r="B69" s="8" t="s">
        <v>33</v>
      </c>
      <c r="C69" s="56" t="s">
        <v>34</v>
      </c>
      <c r="D69" s="53"/>
      <c r="E69" s="6"/>
      <c r="F69" s="19"/>
      <c r="G69" s="24">
        <v>109.45</v>
      </c>
      <c r="H69" s="24">
        <v>0.35</v>
      </c>
      <c r="I69" s="31"/>
      <c r="J69" s="35"/>
    </row>
    <row r="70" spans="1:10" x14ac:dyDescent="0.25">
      <c r="C70" s="57" t="s">
        <v>35</v>
      </c>
      <c r="D70" s="53"/>
      <c r="E70" s="6"/>
      <c r="F70" s="19"/>
      <c r="G70" s="25">
        <v>109.45</v>
      </c>
      <c r="H70" s="25">
        <v>0.35</v>
      </c>
      <c r="I70" s="31"/>
      <c r="J70" s="35"/>
    </row>
    <row r="71" spans="1:10" x14ac:dyDescent="0.25">
      <c r="C71" s="56"/>
      <c r="D71" s="53"/>
      <c r="E71" s="6"/>
      <c r="F71" s="19"/>
      <c r="G71" s="24"/>
      <c r="H71" s="24"/>
      <c r="I71" s="31"/>
      <c r="J71" s="35"/>
    </row>
    <row r="72" spans="1:10" x14ac:dyDescent="0.25">
      <c r="A72" s="10"/>
      <c r="B72" s="28"/>
      <c r="C72" s="58" t="s">
        <v>23</v>
      </c>
      <c r="D72" s="53"/>
      <c r="E72" s="6"/>
      <c r="F72" s="19"/>
      <c r="G72" s="24"/>
      <c r="H72" s="24"/>
      <c r="I72" s="31"/>
      <c r="J72" s="35"/>
    </row>
    <row r="73" spans="1:10" x14ac:dyDescent="0.25">
      <c r="A73" s="28"/>
      <c r="B73" s="28"/>
      <c r="C73" s="60" t="s">
        <v>3398</v>
      </c>
      <c r="D73" s="53"/>
      <c r="E73" s="6"/>
      <c r="F73" s="19"/>
      <c r="G73" s="24" t="s">
        <v>2</v>
      </c>
      <c r="H73" s="24" t="s">
        <v>2</v>
      </c>
      <c r="I73" s="31"/>
      <c r="J73" s="35"/>
    </row>
    <row r="74" spans="1:10" x14ac:dyDescent="0.25">
      <c r="B74" s="8"/>
      <c r="C74" s="56" t="s">
        <v>36</v>
      </c>
      <c r="D74" s="53"/>
      <c r="E74" s="6"/>
      <c r="F74" s="19"/>
      <c r="G74" s="24">
        <v>1112</v>
      </c>
      <c r="H74" s="24">
        <v>3.5</v>
      </c>
      <c r="I74" s="31"/>
      <c r="J74" s="35"/>
    </row>
    <row r="75" spans="1:10" x14ac:dyDescent="0.25">
      <c r="C75" s="57" t="s">
        <v>35</v>
      </c>
      <c r="D75" s="53"/>
      <c r="E75" s="6"/>
      <c r="F75" s="19"/>
      <c r="G75" s="25">
        <v>1112</v>
      </c>
      <c r="H75" s="25">
        <v>3.5</v>
      </c>
      <c r="I75" s="31"/>
      <c r="J75" s="35"/>
    </row>
    <row r="76" spans="1:10" x14ac:dyDescent="0.25">
      <c r="C76" s="56"/>
      <c r="D76" s="53"/>
      <c r="E76" s="6"/>
      <c r="F76" s="19"/>
      <c r="G76" s="24"/>
      <c r="H76" s="24"/>
      <c r="I76" s="31"/>
      <c r="J76" s="35"/>
    </row>
    <row r="77" spans="1:10" x14ac:dyDescent="0.25">
      <c r="C77" s="61" t="s">
        <v>37</v>
      </c>
      <c r="D77" s="54"/>
      <c r="E77" s="5"/>
      <c r="F77" s="20"/>
      <c r="G77" s="26">
        <v>31617.23</v>
      </c>
      <c r="H77" s="26">
        <f>SUMIFS(H:H,C:C,"Total")</f>
        <v>99.999999999999986</v>
      </c>
      <c r="I77" s="32"/>
      <c r="J77" s="36"/>
    </row>
    <row r="80" spans="1:10" x14ac:dyDescent="0.25">
      <c r="C80" s="1" t="s">
        <v>38</v>
      </c>
    </row>
    <row r="81" spans="3:3" x14ac:dyDescent="0.25">
      <c r="C81" s="2" t="s">
        <v>39</v>
      </c>
    </row>
    <row r="82" spans="3:3" x14ac:dyDescent="0.25">
      <c r="C82" s="2" t="s">
        <v>40</v>
      </c>
    </row>
    <row r="83" spans="3:3" x14ac:dyDescent="0.25">
      <c r="C83" s="2" t="s">
        <v>3430</v>
      </c>
    </row>
  </sheetData>
  <hyperlinks>
    <hyperlink ref="J2" location="'Index'!A1" display="'Index'!A1"/>
  </hyperlinks>
  <pageMargins left="0.7" right="0.7" top="0.75" bottom="0.75" header="0.3" footer="0.3"/>
  <pageSetup orientation="portrait" horizontalDpi="4294967293"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2"/>
  <dimension ref="A1:J10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2401</v>
      </c>
      <c r="J2" s="37" t="s">
        <v>3307</v>
      </c>
    </row>
    <row r="3" spans="1:10" ht="16.5" x14ac:dyDescent="0.3">
      <c r="C3" s="1" t="s">
        <v>24</v>
      </c>
      <c r="D3" s="21" t="s">
        <v>2402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160000</v>
      </c>
      <c r="G10" s="24">
        <v>1613.2</v>
      </c>
      <c r="H10" s="24">
        <v>1.4</v>
      </c>
      <c r="I10" s="31"/>
      <c r="J10" s="35"/>
    </row>
    <row r="11" spans="1:10" x14ac:dyDescent="0.25">
      <c r="B11" s="8" t="s">
        <v>48</v>
      </c>
      <c r="C11" s="56" t="s">
        <v>49</v>
      </c>
      <c r="D11" s="53" t="s">
        <v>50</v>
      </c>
      <c r="E11" s="6" t="s">
        <v>51</v>
      </c>
      <c r="F11" s="19">
        <v>104000</v>
      </c>
      <c r="G11" s="24">
        <v>1121.74</v>
      </c>
      <c r="H11" s="24">
        <v>0.97</v>
      </c>
      <c r="I11" s="31"/>
      <c r="J11" s="35"/>
    </row>
    <row r="12" spans="1:10" x14ac:dyDescent="0.25">
      <c r="B12" s="8" t="s">
        <v>59</v>
      </c>
      <c r="C12" s="56" t="s">
        <v>60</v>
      </c>
      <c r="D12" s="53" t="s">
        <v>61</v>
      </c>
      <c r="E12" s="6" t="s">
        <v>51</v>
      </c>
      <c r="F12" s="19">
        <v>70000</v>
      </c>
      <c r="G12" s="24">
        <v>887.74</v>
      </c>
      <c r="H12" s="24">
        <v>0.77</v>
      </c>
      <c r="I12" s="31"/>
      <c r="J12" s="35"/>
    </row>
    <row r="13" spans="1:10" x14ac:dyDescent="0.25">
      <c r="B13" s="8" t="s">
        <v>56</v>
      </c>
      <c r="C13" s="56" t="s">
        <v>57</v>
      </c>
      <c r="D13" s="53" t="s">
        <v>58</v>
      </c>
      <c r="E13" s="6" t="s">
        <v>47</v>
      </c>
      <c r="F13" s="19">
        <v>30000</v>
      </c>
      <c r="G13" s="24">
        <v>747.69</v>
      </c>
      <c r="H13" s="24">
        <v>0.65</v>
      </c>
      <c r="I13" s="31"/>
      <c r="J13" s="35"/>
    </row>
    <row r="14" spans="1:10" x14ac:dyDescent="0.25">
      <c r="B14" s="8" t="s">
        <v>62</v>
      </c>
      <c r="C14" s="56" t="s">
        <v>63</v>
      </c>
      <c r="D14" s="53" t="s">
        <v>64</v>
      </c>
      <c r="E14" s="6" t="s">
        <v>51</v>
      </c>
      <c r="F14" s="19">
        <v>210000</v>
      </c>
      <c r="G14" s="24">
        <v>744.98</v>
      </c>
      <c r="H14" s="24">
        <v>0.64</v>
      </c>
      <c r="I14" s="31"/>
      <c r="J14" s="35"/>
    </row>
    <row r="15" spans="1:10" x14ac:dyDescent="0.25">
      <c r="B15" s="8" t="s">
        <v>409</v>
      </c>
      <c r="C15" s="56" t="s">
        <v>410</v>
      </c>
      <c r="D15" s="53" t="s">
        <v>411</v>
      </c>
      <c r="E15" s="6" t="s">
        <v>98</v>
      </c>
      <c r="F15" s="19">
        <v>10000</v>
      </c>
      <c r="G15" s="24">
        <v>674.35</v>
      </c>
      <c r="H15" s="24">
        <v>0.57999999999999996</v>
      </c>
      <c r="I15" s="31"/>
      <c r="J15" s="35"/>
    </row>
    <row r="16" spans="1:10" x14ac:dyDescent="0.25">
      <c r="B16" s="8" t="s">
        <v>859</v>
      </c>
      <c r="C16" s="56" t="s">
        <v>860</v>
      </c>
      <c r="D16" s="53" t="s">
        <v>861</v>
      </c>
      <c r="E16" s="6" t="s">
        <v>98</v>
      </c>
      <c r="F16" s="19">
        <v>20000</v>
      </c>
      <c r="G16" s="24">
        <v>629.46</v>
      </c>
      <c r="H16" s="24">
        <v>0.54</v>
      </c>
      <c r="I16" s="31"/>
      <c r="J16" s="35"/>
    </row>
    <row r="17" spans="2:10" x14ac:dyDescent="0.25">
      <c r="B17" s="8" t="s">
        <v>139</v>
      </c>
      <c r="C17" s="56" t="s">
        <v>140</v>
      </c>
      <c r="D17" s="53" t="s">
        <v>141</v>
      </c>
      <c r="E17" s="6" t="s">
        <v>142</v>
      </c>
      <c r="F17" s="19">
        <v>50000</v>
      </c>
      <c r="G17" s="24">
        <v>624.54999999999995</v>
      </c>
      <c r="H17" s="24">
        <v>0.54</v>
      </c>
      <c r="I17" s="31"/>
      <c r="J17" s="35"/>
    </row>
    <row r="18" spans="2:10" x14ac:dyDescent="0.25">
      <c r="B18" s="8" t="s">
        <v>136</v>
      </c>
      <c r="C18" s="56" t="s">
        <v>137</v>
      </c>
      <c r="D18" s="53" t="s">
        <v>138</v>
      </c>
      <c r="E18" s="6" t="s">
        <v>41</v>
      </c>
      <c r="F18" s="19">
        <v>15000</v>
      </c>
      <c r="G18" s="24">
        <v>607.42999999999995</v>
      </c>
      <c r="H18" s="24">
        <v>0.53</v>
      </c>
      <c r="I18" s="31"/>
      <c r="J18" s="35"/>
    </row>
    <row r="19" spans="2:10" x14ac:dyDescent="0.25">
      <c r="B19" s="8" t="s">
        <v>1354</v>
      </c>
      <c r="C19" s="56" t="s">
        <v>1355</v>
      </c>
      <c r="D19" s="53" t="s">
        <v>1356</v>
      </c>
      <c r="E19" s="6" t="s">
        <v>826</v>
      </c>
      <c r="F19" s="19">
        <v>275000</v>
      </c>
      <c r="G19" s="24">
        <v>606.79</v>
      </c>
      <c r="H19" s="24">
        <v>0.53</v>
      </c>
      <c r="I19" s="31"/>
      <c r="J19" s="35"/>
    </row>
    <row r="20" spans="2:10" x14ac:dyDescent="0.25">
      <c r="B20" s="8" t="s">
        <v>76</v>
      </c>
      <c r="C20" s="56" t="s">
        <v>77</v>
      </c>
      <c r="D20" s="53" t="s">
        <v>78</v>
      </c>
      <c r="E20" s="6" t="s">
        <v>79</v>
      </c>
      <c r="F20" s="19">
        <v>57000</v>
      </c>
      <c r="G20" s="24">
        <v>513.91</v>
      </c>
      <c r="H20" s="24">
        <v>0.44</v>
      </c>
      <c r="I20" s="31"/>
      <c r="J20" s="35"/>
    </row>
    <row r="21" spans="2:10" x14ac:dyDescent="0.25">
      <c r="B21" s="8" t="s">
        <v>73</v>
      </c>
      <c r="C21" s="56" t="s">
        <v>74</v>
      </c>
      <c r="D21" s="53" t="s">
        <v>75</v>
      </c>
      <c r="E21" s="6" t="s">
        <v>51</v>
      </c>
      <c r="F21" s="19">
        <v>110000</v>
      </c>
      <c r="G21" s="24">
        <v>467.12</v>
      </c>
      <c r="H21" s="24">
        <v>0.4</v>
      </c>
      <c r="I21" s="31"/>
      <c r="J21" s="35"/>
    </row>
    <row r="22" spans="2:10" x14ac:dyDescent="0.25">
      <c r="B22" s="8" t="s">
        <v>370</v>
      </c>
      <c r="C22" s="56" t="s">
        <v>371</v>
      </c>
      <c r="D22" s="53" t="s">
        <v>372</v>
      </c>
      <c r="E22" s="6" t="s">
        <v>41</v>
      </c>
      <c r="F22" s="19">
        <v>32000</v>
      </c>
      <c r="G22" s="24">
        <v>445.9</v>
      </c>
      <c r="H22" s="24">
        <v>0.39</v>
      </c>
      <c r="I22" s="31"/>
      <c r="J22" s="35"/>
    </row>
    <row r="23" spans="2:10" x14ac:dyDescent="0.25">
      <c r="B23" s="8" t="s">
        <v>65</v>
      </c>
      <c r="C23" s="56" t="s">
        <v>66</v>
      </c>
      <c r="D23" s="53" t="s">
        <v>67</v>
      </c>
      <c r="E23" s="6" t="s">
        <v>68</v>
      </c>
      <c r="F23" s="19">
        <v>83432</v>
      </c>
      <c r="G23" s="24">
        <v>351.21</v>
      </c>
      <c r="H23" s="24">
        <v>0.3</v>
      </c>
      <c r="I23" s="31"/>
      <c r="J23" s="35"/>
    </row>
    <row r="24" spans="2:10" x14ac:dyDescent="0.25">
      <c r="B24" s="8" t="s">
        <v>164</v>
      </c>
      <c r="C24" s="56" t="s">
        <v>165</v>
      </c>
      <c r="D24" s="53" t="s">
        <v>166</v>
      </c>
      <c r="E24" s="6" t="s">
        <v>51</v>
      </c>
      <c r="F24" s="19">
        <v>180000</v>
      </c>
      <c r="G24" s="24">
        <v>333.72</v>
      </c>
      <c r="H24" s="24">
        <v>0.28999999999999998</v>
      </c>
      <c r="I24" s="31"/>
      <c r="J24" s="35"/>
    </row>
    <row r="25" spans="2:10" x14ac:dyDescent="0.25">
      <c r="B25" s="8" t="s">
        <v>398</v>
      </c>
      <c r="C25" s="56" t="s">
        <v>399</v>
      </c>
      <c r="D25" s="53" t="s">
        <v>400</v>
      </c>
      <c r="E25" s="6" t="s">
        <v>90</v>
      </c>
      <c r="F25" s="19">
        <v>88585</v>
      </c>
      <c r="G25" s="24">
        <v>321.56</v>
      </c>
      <c r="H25" s="24">
        <v>0.28000000000000003</v>
      </c>
      <c r="I25" s="31"/>
      <c r="J25" s="35"/>
    </row>
    <row r="26" spans="2:10" x14ac:dyDescent="0.25">
      <c r="B26" s="8" t="s">
        <v>154</v>
      </c>
      <c r="C26" s="56" t="s">
        <v>155</v>
      </c>
      <c r="D26" s="53" t="s">
        <v>156</v>
      </c>
      <c r="E26" s="6" t="s">
        <v>157</v>
      </c>
      <c r="F26" s="19">
        <v>70000</v>
      </c>
      <c r="G26" s="24">
        <v>311.64</v>
      </c>
      <c r="H26" s="24">
        <v>0.27</v>
      </c>
      <c r="I26" s="31"/>
      <c r="J26" s="35"/>
    </row>
    <row r="27" spans="2:10" x14ac:dyDescent="0.25">
      <c r="B27" s="8" t="s">
        <v>95</v>
      </c>
      <c r="C27" s="56" t="s">
        <v>96</v>
      </c>
      <c r="D27" s="53" t="s">
        <v>97</v>
      </c>
      <c r="E27" s="6" t="s">
        <v>98</v>
      </c>
      <c r="F27" s="19">
        <v>45000</v>
      </c>
      <c r="G27" s="24">
        <v>273.56</v>
      </c>
      <c r="H27" s="24">
        <v>0.24</v>
      </c>
      <c r="I27" s="31"/>
      <c r="J27" s="35"/>
    </row>
    <row r="28" spans="2:10" x14ac:dyDescent="0.25">
      <c r="B28" s="8" t="s">
        <v>2256</v>
      </c>
      <c r="C28" s="56" t="s">
        <v>2257</v>
      </c>
      <c r="D28" s="53" t="s">
        <v>2258</v>
      </c>
      <c r="E28" s="6" t="s">
        <v>722</v>
      </c>
      <c r="F28" s="19">
        <v>130000</v>
      </c>
      <c r="G28" s="24">
        <v>251.81</v>
      </c>
      <c r="H28" s="24">
        <v>0.22</v>
      </c>
      <c r="I28" s="31"/>
      <c r="J28" s="35"/>
    </row>
    <row r="29" spans="2:10" x14ac:dyDescent="0.25">
      <c r="B29" s="8" t="s">
        <v>167</v>
      </c>
      <c r="C29" s="56" t="s">
        <v>168</v>
      </c>
      <c r="D29" s="53" t="s">
        <v>169</v>
      </c>
      <c r="E29" s="6" t="s">
        <v>170</v>
      </c>
      <c r="F29" s="19">
        <v>125000</v>
      </c>
      <c r="G29" s="24">
        <v>219.06</v>
      </c>
      <c r="H29" s="24">
        <v>0.19</v>
      </c>
      <c r="I29" s="31"/>
      <c r="J29" s="35"/>
    </row>
    <row r="30" spans="2:10" x14ac:dyDescent="0.25">
      <c r="B30" s="8" t="s">
        <v>118</v>
      </c>
      <c r="C30" s="56" t="s">
        <v>119</v>
      </c>
      <c r="D30" s="53" t="s">
        <v>120</v>
      </c>
      <c r="E30" s="6" t="s">
        <v>98</v>
      </c>
      <c r="F30" s="19">
        <v>70000</v>
      </c>
      <c r="G30" s="24">
        <v>93.31</v>
      </c>
      <c r="H30" s="24">
        <v>0.08</v>
      </c>
      <c r="I30" s="31"/>
      <c r="J30" s="35"/>
    </row>
    <row r="31" spans="2:10" x14ac:dyDescent="0.25">
      <c r="B31" s="8" t="s">
        <v>1601</v>
      </c>
      <c r="C31" s="56" t="s">
        <v>1602</v>
      </c>
      <c r="D31" s="53" t="s">
        <v>1603</v>
      </c>
      <c r="E31" s="6" t="s">
        <v>826</v>
      </c>
      <c r="F31" s="19">
        <v>15558</v>
      </c>
      <c r="G31" s="24">
        <v>60.18</v>
      </c>
      <c r="H31" s="24">
        <v>0.05</v>
      </c>
      <c r="I31" s="31"/>
      <c r="J31" s="35"/>
    </row>
    <row r="32" spans="2:10" x14ac:dyDescent="0.25">
      <c r="B32" s="8" t="s">
        <v>69</v>
      </c>
      <c r="C32" s="56" t="s">
        <v>70</v>
      </c>
      <c r="D32" s="53" t="s">
        <v>71</v>
      </c>
      <c r="E32" s="6" t="s">
        <v>72</v>
      </c>
      <c r="F32" s="19">
        <v>219</v>
      </c>
      <c r="G32" s="24">
        <v>46.73</v>
      </c>
      <c r="H32" s="24">
        <v>0.04</v>
      </c>
      <c r="I32" s="31"/>
      <c r="J32" s="35"/>
    </row>
    <row r="33" spans="1:10" x14ac:dyDescent="0.25">
      <c r="B33" s="8" t="s">
        <v>212</v>
      </c>
      <c r="C33" s="56" t="s">
        <v>213</v>
      </c>
      <c r="D33" s="53" t="s">
        <v>214</v>
      </c>
      <c r="E33" s="6" t="s">
        <v>196</v>
      </c>
      <c r="F33" s="19">
        <v>5000</v>
      </c>
      <c r="G33" s="24">
        <v>8.25</v>
      </c>
      <c r="H33" s="24">
        <v>0.01</v>
      </c>
      <c r="I33" s="31"/>
      <c r="J33" s="35"/>
    </row>
    <row r="34" spans="1:10" x14ac:dyDescent="0.25">
      <c r="C34" s="57" t="s">
        <v>35</v>
      </c>
      <c r="D34" s="53"/>
      <c r="E34" s="6"/>
      <c r="F34" s="19"/>
      <c r="G34" s="25">
        <v>11955.89</v>
      </c>
      <c r="H34" s="25">
        <v>10.35</v>
      </c>
      <c r="I34" s="31"/>
      <c r="J34" s="35"/>
    </row>
    <row r="35" spans="1:10" x14ac:dyDescent="0.25">
      <c r="C35" s="56"/>
      <c r="D35" s="53"/>
      <c r="E35" s="6"/>
      <c r="F35" s="19"/>
      <c r="G35" s="24"/>
      <c r="H35" s="24"/>
      <c r="I35" s="31"/>
      <c r="J35" s="35"/>
    </row>
    <row r="36" spans="1:10" x14ac:dyDescent="0.25">
      <c r="C36" s="57" t="s">
        <v>3</v>
      </c>
      <c r="D36" s="53"/>
      <c r="E36" s="6"/>
      <c r="F36" s="19"/>
      <c r="G36" s="24" t="s">
        <v>2</v>
      </c>
      <c r="H36" s="24" t="s">
        <v>2</v>
      </c>
      <c r="I36" s="31"/>
      <c r="J36" s="35"/>
    </row>
    <row r="37" spans="1:10" x14ac:dyDescent="0.25">
      <c r="C37" s="56"/>
      <c r="D37" s="53"/>
      <c r="E37" s="6"/>
      <c r="F37" s="19"/>
      <c r="G37" s="24"/>
      <c r="H37" s="24"/>
      <c r="I37" s="31"/>
      <c r="J37" s="35"/>
    </row>
    <row r="38" spans="1:10" x14ac:dyDescent="0.25">
      <c r="C38" s="57" t="s">
        <v>4</v>
      </c>
      <c r="D38" s="53"/>
      <c r="E38" s="6"/>
      <c r="F38" s="19"/>
      <c r="G38" s="24" t="s">
        <v>2</v>
      </c>
      <c r="H38" s="24" t="s">
        <v>2</v>
      </c>
      <c r="I38" s="31"/>
      <c r="J38" s="35"/>
    </row>
    <row r="39" spans="1:10" x14ac:dyDescent="0.25">
      <c r="C39" s="56"/>
      <c r="D39" s="53"/>
      <c r="E39" s="6"/>
      <c r="F39" s="19"/>
      <c r="G39" s="24"/>
      <c r="H39" s="24"/>
      <c r="I39" s="31"/>
      <c r="J39" s="35"/>
    </row>
    <row r="40" spans="1:10" x14ac:dyDescent="0.25">
      <c r="A40" s="10"/>
      <c r="B40" s="28"/>
      <c r="C40" s="58" t="s">
        <v>5</v>
      </c>
      <c r="D40" s="53"/>
      <c r="E40" s="6"/>
      <c r="F40" s="19"/>
      <c r="G40" s="24"/>
      <c r="H40" s="24"/>
      <c r="I40" s="31"/>
      <c r="J40" s="35"/>
    </row>
    <row r="41" spans="1:10" x14ac:dyDescent="0.25">
      <c r="C41" s="59" t="s">
        <v>6</v>
      </c>
      <c r="D41" s="53"/>
      <c r="E41" s="6"/>
      <c r="F41" s="19"/>
      <c r="G41" s="24"/>
      <c r="H41" s="24"/>
      <c r="I41" s="31"/>
      <c r="J41" s="35"/>
    </row>
    <row r="42" spans="1:10" x14ac:dyDescent="0.25">
      <c r="B42" s="8" t="s">
        <v>2403</v>
      </c>
      <c r="C42" s="56" t="s">
        <v>691</v>
      </c>
      <c r="D42" s="53" t="s">
        <v>2404</v>
      </c>
      <c r="E42" s="6" t="s">
        <v>928</v>
      </c>
      <c r="F42" s="19">
        <v>1000</v>
      </c>
      <c r="G42" s="24">
        <v>12478.07</v>
      </c>
      <c r="H42" s="24">
        <v>10.8</v>
      </c>
      <c r="I42" s="31">
        <v>4.8099999999999996</v>
      </c>
      <c r="J42" s="35" t="s">
        <v>514</v>
      </c>
    </row>
    <row r="43" spans="1:10" x14ac:dyDescent="0.25">
      <c r="B43" s="8" t="s">
        <v>2405</v>
      </c>
      <c r="C43" s="56" t="s">
        <v>938</v>
      </c>
      <c r="D43" s="53" t="s">
        <v>2406</v>
      </c>
      <c r="E43" s="6" t="s">
        <v>573</v>
      </c>
      <c r="F43" s="19">
        <v>1000</v>
      </c>
      <c r="G43" s="24">
        <v>12096.08</v>
      </c>
      <c r="H43" s="24">
        <v>10.47</v>
      </c>
      <c r="I43" s="31">
        <v>11.95</v>
      </c>
      <c r="J43" s="35" t="s">
        <v>514</v>
      </c>
    </row>
    <row r="44" spans="1:10" x14ac:dyDescent="0.25">
      <c r="B44" s="8" t="s">
        <v>2407</v>
      </c>
      <c r="C44" s="56" t="s">
        <v>358</v>
      </c>
      <c r="D44" s="53" t="s">
        <v>2408</v>
      </c>
      <c r="E44" s="6" t="s">
        <v>541</v>
      </c>
      <c r="F44" s="19">
        <v>1000</v>
      </c>
      <c r="G44" s="24">
        <v>9842.4</v>
      </c>
      <c r="H44" s="24">
        <v>8.52</v>
      </c>
      <c r="I44" s="31">
        <v>11.2997</v>
      </c>
      <c r="J44" s="35" t="s">
        <v>514</v>
      </c>
    </row>
    <row r="45" spans="1:10" x14ac:dyDescent="0.25">
      <c r="B45" s="8" t="s">
        <v>2409</v>
      </c>
      <c r="C45" s="56" t="s">
        <v>1016</v>
      </c>
      <c r="D45" s="53" t="s">
        <v>2410</v>
      </c>
      <c r="E45" s="6" t="s">
        <v>1383</v>
      </c>
      <c r="F45" s="19">
        <v>360</v>
      </c>
      <c r="G45" s="24">
        <v>9122.7199999999993</v>
      </c>
      <c r="H45" s="24">
        <v>7.9</v>
      </c>
      <c r="I45" s="31">
        <v>5.7549000000000001</v>
      </c>
      <c r="J45" s="35" t="s">
        <v>514</v>
      </c>
    </row>
    <row r="46" spans="1:10" x14ac:dyDescent="0.25">
      <c r="B46" s="8" t="s">
        <v>2353</v>
      </c>
      <c r="C46" s="56" t="s">
        <v>601</v>
      </c>
      <c r="D46" s="53" t="s">
        <v>2354</v>
      </c>
      <c r="E46" s="6" t="s">
        <v>534</v>
      </c>
      <c r="F46" s="19">
        <v>700</v>
      </c>
      <c r="G46" s="24">
        <v>7123.6</v>
      </c>
      <c r="H46" s="24">
        <v>6.17</v>
      </c>
      <c r="I46" s="31">
        <v>4.1150000000000002</v>
      </c>
      <c r="J46" s="35" t="s">
        <v>514</v>
      </c>
    </row>
    <row r="47" spans="1:10" x14ac:dyDescent="0.25">
      <c r="B47" s="8" t="s">
        <v>2411</v>
      </c>
      <c r="C47" s="56" t="s">
        <v>926</v>
      </c>
      <c r="D47" s="53" t="s">
        <v>2412</v>
      </c>
      <c r="E47" s="6" t="s">
        <v>928</v>
      </c>
      <c r="F47" s="19">
        <v>500</v>
      </c>
      <c r="G47" s="24">
        <v>5075.54</v>
      </c>
      <c r="H47" s="24">
        <v>4.3899999999999997</v>
      </c>
      <c r="I47" s="31">
        <v>5.5697999999999999</v>
      </c>
      <c r="J47" s="35" t="s">
        <v>514</v>
      </c>
    </row>
    <row r="48" spans="1:10" x14ac:dyDescent="0.25">
      <c r="B48" s="8" t="s">
        <v>2387</v>
      </c>
      <c r="C48" s="56" t="s">
        <v>1127</v>
      </c>
      <c r="D48" s="53" t="s">
        <v>2388</v>
      </c>
      <c r="E48" s="6" t="s">
        <v>534</v>
      </c>
      <c r="F48" s="19">
        <v>100</v>
      </c>
      <c r="G48" s="24">
        <v>1246.5</v>
      </c>
      <c r="H48" s="24">
        <v>1.08</v>
      </c>
      <c r="I48" s="31">
        <v>3.9649999999999999</v>
      </c>
      <c r="J48" s="35" t="s">
        <v>514</v>
      </c>
    </row>
    <row r="49" spans="2:10" x14ac:dyDescent="0.25">
      <c r="B49" s="8" t="s">
        <v>2355</v>
      </c>
      <c r="C49" s="56" t="s">
        <v>1130</v>
      </c>
      <c r="D49" s="53" t="s">
        <v>2356</v>
      </c>
      <c r="E49" s="6" t="s">
        <v>911</v>
      </c>
      <c r="F49" s="19">
        <v>65</v>
      </c>
      <c r="G49" s="24">
        <v>661.53</v>
      </c>
      <c r="H49" s="24">
        <v>0.56999999999999995</v>
      </c>
      <c r="I49" s="31">
        <v>4.0250000000000004</v>
      </c>
      <c r="J49" s="35" t="s">
        <v>514</v>
      </c>
    </row>
    <row r="50" spans="2:10" x14ac:dyDescent="0.25">
      <c r="C50" s="57" t="s">
        <v>35</v>
      </c>
      <c r="D50" s="53"/>
      <c r="E50" s="6"/>
      <c r="F50" s="19"/>
      <c r="G50" s="25">
        <v>57646.44</v>
      </c>
      <c r="H50" s="25">
        <v>49.9</v>
      </c>
      <c r="I50" s="31"/>
      <c r="J50" s="35"/>
    </row>
    <row r="51" spans="2:10" x14ac:dyDescent="0.25">
      <c r="C51" s="56"/>
      <c r="D51" s="53"/>
      <c r="E51" s="6"/>
      <c r="F51" s="19"/>
      <c r="G51" s="24"/>
      <c r="H51" s="24"/>
      <c r="I51" s="31"/>
      <c r="J51" s="35"/>
    </row>
    <row r="52" spans="2:10" x14ac:dyDescent="0.25">
      <c r="C52" s="59" t="s">
        <v>7</v>
      </c>
      <c r="D52" s="53"/>
      <c r="E52" s="6"/>
      <c r="F52" s="19"/>
      <c r="G52" s="24"/>
      <c r="H52" s="24"/>
      <c r="I52" s="31"/>
      <c r="J52" s="35"/>
    </row>
    <row r="53" spans="2:10" x14ac:dyDescent="0.25">
      <c r="B53" s="8" t="s">
        <v>2187</v>
      </c>
      <c r="C53" s="56" t="s">
        <v>1783</v>
      </c>
      <c r="D53" s="53" t="s">
        <v>2188</v>
      </c>
      <c r="E53" s="6" t="s">
        <v>2189</v>
      </c>
      <c r="F53" s="19">
        <v>100</v>
      </c>
      <c r="G53" s="24">
        <v>10053.700000000001</v>
      </c>
      <c r="H53" s="24">
        <v>8.6999999999999993</v>
      </c>
      <c r="I53" s="31">
        <v>6.41</v>
      </c>
      <c r="J53" s="35" t="s">
        <v>514</v>
      </c>
    </row>
    <row r="54" spans="2:10" x14ac:dyDescent="0.25">
      <c r="B54" s="8" t="s">
        <v>2370</v>
      </c>
      <c r="C54" s="56" t="s">
        <v>2371</v>
      </c>
      <c r="D54" s="53" t="s">
        <v>2372</v>
      </c>
      <c r="E54" s="6" t="s">
        <v>573</v>
      </c>
      <c r="F54" s="19">
        <v>500</v>
      </c>
      <c r="G54" s="24">
        <v>6294.37</v>
      </c>
      <c r="H54" s="24">
        <v>5.45</v>
      </c>
      <c r="I54" s="31">
        <v>4.5137</v>
      </c>
      <c r="J54" s="35" t="s">
        <v>514</v>
      </c>
    </row>
    <row r="55" spans="2:10" x14ac:dyDescent="0.25">
      <c r="C55" s="57" t="s">
        <v>35</v>
      </c>
      <c r="D55" s="53"/>
      <c r="E55" s="6"/>
      <c r="F55" s="19"/>
      <c r="G55" s="25">
        <v>16348.07</v>
      </c>
      <c r="H55" s="25">
        <v>14.15</v>
      </c>
      <c r="I55" s="31"/>
      <c r="J55" s="35"/>
    </row>
    <row r="56" spans="2:10" x14ac:dyDescent="0.25">
      <c r="C56" s="56"/>
      <c r="D56" s="53"/>
      <c r="E56" s="6"/>
      <c r="F56" s="19"/>
      <c r="G56" s="24"/>
      <c r="H56" s="24"/>
      <c r="I56" s="31"/>
      <c r="J56" s="35"/>
    </row>
    <row r="57" spans="2:10" x14ac:dyDescent="0.25">
      <c r="C57" s="57" t="s">
        <v>8</v>
      </c>
      <c r="D57" s="53"/>
      <c r="E57" s="6"/>
      <c r="F57" s="19"/>
      <c r="G57" s="24" t="s">
        <v>2</v>
      </c>
      <c r="H57" s="24" t="s">
        <v>2</v>
      </c>
      <c r="I57" s="31"/>
      <c r="J57" s="35"/>
    </row>
    <row r="58" spans="2:10" x14ac:dyDescent="0.25">
      <c r="C58" s="56"/>
      <c r="D58" s="53"/>
      <c r="E58" s="6"/>
      <c r="F58" s="19"/>
      <c r="G58" s="24"/>
      <c r="H58" s="24"/>
      <c r="I58" s="31"/>
      <c r="J58" s="35"/>
    </row>
    <row r="59" spans="2:10" x14ac:dyDescent="0.25">
      <c r="C59" s="57" t="s">
        <v>9</v>
      </c>
      <c r="D59" s="53"/>
      <c r="E59" s="6"/>
      <c r="F59" s="19"/>
      <c r="G59" s="24" t="s">
        <v>2</v>
      </c>
      <c r="H59" s="24" t="s">
        <v>2</v>
      </c>
      <c r="I59" s="31"/>
      <c r="J59" s="35"/>
    </row>
    <row r="60" spans="2:10" x14ac:dyDescent="0.25">
      <c r="C60" s="56"/>
      <c r="D60" s="53"/>
      <c r="E60" s="6"/>
      <c r="F60" s="19"/>
      <c r="G60" s="24"/>
      <c r="H60" s="24"/>
      <c r="I60" s="31"/>
      <c r="J60" s="35"/>
    </row>
    <row r="61" spans="2:10" x14ac:dyDescent="0.25">
      <c r="C61" s="59" t="s">
        <v>10</v>
      </c>
      <c r="D61" s="53"/>
      <c r="E61" s="6"/>
      <c r="F61" s="19"/>
      <c r="G61" s="24"/>
      <c r="H61" s="24"/>
      <c r="I61" s="31"/>
      <c r="J61" s="35"/>
    </row>
    <row r="62" spans="2:10" x14ac:dyDescent="0.25">
      <c r="B62" s="8" t="s">
        <v>2323</v>
      </c>
      <c r="C62" s="56" t="s">
        <v>2324</v>
      </c>
      <c r="D62" s="53" t="s">
        <v>2325</v>
      </c>
      <c r="E62" s="6" t="s">
        <v>655</v>
      </c>
      <c r="F62" s="19">
        <v>15385000</v>
      </c>
      <c r="G62" s="24">
        <v>15685.75</v>
      </c>
      <c r="H62" s="24">
        <v>13.58</v>
      </c>
      <c r="I62" s="31">
        <v>4.0368000000000004</v>
      </c>
      <c r="J62" s="35"/>
    </row>
    <row r="63" spans="2:10" x14ac:dyDescent="0.25">
      <c r="C63" s="57" t="s">
        <v>35</v>
      </c>
      <c r="D63" s="53"/>
      <c r="E63" s="6"/>
      <c r="F63" s="19"/>
      <c r="G63" s="25">
        <v>15685.75</v>
      </c>
      <c r="H63" s="25">
        <v>13.58</v>
      </c>
      <c r="I63" s="31"/>
      <c r="J63" s="35"/>
    </row>
    <row r="64" spans="2:10" x14ac:dyDescent="0.25">
      <c r="C64" s="56"/>
      <c r="D64" s="53"/>
      <c r="E64" s="6"/>
      <c r="F64" s="19"/>
      <c r="G64" s="24"/>
      <c r="H64" s="24"/>
      <c r="I64" s="31"/>
      <c r="J64" s="35"/>
    </row>
    <row r="65" spans="1:10" x14ac:dyDescent="0.25">
      <c r="A65" s="10"/>
      <c r="B65" s="28"/>
      <c r="C65" s="58" t="s">
        <v>11</v>
      </c>
      <c r="D65" s="53"/>
      <c r="E65" s="6"/>
      <c r="F65" s="19"/>
      <c r="G65" s="24"/>
      <c r="H65" s="24"/>
      <c r="I65" s="31"/>
      <c r="J65" s="35"/>
    </row>
    <row r="66" spans="1:10" x14ac:dyDescent="0.25">
      <c r="A66" s="28"/>
      <c r="B66" s="28"/>
      <c r="C66" s="58" t="s">
        <v>13</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C68" s="59" t="s">
        <v>14</v>
      </c>
      <c r="D68" s="53"/>
      <c r="E68" s="6"/>
      <c r="F68" s="19"/>
      <c r="G68" s="24"/>
      <c r="H68" s="24"/>
      <c r="I68" s="31"/>
      <c r="J68" s="35"/>
    </row>
    <row r="69" spans="1:10" x14ac:dyDescent="0.25">
      <c r="B69" s="8" t="s">
        <v>1225</v>
      </c>
      <c r="C69" s="56" t="s">
        <v>818</v>
      </c>
      <c r="D69" s="53" t="s">
        <v>1226</v>
      </c>
      <c r="E69" s="6" t="s">
        <v>1000</v>
      </c>
      <c r="F69" s="19">
        <v>3300</v>
      </c>
      <c r="G69" s="24">
        <v>3250.23</v>
      </c>
      <c r="H69" s="24">
        <v>2.81</v>
      </c>
      <c r="I69" s="31">
        <v>3.5150000000000001</v>
      </c>
      <c r="J69" s="35" t="s">
        <v>514</v>
      </c>
    </row>
    <row r="70" spans="1:10" x14ac:dyDescent="0.25">
      <c r="C70" s="57" t="s">
        <v>35</v>
      </c>
      <c r="D70" s="53"/>
      <c r="E70" s="6"/>
      <c r="F70" s="19"/>
      <c r="G70" s="25">
        <v>3250.23</v>
      </c>
      <c r="H70" s="25">
        <v>2.81</v>
      </c>
      <c r="I70" s="31"/>
      <c r="J70" s="35"/>
    </row>
    <row r="71" spans="1:10" x14ac:dyDescent="0.25">
      <c r="C71" s="56"/>
      <c r="D71" s="53"/>
      <c r="E71" s="6"/>
      <c r="F71" s="19"/>
      <c r="G71" s="24"/>
      <c r="H71" s="24"/>
      <c r="I71" s="31"/>
      <c r="J71" s="35"/>
    </row>
    <row r="72" spans="1:10" x14ac:dyDescent="0.25">
      <c r="C72" s="59" t="s">
        <v>15</v>
      </c>
      <c r="D72" s="53"/>
      <c r="E72" s="6"/>
      <c r="F72" s="19"/>
      <c r="G72" s="24"/>
      <c r="H72" s="24"/>
      <c r="I72" s="31"/>
      <c r="J72" s="35"/>
    </row>
    <row r="73" spans="1:10" x14ac:dyDescent="0.25">
      <c r="B73" s="8" t="s">
        <v>2413</v>
      </c>
      <c r="C73" s="56" t="s">
        <v>2414</v>
      </c>
      <c r="D73" s="53" t="s">
        <v>2415</v>
      </c>
      <c r="E73" s="6" t="s">
        <v>655</v>
      </c>
      <c r="F73" s="19">
        <v>409900</v>
      </c>
      <c r="G73" s="24">
        <v>403.55</v>
      </c>
      <c r="H73" s="24">
        <v>0.35</v>
      </c>
      <c r="I73" s="31">
        <v>3.4802499999999998</v>
      </c>
      <c r="J73" s="35"/>
    </row>
    <row r="74" spans="1:10" x14ac:dyDescent="0.25">
      <c r="C74" s="57" t="s">
        <v>35</v>
      </c>
      <c r="D74" s="53"/>
      <c r="E74" s="6"/>
      <c r="F74" s="19"/>
      <c r="G74" s="25">
        <v>403.55</v>
      </c>
      <c r="H74" s="25">
        <v>0.35</v>
      </c>
      <c r="I74" s="31"/>
      <c r="J74" s="35"/>
    </row>
    <row r="75" spans="1:10" x14ac:dyDescent="0.25">
      <c r="C75" s="56"/>
      <c r="D75" s="53"/>
      <c r="E75" s="6"/>
      <c r="F75" s="19"/>
      <c r="G75" s="24"/>
      <c r="H75" s="24"/>
      <c r="I75" s="31"/>
      <c r="J75" s="35"/>
    </row>
    <row r="76" spans="1:10" x14ac:dyDescent="0.25">
      <c r="C76" s="57" t="s">
        <v>16</v>
      </c>
      <c r="D76" s="53"/>
      <c r="E76" s="6"/>
      <c r="F76" s="19"/>
      <c r="G76" s="24" t="s">
        <v>2</v>
      </c>
      <c r="H76" s="24" t="s">
        <v>2</v>
      </c>
      <c r="I76" s="31"/>
      <c r="J76" s="35"/>
    </row>
    <row r="77" spans="1:10" x14ac:dyDescent="0.25">
      <c r="C77" s="56"/>
      <c r="D77" s="53"/>
      <c r="E77" s="6"/>
      <c r="F77" s="19"/>
      <c r="G77" s="24"/>
      <c r="H77" s="24"/>
      <c r="I77" s="31"/>
      <c r="J77" s="35"/>
    </row>
    <row r="78" spans="1:10" x14ac:dyDescent="0.25">
      <c r="A78" s="10"/>
      <c r="B78" s="28"/>
      <c r="C78" s="58" t="s">
        <v>17</v>
      </c>
      <c r="D78" s="53"/>
      <c r="E78" s="6"/>
      <c r="F78" s="19"/>
      <c r="G78" s="24"/>
      <c r="H78" s="24"/>
      <c r="I78" s="31"/>
      <c r="J78" s="35"/>
    </row>
    <row r="79" spans="1:10" x14ac:dyDescent="0.25">
      <c r="A79" s="28"/>
      <c r="B79" s="28"/>
      <c r="C79" s="58" t="s">
        <v>18</v>
      </c>
      <c r="D79" s="53"/>
      <c r="E79" s="6"/>
      <c r="F79" s="19"/>
      <c r="G79" s="24" t="s">
        <v>2</v>
      </c>
      <c r="H79" s="24" t="s">
        <v>2</v>
      </c>
      <c r="I79" s="31"/>
      <c r="J79" s="35"/>
    </row>
    <row r="80" spans="1:10" x14ac:dyDescent="0.25">
      <c r="A80" s="28"/>
      <c r="B80" s="28"/>
      <c r="C80" s="58"/>
      <c r="D80" s="53"/>
      <c r="E80" s="6"/>
      <c r="F80" s="19"/>
      <c r="G80" s="24"/>
      <c r="H80" s="24"/>
      <c r="I80" s="31"/>
      <c r="J80" s="35"/>
    </row>
    <row r="81" spans="1:10" x14ac:dyDescent="0.25">
      <c r="A81" s="28"/>
      <c r="B81" s="28"/>
      <c r="C81" s="58" t="s">
        <v>19</v>
      </c>
      <c r="D81" s="53"/>
      <c r="E81" s="6"/>
      <c r="F81" s="19"/>
      <c r="G81" s="24" t="s">
        <v>2</v>
      </c>
      <c r="H81" s="24" t="s">
        <v>2</v>
      </c>
      <c r="I81" s="31"/>
      <c r="J81" s="35"/>
    </row>
    <row r="82" spans="1:10" x14ac:dyDescent="0.25">
      <c r="A82" s="28"/>
      <c r="B82" s="28"/>
      <c r="C82" s="58"/>
      <c r="D82" s="53"/>
      <c r="E82" s="6"/>
      <c r="F82" s="19"/>
      <c r="G82" s="24"/>
      <c r="H82" s="24"/>
      <c r="I82" s="31"/>
      <c r="J82" s="35"/>
    </row>
    <row r="83" spans="1:10" x14ac:dyDescent="0.25">
      <c r="A83" s="28"/>
      <c r="B83" s="28"/>
      <c r="C83" s="58" t="s">
        <v>20</v>
      </c>
      <c r="D83" s="53"/>
      <c r="E83" s="6"/>
      <c r="F83" s="19"/>
      <c r="G83" s="24" t="s">
        <v>2</v>
      </c>
      <c r="H83" s="24" t="s">
        <v>2</v>
      </c>
      <c r="I83" s="31"/>
      <c r="J83" s="35"/>
    </row>
    <row r="84" spans="1:10" x14ac:dyDescent="0.25">
      <c r="A84" s="28"/>
      <c r="B84" s="28"/>
      <c r="C84" s="58"/>
      <c r="D84" s="53"/>
      <c r="E84" s="6"/>
      <c r="F84" s="19"/>
      <c r="G84" s="24"/>
      <c r="H84" s="24"/>
      <c r="I84" s="31"/>
      <c r="J84" s="35"/>
    </row>
    <row r="85" spans="1:10" x14ac:dyDescent="0.25">
      <c r="A85" s="28"/>
      <c r="B85" s="28"/>
      <c r="C85" s="58" t="s">
        <v>21</v>
      </c>
      <c r="D85" s="53"/>
      <c r="E85" s="6"/>
      <c r="F85" s="19"/>
      <c r="G85" s="24" t="s">
        <v>2</v>
      </c>
      <c r="H85" s="24" t="s">
        <v>2</v>
      </c>
      <c r="I85" s="31"/>
      <c r="J85" s="35"/>
    </row>
    <row r="86" spans="1:10" x14ac:dyDescent="0.25">
      <c r="A86" s="28"/>
      <c r="B86" s="28"/>
      <c r="C86" s="58"/>
      <c r="D86" s="53"/>
      <c r="E86" s="6"/>
      <c r="F86" s="19"/>
      <c r="G86" s="24"/>
      <c r="H86" s="24"/>
      <c r="I86" s="31"/>
      <c r="J86" s="35"/>
    </row>
    <row r="87" spans="1:10" x14ac:dyDescent="0.25">
      <c r="C87" s="59" t="s">
        <v>22</v>
      </c>
      <c r="D87" s="53"/>
      <c r="E87" s="6"/>
      <c r="F87" s="19"/>
      <c r="G87" s="24"/>
      <c r="H87" s="24"/>
      <c r="I87" s="31"/>
      <c r="J87" s="35"/>
    </row>
    <row r="88" spans="1:10" x14ac:dyDescent="0.25">
      <c r="B88" s="8" t="s">
        <v>33</v>
      </c>
      <c r="C88" s="56" t="s">
        <v>34</v>
      </c>
      <c r="D88" s="53"/>
      <c r="E88" s="6"/>
      <c r="F88" s="19"/>
      <c r="G88" s="24">
        <v>5274.4</v>
      </c>
      <c r="H88" s="24">
        <v>4.57</v>
      </c>
      <c r="I88" s="31"/>
      <c r="J88" s="35"/>
    </row>
    <row r="89" spans="1:10" x14ac:dyDescent="0.25">
      <c r="C89" s="57" t="s">
        <v>35</v>
      </c>
      <c r="D89" s="53"/>
      <c r="E89" s="6"/>
      <c r="F89" s="19"/>
      <c r="G89" s="25">
        <v>5274.4</v>
      </c>
      <c r="H89" s="25">
        <v>4.57</v>
      </c>
      <c r="I89" s="31"/>
      <c r="J89" s="35"/>
    </row>
    <row r="90" spans="1:10" x14ac:dyDescent="0.25">
      <c r="C90" s="56"/>
      <c r="D90" s="53"/>
      <c r="E90" s="6"/>
      <c r="F90" s="19"/>
      <c r="G90" s="24"/>
      <c r="H90" s="24"/>
      <c r="I90" s="31"/>
      <c r="J90" s="35"/>
    </row>
    <row r="91" spans="1:10" x14ac:dyDescent="0.25">
      <c r="A91" s="10"/>
      <c r="B91" s="28"/>
      <c r="C91" s="58" t="s">
        <v>23</v>
      </c>
      <c r="D91" s="53"/>
      <c r="E91" s="6"/>
      <c r="F91" s="19"/>
      <c r="G91" s="24"/>
      <c r="H91" s="24"/>
      <c r="I91" s="31"/>
      <c r="J91" s="35"/>
    </row>
    <row r="92" spans="1:10" x14ac:dyDescent="0.25">
      <c r="A92" s="28"/>
      <c r="B92" s="28"/>
      <c r="C92" s="60" t="s">
        <v>3398</v>
      </c>
      <c r="D92" s="53"/>
      <c r="E92" s="6"/>
      <c r="F92" s="19"/>
      <c r="G92" s="24" t="s">
        <v>2</v>
      </c>
      <c r="H92" s="24" t="s">
        <v>2</v>
      </c>
      <c r="I92" s="31"/>
      <c r="J92" s="35"/>
    </row>
    <row r="93" spans="1:10" x14ac:dyDescent="0.25">
      <c r="B93" s="8"/>
      <c r="C93" s="56" t="s">
        <v>36</v>
      </c>
      <c r="D93" s="53"/>
      <c r="E93" s="6"/>
      <c r="F93" s="19"/>
      <c r="G93" s="24">
        <v>4947.37</v>
      </c>
      <c r="H93" s="24">
        <v>4.29</v>
      </c>
      <c r="I93" s="31"/>
      <c r="J93" s="35"/>
    </row>
    <row r="94" spans="1:10" x14ac:dyDescent="0.25">
      <c r="C94" s="57" t="s">
        <v>35</v>
      </c>
      <c r="D94" s="53"/>
      <c r="E94" s="6"/>
      <c r="F94" s="19"/>
      <c r="G94" s="25">
        <v>4947.37</v>
      </c>
      <c r="H94" s="25">
        <v>4.29</v>
      </c>
      <c r="I94" s="31"/>
      <c r="J94" s="35"/>
    </row>
    <row r="95" spans="1:10" x14ac:dyDescent="0.25">
      <c r="C95" s="56"/>
      <c r="D95" s="53"/>
      <c r="E95" s="6"/>
      <c r="F95" s="19"/>
      <c r="G95" s="24"/>
      <c r="H95" s="24"/>
      <c r="I95" s="31"/>
      <c r="J95" s="35"/>
    </row>
    <row r="96" spans="1:10" x14ac:dyDescent="0.25">
      <c r="C96" s="61" t="s">
        <v>37</v>
      </c>
      <c r="D96" s="54"/>
      <c r="E96" s="5"/>
      <c r="F96" s="20"/>
      <c r="G96" s="26">
        <v>115511.7</v>
      </c>
      <c r="H96" s="26">
        <f>SUMIFS(H:H,C:C,"Total")</f>
        <v>100.00000000000001</v>
      </c>
      <c r="I96" s="32"/>
      <c r="J96" s="36"/>
    </row>
    <row r="99" spans="3:3" x14ac:dyDescent="0.25">
      <c r="C99" s="1" t="s">
        <v>38</v>
      </c>
    </row>
    <row r="100" spans="3:3" x14ac:dyDescent="0.25">
      <c r="C100" s="2" t="s">
        <v>39</v>
      </c>
    </row>
    <row r="101" spans="3:3" x14ac:dyDescent="0.25">
      <c r="C101" s="2" t="s">
        <v>40</v>
      </c>
    </row>
    <row r="102" spans="3:3" x14ac:dyDescent="0.25">
      <c r="C102" s="2" t="s">
        <v>3430</v>
      </c>
    </row>
  </sheetData>
  <hyperlinks>
    <hyperlink ref="J2" location="'Index'!A1" display="'Index'!A1"/>
  </hyperlinks>
  <pageMargins left="0.7" right="0.7" top="0.75" bottom="0.75" header="0.3" footer="0.3"/>
  <pageSetup orientation="portrait" horizontalDpi="4294967293"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3"/>
  <dimension ref="A1:J8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2416</v>
      </c>
      <c r="J2" s="37" t="s">
        <v>3307</v>
      </c>
    </row>
    <row r="3" spans="1:10" ht="16.5" x14ac:dyDescent="0.3">
      <c r="C3" s="1" t="s">
        <v>24</v>
      </c>
      <c r="D3" s="21" t="s">
        <v>2417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2418</v>
      </c>
      <c r="C18" s="56" t="s">
        <v>2282</v>
      </c>
      <c r="D18" s="53" t="s">
        <v>2419</v>
      </c>
      <c r="E18" s="6" t="s">
        <v>1314</v>
      </c>
      <c r="F18" s="19">
        <v>370</v>
      </c>
      <c r="G18" s="24">
        <v>4608.17</v>
      </c>
      <c r="H18" s="24">
        <v>10.3</v>
      </c>
      <c r="I18" s="31">
        <v>5.4999000000000002</v>
      </c>
      <c r="J18" s="35" t="s">
        <v>514</v>
      </c>
    </row>
    <row r="19" spans="2:10" x14ac:dyDescent="0.25">
      <c r="B19" s="8" t="s">
        <v>2315</v>
      </c>
      <c r="C19" s="56" t="s">
        <v>2316</v>
      </c>
      <c r="D19" s="53" t="s">
        <v>2317</v>
      </c>
      <c r="E19" s="6" t="s">
        <v>534</v>
      </c>
      <c r="F19" s="19">
        <v>350</v>
      </c>
      <c r="G19" s="24">
        <v>4380.74</v>
      </c>
      <c r="H19" s="24">
        <v>9.8000000000000007</v>
      </c>
      <c r="I19" s="31">
        <v>4.6425000000000001</v>
      </c>
      <c r="J19" s="35" t="s">
        <v>514</v>
      </c>
    </row>
    <row r="20" spans="2:10" x14ac:dyDescent="0.25">
      <c r="B20" s="8" t="s">
        <v>2355</v>
      </c>
      <c r="C20" s="56" t="s">
        <v>1130</v>
      </c>
      <c r="D20" s="53" t="s">
        <v>2356</v>
      </c>
      <c r="E20" s="6" t="s">
        <v>911</v>
      </c>
      <c r="F20" s="19">
        <v>360</v>
      </c>
      <c r="G20" s="24">
        <v>3663.85</v>
      </c>
      <c r="H20" s="24">
        <v>8.19</v>
      </c>
      <c r="I20" s="31">
        <v>4.0250000000000004</v>
      </c>
      <c r="J20" s="35" t="s">
        <v>514</v>
      </c>
    </row>
    <row r="21" spans="2:10" x14ac:dyDescent="0.25">
      <c r="B21" s="8" t="s">
        <v>2353</v>
      </c>
      <c r="C21" s="56" t="s">
        <v>601</v>
      </c>
      <c r="D21" s="53" t="s">
        <v>2354</v>
      </c>
      <c r="E21" s="6" t="s">
        <v>534</v>
      </c>
      <c r="F21" s="19">
        <v>350</v>
      </c>
      <c r="G21" s="24">
        <v>3561.8</v>
      </c>
      <c r="H21" s="24">
        <v>7.96</v>
      </c>
      <c r="I21" s="31">
        <v>4.1150000000000002</v>
      </c>
      <c r="J21" s="35" t="s">
        <v>514</v>
      </c>
    </row>
    <row r="22" spans="2:10" x14ac:dyDescent="0.25">
      <c r="B22" s="8" t="s">
        <v>1737</v>
      </c>
      <c r="C22" s="56" t="s">
        <v>1738</v>
      </c>
      <c r="D22" s="53" t="s">
        <v>1739</v>
      </c>
      <c r="E22" s="6" t="s">
        <v>534</v>
      </c>
      <c r="F22" s="19">
        <v>350</v>
      </c>
      <c r="G22" s="24">
        <v>3561.05</v>
      </c>
      <c r="H22" s="24">
        <v>7.96</v>
      </c>
      <c r="I22" s="31">
        <v>3.75</v>
      </c>
      <c r="J22" s="35" t="s">
        <v>514</v>
      </c>
    </row>
    <row r="23" spans="2:10" x14ac:dyDescent="0.25">
      <c r="B23" s="8" t="s">
        <v>2313</v>
      </c>
      <c r="C23" s="56" t="s">
        <v>1376</v>
      </c>
      <c r="D23" s="53" t="s">
        <v>2314</v>
      </c>
      <c r="E23" s="6" t="s">
        <v>534</v>
      </c>
      <c r="F23" s="19">
        <v>350</v>
      </c>
      <c r="G23" s="24">
        <v>3557.6</v>
      </c>
      <c r="H23" s="24">
        <v>7.95</v>
      </c>
      <c r="I23" s="31">
        <v>3.8349000000000002</v>
      </c>
      <c r="J23" s="35" t="s">
        <v>514</v>
      </c>
    </row>
    <row r="24" spans="2:10" x14ac:dyDescent="0.25">
      <c r="B24" s="8" t="s">
        <v>2309</v>
      </c>
      <c r="C24" s="56" t="s">
        <v>909</v>
      </c>
      <c r="D24" s="53" t="s">
        <v>2310</v>
      </c>
      <c r="E24" s="6" t="s">
        <v>534</v>
      </c>
      <c r="F24" s="19">
        <v>250</v>
      </c>
      <c r="G24" s="24">
        <v>2530.21</v>
      </c>
      <c r="H24" s="24">
        <v>5.66</v>
      </c>
      <c r="I24" s="31">
        <v>3.7</v>
      </c>
      <c r="J24" s="35" t="s">
        <v>514</v>
      </c>
    </row>
    <row r="25" spans="2:10" x14ac:dyDescent="0.25">
      <c r="B25" s="8" t="s">
        <v>2420</v>
      </c>
      <c r="C25" s="56" t="s">
        <v>2421</v>
      </c>
      <c r="D25" s="53" t="s">
        <v>2422</v>
      </c>
      <c r="E25" s="6" t="s">
        <v>534</v>
      </c>
      <c r="F25" s="19">
        <v>200</v>
      </c>
      <c r="G25" s="24">
        <v>2489.63</v>
      </c>
      <c r="H25" s="24">
        <v>5.57</v>
      </c>
      <c r="I25" s="31">
        <v>4.3249000000000004</v>
      </c>
      <c r="J25" s="35" t="s">
        <v>514</v>
      </c>
    </row>
    <row r="26" spans="2:10" x14ac:dyDescent="0.25">
      <c r="B26" s="8" t="s">
        <v>2423</v>
      </c>
      <c r="C26" s="56" t="s">
        <v>1019</v>
      </c>
      <c r="D26" s="53" t="s">
        <v>2424</v>
      </c>
      <c r="E26" s="6" t="s">
        <v>1383</v>
      </c>
      <c r="F26" s="19">
        <v>60</v>
      </c>
      <c r="G26" s="24">
        <v>1520.83</v>
      </c>
      <c r="H26" s="24">
        <v>3.4</v>
      </c>
      <c r="I26" s="31">
        <v>5.6950000000000003</v>
      </c>
      <c r="J26" s="35" t="s">
        <v>514</v>
      </c>
    </row>
    <row r="27" spans="2:10" x14ac:dyDescent="0.25">
      <c r="C27" s="57" t="s">
        <v>35</v>
      </c>
      <c r="D27" s="53"/>
      <c r="E27" s="6"/>
      <c r="F27" s="19"/>
      <c r="G27" s="25">
        <v>29873.88</v>
      </c>
      <c r="H27" s="25">
        <v>66.790000000000006</v>
      </c>
      <c r="I27" s="31"/>
      <c r="J27" s="35"/>
    </row>
    <row r="28" spans="2:10" x14ac:dyDescent="0.25">
      <c r="C28" s="56"/>
      <c r="D28" s="53"/>
      <c r="E28" s="6"/>
      <c r="F28" s="19"/>
      <c r="G28" s="24"/>
      <c r="H28" s="24"/>
      <c r="I28" s="31"/>
      <c r="J28" s="35"/>
    </row>
    <row r="29" spans="2:10" x14ac:dyDescent="0.25">
      <c r="C29" s="57" t="s">
        <v>7</v>
      </c>
      <c r="D29" s="53"/>
      <c r="E29" s="6"/>
      <c r="F29" s="19"/>
      <c r="G29" s="24" t="s">
        <v>2</v>
      </c>
      <c r="H29" s="24" t="s">
        <v>2</v>
      </c>
      <c r="I29" s="31"/>
      <c r="J29" s="35"/>
    </row>
    <row r="30" spans="2:10" x14ac:dyDescent="0.25">
      <c r="C30" s="56"/>
      <c r="D30" s="53"/>
      <c r="E30" s="6"/>
      <c r="F30" s="19"/>
      <c r="G30" s="24"/>
      <c r="H30" s="24"/>
      <c r="I30" s="31"/>
      <c r="J30" s="35"/>
    </row>
    <row r="31" spans="2:10" x14ac:dyDescent="0.25">
      <c r="C31" s="57" t="s">
        <v>8</v>
      </c>
      <c r="D31" s="53"/>
      <c r="E31" s="6"/>
      <c r="F31" s="19"/>
      <c r="G31" s="24" t="s">
        <v>2</v>
      </c>
      <c r="H31" s="24" t="s">
        <v>2</v>
      </c>
      <c r="I31" s="31"/>
      <c r="J31" s="35"/>
    </row>
    <row r="32" spans="2:10" x14ac:dyDescent="0.25">
      <c r="C32" s="56"/>
      <c r="D32" s="53"/>
      <c r="E32" s="6"/>
      <c r="F32" s="19"/>
      <c r="G32" s="24"/>
      <c r="H32" s="24"/>
      <c r="I32" s="31"/>
      <c r="J32" s="35"/>
    </row>
    <row r="33" spans="1:10" x14ac:dyDescent="0.25">
      <c r="C33" s="57" t="s">
        <v>9</v>
      </c>
      <c r="D33" s="53"/>
      <c r="E33" s="6"/>
      <c r="F33" s="19"/>
      <c r="G33" s="24" t="s">
        <v>2</v>
      </c>
      <c r="H33" s="24" t="s">
        <v>2</v>
      </c>
      <c r="I33" s="31"/>
      <c r="J33" s="35"/>
    </row>
    <row r="34" spans="1:10" x14ac:dyDescent="0.25">
      <c r="C34" s="56"/>
      <c r="D34" s="53"/>
      <c r="E34" s="6"/>
      <c r="F34" s="19"/>
      <c r="G34" s="24"/>
      <c r="H34" s="24"/>
      <c r="I34" s="31"/>
      <c r="J34" s="35"/>
    </row>
    <row r="35" spans="1:10" x14ac:dyDescent="0.25">
      <c r="C35" s="59" t="s">
        <v>10</v>
      </c>
      <c r="D35" s="53"/>
      <c r="E35" s="6"/>
      <c r="F35" s="19"/>
      <c r="G35" s="24"/>
      <c r="H35" s="24"/>
      <c r="I35" s="31"/>
      <c r="J35" s="35"/>
    </row>
    <row r="36" spans="1:10" x14ac:dyDescent="0.25">
      <c r="B36" s="8" t="s">
        <v>2425</v>
      </c>
      <c r="C36" s="56" t="s">
        <v>2426</v>
      </c>
      <c r="D36" s="53" t="s">
        <v>2427</v>
      </c>
      <c r="E36" s="6" t="s">
        <v>655</v>
      </c>
      <c r="F36" s="19">
        <v>3000000</v>
      </c>
      <c r="G36" s="24">
        <v>3042.22</v>
      </c>
      <c r="H36" s="24">
        <v>6.8</v>
      </c>
      <c r="I36" s="31">
        <v>3.7353999999999998</v>
      </c>
      <c r="J36" s="35"/>
    </row>
    <row r="37" spans="1:10" x14ac:dyDescent="0.25">
      <c r="B37" s="8" t="s">
        <v>2323</v>
      </c>
      <c r="C37" s="56" t="s">
        <v>2324</v>
      </c>
      <c r="D37" s="53" t="s">
        <v>2325</v>
      </c>
      <c r="E37" s="6" t="s">
        <v>655</v>
      </c>
      <c r="F37" s="19">
        <v>1500000</v>
      </c>
      <c r="G37" s="24">
        <v>1529.32</v>
      </c>
      <c r="H37" s="24">
        <v>3.42</v>
      </c>
      <c r="I37" s="31">
        <v>4.0368000000000004</v>
      </c>
      <c r="J37" s="35"/>
    </row>
    <row r="38" spans="1:10" x14ac:dyDescent="0.25">
      <c r="B38" s="8" t="s">
        <v>1435</v>
      </c>
      <c r="C38" s="56" t="s">
        <v>1436</v>
      </c>
      <c r="D38" s="53" t="s">
        <v>1437</v>
      </c>
      <c r="E38" s="6" t="s">
        <v>655</v>
      </c>
      <c r="F38" s="19">
        <v>1200000</v>
      </c>
      <c r="G38" s="24">
        <v>1223.73</v>
      </c>
      <c r="H38" s="24">
        <v>2.74</v>
      </c>
      <c r="I38" s="31">
        <v>3.7057000000000002</v>
      </c>
      <c r="J38" s="35"/>
    </row>
    <row r="39" spans="1:10" x14ac:dyDescent="0.25">
      <c r="B39" s="8" t="s">
        <v>2428</v>
      </c>
      <c r="C39" s="56" t="s">
        <v>2429</v>
      </c>
      <c r="D39" s="53" t="s">
        <v>2430</v>
      </c>
      <c r="E39" s="6" t="s">
        <v>655</v>
      </c>
      <c r="F39" s="19">
        <v>1000000</v>
      </c>
      <c r="G39" s="24">
        <v>1014.1</v>
      </c>
      <c r="H39" s="24">
        <v>2.27</v>
      </c>
      <c r="I39" s="31">
        <v>3.7058</v>
      </c>
      <c r="J39" s="35"/>
    </row>
    <row r="40" spans="1:10" x14ac:dyDescent="0.25">
      <c r="C40" s="57" t="s">
        <v>35</v>
      </c>
      <c r="D40" s="53"/>
      <c r="E40" s="6"/>
      <c r="F40" s="19"/>
      <c r="G40" s="25">
        <v>6809.37</v>
      </c>
      <c r="H40" s="25">
        <v>15.23</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2431</v>
      </c>
      <c r="C46" s="56" t="s">
        <v>2339</v>
      </c>
      <c r="D46" s="53" t="s">
        <v>2432</v>
      </c>
      <c r="E46" s="6" t="s">
        <v>992</v>
      </c>
      <c r="F46" s="19">
        <v>2200</v>
      </c>
      <c r="G46" s="24">
        <v>2171.73</v>
      </c>
      <c r="H46" s="24">
        <v>4.8600000000000003</v>
      </c>
      <c r="I46" s="31">
        <v>5.3997999999999999</v>
      </c>
      <c r="J46" s="35" t="s">
        <v>514</v>
      </c>
    </row>
    <row r="47" spans="1:10" x14ac:dyDescent="0.25">
      <c r="B47" s="8" t="s">
        <v>1234</v>
      </c>
      <c r="C47" s="56" t="s">
        <v>74</v>
      </c>
      <c r="D47" s="53" t="s">
        <v>1235</v>
      </c>
      <c r="E47" s="6" t="s">
        <v>992</v>
      </c>
      <c r="F47" s="19">
        <v>1700</v>
      </c>
      <c r="G47" s="24">
        <v>1673.63</v>
      </c>
      <c r="H47" s="24">
        <v>3.74</v>
      </c>
      <c r="I47" s="31">
        <v>3.5950000000000002</v>
      </c>
      <c r="J47" s="35" t="s">
        <v>514</v>
      </c>
    </row>
    <row r="48" spans="1:10" x14ac:dyDescent="0.25">
      <c r="B48" s="8" t="s">
        <v>1250</v>
      </c>
      <c r="C48" s="56" t="s">
        <v>909</v>
      </c>
      <c r="D48" s="53" t="s">
        <v>1251</v>
      </c>
      <c r="E48" s="6" t="s">
        <v>992</v>
      </c>
      <c r="F48" s="19">
        <v>1300</v>
      </c>
      <c r="G48" s="24">
        <v>1286.1300000000001</v>
      </c>
      <c r="H48" s="24">
        <v>2.88</v>
      </c>
      <c r="I48" s="31">
        <v>3.5150999999999999</v>
      </c>
      <c r="J48" s="35" t="s">
        <v>514</v>
      </c>
    </row>
    <row r="49" spans="1:10" x14ac:dyDescent="0.25">
      <c r="B49" s="8" t="s">
        <v>2357</v>
      </c>
      <c r="C49" s="56" t="s">
        <v>74</v>
      </c>
      <c r="D49" s="53" t="s">
        <v>2358</v>
      </c>
      <c r="E49" s="6" t="s">
        <v>992</v>
      </c>
      <c r="F49" s="19">
        <v>500</v>
      </c>
      <c r="G49" s="24">
        <v>496.49</v>
      </c>
      <c r="H49" s="24">
        <v>1.1100000000000001</v>
      </c>
      <c r="I49" s="31">
        <v>3.3050999999999999</v>
      </c>
      <c r="J49" s="35"/>
    </row>
    <row r="50" spans="1:10" x14ac:dyDescent="0.25">
      <c r="B50" s="8" t="s">
        <v>1260</v>
      </c>
      <c r="C50" s="56" t="s">
        <v>402</v>
      </c>
      <c r="D50" s="53" t="s">
        <v>1261</v>
      </c>
      <c r="E50" s="6" t="s">
        <v>992</v>
      </c>
      <c r="F50" s="19">
        <v>100</v>
      </c>
      <c r="G50" s="24">
        <v>99.24</v>
      </c>
      <c r="H50" s="24">
        <v>0.22</v>
      </c>
      <c r="I50" s="31">
        <v>3.3250000000000002</v>
      </c>
      <c r="J50" s="35" t="s">
        <v>514</v>
      </c>
    </row>
    <row r="51" spans="1:10" x14ac:dyDescent="0.25">
      <c r="C51" s="57" t="s">
        <v>35</v>
      </c>
      <c r="D51" s="53"/>
      <c r="E51" s="6"/>
      <c r="F51" s="19"/>
      <c r="G51" s="25">
        <v>5727.22</v>
      </c>
      <c r="H51" s="25">
        <v>12.81</v>
      </c>
      <c r="I51" s="31"/>
      <c r="J51" s="35"/>
    </row>
    <row r="52" spans="1:10" x14ac:dyDescent="0.25">
      <c r="C52" s="56"/>
      <c r="D52" s="53"/>
      <c r="E52" s="6"/>
      <c r="F52" s="19"/>
      <c r="G52" s="24"/>
      <c r="H52" s="24"/>
      <c r="I52" s="31"/>
      <c r="J52" s="35"/>
    </row>
    <row r="53" spans="1:10" x14ac:dyDescent="0.25">
      <c r="C53" s="59" t="s">
        <v>15</v>
      </c>
      <c r="D53" s="53"/>
      <c r="E53" s="6"/>
      <c r="F53" s="19"/>
      <c r="G53" s="24"/>
      <c r="H53" s="24"/>
      <c r="I53" s="31"/>
      <c r="J53" s="35"/>
    </row>
    <row r="54" spans="1:10" x14ac:dyDescent="0.25">
      <c r="B54" s="8" t="s">
        <v>1278</v>
      </c>
      <c r="C54" s="56" t="s">
        <v>1279</v>
      </c>
      <c r="D54" s="53" t="s">
        <v>1280</v>
      </c>
      <c r="E54" s="6" t="s">
        <v>655</v>
      </c>
      <c r="F54" s="19">
        <v>800000</v>
      </c>
      <c r="G54" s="24">
        <v>786.98</v>
      </c>
      <c r="H54" s="24">
        <v>1.76</v>
      </c>
      <c r="I54" s="31">
        <v>3.45</v>
      </c>
      <c r="J54" s="35"/>
    </row>
    <row r="55" spans="1:10" x14ac:dyDescent="0.25">
      <c r="B55" s="8" t="s">
        <v>1266</v>
      </c>
      <c r="C55" s="56" t="s">
        <v>1267</v>
      </c>
      <c r="D55" s="53" t="s">
        <v>1268</v>
      </c>
      <c r="E55" s="6" t="s">
        <v>655</v>
      </c>
      <c r="F55" s="19">
        <v>100000</v>
      </c>
      <c r="G55" s="24">
        <v>98.37</v>
      </c>
      <c r="H55" s="24">
        <v>0.22</v>
      </c>
      <c r="I55" s="31">
        <v>3.45</v>
      </c>
      <c r="J55" s="35"/>
    </row>
    <row r="56" spans="1:10" x14ac:dyDescent="0.25">
      <c r="C56" s="57" t="s">
        <v>35</v>
      </c>
      <c r="D56" s="53"/>
      <c r="E56" s="6"/>
      <c r="F56" s="19"/>
      <c r="G56" s="25">
        <v>885.35</v>
      </c>
      <c r="H56" s="25">
        <v>1.98</v>
      </c>
      <c r="I56" s="31"/>
      <c r="J56" s="35"/>
    </row>
    <row r="57" spans="1:10" x14ac:dyDescent="0.25">
      <c r="C57" s="56"/>
      <c r="D57" s="53"/>
      <c r="E57" s="6"/>
      <c r="F57" s="19"/>
      <c r="G57" s="24"/>
      <c r="H57" s="24"/>
      <c r="I57" s="31"/>
      <c r="J57" s="35"/>
    </row>
    <row r="58" spans="1:10" x14ac:dyDescent="0.25">
      <c r="C58" s="57" t="s">
        <v>16</v>
      </c>
      <c r="D58" s="53"/>
      <c r="E58" s="6"/>
      <c r="F58" s="19"/>
      <c r="G58" s="24" t="s">
        <v>2</v>
      </c>
      <c r="H58" s="24" t="s">
        <v>2</v>
      </c>
      <c r="I58" s="31"/>
      <c r="J58" s="35"/>
    </row>
    <row r="59" spans="1:10" x14ac:dyDescent="0.25">
      <c r="C59" s="56"/>
      <c r="D59" s="53"/>
      <c r="E59" s="6"/>
      <c r="F59" s="19"/>
      <c r="G59" s="24"/>
      <c r="H59" s="24"/>
      <c r="I59" s="31"/>
      <c r="J59" s="35"/>
    </row>
    <row r="60" spans="1:10" x14ac:dyDescent="0.25">
      <c r="A60" s="10"/>
      <c r="B60" s="28"/>
      <c r="C60" s="58" t="s">
        <v>17</v>
      </c>
      <c r="D60" s="53"/>
      <c r="E60" s="6"/>
      <c r="F60" s="19"/>
      <c r="G60" s="24"/>
      <c r="H60" s="24"/>
      <c r="I60" s="31"/>
      <c r="J60" s="35"/>
    </row>
    <row r="61" spans="1:10" x14ac:dyDescent="0.25">
      <c r="A61" s="28"/>
      <c r="B61" s="28"/>
      <c r="C61" s="58" t="s">
        <v>18</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19</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A65" s="28"/>
      <c r="B65" s="28"/>
      <c r="C65" s="58" t="s">
        <v>20</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A67" s="28"/>
      <c r="B67" s="28"/>
      <c r="C67" s="58" t="s">
        <v>21</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C69" s="59" t="s">
        <v>22</v>
      </c>
      <c r="D69" s="53"/>
      <c r="E69" s="6"/>
      <c r="F69" s="19"/>
      <c r="G69" s="24"/>
      <c r="H69" s="24"/>
      <c r="I69" s="31"/>
      <c r="J69" s="35"/>
    </row>
    <row r="70" spans="1:10" x14ac:dyDescent="0.25">
      <c r="B70" s="8" t="s">
        <v>33</v>
      </c>
      <c r="C70" s="56" t="s">
        <v>34</v>
      </c>
      <c r="D70" s="53"/>
      <c r="E70" s="6"/>
      <c r="F70" s="19"/>
      <c r="G70" s="24">
        <v>149.66</v>
      </c>
      <c r="H70" s="24">
        <v>0.33</v>
      </c>
      <c r="I70" s="31"/>
      <c r="J70" s="35"/>
    </row>
    <row r="71" spans="1:10" x14ac:dyDescent="0.25">
      <c r="C71" s="57" t="s">
        <v>35</v>
      </c>
      <c r="D71" s="53"/>
      <c r="E71" s="6"/>
      <c r="F71" s="19"/>
      <c r="G71" s="25">
        <v>149.66</v>
      </c>
      <c r="H71" s="25">
        <v>0.33</v>
      </c>
      <c r="I71" s="31"/>
      <c r="J71" s="35"/>
    </row>
    <row r="72" spans="1:10" x14ac:dyDescent="0.25">
      <c r="C72" s="56"/>
      <c r="D72" s="53"/>
      <c r="E72" s="6"/>
      <c r="F72" s="19"/>
      <c r="G72" s="24"/>
      <c r="H72" s="24"/>
      <c r="I72" s="31"/>
      <c r="J72" s="35"/>
    </row>
    <row r="73" spans="1:10" x14ac:dyDescent="0.25">
      <c r="A73" s="10"/>
      <c r="B73" s="28"/>
      <c r="C73" s="58" t="s">
        <v>23</v>
      </c>
      <c r="D73" s="53"/>
      <c r="E73" s="6"/>
      <c r="F73" s="19"/>
      <c r="G73" s="24"/>
      <c r="H73" s="24"/>
      <c r="I73" s="31"/>
      <c r="J73" s="35"/>
    </row>
    <row r="74" spans="1:10" x14ac:dyDescent="0.25">
      <c r="A74" s="28"/>
      <c r="B74" s="28"/>
      <c r="C74" s="60" t="s">
        <v>3398</v>
      </c>
      <c r="D74" s="53"/>
      <c r="E74" s="6"/>
      <c r="F74" s="19"/>
      <c r="G74" s="24" t="s">
        <v>2</v>
      </c>
      <c r="H74" s="24" t="s">
        <v>2</v>
      </c>
      <c r="I74" s="31"/>
      <c r="J74" s="35"/>
    </row>
    <row r="75" spans="1:10" x14ac:dyDescent="0.25">
      <c r="B75" s="8"/>
      <c r="C75" s="56" t="s">
        <v>36</v>
      </c>
      <c r="D75" s="53"/>
      <c r="E75" s="6"/>
      <c r="F75" s="19"/>
      <c r="G75" s="24">
        <v>1278.22</v>
      </c>
      <c r="H75" s="24">
        <v>2.86</v>
      </c>
      <c r="I75" s="31"/>
      <c r="J75" s="35"/>
    </row>
    <row r="76" spans="1:10" x14ac:dyDescent="0.25">
      <c r="C76" s="57" t="s">
        <v>35</v>
      </c>
      <c r="D76" s="53"/>
      <c r="E76" s="6"/>
      <c r="F76" s="19"/>
      <c r="G76" s="25">
        <v>1278.22</v>
      </c>
      <c r="H76" s="25">
        <v>2.86</v>
      </c>
      <c r="I76" s="31"/>
      <c r="J76" s="35"/>
    </row>
    <row r="77" spans="1:10" x14ac:dyDescent="0.25">
      <c r="C77" s="56"/>
      <c r="D77" s="53"/>
      <c r="E77" s="6"/>
      <c r="F77" s="19"/>
      <c r="G77" s="24"/>
      <c r="H77" s="24"/>
      <c r="I77" s="31"/>
      <c r="J77" s="35"/>
    </row>
    <row r="78" spans="1:10" x14ac:dyDescent="0.25">
      <c r="C78" s="61" t="s">
        <v>37</v>
      </c>
      <c r="D78" s="54"/>
      <c r="E78" s="5"/>
      <c r="F78" s="20"/>
      <c r="G78" s="26">
        <v>44723.7</v>
      </c>
      <c r="H78" s="26">
        <f>SUMIFS(H:H,C:C,"Total")</f>
        <v>100.00000000000001</v>
      </c>
      <c r="I78" s="32"/>
      <c r="J78" s="36"/>
    </row>
    <row r="81" spans="3:3" x14ac:dyDescent="0.25">
      <c r="C81" s="1" t="s">
        <v>38</v>
      </c>
    </row>
    <row r="82" spans="3:3" x14ac:dyDescent="0.25">
      <c r="C82" s="2" t="s">
        <v>39</v>
      </c>
    </row>
    <row r="83" spans="3:3" x14ac:dyDescent="0.25">
      <c r="C83" s="2" t="s">
        <v>40</v>
      </c>
    </row>
    <row r="84" spans="3:3" x14ac:dyDescent="0.25">
      <c r="C84" s="2" t="s">
        <v>3430</v>
      </c>
    </row>
  </sheetData>
  <hyperlinks>
    <hyperlink ref="J2" location="'Index'!A1" display="'Index'!A1"/>
  </hyperlinks>
  <pageMargins left="0.7" right="0.7" top="0.75" bottom="0.75" header="0.3" footer="0.3"/>
  <pageSetup orientation="portrait" horizontalDpi="4294967293"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4"/>
  <dimension ref="A1:J8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2241</v>
      </c>
      <c r="J2" s="37" t="s">
        <v>3307</v>
      </c>
    </row>
    <row r="3" spans="1:10" ht="16.5" x14ac:dyDescent="0.3">
      <c r="C3" s="1" t="s">
        <v>24</v>
      </c>
      <c r="D3" s="21" t="s">
        <v>2433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2418</v>
      </c>
      <c r="C18" s="56" t="s">
        <v>2282</v>
      </c>
      <c r="D18" s="53" t="s">
        <v>2419</v>
      </c>
      <c r="E18" s="6" t="s">
        <v>1314</v>
      </c>
      <c r="F18" s="19">
        <v>160</v>
      </c>
      <c r="G18" s="24">
        <v>1992.72</v>
      </c>
      <c r="H18" s="24">
        <v>10</v>
      </c>
      <c r="I18" s="31">
        <v>5.4999000000000002</v>
      </c>
      <c r="J18" s="35" t="s">
        <v>514</v>
      </c>
    </row>
    <row r="19" spans="2:10" x14ac:dyDescent="0.25">
      <c r="B19" s="8" t="s">
        <v>2387</v>
      </c>
      <c r="C19" s="56" t="s">
        <v>1127</v>
      </c>
      <c r="D19" s="53" t="s">
        <v>2388</v>
      </c>
      <c r="E19" s="6" t="s">
        <v>534</v>
      </c>
      <c r="F19" s="19">
        <v>150</v>
      </c>
      <c r="G19" s="24">
        <v>1869.76</v>
      </c>
      <c r="H19" s="24">
        <v>9.3800000000000008</v>
      </c>
      <c r="I19" s="31">
        <v>3.9649999999999999</v>
      </c>
      <c r="J19" s="35" t="s">
        <v>514</v>
      </c>
    </row>
    <row r="20" spans="2:10" x14ac:dyDescent="0.25">
      <c r="B20" s="8" t="s">
        <v>2397</v>
      </c>
      <c r="C20" s="56" t="s">
        <v>1752</v>
      </c>
      <c r="D20" s="53" t="s">
        <v>2398</v>
      </c>
      <c r="E20" s="6" t="s">
        <v>1314</v>
      </c>
      <c r="F20" s="19">
        <v>160</v>
      </c>
      <c r="G20" s="24">
        <v>1629.87</v>
      </c>
      <c r="H20" s="24">
        <v>8.18</v>
      </c>
      <c r="I20" s="31">
        <v>3.9590999999999998</v>
      </c>
      <c r="J20" s="35" t="s">
        <v>514</v>
      </c>
    </row>
    <row r="21" spans="2:10" x14ac:dyDescent="0.25">
      <c r="B21" s="8" t="s">
        <v>2355</v>
      </c>
      <c r="C21" s="56" t="s">
        <v>1130</v>
      </c>
      <c r="D21" s="53" t="s">
        <v>2356</v>
      </c>
      <c r="E21" s="6" t="s">
        <v>911</v>
      </c>
      <c r="F21" s="19">
        <v>160</v>
      </c>
      <c r="G21" s="24">
        <v>1628.38</v>
      </c>
      <c r="H21" s="24">
        <v>8.17</v>
      </c>
      <c r="I21" s="31">
        <v>4.0250000000000004</v>
      </c>
      <c r="J21" s="35" t="s">
        <v>514</v>
      </c>
    </row>
    <row r="22" spans="2:10" x14ac:dyDescent="0.25">
      <c r="B22" s="8" t="s">
        <v>2434</v>
      </c>
      <c r="C22" s="56" t="s">
        <v>601</v>
      </c>
      <c r="D22" s="53" t="s">
        <v>2435</v>
      </c>
      <c r="E22" s="6" t="s">
        <v>534</v>
      </c>
      <c r="F22" s="19">
        <v>150</v>
      </c>
      <c r="G22" s="24">
        <v>1527.98</v>
      </c>
      <c r="H22" s="24">
        <v>7.66</v>
      </c>
      <c r="I22" s="31">
        <v>4.1151</v>
      </c>
      <c r="J22" s="35" t="s">
        <v>514</v>
      </c>
    </row>
    <row r="23" spans="2:10" x14ac:dyDescent="0.25">
      <c r="B23" s="8" t="s">
        <v>2313</v>
      </c>
      <c r="C23" s="56" t="s">
        <v>1376</v>
      </c>
      <c r="D23" s="53" t="s">
        <v>2314</v>
      </c>
      <c r="E23" s="6" t="s">
        <v>534</v>
      </c>
      <c r="F23" s="19">
        <v>150</v>
      </c>
      <c r="G23" s="24">
        <v>1524.68</v>
      </c>
      <c r="H23" s="24">
        <v>7.65</v>
      </c>
      <c r="I23" s="31">
        <v>3.8349000000000002</v>
      </c>
      <c r="J23" s="35" t="s">
        <v>514</v>
      </c>
    </row>
    <row r="24" spans="2:10" x14ac:dyDescent="0.25">
      <c r="B24" s="8" t="s">
        <v>2423</v>
      </c>
      <c r="C24" s="56" t="s">
        <v>1019</v>
      </c>
      <c r="D24" s="53" t="s">
        <v>2424</v>
      </c>
      <c r="E24" s="6" t="s">
        <v>1383</v>
      </c>
      <c r="F24" s="19">
        <v>24</v>
      </c>
      <c r="G24" s="24">
        <v>608.33000000000004</v>
      </c>
      <c r="H24" s="24">
        <v>3.05</v>
      </c>
      <c r="I24" s="31">
        <v>5.6950000000000003</v>
      </c>
      <c r="J24" s="35" t="s">
        <v>514</v>
      </c>
    </row>
    <row r="25" spans="2:10" x14ac:dyDescent="0.25">
      <c r="B25" s="8" t="s">
        <v>2399</v>
      </c>
      <c r="C25" s="56" t="s">
        <v>1230</v>
      </c>
      <c r="D25" s="53" t="s">
        <v>2400</v>
      </c>
      <c r="E25" s="6" t="s">
        <v>534</v>
      </c>
      <c r="F25" s="19">
        <v>50</v>
      </c>
      <c r="G25" s="24">
        <v>512.08000000000004</v>
      </c>
      <c r="H25" s="24">
        <v>2.57</v>
      </c>
      <c r="I25" s="31">
        <v>3.6349</v>
      </c>
      <c r="J25" s="35" t="s">
        <v>514</v>
      </c>
    </row>
    <row r="26" spans="2:10" x14ac:dyDescent="0.25">
      <c r="B26" s="8" t="s">
        <v>1737</v>
      </c>
      <c r="C26" s="56" t="s">
        <v>1738</v>
      </c>
      <c r="D26" s="53" t="s">
        <v>1739</v>
      </c>
      <c r="E26" s="6" t="s">
        <v>534</v>
      </c>
      <c r="F26" s="19">
        <v>50</v>
      </c>
      <c r="G26" s="24">
        <v>508.72</v>
      </c>
      <c r="H26" s="24">
        <v>2.5499999999999998</v>
      </c>
      <c r="I26" s="31">
        <v>3.75</v>
      </c>
      <c r="J26" s="35" t="s">
        <v>514</v>
      </c>
    </row>
    <row r="27" spans="2:10" x14ac:dyDescent="0.25">
      <c r="B27" s="8" t="s">
        <v>2309</v>
      </c>
      <c r="C27" s="56" t="s">
        <v>909</v>
      </c>
      <c r="D27" s="53" t="s">
        <v>2310</v>
      </c>
      <c r="E27" s="6" t="s">
        <v>534</v>
      </c>
      <c r="F27" s="19">
        <v>50</v>
      </c>
      <c r="G27" s="24">
        <v>506.04</v>
      </c>
      <c r="H27" s="24">
        <v>2.54</v>
      </c>
      <c r="I27" s="31">
        <v>3.7</v>
      </c>
      <c r="J27" s="35" t="s">
        <v>514</v>
      </c>
    </row>
    <row r="28" spans="2:10" x14ac:dyDescent="0.25">
      <c r="C28" s="57" t="s">
        <v>35</v>
      </c>
      <c r="D28" s="53"/>
      <c r="E28" s="6"/>
      <c r="F28" s="19"/>
      <c r="G28" s="25">
        <v>12308.56</v>
      </c>
      <c r="H28" s="25">
        <v>61.75</v>
      </c>
      <c r="I28" s="31"/>
      <c r="J28" s="35"/>
    </row>
    <row r="29" spans="2:10" x14ac:dyDescent="0.25">
      <c r="C29" s="56"/>
      <c r="D29" s="53"/>
      <c r="E29" s="6"/>
      <c r="F29" s="19"/>
      <c r="G29" s="24"/>
      <c r="H29" s="24"/>
      <c r="I29" s="31"/>
      <c r="J29" s="35"/>
    </row>
    <row r="30" spans="2:10" x14ac:dyDescent="0.25">
      <c r="C30" s="57" t="s">
        <v>7</v>
      </c>
      <c r="D30" s="53"/>
      <c r="E30" s="6"/>
      <c r="F30" s="19"/>
      <c r="G30" s="24" t="s">
        <v>2</v>
      </c>
      <c r="H30" s="24" t="s">
        <v>2</v>
      </c>
      <c r="I30" s="31"/>
      <c r="J30" s="35"/>
    </row>
    <row r="31" spans="2:10" x14ac:dyDescent="0.25">
      <c r="C31" s="56"/>
      <c r="D31" s="53"/>
      <c r="E31" s="6"/>
      <c r="F31" s="19"/>
      <c r="G31" s="24"/>
      <c r="H31" s="24"/>
      <c r="I31" s="31"/>
      <c r="J31" s="35"/>
    </row>
    <row r="32" spans="2:10" x14ac:dyDescent="0.25">
      <c r="C32" s="57" t="s">
        <v>8</v>
      </c>
      <c r="D32" s="53"/>
      <c r="E32" s="6"/>
      <c r="F32" s="19"/>
      <c r="G32" s="24" t="s">
        <v>2</v>
      </c>
      <c r="H32" s="24" t="s">
        <v>2</v>
      </c>
      <c r="I32" s="31"/>
      <c r="J32" s="35"/>
    </row>
    <row r="33" spans="1:10" x14ac:dyDescent="0.25">
      <c r="C33" s="56"/>
      <c r="D33" s="53"/>
      <c r="E33" s="6"/>
      <c r="F33" s="19"/>
      <c r="G33" s="24"/>
      <c r="H33" s="24"/>
      <c r="I33" s="31"/>
      <c r="J33" s="35"/>
    </row>
    <row r="34" spans="1:10" x14ac:dyDescent="0.25">
      <c r="C34" s="57" t="s">
        <v>9</v>
      </c>
      <c r="D34" s="53"/>
      <c r="E34" s="6"/>
      <c r="F34" s="19"/>
      <c r="G34" s="24" t="s">
        <v>2</v>
      </c>
      <c r="H34" s="24" t="s">
        <v>2</v>
      </c>
      <c r="I34" s="31"/>
      <c r="J34" s="35"/>
    </row>
    <row r="35" spans="1:10" x14ac:dyDescent="0.25">
      <c r="C35" s="56"/>
      <c r="D35" s="53"/>
      <c r="E35" s="6"/>
      <c r="F35" s="19"/>
      <c r="G35" s="24"/>
      <c r="H35" s="24"/>
      <c r="I35" s="31"/>
      <c r="J35" s="35"/>
    </row>
    <row r="36" spans="1:10" x14ac:dyDescent="0.25">
      <c r="C36" s="59" t="s">
        <v>10</v>
      </c>
      <c r="D36" s="53"/>
      <c r="E36" s="6"/>
      <c r="F36" s="19"/>
      <c r="G36" s="24"/>
      <c r="H36" s="24"/>
      <c r="I36" s="31"/>
      <c r="J36" s="35"/>
    </row>
    <row r="37" spans="1:10" x14ac:dyDescent="0.25">
      <c r="B37" s="8" t="s">
        <v>2323</v>
      </c>
      <c r="C37" s="56" t="s">
        <v>2324</v>
      </c>
      <c r="D37" s="53" t="s">
        <v>2325</v>
      </c>
      <c r="E37" s="6" t="s">
        <v>655</v>
      </c>
      <c r="F37" s="19">
        <v>2300000</v>
      </c>
      <c r="G37" s="24">
        <v>2344.96</v>
      </c>
      <c r="H37" s="24">
        <v>11.76</v>
      </c>
      <c r="I37" s="31">
        <v>4.0368000000000004</v>
      </c>
      <c r="J37" s="35"/>
    </row>
    <row r="38" spans="1:10" x14ac:dyDescent="0.25">
      <c r="C38" s="57" t="s">
        <v>35</v>
      </c>
      <c r="D38" s="53"/>
      <c r="E38" s="6"/>
      <c r="F38" s="19"/>
      <c r="G38" s="25">
        <v>2344.96</v>
      </c>
      <c r="H38" s="25">
        <v>11.76</v>
      </c>
      <c r="I38" s="31"/>
      <c r="J38" s="35"/>
    </row>
    <row r="39" spans="1:10" x14ac:dyDescent="0.25">
      <c r="C39" s="56"/>
      <c r="D39" s="53"/>
      <c r="E39" s="6"/>
      <c r="F39" s="19"/>
      <c r="G39" s="24"/>
      <c r="H39" s="24"/>
      <c r="I39" s="31"/>
      <c r="J39" s="35"/>
    </row>
    <row r="40" spans="1:10" x14ac:dyDescent="0.25">
      <c r="A40" s="10"/>
      <c r="B40" s="28"/>
      <c r="C40" s="58" t="s">
        <v>11</v>
      </c>
      <c r="D40" s="53"/>
      <c r="E40" s="6"/>
      <c r="F40" s="19"/>
      <c r="G40" s="24"/>
      <c r="H40" s="24"/>
      <c r="I40" s="31"/>
      <c r="J40" s="35"/>
    </row>
    <row r="41" spans="1:10" x14ac:dyDescent="0.25">
      <c r="A41" s="28"/>
      <c r="B41" s="28"/>
      <c r="C41" s="58" t="s">
        <v>13</v>
      </c>
      <c r="D41" s="53"/>
      <c r="E41" s="6"/>
      <c r="F41" s="19"/>
      <c r="G41" s="24" t="s">
        <v>2</v>
      </c>
      <c r="H41" s="24" t="s">
        <v>2</v>
      </c>
      <c r="I41" s="31"/>
      <c r="J41" s="35"/>
    </row>
    <row r="42" spans="1:10" x14ac:dyDescent="0.25">
      <c r="A42" s="28"/>
      <c r="B42" s="28"/>
      <c r="C42" s="58"/>
      <c r="D42" s="53"/>
      <c r="E42" s="6"/>
      <c r="F42" s="19"/>
      <c r="G42" s="24"/>
      <c r="H42" s="24"/>
      <c r="I42" s="31"/>
      <c r="J42" s="35"/>
    </row>
    <row r="43" spans="1:10" x14ac:dyDescent="0.25">
      <c r="C43" s="59" t="s">
        <v>14</v>
      </c>
      <c r="D43" s="53"/>
      <c r="E43" s="6"/>
      <c r="F43" s="19"/>
      <c r="G43" s="24"/>
      <c r="H43" s="24"/>
      <c r="I43" s="31"/>
      <c r="J43" s="35"/>
    </row>
    <row r="44" spans="1:10" x14ac:dyDescent="0.25">
      <c r="B44" s="8" t="s">
        <v>1225</v>
      </c>
      <c r="C44" s="56" t="s">
        <v>818</v>
      </c>
      <c r="D44" s="53" t="s">
        <v>1226</v>
      </c>
      <c r="E44" s="6" t="s">
        <v>1000</v>
      </c>
      <c r="F44" s="19">
        <v>1900</v>
      </c>
      <c r="G44" s="24">
        <v>1871.35</v>
      </c>
      <c r="H44" s="24">
        <v>9.39</v>
      </c>
      <c r="I44" s="31">
        <v>3.5150000000000001</v>
      </c>
      <c r="J44" s="35" t="s">
        <v>514</v>
      </c>
    </row>
    <row r="45" spans="1:10" x14ac:dyDescent="0.25">
      <c r="B45" s="8" t="s">
        <v>1250</v>
      </c>
      <c r="C45" s="56" t="s">
        <v>909</v>
      </c>
      <c r="D45" s="53" t="s">
        <v>1251</v>
      </c>
      <c r="E45" s="6" t="s">
        <v>992</v>
      </c>
      <c r="F45" s="19">
        <v>800</v>
      </c>
      <c r="G45" s="24">
        <v>791.46</v>
      </c>
      <c r="H45" s="24">
        <v>3.97</v>
      </c>
      <c r="I45" s="31">
        <v>3.5150999999999999</v>
      </c>
      <c r="J45" s="35" t="s">
        <v>514</v>
      </c>
    </row>
    <row r="46" spans="1:10" x14ac:dyDescent="0.25">
      <c r="B46" s="8" t="s">
        <v>2431</v>
      </c>
      <c r="C46" s="56" t="s">
        <v>2339</v>
      </c>
      <c r="D46" s="53" t="s">
        <v>2432</v>
      </c>
      <c r="E46" s="6" t="s">
        <v>992</v>
      </c>
      <c r="F46" s="19">
        <v>800</v>
      </c>
      <c r="G46" s="24">
        <v>789.72</v>
      </c>
      <c r="H46" s="24">
        <v>3.96</v>
      </c>
      <c r="I46" s="31">
        <v>5.3997999999999999</v>
      </c>
      <c r="J46" s="35" t="s">
        <v>514</v>
      </c>
    </row>
    <row r="47" spans="1:10" x14ac:dyDescent="0.25">
      <c r="B47" s="8" t="s">
        <v>1260</v>
      </c>
      <c r="C47" s="56" t="s">
        <v>402</v>
      </c>
      <c r="D47" s="53" t="s">
        <v>1261</v>
      </c>
      <c r="E47" s="6" t="s">
        <v>992</v>
      </c>
      <c r="F47" s="19">
        <v>100</v>
      </c>
      <c r="G47" s="24">
        <v>99.24</v>
      </c>
      <c r="H47" s="24">
        <v>0.5</v>
      </c>
      <c r="I47" s="31">
        <v>3.3250000000000002</v>
      </c>
      <c r="J47" s="35" t="s">
        <v>514</v>
      </c>
    </row>
    <row r="48" spans="1:10" x14ac:dyDescent="0.25">
      <c r="C48" s="57" t="s">
        <v>35</v>
      </c>
      <c r="D48" s="53"/>
      <c r="E48" s="6"/>
      <c r="F48" s="19"/>
      <c r="G48" s="25">
        <v>3551.77</v>
      </c>
      <c r="H48" s="25">
        <v>17.82</v>
      </c>
      <c r="I48" s="31"/>
      <c r="J48" s="35"/>
    </row>
    <row r="49" spans="1:10" x14ac:dyDescent="0.25">
      <c r="C49" s="56"/>
      <c r="D49" s="53"/>
      <c r="E49" s="6"/>
      <c r="F49" s="19"/>
      <c r="G49" s="24"/>
      <c r="H49" s="24"/>
      <c r="I49" s="31"/>
      <c r="J49" s="35"/>
    </row>
    <row r="50" spans="1:10" x14ac:dyDescent="0.25">
      <c r="C50" s="59" t="s">
        <v>15</v>
      </c>
      <c r="D50" s="53"/>
      <c r="E50" s="6"/>
      <c r="F50" s="19"/>
      <c r="G50" s="24"/>
      <c r="H50" s="24"/>
      <c r="I50" s="31"/>
      <c r="J50" s="35"/>
    </row>
    <row r="51" spans="1:10" x14ac:dyDescent="0.25">
      <c r="B51" s="8" t="s">
        <v>1278</v>
      </c>
      <c r="C51" s="56" t="s">
        <v>1279</v>
      </c>
      <c r="D51" s="53" t="s">
        <v>1280</v>
      </c>
      <c r="E51" s="6" t="s">
        <v>655</v>
      </c>
      <c r="F51" s="19">
        <v>1000000</v>
      </c>
      <c r="G51" s="24">
        <v>983.73</v>
      </c>
      <c r="H51" s="24">
        <v>4.93</v>
      </c>
      <c r="I51" s="31">
        <v>3.45</v>
      </c>
      <c r="J51" s="35"/>
    </row>
    <row r="52" spans="1:10" x14ac:dyDescent="0.25">
      <c r="B52" s="8" t="s">
        <v>1266</v>
      </c>
      <c r="C52" s="56" t="s">
        <v>1267</v>
      </c>
      <c r="D52" s="53" t="s">
        <v>1268</v>
      </c>
      <c r="E52" s="6" t="s">
        <v>655</v>
      </c>
      <c r="F52" s="19">
        <v>200000</v>
      </c>
      <c r="G52" s="24">
        <v>196.75</v>
      </c>
      <c r="H52" s="24">
        <v>0.99</v>
      </c>
      <c r="I52" s="31">
        <v>3.45</v>
      </c>
      <c r="J52" s="35"/>
    </row>
    <row r="53" spans="1:10" x14ac:dyDescent="0.25">
      <c r="C53" s="57" t="s">
        <v>35</v>
      </c>
      <c r="D53" s="53"/>
      <c r="E53" s="6"/>
      <c r="F53" s="19"/>
      <c r="G53" s="25">
        <v>1180.48</v>
      </c>
      <c r="H53" s="25">
        <v>5.92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71.36</v>
      </c>
      <c r="H67" s="24">
        <v>0.36</v>
      </c>
      <c r="I67" s="31"/>
      <c r="J67" s="35"/>
    </row>
    <row r="68" spans="1:10" x14ac:dyDescent="0.25">
      <c r="C68" s="57" t="s">
        <v>35</v>
      </c>
      <c r="D68" s="53"/>
      <c r="E68" s="6"/>
      <c r="F68" s="19"/>
      <c r="G68" s="25">
        <v>71.36</v>
      </c>
      <c r="H68" s="25">
        <v>0.36</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478.3</v>
      </c>
      <c r="H72" s="24">
        <v>2.39</v>
      </c>
      <c r="I72" s="31"/>
      <c r="J72" s="35"/>
    </row>
    <row r="73" spans="1:10" x14ac:dyDescent="0.25">
      <c r="C73" s="57" t="s">
        <v>35</v>
      </c>
      <c r="D73" s="53"/>
      <c r="E73" s="6"/>
      <c r="F73" s="19"/>
      <c r="G73" s="25">
        <v>478.3</v>
      </c>
      <c r="H73" s="25">
        <v>2.39</v>
      </c>
      <c r="I73" s="31"/>
      <c r="J73" s="35"/>
    </row>
    <row r="74" spans="1:10" x14ac:dyDescent="0.25">
      <c r="C74" s="56"/>
      <c r="D74" s="53"/>
      <c r="E74" s="6"/>
      <c r="F74" s="19"/>
      <c r="G74" s="24"/>
      <c r="H74" s="24"/>
      <c r="I74" s="31"/>
      <c r="J74" s="35"/>
    </row>
    <row r="75" spans="1:10" x14ac:dyDescent="0.25">
      <c r="C75" s="61" t="s">
        <v>37</v>
      </c>
      <c r="D75" s="54"/>
      <c r="E75" s="5"/>
      <c r="F75" s="20"/>
      <c r="G75" s="26">
        <v>19935.43</v>
      </c>
      <c r="H75" s="26">
        <f>SUMIFS(H:H,C:C,"Total")</f>
        <v>100.00000000000001</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5"/>
  <dimension ref="A1:J8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2436</v>
      </c>
      <c r="J2" s="37" t="s">
        <v>3307</v>
      </c>
    </row>
    <row r="3" spans="1:10" ht="16.5" x14ac:dyDescent="0.3">
      <c r="C3" s="1" t="s">
        <v>24</v>
      </c>
      <c r="D3" s="21" t="s">
        <v>2437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150000</v>
      </c>
      <c r="G10" s="24">
        <v>1617.9</v>
      </c>
      <c r="H10" s="24">
        <v>6.96</v>
      </c>
      <c r="I10" s="31"/>
      <c r="J10" s="35"/>
    </row>
    <row r="11" spans="1:10" x14ac:dyDescent="0.25">
      <c r="B11" s="8" t="s">
        <v>62</v>
      </c>
      <c r="C11" s="56" t="s">
        <v>63</v>
      </c>
      <c r="D11" s="53" t="s">
        <v>64</v>
      </c>
      <c r="E11" s="6" t="s">
        <v>51</v>
      </c>
      <c r="F11" s="19">
        <v>444000</v>
      </c>
      <c r="G11" s="24">
        <v>1575.09</v>
      </c>
      <c r="H11" s="24">
        <v>6.77</v>
      </c>
      <c r="I11" s="31"/>
      <c r="J11" s="35"/>
    </row>
    <row r="12" spans="1:10" x14ac:dyDescent="0.25">
      <c r="B12" s="8" t="s">
        <v>409</v>
      </c>
      <c r="C12" s="56" t="s">
        <v>410</v>
      </c>
      <c r="D12" s="53" t="s">
        <v>411</v>
      </c>
      <c r="E12" s="6" t="s">
        <v>98</v>
      </c>
      <c r="F12" s="19">
        <v>17000</v>
      </c>
      <c r="G12" s="24">
        <v>1146.3900000000001</v>
      </c>
      <c r="H12" s="24">
        <v>4.93</v>
      </c>
      <c r="I12" s="31"/>
      <c r="J12" s="35"/>
    </row>
    <row r="13" spans="1:10" x14ac:dyDescent="0.25">
      <c r="B13" s="8" t="s">
        <v>133</v>
      </c>
      <c r="C13" s="56" t="s">
        <v>134</v>
      </c>
      <c r="D13" s="53" t="s">
        <v>135</v>
      </c>
      <c r="E13" s="6" t="s">
        <v>47</v>
      </c>
      <c r="F13" s="19">
        <v>130000</v>
      </c>
      <c r="G13" s="24">
        <v>1055.08</v>
      </c>
      <c r="H13" s="24">
        <v>4.54</v>
      </c>
      <c r="I13" s="31"/>
      <c r="J13" s="35"/>
    </row>
    <row r="14" spans="1:10" x14ac:dyDescent="0.25">
      <c r="B14" s="8" t="s">
        <v>76</v>
      </c>
      <c r="C14" s="56" t="s">
        <v>77</v>
      </c>
      <c r="D14" s="53" t="s">
        <v>78</v>
      </c>
      <c r="E14" s="6" t="s">
        <v>79</v>
      </c>
      <c r="F14" s="19">
        <v>117000</v>
      </c>
      <c r="G14" s="24">
        <v>1054.8699999999999</v>
      </c>
      <c r="H14" s="24">
        <v>4.54</v>
      </c>
      <c r="I14" s="31"/>
      <c r="J14" s="35"/>
    </row>
    <row r="15" spans="1:10" x14ac:dyDescent="0.25">
      <c r="B15" s="8" t="s">
        <v>206</v>
      </c>
      <c r="C15" s="56" t="s">
        <v>207</v>
      </c>
      <c r="D15" s="53" t="s">
        <v>208</v>
      </c>
      <c r="E15" s="6" t="s">
        <v>41</v>
      </c>
      <c r="F15" s="19">
        <v>70000</v>
      </c>
      <c r="G15" s="24">
        <v>1054.8</v>
      </c>
      <c r="H15" s="24">
        <v>4.54</v>
      </c>
      <c r="I15" s="31"/>
      <c r="J15" s="35"/>
    </row>
    <row r="16" spans="1:10" x14ac:dyDescent="0.25">
      <c r="B16" s="8" t="s">
        <v>802</v>
      </c>
      <c r="C16" s="56" t="s">
        <v>803</v>
      </c>
      <c r="D16" s="53" t="s">
        <v>804</v>
      </c>
      <c r="E16" s="6" t="s">
        <v>195</v>
      </c>
      <c r="F16" s="19">
        <v>139611</v>
      </c>
      <c r="G16" s="24">
        <v>936.72</v>
      </c>
      <c r="H16" s="24">
        <v>4.03</v>
      </c>
      <c r="I16" s="31"/>
      <c r="J16" s="35"/>
    </row>
    <row r="17" spans="2:10" x14ac:dyDescent="0.25">
      <c r="B17" s="8" t="s">
        <v>1368</v>
      </c>
      <c r="C17" s="56" t="s">
        <v>1369</v>
      </c>
      <c r="D17" s="53" t="s">
        <v>1370</v>
      </c>
      <c r="E17" s="6" t="s">
        <v>196</v>
      </c>
      <c r="F17" s="19">
        <v>70000</v>
      </c>
      <c r="G17" s="24">
        <v>806.61</v>
      </c>
      <c r="H17" s="24">
        <v>3.47</v>
      </c>
      <c r="I17" s="31"/>
      <c r="J17" s="35"/>
    </row>
    <row r="18" spans="2:10" x14ac:dyDescent="0.25">
      <c r="B18" s="8" t="s">
        <v>1568</v>
      </c>
      <c r="C18" s="56" t="s">
        <v>1569</v>
      </c>
      <c r="D18" s="53" t="s">
        <v>1570</v>
      </c>
      <c r="E18" s="6" t="s">
        <v>83</v>
      </c>
      <c r="F18" s="19">
        <v>13000</v>
      </c>
      <c r="G18" s="24">
        <v>793.62</v>
      </c>
      <c r="H18" s="24">
        <v>3.41</v>
      </c>
      <c r="I18" s="31"/>
      <c r="J18" s="35"/>
    </row>
    <row r="19" spans="2:10" x14ac:dyDescent="0.25">
      <c r="B19" s="8" t="s">
        <v>327</v>
      </c>
      <c r="C19" s="56" t="s">
        <v>328</v>
      </c>
      <c r="D19" s="53" t="s">
        <v>329</v>
      </c>
      <c r="E19" s="6" t="s">
        <v>47</v>
      </c>
      <c r="F19" s="19">
        <v>100000</v>
      </c>
      <c r="G19" s="24">
        <v>791.75</v>
      </c>
      <c r="H19" s="24">
        <v>3.41</v>
      </c>
      <c r="I19" s="31"/>
      <c r="J19" s="35"/>
    </row>
    <row r="20" spans="2:10" x14ac:dyDescent="0.25">
      <c r="B20" s="8" t="s">
        <v>2046</v>
      </c>
      <c r="C20" s="56" t="s">
        <v>2047</v>
      </c>
      <c r="D20" s="53" t="s">
        <v>2048</v>
      </c>
      <c r="E20" s="6" t="s">
        <v>306</v>
      </c>
      <c r="F20" s="19">
        <v>37000</v>
      </c>
      <c r="G20" s="24">
        <v>789.12</v>
      </c>
      <c r="H20" s="24">
        <v>3.39</v>
      </c>
      <c r="I20" s="31"/>
      <c r="J20" s="35"/>
    </row>
    <row r="21" spans="2:10" x14ac:dyDescent="0.25">
      <c r="B21" s="8" t="s">
        <v>330</v>
      </c>
      <c r="C21" s="56" t="s">
        <v>331</v>
      </c>
      <c r="D21" s="53" t="s">
        <v>332</v>
      </c>
      <c r="E21" s="6" t="s">
        <v>83</v>
      </c>
      <c r="F21" s="19">
        <v>265477</v>
      </c>
      <c r="G21" s="24">
        <v>776.12</v>
      </c>
      <c r="H21" s="24">
        <v>3.34</v>
      </c>
      <c r="I21" s="31"/>
      <c r="J21" s="35"/>
    </row>
    <row r="22" spans="2:10" x14ac:dyDescent="0.25">
      <c r="B22" s="8" t="s">
        <v>2031</v>
      </c>
      <c r="C22" s="56" t="s">
        <v>2032</v>
      </c>
      <c r="D22" s="53" t="s">
        <v>2033</v>
      </c>
      <c r="E22" s="6" t="s">
        <v>195</v>
      </c>
      <c r="F22" s="19">
        <v>34000</v>
      </c>
      <c r="G22" s="24">
        <v>748.8</v>
      </c>
      <c r="H22" s="24">
        <v>3.22</v>
      </c>
      <c r="I22" s="31"/>
      <c r="J22" s="35"/>
    </row>
    <row r="23" spans="2:10" x14ac:dyDescent="0.25">
      <c r="B23" s="8" t="s">
        <v>69</v>
      </c>
      <c r="C23" s="56" t="s">
        <v>70</v>
      </c>
      <c r="D23" s="53" t="s">
        <v>71</v>
      </c>
      <c r="E23" s="6" t="s">
        <v>72</v>
      </c>
      <c r="F23" s="19">
        <v>3400</v>
      </c>
      <c r="G23" s="24">
        <v>725.42</v>
      </c>
      <c r="H23" s="24">
        <v>3.12</v>
      </c>
      <c r="I23" s="31"/>
      <c r="J23" s="35"/>
    </row>
    <row r="24" spans="2:10" x14ac:dyDescent="0.25">
      <c r="B24" s="8" t="s">
        <v>418</v>
      </c>
      <c r="C24" s="56" t="s">
        <v>419</v>
      </c>
      <c r="D24" s="53" t="s">
        <v>420</v>
      </c>
      <c r="E24" s="6" t="s">
        <v>157</v>
      </c>
      <c r="F24" s="19">
        <v>133000</v>
      </c>
      <c r="G24" s="24">
        <v>725.05</v>
      </c>
      <c r="H24" s="24">
        <v>3.12</v>
      </c>
      <c r="I24" s="31"/>
      <c r="J24" s="35"/>
    </row>
    <row r="25" spans="2:10" x14ac:dyDescent="0.25">
      <c r="B25" s="8" t="s">
        <v>363</v>
      </c>
      <c r="C25" s="56" t="s">
        <v>364</v>
      </c>
      <c r="D25" s="53" t="s">
        <v>365</v>
      </c>
      <c r="E25" s="6" t="s">
        <v>366</v>
      </c>
      <c r="F25" s="19">
        <v>201000</v>
      </c>
      <c r="G25" s="24">
        <v>719.58</v>
      </c>
      <c r="H25" s="24">
        <v>3.09</v>
      </c>
      <c r="I25" s="31"/>
      <c r="J25" s="35"/>
    </row>
    <row r="26" spans="2:10" x14ac:dyDescent="0.25">
      <c r="B26" s="8" t="s">
        <v>65</v>
      </c>
      <c r="C26" s="56" t="s">
        <v>66</v>
      </c>
      <c r="D26" s="53" t="s">
        <v>67</v>
      </c>
      <c r="E26" s="6" t="s">
        <v>68</v>
      </c>
      <c r="F26" s="19">
        <v>170000</v>
      </c>
      <c r="G26" s="24">
        <v>715.62</v>
      </c>
      <c r="H26" s="24">
        <v>3.08</v>
      </c>
      <c r="I26" s="31"/>
      <c r="J26" s="35"/>
    </row>
    <row r="27" spans="2:10" x14ac:dyDescent="0.25">
      <c r="B27" s="8" t="s">
        <v>108</v>
      </c>
      <c r="C27" s="56" t="s">
        <v>109</v>
      </c>
      <c r="D27" s="53" t="s">
        <v>110</v>
      </c>
      <c r="E27" s="6" t="s">
        <v>111</v>
      </c>
      <c r="F27" s="19">
        <v>91000</v>
      </c>
      <c r="G27" s="24">
        <v>704.98</v>
      </c>
      <c r="H27" s="24">
        <v>3.03</v>
      </c>
      <c r="I27" s="31"/>
      <c r="J27" s="35"/>
    </row>
    <row r="28" spans="2:10" x14ac:dyDescent="0.25">
      <c r="B28" s="8" t="s">
        <v>112</v>
      </c>
      <c r="C28" s="56" t="s">
        <v>113</v>
      </c>
      <c r="D28" s="53" t="s">
        <v>114</v>
      </c>
      <c r="E28" s="6" t="s">
        <v>111</v>
      </c>
      <c r="F28" s="19">
        <v>22500</v>
      </c>
      <c r="G28" s="24">
        <v>685.79</v>
      </c>
      <c r="H28" s="24">
        <v>2.95</v>
      </c>
      <c r="I28" s="31"/>
      <c r="J28" s="35"/>
    </row>
    <row r="29" spans="2:10" x14ac:dyDescent="0.25">
      <c r="B29" s="8" t="s">
        <v>215</v>
      </c>
      <c r="C29" s="56" t="s">
        <v>216</v>
      </c>
      <c r="D29" s="53" t="s">
        <v>217</v>
      </c>
      <c r="E29" s="6" t="s">
        <v>218</v>
      </c>
      <c r="F29" s="19">
        <v>720000</v>
      </c>
      <c r="G29" s="24">
        <v>684</v>
      </c>
      <c r="H29" s="24">
        <v>2.94</v>
      </c>
      <c r="I29" s="31"/>
      <c r="J29" s="35"/>
    </row>
    <row r="30" spans="2:10" x14ac:dyDescent="0.25">
      <c r="B30" s="8" t="s">
        <v>161</v>
      </c>
      <c r="C30" s="56" t="s">
        <v>162</v>
      </c>
      <c r="D30" s="53" t="s">
        <v>163</v>
      </c>
      <c r="E30" s="6" t="s">
        <v>94</v>
      </c>
      <c r="F30" s="19">
        <v>159000</v>
      </c>
      <c r="G30" s="24">
        <v>669.23</v>
      </c>
      <c r="H30" s="24">
        <v>2.88</v>
      </c>
      <c r="I30" s="31"/>
      <c r="J30" s="35"/>
    </row>
    <row r="31" spans="2:10" x14ac:dyDescent="0.25">
      <c r="B31" s="8" t="s">
        <v>73</v>
      </c>
      <c r="C31" s="56" t="s">
        <v>74</v>
      </c>
      <c r="D31" s="53" t="s">
        <v>75</v>
      </c>
      <c r="E31" s="6" t="s">
        <v>51</v>
      </c>
      <c r="F31" s="19">
        <v>155000</v>
      </c>
      <c r="G31" s="24">
        <v>658.21</v>
      </c>
      <c r="H31" s="24">
        <v>2.83</v>
      </c>
      <c r="I31" s="31"/>
      <c r="J31" s="35"/>
    </row>
    <row r="32" spans="2:10" x14ac:dyDescent="0.25">
      <c r="B32" s="8" t="s">
        <v>2040</v>
      </c>
      <c r="C32" s="56" t="s">
        <v>2041</v>
      </c>
      <c r="D32" s="53" t="s">
        <v>2042</v>
      </c>
      <c r="E32" s="6" t="s">
        <v>146</v>
      </c>
      <c r="F32" s="19">
        <v>33000</v>
      </c>
      <c r="G32" s="24">
        <v>652.69000000000005</v>
      </c>
      <c r="H32" s="24">
        <v>2.81</v>
      </c>
      <c r="I32" s="31"/>
      <c r="J32" s="35"/>
    </row>
    <row r="33" spans="2:10" x14ac:dyDescent="0.25">
      <c r="B33" s="8" t="s">
        <v>59</v>
      </c>
      <c r="C33" s="56" t="s">
        <v>60</v>
      </c>
      <c r="D33" s="53" t="s">
        <v>61</v>
      </c>
      <c r="E33" s="6" t="s">
        <v>51</v>
      </c>
      <c r="F33" s="19">
        <v>50000</v>
      </c>
      <c r="G33" s="24">
        <v>634.1</v>
      </c>
      <c r="H33" s="24">
        <v>2.73</v>
      </c>
      <c r="I33" s="31"/>
      <c r="J33" s="35"/>
    </row>
    <row r="34" spans="2:10" x14ac:dyDescent="0.25">
      <c r="B34" s="8" t="s">
        <v>1565</v>
      </c>
      <c r="C34" s="56" t="s">
        <v>1566</v>
      </c>
      <c r="D34" s="53" t="s">
        <v>1567</v>
      </c>
      <c r="E34" s="6" t="s">
        <v>41</v>
      </c>
      <c r="F34" s="19">
        <v>750000</v>
      </c>
      <c r="G34" s="24">
        <v>629.63</v>
      </c>
      <c r="H34" s="24">
        <v>2.71</v>
      </c>
      <c r="I34" s="31"/>
      <c r="J34" s="35"/>
    </row>
    <row r="35" spans="2:10" x14ac:dyDescent="0.25">
      <c r="B35" s="8" t="s">
        <v>174</v>
      </c>
      <c r="C35" s="56" t="s">
        <v>175</v>
      </c>
      <c r="D35" s="53" t="s">
        <v>176</v>
      </c>
      <c r="E35" s="6" t="s">
        <v>157</v>
      </c>
      <c r="F35" s="19">
        <v>140000</v>
      </c>
      <c r="G35" s="24">
        <v>626.57000000000005</v>
      </c>
      <c r="H35" s="24">
        <v>2.69</v>
      </c>
      <c r="I35" s="31"/>
      <c r="J35" s="35"/>
    </row>
    <row r="36" spans="2:10" x14ac:dyDescent="0.25">
      <c r="C36" s="57" t="s">
        <v>35</v>
      </c>
      <c r="D36" s="53"/>
      <c r="E36" s="6"/>
      <c r="F36" s="19"/>
      <c r="G36" s="25">
        <v>21977.74</v>
      </c>
      <c r="H36" s="25">
        <v>94.53</v>
      </c>
      <c r="I36" s="31"/>
      <c r="J36" s="35"/>
    </row>
    <row r="37" spans="2:10" x14ac:dyDescent="0.25">
      <c r="C37" s="56"/>
      <c r="D37" s="53"/>
      <c r="E37" s="6"/>
      <c r="F37" s="19"/>
      <c r="G37" s="24"/>
      <c r="H37" s="24"/>
      <c r="I37" s="31"/>
      <c r="J37" s="35"/>
    </row>
    <row r="38" spans="2:10" x14ac:dyDescent="0.25">
      <c r="C38" s="57" t="s">
        <v>3</v>
      </c>
      <c r="D38" s="53"/>
      <c r="E38" s="6"/>
      <c r="F38" s="19"/>
      <c r="G38" s="24" t="s">
        <v>2</v>
      </c>
      <c r="H38" s="24" t="s">
        <v>2</v>
      </c>
      <c r="I38" s="31"/>
      <c r="J38" s="35"/>
    </row>
    <row r="39" spans="2:10" x14ac:dyDescent="0.25">
      <c r="C39" s="56"/>
      <c r="D39" s="53"/>
      <c r="E39" s="6"/>
      <c r="F39" s="19"/>
      <c r="G39" s="24"/>
      <c r="H39" s="24"/>
      <c r="I39" s="31"/>
      <c r="J39" s="35"/>
    </row>
    <row r="40" spans="2:10" x14ac:dyDescent="0.25">
      <c r="C40" s="57" t="s">
        <v>4</v>
      </c>
      <c r="D40" s="53"/>
      <c r="E40" s="6"/>
      <c r="F40" s="19"/>
      <c r="G40" s="24" t="s">
        <v>2</v>
      </c>
      <c r="H40" s="24" t="s">
        <v>2</v>
      </c>
      <c r="I40" s="31"/>
      <c r="J40" s="35"/>
    </row>
    <row r="41" spans="2:10" x14ac:dyDescent="0.25">
      <c r="C41" s="56"/>
      <c r="D41" s="53"/>
      <c r="E41" s="6"/>
      <c r="F41" s="19"/>
      <c r="G41" s="24"/>
      <c r="H41" s="24"/>
      <c r="I41" s="31"/>
      <c r="J41" s="35"/>
    </row>
    <row r="42" spans="2:10" x14ac:dyDescent="0.25">
      <c r="C42" s="57" t="s">
        <v>5</v>
      </c>
      <c r="D42" s="53"/>
      <c r="E42" s="6"/>
      <c r="F42" s="19"/>
      <c r="G42" s="24"/>
      <c r="H42" s="24"/>
      <c r="I42" s="31"/>
      <c r="J42" s="35"/>
    </row>
    <row r="43" spans="2:10" x14ac:dyDescent="0.25">
      <c r="C43" s="56"/>
      <c r="D43" s="53"/>
      <c r="E43" s="6"/>
      <c r="F43" s="19"/>
      <c r="G43" s="24"/>
      <c r="H43" s="24"/>
      <c r="I43" s="31"/>
      <c r="J43" s="35"/>
    </row>
    <row r="44" spans="2:10" x14ac:dyDescent="0.25">
      <c r="C44" s="57" t="s">
        <v>6</v>
      </c>
      <c r="D44" s="53"/>
      <c r="E44" s="6"/>
      <c r="F44" s="19"/>
      <c r="G44" s="24" t="s">
        <v>2</v>
      </c>
      <c r="H44" s="24" t="s">
        <v>2</v>
      </c>
      <c r="I44" s="31"/>
      <c r="J44" s="35"/>
    </row>
    <row r="45" spans="2:10" x14ac:dyDescent="0.25">
      <c r="C45" s="56"/>
      <c r="D45" s="53"/>
      <c r="E45" s="6"/>
      <c r="F45" s="19"/>
      <c r="G45" s="24"/>
      <c r="H45" s="24"/>
      <c r="I45" s="31"/>
      <c r="J45" s="35"/>
    </row>
    <row r="46" spans="2:10" x14ac:dyDescent="0.25">
      <c r="C46" s="57" t="s">
        <v>7</v>
      </c>
      <c r="D46" s="53"/>
      <c r="E46" s="6"/>
      <c r="F46" s="19"/>
      <c r="G46" s="24" t="s">
        <v>2</v>
      </c>
      <c r="H46" s="24" t="s">
        <v>2</v>
      </c>
      <c r="I46" s="31"/>
      <c r="J46" s="35"/>
    </row>
    <row r="47" spans="2:10" x14ac:dyDescent="0.25">
      <c r="C47" s="56"/>
      <c r="D47" s="53"/>
      <c r="E47" s="6"/>
      <c r="F47" s="19"/>
      <c r="G47" s="24"/>
      <c r="H47" s="24"/>
      <c r="I47" s="31"/>
      <c r="J47" s="35"/>
    </row>
    <row r="48" spans="2:10" x14ac:dyDescent="0.25">
      <c r="C48" s="57" t="s">
        <v>8</v>
      </c>
      <c r="D48" s="53"/>
      <c r="E48" s="6"/>
      <c r="F48" s="19"/>
      <c r="G48" s="24" t="s">
        <v>2</v>
      </c>
      <c r="H48" s="24" t="s">
        <v>2</v>
      </c>
      <c r="I48" s="31"/>
      <c r="J48" s="35"/>
    </row>
    <row r="49" spans="1:10" x14ac:dyDescent="0.25">
      <c r="C49" s="56"/>
      <c r="D49" s="53"/>
      <c r="E49" s="6"/>
      <c r="F49" s="19"/>
      <c r="G49" s="24"/>
      <c r="H49" s="24"/>
      <c r="I49" s="31"/>
      <c r="J49" s="35"/>
    </row>
    <row r="50" spans="1:10" x14ac:dyDescent="0.25">
      <c r="C50" s="57" t="s">
        <v>9</v>
      </c>
      <c r="D50" s="53"/>
      <c r="E50" s="6"/>
      <c r="F50" s="19"/>
      <c r="G50" s="24" t="s">
        <v>2</v>
      </c>
      <c r="H50" s="24" t="s">
        <v>2</v>
      </c>
      <c r="I50" s="31"/>
      <c r="J50" s="35"/>
    </row>
    <row r="51" spans="1:10" x14ac:dyDescent="0.25">
      <c r="C51" s="56"/>
      <c r="D51" s="53"/>
      <c r="E51" s="6"/>
      <c r="F51" s="19"/>
      <c r="G51" s="24"/>
      <c r="H51" s="24"/>
      <c r="I51" s="31"/>
      <c r="J51" s="35"/>
    </row>
    <row r="52" spans="1:10" x14ac:dyDescent="0.25">
      <c r="C52" s="57" t="s">
        <v>10</v>
      </c>
      <c r="D52" s="53"/>
      <c r="E52" s="6"/>
      <c r="F52" s="19"/>
      <c r="G52" s="24" t="s">
        <v>2</v>
      </c>
      <c r="H52" s="24" t="s">
        <v>2</v>
      </c>
      <c r="I52" s="31"/>
      <c r="J52" s="35"/>
    </row>
    <row r="53" spans="1:10" x14ac:dyDescent="0.25">
      <c r="C53" s="56"/>
      <c r="D53" s="53"/>
      <c r="E53" s="6"/>
      <c r="F53" s="19"/>
      <c r="G53" s="24"/>
      <c r="H53" s="24"/>
      <c r="I53" s="31"/>
      <c r="J53" s="35"/>
    </row>
    <row r="54" spans="1:10" x14ac:dyDescent="0.25">
      <c r="C54" s="57" t="s">
        <v>11</v>
      </c>
      <c r="D54" s="53"/>
      <c r="E54" s="6"/>
      <c r="F54" s="19"/>
      <c r="G54" s="24"/>
      <c r="H54" s="24"/>
      <c r="I54" s="31"/>
      <c r="J54" s="35"/>
    </row>
    <row r="55" spans="1:10" x14ac:dyDescent="0.25">
      <c r="C55" s="56"/>
      <c r="D55" s="53"/>
      <c r="E55" s="6"/>
      <c r="F55" s="19"/>
      <c r="G55" s="24"/>
      <c r="H55" s="24"/>
      <c r="I55" s="31"/>
      <c r="J55" s="35"/>
    </row>
    <row r="56" spans="1:10" x14ac:dyDescent="0.25">
      <c r="C56" s="57" t="s">
        <v>13</v>
      </c>
      <c r="D56" s="53"/>
      <c r="E56" s="6"/>
      <c r="F56" s="19"/>
      <c r="G56" s="24" t="s">
        <v>2</v>
      </c>
      <c r="H56" s="24" t="s">
        <v>2</v>
      </c>
      <c r="I56" s="31"/>
      <c r="J56" s="35"/>
    </row>
    <row r="57" spans="1:10" x14ac:dyDescent="0.25">
      <c r="C57" s="56"/>
      <c r="D57" s="53"/>
      <c r="E57" s="6"/>
      <c r="F57" s="19"/>
      <c r="G57" s="24"/>
      <c r="H57" s="24"/>
      <c r="I57" s="31"/>
      <c r="J57" s="35"/>
    </row>
    <row r="58" spans="1:10" x14ac:dyDescent="0.25">
      <c r="C58" s="57" t="s">
        <v>14</v>
      </c>
      <c r="D58" s="53"/>
      <c r="E58" s="6"/>
      <c r="F58" s="19"/>
      <c r="G58" s="24" t="s">
        <v>2</v>
      </c>
      <c r="H58" s="24" t="s">
        <v>2</v>
      </c>
      <c r="I58" s="31"/>
      <c r="J58" s="35"/>
    </row>
    <row r="59" spans="1:10" x14ac:dyDescent="0.25">
      <c r="C59" s="56"/>
      <c r="D59" s="53"/>
      <c r="E59" s="6"/>
      <c r="F59" s="19"/>
      <c r="G59" s="24"/>
      <c r="H59" s="24"/>
      <c r="I59" s="31"/>
      <c r="J59" s="35"/>
    </row>
    <row r="60" spans="1:10" x14ac:dyDescent="0.25">
      <c r="C60" s="57" t="s">
        <v>15</v>
      </c>
      <c r="D60" s="53"/>
      <c r="E60" s="6"/>
      <c r="F60" s="19"/>
      <c r="G60" s="24" t="s">
        <v>2</v>
      </c>
      <c r="H60" s="24" t="s">
        <v>2</v>
      </c>
      <c r="I60" s="31"/>
      <c r="J60" s="35"/>
    </row>
    <row r="61" spans="1:10" x14ac:dyDescent="0.25">
      <c r="C61" s="56"/>
      <c r="D61" s="53"/>
      <c r="E61" s="6"/>
      <c r="F61" s="19"/>
      <c r="G61" s="24"/>
      <c r="H61" s="24"/>
      <c r="I61" s="31"/>
      <c r="J61" s="35"/>
    </row>
    <row r="62" spans="1:10" x14ac:dyDescent="0.25">
      <c r="C62" s="57" t="s">
        <v>16</v>
      </c>
      <c r="D62" s="53"/>
      <c r="E62" s="6"/>
      <c r="F62" s="19"/>
      <c r="G62" s="24" t="s">
        <v>2</v>
      </c>
      <c r="H62" s="24" t="s">
        <v>2</v>
      </c>
      <c r="I62" s="31"/>
      <c r="J62" s="35"/>
    </row>
    <row r="63" spans="1:10" x14ac:dyDescent="0.25">
      <c r="C63" s="56"/>
      <c r="D63" s="53"/>
      <c r="E63" s="6"/>
      <c r="F63" s="19"/>
      <c r="G63" s="24"/>
      <c r="H63" s="24"/>
      <c r="I63" s="31"/>
      <c r="J63" s="35"/>
    </row>
    <row r="64" spans="1:10" x14ac:dyDescent="0.25">
      <c r="A64" s="10"/>
      <c r="B64" s="28"/>
      <c r="C64" s="58" t="s">
        <v>17</v>
      </c>
      <c r="D64" s="53"/>
      <c r="E64" s="6"/>
      <c r="F64" s="19"/>
      <c r="G64" s="24"/>
      <c r="H64" s="24"/>
      <c r="I64" s="31"/>
      <c r="J64" s="35"/>
    </row>
    <row r="65" spans="1:10" x14ac:dyDescent="0.25">
      <c r="A65" s="28"/>
      <c r="B65" s="28"/>
      <c r="C65" s="58" t="s">
        <v>18</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A67" s="28"/>
      <c r="B67" s="28"/>
      <c r="C67" s="58" t="s">
        <v>19</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20</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21</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C73" s="59" t="s">
        <v>22</v>
      </c>
      <c r="D73" s="53"/>
      <c r="E73" s="6"/>
      <c r="F73" s="19"/>
      <c r="G73" s="24"/>
      <c r="H73" s="24"/>
      <c r="I73" s="31"/>
      <c r="J73" s="35"/>
    </row>
    <row r="74" spans="1:10" x14ac:dyDescent="0.25">
      <c r="B74" s="8" t="s">
        <v>33</v>
      </c>
      <c r="C74" s="56" t="s">
        <v>34</v>
      </c>
      <c r="D74" s="53"/>
      <c r="E74" s="6"/>
      <c r="F74" s="19"/>
      <c r="G74" s="24">
        <v>1303.6300000000001</v>
      </c>
      <c r="H74" s="24">
        <v>5.61</v>
      </c>
      <c r="I74" s="31"/>
      <c r="J74" s="35"/>
    </row>
    <row r="75" spans="1:10" x14ac:dyDescent="0.25">
      <c r="C75" s="57" t="s">
        <v>35</v>
      </c>
      <c r="D75" s="53"/>
      <c r="E75" s="6"/>
      <c r="F75" s="19"/>
      <c r="G75" s="25">
        <v>1303.6300000000001</v>
      </c>
      <c r="H75" s="25">
        <v>5.61</v>
      </c>
      <c r="I75" s="31"/>
      <c r="J75" s="35"/>
    </row>
    <row r="76" spans="1:10" x14ac:dyDescent="0.25">
      <c r="C76" s="56"/>
      <c r="D76" s="53"/>
      <c r="E76" s="6"/>
      <c r="F76" s="19"/>
      <c r="G76" s="24"/>
      <c r="H76" s="24"/>
      <c r="I76" s="31"/>
      <c r="J76" s="35"/>
    </row>
    <row r="77" spans="1:10" x14ac:dyDescent="0.25">
      <c r="A77" s="10"/>
      <c r="B77" s="28"/>
      <c r="C77" s="58" t="s">
        <v>23</v>
      </c>
      <c r="D77" s="53"/>
      <c r="E77" s="6"/>
      <c r="F77" s="19"/>
      <c r="G77" s="24"/>
      <c r="H77" s="24"/>
      <c r="I77" s="31"/>
      <c r="J77" s="35"/>
    </row>
    <row r="78" spans="1:10" x14ac:dyDescent="0.25">
      <c r="A78" s="28"/>
      <c r="B78" s="28"/>
      <c r="C78" s="60" t="s">
        <v>3398</v>
      </c>
      <c r="D78" s="53"/>
      <c r="E78" s="6"/>
      <c r="F78" s="19"/>
      <c r="G78" s="24" t="s">
        <v>2</v>
      </c>
      <c r="H78" s="24" t="s">
        <v>2</v>
      </c>
      <c r="I78" s="31"/>
      <c r="J78" s="35"/>
    </row>
    <row r="79" spans="1:10" x14ac:dyDescent="0.25">
      <c r="B79" s="8"/>
      <c r="C79" s="56" t="s">
        <v>36</v>
      </c>
      <c r="D79" s="53"/>
      <c r="E79" s="6"/>
      <c r="F79" s="19"/>
      <c r="G79" s="24">
        <v>-30.54</v>
      </c>
      <c r="H79" s="24">
        <v>-0.14000000000000001</v>
      </c>
      <c r="I79" s="31"/>
      <c r="J79" s="35"/>
    </row>
    <row r="80" spans="1:10" x14ac:dyDescent="0.25">
      <c r="C80" s="57" t="s">
        <v>35</v>
      </c>
      <c r="D80" s="53"/>
      <c r="E80" s="6"/>
      <c r="F80" s="19"/>
      <c r="G80" s="25">
        <v>-30.54</v>
      </c>
      <c r="H80" s="25">
        <v>-0.14000000000000001</v>
      </c>
      <c r="I80" s="31"/>
      <c r="J80" s="35"/>
    </row>
    <row r="81" spans="3:10" x14ac:dyDescent="0.25">
      <c r="C81" s="56"/>
      <c r="D81" s="53"/>
      <c r="E81" s="6"/>
      <c r="F81" s="19"/>
      <c r="G81" s="24"/>
      <c r="H81" s="24"/>
      <c r="I81" s="31"/>
      <c r="J81" s="35"/>
    </row>
    <row r="82" spans="3:10" x14ac:dyDescent="0.25">
      <c r="C82" s="61" t="s">
        <v>37</v>
      </c>
      <c r="D82" s="54"/>
      <c r="E82" s="5"/>
      <c r="F82" s="20"/>
      <c r="G82" s="26">
        <v>23250.83</v>
      </c>
      <c r="H82" s="26">
        <f>SUMIFS(H:H,C:C,"Total")</f>
        <v>100</v>
      </c>
      <c r="I82" s="32"/>
      <c r="J82" s="36"/>
    </row>
    <row r="85" spans="3:10" x14ac:dyDescent="0.25">
      <c r="C85" s="1" t="s">
        <v>38</v>
      </c>
    </row>
    <row r="86" spans="3:10" x14ac:dyDescent="0.25">
      <c r="C86" s="2" t="s">
        <v>39</v>
      </c>
    </row>
    <row r="87" spans="3:10" x14ac:dyDescent="0.25">
      <c r="C87" s="2" t="s">
        <v>40</v>
      </c>
    </row>
    <row r="88" spans="3:10" x14ac:dyDescent="0.25">
      <c r="C88" s="2" t="s">
        <v>3430</v>
      </c>
    </row>
  </sheetData>
  <hyperlinks>
    <hyperlink ref="J2" location="'Index'!A1" display="'Index'!A1"/>
  </hyperlinks>
  <pageMargins left="0.7" right="0.7" top="0.75" bottom="0.75" header="0.3" footer="0.3"/>
  <pageSetup orientation="portrait" horizontalDpi="4294967293"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6"/>
  <dimension ref="A1:J10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2438</v>
      </c>
      <c r="J2" s="37" t="s">
        <v>3307</v>
      </c>
    </row>
    <row r="3" spans="1:10" ht="16.5" x14ac:dyDescent="0.3">
      <c r="C3" s="1" t="s">
        <v>24</v>
      </c>
      <c r="D3" s="21" t="s">
        <v>2439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140000</v>
      </c>
      <c r="G10" s="24">
        <v>1411.55</v>
      </c>
      <c r="H10" s="24">
        <v>1.51</v>
      </c>
      <c r="I10" s="31"/>
      <c r="J10" s="35"/>
    </row>
    <row r="11" spans="1:10" x14ac:dyDescent="0.25">
      <c r="B11" s="8" t="s">
        <v>48</v>
      </c>
      <c r="C11" s="56" t="s">
        <v>49</v>
      </c>
      <c r="D11" s="53" t="s">
        <v>50</v>
      </c>
      <c r="E11" s="6" t="s">
        <v>51</v>
      </c>
      <c r="F11" s="19">
        <v>90000</v>
      </c>
      <c r="G11" s="24">
        <v>970.74</v>
      </c>
      <c r="H11" s="24">
        <v>1.04</v>
      </c>
      <c r="I11" s="31"/>
      <c r="J11" s="35"/>
    </row>
    <row r="12" spans="1:10" x14ac:dyDescent="0.25">
      <c r="B12" s="8" t="s">
        <v>69</v>
      </c>
      <c r="C12" s="56" t="s">
        <v>70</v>
      </c>
      <c r="D12" s="53" t="s">
        <v>71</v>
      </c>
      <c r="E12" s="6" t="s">
        <v>72</v>
      </c>
      <c r="F12" s="19">
        <v>3624</v>
      </c>
      <c r="G12" s="24">
        <v>773.21</v>
      </c>
      <c r="H12" s="24">
        <v>0.83</v>
      </c>
      <c r="I12" s="31"/>
      <c r="J12" s="35"/>
    </row>
    <row r="13" spans="1:10" x14ac:dyDescent="0.25">
      <c r="B13" s="8" t="s">
        <v>59</v>
      </c>
      <c r="C13" s="56" t="s">
        <v>60</v>
      </c>
      <c r="D13" s="53" t="s">
        <v>61</v>
      </c>
      <c r="E13" s="6" t="s">
        <v>51</v>
      </c>
      <c r="F13" s="19">
        <v>60000</v>
      </c>
      <c r="G13" s="24">
        <v>760.92</v>
      </c>
      <c r="H13" s="24">
        <v>0.81</v>
      </c>
      <c r="I13" s="31"/>
      <c r="J13" s="35"/>
    </row>
    <row r="14" spans="1:10" x14ac:dyDescent="0.25">
      <c r="B14" s="8" t="s">
        <v>409</v>
      </c>
      <c r="C14" s="56" t="s">
        <v>410</v>
      </c>
      <c r="D14" s="53" t="s">
        <v>411</v>
      </c>
      <c r="E14" s="6" t="s">
        <v>98</v>
      </c>
      <c r="F14" s="19">
        <v>10000</v>
      </c>
      <c r="G14" s="24">
        <v>674.35</v>
      </c>
      <c r="H14" s="24">
        <v>0.72</v>
      </c>
      <c r="I14" s="31"/>
      <c r="J14" s="35"/>
    </row>
    <row r="15" spans="1:10" x14ac:dyDescent="0.25">
      <c r="B15" s="8" t="s">
        <v>56</v>
      </c>
      <c r="C15" s="56" t="s">
        <v>57</v>
      </c>
      <c r="D15" s="53" t="s">
        <v>58</v>
      </c>
      <c r="E15" s="6" t="s">
        <v>47</v>
      </c>
      <c r="F15" s="19">
        <v>25000</v>
      </c>
      <c r="G15" s="24">
        <v>623.08000000000004</v>
      </c>
      <c r="H15" s="24">
        <v>0.67</v>
      </c>
      <c r="I15" s="31"/>
      <c r="J15" s="35"/>
    </row>
    <row r="16" spans="1:10" x14ac:dyDescent="0.25">
      <c r="B16" s="8" t="s">
        <v>62</v>
      </c>
      <c r="C16" s="56" t="s">
        <v>63</v>
      </c>
      <c r="D16" s="53" t="s">
        <v>64</v>
      </c>
      <c r="E16" s="6" t="s">
        <v>51</v>
      </c>
      <c r="F16" s="19">
        <v>170000</v>
      </c>
      <c r="G16" s="24">
        <v>603.08000000000004</v>
      </c>
      <c r="H16" s="24">
        <v>0.64</v>
      </c>
      <c r="I16" s="31"/>
      <c r="J16" s="35"/>
    </row>
    <row r="17" spans="2:10" x14ac:dyDescent="0.25">
      <c r="B17" s="8" t="s">
        <v>486</v>
      </c>
      <c r="C17" s="56" t="s">
        <v>487</v>
      </c>
      <c r="D17" s="53" t="s">
        <v>488</v>
      </c>
      <c r="E17" s="6" t="s">
        <v>41</v>
      </c>
      <c r="F17" s="19">
        <v>80000</v>
      </c>
      <c r="G17" s="24">
        <v>602.79999999999995</v>
      </c>
      <c r="H17" s="24">
        <v>0.64</v>
      </c>
      <c r="I17" s="31"/>
      <c r="J17" s="35"/>
    </row>
    <row r="18" spans="2:10" x14ac:dyDescent="0.25">
      <c r="B18" s="8" t="s">
        <v>161</v>
      </c>
      <c r="C18" s="56" t="s">
        <v>162</v>
      </c>
      <c r="D18" s="53" t="s">
        <v>163</v>
      </c>
      <c r="E18" s="6" t="s">
        <v>94</v>
      </c>
      <c r="F18" s="19">
        <v>135000</v>
      </c>
      <c r="G18" s="24">
        <v>568.22</v>
      </c>
      <c r="H18" s="24">
        <v>0.61</v>
      </c>
      <c r="I18" s="31"/>
      <c r="J18" s="35"/>
    </row>
    <row r="19" spans="2:10" x14ac:dyDescent="0.25">
      <c r="B19" s="8" t="s">
        <v>859</v>
      </c>
      <c r="C19" s="56" t="s">
        <v>860</v>
      </c>
      <c r="D19" s="53" t="s">
        <v>861</v>
      </c>
      <c r="E19" s="6" t="s">
        <v>98</v>
      </c>
      <c r="F19" s="19">
        <v>18000</v>
      </c>
      <c r="G19" s="24">
        <v>566.51</v>
      </c>
      <c r="H19" s="24">
        <v>0.61</v>
      </c>
      <c r="I19" s="31"/>
      <c r="J19" s="35"/>
    </row>
    <row r="20" spans="2:10" x14ac:dyDescent="0.25">
      <c r="B20" s="8" t="s">
        <v>136</v>
      </c>
      <c r="C20" s="56" t="s">
        <v>137</v>
      </c>
      <c r="D20" s="53" t="s">
        <v>138</v>
      </c>
      <c r="E20" s="6" t="s">
        <v>41</v>
      </c>
      <c r="F20" s="19">
        <v>13500</v>
      </c>
      <c r="G20" s="24">
        <v>546.69000000000005</v>
      </c>
      <c r="H20" s="24">
        <v>0.57999999999999996</v>
      </c>
      <c r="I20" s="31"/>
      <c r="J20" s="35"/>
    </row>
    <row r="21" spans="2:10" x14ac:dyDescent="0.25">
      <c r="B21" s="8" t="s">
        <v>139</v>
      </c>
      <c r="C21" s="56" t="s">
        <v>140</v>
      </c>
      <c r="D21" s="53" t="s">
        <v>141</v>
      </c>
      <c r="E21" s="6" t="s">
        <v>142</v>
      </c>
      <c r="F21" s="19">
        <v>40000</v>
      </c>
      <c r="G21" s="24">
        <v>499.64</v>
      </c>
      <c r="H21" s="24">
        <v>0.53</v>
      </c>
      <c r="I21" s="31"/>
      <c r="J21" s="35"/>
    </row>
    <row r="22" spans="2:10" x14ac:dyDescent="0.25">
      <c r="B22" s="8" t="s">
        <v>76</v>
      </c>
      <c r="C22" s="56" t="s">
        <v>77</v>
      </c>
      <c r="D22" s="53" t="s">
        <v>78</v>
      </c>
      <c r="E22" s="6" t="s">
        <v>79</v>
      </c>
      <c r="F22" s="19">
        <v>50000</v>
      </c>
      <c r="G22" s="24">
        <v>450.8</v>
      </c>
      <c r="H22" s="24">
        <v>0.48</v>
      </c>
      <c r="I22" s="31"/>
      <c r="J22" s="35"/>
    </row>
    <row r="23" spans="2:10" x14ac:dyDescent="0.25">
      <c r="B23" s="8" t="s">
        <v>1601</v>
      </c>
      <c r="C23" s="56" t="s">
        <v>1602</v>
      </c>
      <c r="D23" s="53" t="s">
        <v>1603</v>
      </c>
      <c r="E23" s="6" t="s">
        <v>826</v>
      </c>
      <c r="F23" s="19">
        <v>116111</v>
      </c>
      <c r="G23" s="24">
        <v>449.12</v>
      </c>
      <c r="H23" s="24">
        <v>0.48</v>
      </c>
      <c r="I23" s="31"/>
      <c r="J23" s="35"/>
    </row>
    <row r="24" spans="2:10" x14ac:dyDescent="0.25">
      <c r="B24" s="8" t="s">
        <v>1354</v>
      </c>
      <c r="C24" s="56" t="s">
        <v>1355</v>
      </c>
      <c r="D24" s="53" t="s">
        <v>1356</v>
      </c>
      <c r="E24" s="6" t="s">
        <v>826</v>
      </c>
      <c r="F24" s="19">
        <v>200000</v>
      </c>
      <c r="G24" s="24">
        <v>441.3</v>
      </c>
      <c r="H24" s="24">
        <v>0.47</v>
      </c>
      <c r="I24" s="31"/>
      <c r="J24" s="35"/>
    </row>
    <row r="25" spans="2:10" x14ac:dyDescent="0.25">
      <c r="B25" s="8" t="s">
        <v>370</v>
      </c>
      <c r="C25" s="56" t="s">
        <v>371</v>
      </c>
      <c r="D25" s="53" t="s">
        <v>372</v>
      </c>
      <c r="E25" s="6" t="s">
        <v>41</v>
      </c>
      <c r="F25" s="19">
        <v>30000</v>
      </c>
      <c r="G25" s="24">
        <v>418.04</v>
      </c>
      <c r="H25" s="24">
        <v>0.45</v>
      </c>
      <c r="I25" s="31"/>
      <c r="J25" s="35"/>
    </row>
    <row r="26" spans="2:10" x14ac:dyDescent="0.25">
      <c r="B26" s="8" t="s">
        <v>73</v>
      </c>
      <c r="C26" s="56" t="s">
        <v>74</v>
      </c>
      <c r="D26" s="53" t="s">
        <v>75</v>
      </c>
      <c r="E26" s="6" t="s">
        <v>51</v>
      </c>
      <c r="F26" s="19">
        <v>95000</v>
      </c>
      <c r="G26" s="24">
        <v>403.42</v>
      </c>
      <c r="H26" s="24">
        <v>0.43</v>
      </c>
      <c r="I26" s="31"/>
      <c r="J26" s="35"/>
    </row>
    <row r="27" spans="2:10" x14ac:dyDescent="0.25">
      <c r="B27" s="8" t="s">
        <v>65</v>
      </c>
      <c r="C27" s="56" t="s">
        <v>66</v>
      </c>
      <c r="D27" s="53" t="s">
        <v>67</v>
      </c>
      <c r="E27" s="6" t="s">
        <v>68</v>
      </c>
      <c r="F27" s="19">
        <v>77014</v>
      </c>
      <c r="G27" s="24">
        <v>324.19</v>
      </c>
      <c r="H27" s="24">
        <v>0.35</v>
      </c>
      <c r="I27" s="31"/>
      <c r="J27" s="35"/>
    </row>
    <row r="28" spans="2:10" x14ac:dyDescent="0.25">
      <c r="B28" s="8" t="s">
        <v>398</v>
      </c>
      <c r="C28" s="56" t="s">
        <v>399</v>
      </c>
      <c r="D28" s="53" t="s">
        <v>400</v>
      </c>
      <c r="E28" s="6" t="s">
        <v>90</v>
      </c>
      <c r="F28" s="19">
        <v>80930</v>
      </c>
      <c r="G28" s="24">
        <v>293.77999999999997</v>
      </c>
      <c r="H28" s="24">
        <v>0.31</v>
      </c>
      <c r="I28" s="31"/>
      <c r="J28" s="35"/>
    </row>
    <row r="29" spans="2:10" x14ac:dyDescent="0.25">
      <c r="B29" s="8" t="s">
        <v>164</v>
      </c>
      <c r="C29" s="56" t="s">
        <v>165</v>
      </c>
      <c r="D29" s="53" t="s">
        <v>166</v>
      </c>
      <c r="E29" s="6" t="s">
        <v>51</v>
      </c>
      <c r="F29" s="19">
        <v>150000</v>
      </c>
      <c r="G29" s="24">
        <v>278.10000000000002</v>
      </c>
      <c r="H29" s="24">
        <v>0.3</v>
      </c>
      <c r="I29" s="31"/>
      <c r="J29" s="35"/>
    </row>
    <row r="30" spans="2:10" x14ac:dyDescent="0.25">
      <c r="B30" s="8" t="s">
        <v>154</v>
      </c>
      <c r="C30" s="56" t="s">
        <v>155</v>
      </c>
      <c r="D30" s="53" t="s">
        <v>156</v>
      </c>
      <c r="E30" s="6" t="s">
        <v>157</v>
      </c>
      <c r="F30" s="19">
        <v>60000</v>
      </c>
      <c r="G30" s="24">
        <v>267.12</v>
      </c>
      <c r="H30" s="24">
        <v>0.28999999999999998</v>
      </c>
      <c r="I30" s="31"/>
      <c r="J30" s="35"/>
    </row>
    <row r="31" spans="2:10" x14ac:dyDescent="0.25">
      <c r="B31" s="8" t="s">
        <v>95</v>
      </c>
      <c r="C31" s="56" t="s">
        <v>96</v>
      </c>
      <c r="D31" s="53" t="s">
        <v>97</v>
      </c>
      <c r="E31" s="6" t="s">
        <v>98</v>
      </c>
      <c r="F31" s="19">
        <v>40000</v>
      </c>
      <c r="G31" s="24">
        <v>243.16</v>
      </c>
      <c r="H31" s="24">
        <v>0.26</v>
      </c>
      <c r="I31" s="31"/>
      <c r="J31" s="35"/>
    </row>
    <row r="32" spans="2:10" x14ac:dyDescent="0.25">
      <c r="B32" s="8" t="s">
        <v>2256</v>
      </c>
      <c r="C32" s="56" t="s">
        <v>2257</v>
      </c>
      <c r="D32" s="53" t="s">
        <v>2258</v>
      </c>
      <c r="E32" s="6" t="s">
        <v>722</v>
      </c>
      <c r="F32" s="19">
        <v>122431</v>
      </c>
      <c r="G32" s="24">
        <v>237.15</v>
      </c>
      <c r="H32" s="24">
        <v>0.25</v>
      </c>
      <c r="I32" s="31"/>
      <c r="J32" s="35"/>
    </row>
    <row r="33" spans="1:10" x14ac:dyDescent="0.25">
      <c r="B33" s="8" t="s">
        <v>167</v>
      </c>
      <c r="C33" s="56" t="s">
        <v>168</v>
      </c>
      <c r="D33" s="53" t="s">
        <v>169</v>
      </c>
      <c r="E33" s="6" t="s">
        <v>170</v>
      </c>
      <c r="F33" s="19">
        <v>75000</v>
      </c>
      <c r="G33" s="24">
        <v>131.44</v>
      </c>
      <c r="H33" s="24">
        <v>0.14000000000000001</v>
      </c>
      <c r="I33" s="31"/>
      <c r="J33" s="35"/>
    </row>
    <row r="34" spans="1:10" x14ac:dyDescent="0.25">
      <c r="B34" s="8" t="s">
        <v>118</v>
      </c>
      <c r="C34" s="56" t="s">
        <v>119</v>
      </c>
      <c r="D34" s="53" t="s">
        <v>120</v>
      </c>
      <c r="E34" s="6" t="s">
        <v>98</v>
      </c>
      <c r="F34" s="19">
        <v>50000</v>
      </c>
      <c r="G34" s="24">
        <v>66.650000000000006</v>
      </c>
      <c r="H34" s="24">
        <v>7.0000000000000007E-2</v>
      </c>
      <c r="I34" s="31"/>
      <c r="J34" s="35"/>
    </row>
    <row r="35" spans="1:10" x14ac:dyDescent="0.25">
      <c r="C35" s="57" t="s">
        <v>35</v>
      </c>
      <c r="D35" s="53"/>
      <c r="E35" s="6"/>
      <c r="F35" s="19"/>
      <c r="G35" s="25">
        <v>12605.06</v>
      </c>
      <c r="H35" s="25">
        <v>13.47</v>
      </c>
      <c r="I35" s="31"/>
      <c r="J35" s="35"/>
    </row>
    <row r="36" spans="1:10" x14ac:dyDescent="0.25">
      <c r="C36" s="56"/>
      <c r="D36" s="53"/>
      <c r="E36" s="6"/>
      <c r="F36" s="19"/>
      <c r="G36" s="24"/>
      <c r="H36" s="24"/>
      <c r="I36" s="31"/>
      <c r="J36" s="35"/>
    </row>
    <row r="37" spans="1:10" x14ac:dyDescent="0.25">
      <c r="C37" s="57" t="s">
        <v>3</v>
      </c>
      <c r="D37" s="53"/>
      <c r="E37" s="6"/>
      <c r="F37" s="19"/>
      <c r="G37" s="24" t="s">
        <v>2</v>
      </c>
      <c r="H37" s="24" t="s">
        <v>2</v>
      </c>
      <c r="I37" s="31"/>
      <c r="J37" s="35"/>
    </row>
    <row r="38" spans="1:10" x14ac:dyDescent="0.25">
      <c r="C38" s="56"/>
      <c r="D38" s="53"/>
      <c r="E38" s="6"/>
      <c r="F38" s="19"/>
      <c r="G38" s="24"/>
      <c r="H38" s="24"/>
      <c r="I38" s="31"/>
      <c r="J38" s="35"/>
    </row>
    <row r="39" spans="1:10" x14ac:dyDescent="0.25">
      <c r="C39" s="57" t="s">
        <v>4</v>
      </c>
      <c r="D39" s="53"/>
      <c r="E39" s="6"/>
      <c r="F39" s="19"/>
      <c r="G39" s="24" t="s">
        <v>2</v>
      </c>
      <c r="H39" s="24" t="s">
        <v>2</v>
      </c>
      <c r="I39" s="31"/>
      <c r="J39" s="35"/>
    </row>
    <row r="40" spans="1:10" x14ac:dyDescent="0.25">
      <c r="C40" s="56"/>
      <c r="D40" s="53"/>
      <c r="E40" s="6"/>
      <c r="F40" s="19"/>
      <c r="G40" s="24"/>
      <c r="H40" s="24"/>
      <c r="I40" s="31"/>
      <c r="J40" s="35"/>
    </row>
    <row r="41" spans="1:10" x14ac:dyDescent="0.25">
      <c r="A41" s="10"/>
      <c r="B41" s="28"/>
      <c r="C41" s="58" t="s">
        <v>5</v>
      </c>
      <c r="D41" s="53"/>
      <c r="E41" s="6"/>
      <c r="F41" s="19"/>
      <c r="G41" s="24"/>
      <c r="H41" s="24"/>
      <c r="I41" s="31"/>
      <c r="J41" s="35"/>
    </row>
    <row r="42" spans="1:10" x14ac:dyDescent="0.25">
      <c r="C42" s="59" t="s">
        <v>6</v>
      </c>
      <c r="D42" s="53"/>
      <c r="E42" s="6"/>
      <c r="F42" s="19"/>
      <c r="G42" s="24"/>
      <c r="H42" s="24"/>
      <c r="I42" s="31"/>
      <c r="J42" s="35"/>
    </row>
    <row r="43" spans="1:10" x14ac:dyDescent="0.25">
      <c r="B43" s="8" t="s">
        <v>2440</v>
      </c>
      <c r="C43" s="56" t="s">
        <v>691</v>
      </c>
      <c r="D43" s="53" t="s">
        <v>2441</v>
      </c>
      <c r="E43" s="6" t="s">
        <v>693</v>
      </c>
      <c r="F43" s="19">
        <v>750</v>
      </c>
      <c r="G43" s="24">
        <v>9385.19</v>
      </c>
      <c r="H43" s="24">
        <v>10.029999999999999</v>
      </c>
      <c r="I43" s="31">
        <v>5.165</v>
      </c>
      <c r="J43" s="35" t="s">
        <v>514</v>
      </c>
    </row>
    <row r="44" spans="1:10" x14ac:dyDescent="0.25">
      <c r="B44" s="8" t="s">
        <v>2442</v>
      </c>
      <c r="C44" s="56" t="s">
        <v>1030</v>
      </c>
      <c r="D44" s="53" t="s">
        <v>2443</v>
      </c>
      <c r="E44" s="6" t="s">
        <v>616</v>
      </c>
      <c r="F44" s="19">
        <v>700</v>
      </c>
      <c r="G44" s="24">
        <v>8687.5300000000007</v>
      </c>
      <c r="H44" s="24">
        <v>9.2799999999999994</v>
      </c>
      <c r="I44" s="31">
        <v>6.4898999999999996</v>
      </c>
      <c r="J44" s="35" t="s">
        <v>514</v>
      </c>
    </row>
    <row r="45" spans="1:10" x14ac:dyDescent="0.25">
      <c r="B45" s="8" t="s">
        <v>2444</v>
      </c>
      <c r="C45" s="56" t="s">
        <v>926</v>
      </c>
      <c r="D45" s="53" t="s">
        <v>2445</v>
      </c>
      <c r="E45" s="6" t="s">
        <v>928</v>
      </c>
      <c r="F45" s="19">
        <v>750</v>
      </c>
      <c r="G45" s="24">
        <v>7664.69</v>
      </c>
      <c r="H45" s="24">
        <v>8.19</v>
      </c>
      <c r="I45" s="31">
        <v>5.9748999999999999</v>
      </c>
      <c r="J45" s="35" t="s">
        <v>514</v>
      </c>
    </row>
    <row r="46" spans="1:10" x14ac:dyDescent="0.25">
      <c r="B46" s="8" t="s">
        <v>2446</v>
      </c>
      <c r="C46" s="56" t="s">
        <v>119</v>
      </c>
      <c r="D46" s="53" t="s">
        <v>2447</v>
      </c>
      <c r="E46" s="6" t="s">
        <v>616</v>
      </c>
      <c r="F46" s="19">
        <v>750</v>
      </c>
      <c r="G46" s="24">
        <v>7567.46</v>
      </c>
      <c r="H46" s="24">
        <v>8.09</v>
      </c>
      <c r="I46" s="31">
        <v>6.7549999999999999</v>
      </c>
      <c r="J46" s="35" t="s">
        <v>514</v>
      </c>
    </row>
    <row r="47" spans="1:10" x14ac:dyDescent="0.25">
      <c r="B47" s="8" t="s">
        <v>2353</v>
      </c>
      <c r="C47" s="56" t="s">
        <v>601</v>
      </c>
      <c r="D47" s="53" t="s">
        <v>2354</v>
      </c>
      <c r="E47" s="6" t="s">
        <v>534</v>
      </c>
      <c r="F47" s="19">
        <v>660</v>
      </c>
      <c r="G47" s="24">
        <v>6716.54</v>
      </c>
      <c r="H47" s="24">
        <v>7.18</v>
      </c>
      <c r="I47" s="31">
        <v>4.1150000000000002</v>
      </c>
      <c r="J47" s="35" t="s">
        <v>514</v>
      </c>
    </row>
    <row r="48" spans="1:10" x14ac:dyDescent="0.25">
      <c r="B48" s="8" t="s">
        <v>2448</v>
      </c>
      <c r="C48" s="56" t="s">
        <v>1329</v>
      </c>
      <c r="D48" s="53" t="s">
        <v>2449</v>
      </c>
      <c r="E48" s="6" t="s">
        <v>911</v>
      </c>
      <c r="F48" s="19">
        <v>450</v>
      </c>
      <c r="G48" s="24">
        <v>5573.92</v>
      </c>
      <c r="H48" s="24">
        <v>5.96</v>
      </c>
      <c r="I48" s="31">
        <v>5.5449000000000002</v>
      </c>
      <c r="J48" s="35" t="s">
        <v>514</v>
      </c>
    </row>
    <row r="49" spans="2:10" x14ac:dyDescent="0.25">
      <c r="B49" s="8" t="s">
        <v>2450</v>
      </c>
      <c r="C49" s="56" t="s">
        <v>938</v>
      </c>
      <c r="D49" s="53" t="s">
        <v>2451</v>
      </c>
      <c r="E49" s="6" t="s">
        <v>573</v>
      </c>
      <c r="F49" s="19">
        <v>500</v>
      </c>
      <c r="G49" s="24">
        <v>4888.58</v>
      </c>
      <c r="H49" s="24">
        <v>5.22</v>
      </c>
      <c r="I49" s="31">
        <v>11.9499</v>
      </c>
      <c r="J49" s="35" t="s">
        <v>514</v>
      </c>
    </row>
    <row r="50" spans="2:10" x14ac:dyDescent="0.25">
      <c r="B50" s="8" t="s">
        <v>2452</v>
      </c>
      <c r="C50" s="56" t="s">
        <v>1376</v>
      </c>
      <c r="D50" s="53" t="s">
        <v>2453</v>
      </c>
      <c r="E50" s="6" t="s">
        <v>534</v>
      </c>
      <c r="F50" s="19">
        <v>400</v>
      </c>
      <c r="G50" s="24">
        <v>4073.28</v>
      </c>
      <c r="H50" s="24">
        <v>4.3499999999999996</v>
      </c>
      <c r="I50" s="31">
        <v>4.1150000000000002</v>
      </c>
      <c r="J50" s="35" t="s">
        <v>514</v>
      </c>
    </row>
    <row r="51" spans="2:10" x14ac:dyDescent="0.25">
      <c r="B51" s="8" t="s">
        <v>2407</v>
      </c>
      <c r="C51" s="56" t="s">
        <v>358</v>
      </c>
      <c r="D51" s="53" t="s">
        <v>2408</v>
      </c>
      <c r="E51" s="6" t="s">
        <v>541</v>
      </c>
      <c r="F51" s="19">
        <v>250</v>
      </c>
      <c r="G51" s="24">
        <v>2460.6</v>
      </c>
      <c r="H51" s="24">
        <v>2.63</v>
      </c>
      <c r="I51" s="31">
        <v>11.2997</v>
      </c>
      <c r="J51" s="35" t="s">
        <v>514</v>
      </c>
    </row>
    <row r="52" spans="2:10" x14ac:dyDescent="0.25">
      <c r="B52" s="8" t="s">
        <v>2397</v>
      </c>
      <c r="C52" s="56" t="s">
        <v>1752</v>
      </c>
      <c r="D52" s="53" t="s">
        <v>2398</v>
      </c>
      <c r="E52" s="6" t="s">
        <v>1314</v>
      </c>
      <c r="F52" s="19">
        <v>90</v>
      </c>
      <c r="G52" s="24">
        <v>916.8</v>
      </c>
      <c r="H52" s="24">
        <v>0.98</v>
      </c>
      <c r="I52" s="31">
        <v>3.9590999999999998</v>
      </c>
      <c r="J52" s="35" t="s">
        <v>514</v>
      </c>
    </row>
    <row r="53" spans="2:10" x14ac:dyDescent="0.25">
      <c r="B53" s="8" t="s">
        <v>2454</v>
      </c>
      <c r="C53" s="56" t="s">
        <v>854</v>
      </c>
      <c r="D53" s="53" t="s">
        <v>2455</v>
      </c>
      <c r="E53" s="6" t="s">
        <v>534</v>
      </c>
      <c r="F53" s="19">
        <v>50</v>
      </c>
      <c r="G53" s="24">
        <v>513.86</v>
      </c>
      <c r="H53" s="24">
        <v>0.55000000000000004</v>
      </c>
      <c r="I53" s="31">
        <v>3.9249999999999998</v>
      </c>
      <c r="J53" s="35" t="s">
        <v>514</v>
      </c>
    </row>
    <row r="54" spans="2:10" x14ac:dyDescent="0.25">
      <c r="C54" s="57" t="s">
        <v>35</v>
      </c>
      <c r="D54" s="53"/>
      <c r="E54" s="6"/>
      <c r="F54" s="19"/>
      <c r="G54" s="25">
        <v>58448.45</v>
      </c>
      <c r="H54" s="25">
        <v>62.46</v>
      </c>
      <c r="I54" s="31"/>
      <c r="J54" s="35"/>
    </row>
    <row r="55" spans="2:10" x14ac:dyDescent="0.25">
      <c r="C55" s="56"/>
      <c r="D55" s="53"/>
      <c r="E55" s="6"/>
      <c r="F55" s="19"/>
      <c r="G55" s="24"/>
      <c r="H55" s="24"/>
      <c r="I55" s="31"/>
      <c r="J55" s="35"/>
    </row>
    <row r="56" spans="2:10" x14ac:dyDescent="0.25">
      <c r="C56" s="57" t="s">
        <v>7</v>
      </c>
      <c r="D56" s="53"/>
      <c r="E56" s="6"/>
      <c r="F56" s="19"/>
      <c r="G56" s="24" t="s">
        <v>2</v>
      </c>
      <c r="H56" s="24" t="s">
        <v>2</v>
      </c>
      <c r="I56" s="31"/>
      <c r="J56" s="35"/>
    </row>
    <row r="57" spans="2:10" x14ac:dyDescent="0.25">
      <c r="C57" s="56"/>
      <c r="D57" s="53"/>
      <c r="E57" s="6"/>
      <c r="F57" s="19"/>
      <c r="G57" s="24"/>
      <c r="H57" s="24"/>
      <c r="I57" s="31"/>
      <c r="J57" s="35"/>
    </row>
    <row r="58" spans="2:10" x14ac:dyDescent="0.25">
      <c r="C58" s="57" t="s">
        <v>8</v>
      </c>
      <c r="D58" s="53"/>
      <c r="E58" s="6"/>
      <c r="F58" s="19"/>
      <c r="G58" s="24" t="s">
        <v>2</v>
      </c>
      <c r="H58" s="24" t="s">
        <v>2</v>
      </c>
      <c r="I58" s="31"/>
      <c r="J58" s="35"/>
    </row>
    <row r="59" spans="2:10" x14ac:dyDescent="0.25">
      <c r="C59" s="56"/>
      <c r="D59" s="53"/>
      <c r="E59" s="6"/>
      <c r="F59" s="19"/>
      <c r="G59" s="24"/>
      <c r="H59" s="24"/>
      <c r="I59" s="31"/>
      <c r="J59" s="35"/>
    </row>
    <row r="60" spans="2:10" x14ac:dyDescent="0.25">
      <c r="C60" s="57" t="s">
        <v>9</v>
      </c>
      <c r="D60" s="53"/>
      <c r="E60" s="6"/>
      <c r="F60" s="19"/>
      <c r="G60" s="24" t="s">
        <v>2</v>
      </c>
      <c r="H60" s="24" t="s">
        <v>2</v>
      </c>
      <c r="I60" s="31"/>
      <c r="J60" s="35"/>
    </row>
    <row r="61" spans="2:10" x14ac:dyDescent="0.25">
      <c r="C61" s="56"/>
      <c r="D61" s="53"/>
      <c r="E61" s="6"/>
      <c r="F61" s="19"/>
      <c r="G61" s="24"/>
      <c r="H61" s="24"/>
      <c r="I61" s="31"/>
      <c r="J61" s="35"/>
    </row>
    <row r="62" spans="2:10" x14ac:dyDescent="0.25">
      <c r="C62" s="59" t="s">
        <v>10</v>
      </c>
      <c r="D62" s="53"/>
      <c r="E62" s="6"/>
      <c r="F62" s="19"/>
      <c r="G62" s="24"/>
      <c r="H62" s="24"/>
      <c r="I62" s="31"/>
      <c r="J62" s="35"/>
    </row>
    <row r="63" spans="2:10" x14ac:dyDescent="0.25">
      <c r="B63" s="8" t="s">
        <v>2456</v>
      </c>
      <c r="C63" s="56" t="s">
        <v>2457</v>
      </c>
      <c r="D63" s="53" t="s">
        <v>2458</v>
      </c>
      <c r="E63" s="6" t="s">
        <v>655</v>
      </c>
      <c r="F63" s="19">
        <v>7007600</v>
      </c>
      <c r="G63" s="24">
        <v>7164.47</v>
      </c>
      <c r="H63" s="24">
        <v>7.66</v>
      </c>
      <c r="I63" s="31">
        <v>3.9607000000000001</v>
      </c>
      <c r="J63" s="35"/>
    </row>
    <row r="64" spans="2:10" x14ac:dyDescent="0.25">
      <c r="B64" s="8" t="s">
        <v>2459</v>
      </c>
      <c r="C64" s="56" t="s">
        <v>2460</v>
      </c>
      <c r="D64" s="53" t="s">
        <v>2461</v>
      </c>
      <c r="E64" s="6" t="s">
        <v>655</v>
      </c>
      <c r="F64" s="19">
        <v>5500000</v>
      </c>
      <c r="G64" s="24">
        <v>5633.84</v>
      </c>
      <c r="H64" s="24">
        <v>6.02</v>
      </c>
      <c r="I64" s="31">
        <v>3.9607999999999999</v>
      </c>
      <c r="J64" s="35"/>
    </row>
    <row r="65" spans="1:10" x14ac:dyDescent="0.25">
      <c r="C65" s="57" t="s">
        <v>35</v>
      </c>
      <c r="D65" s="53"/>
      <c r="E65" s="6"/>
      <c r="F65" s="19"/>
      <c r="G65" s="25">
        <v>12798.31</v>
      </c>
      <c r="H65" s="25">
        <v>13.68</v>
      </c>
      <c r="I65" s="31"/>
      <c r="J65" s="35"/>
    </row>
    <row r="66" spans="1:10" x14ac:dyDescent="0.25">
      <c r="C66" s="56"/>
      <c r="D66" s="53"/>
      <c r="E66" s="6"/>
      <c r="F66" s="19"/>
      <c r="G66" s="24"/>
      <c r="H66" s="24"/>
      <c r="I66" s="31"/>
      <c r="J66" s="35"/>
    </row>
    <row r="67" spans="1:10" x14ac:dyDescent="0.25">
      <c r="A67" s="10"/>
      <c r="B67" s="28"/>
      <c r="C67" s="58" t="s">
        <v>11</v>
      </c>
      <c r="D67" s="53"/>
      <c r="E67" s="6"/>
      <c r="F67" s="19"/>
      <c r="G67" s="24"/>
      <c r="H67" s="24"/>
      <c r="I67" s="31"/>
      <c r="J67" s="35"/>
    </row>
    <row r="68" spans="1:10" x14ac:dyDescent="0.25">
      <c r="A68" s="28"/>
      <c r="B68" s="28"/>
      <c r="C68" s="58" t="s">
        <v>13</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C70" s="59" t="s">
        <v>14</v>
      </c>
      <c r="D70" s="53"/>
      <c r="E70" s="6"/>
      <c r="F70" s="19"/>
      <c r="G70" s="24"/>
      <c r="H70" s="24"/>
      <c r="I70" s="31"/>
      <c r="J70" s="35"/>
    </row>
    <row r="71" spans="1:10" x14ac:dyDescent="0.25">
      <c r="B71" s="8" t="s">
        <v>1248</v>
      </c>
      <c r="C71" s="56" t="s">
        <v>818</v>
      </c>
      <c r="D71" s="53" t="s">
        <v>1249</v>
      </c>
      <c r="E71" s="6" t="s">
        <v>1000</v>
      </c>
      <c r="F71" s="19">
        <v>5000</v>
      </c>
      <c r="G71" s="24">
        <v>4875.68</v>
      </c>
      <c r="H71" s="24">
        <v>5.21</v>
      </c>
      <c r="I71" s="31">
        <v>3.8298999999999999</v>
      </c>
      <c r="J71" s="35" t="s">
        <v>514</v>
      </c>
    </row>
    <row r="72" spans="1:10" x14ac:dyDescent="0.25">
      <c r="C72" s="57" t="s">
        <v>35</v>
      </c>
      <c r="D72" s="53"/>
      <c r="E72" s="6"/>
      <c r="F72" s="19"/>
      <c r="G72" s="25">
        <v>4875.68</v>
      </c>
      <c r="H72" s="25">
        <v>5.21</v>
      </c>
      <c r="I72" s="31"/>
      <c r="J72" s="35"/>
    </row>
    <row r="73" spans="1:10" x14ac:dyDescent="0.25">
      <c r="C73" s="56"/>
      <c r="D73" s="53"/>
      <c r="E73" s="6"/>
      <c r="F73" s="19"/>
      <c r="G73" s="24"/>
      <c r="H73" s="24"/>
      <c r="I73" s="31"/>
      <c r="J73" s="35"/>
    </row>
    <row r="74" spans="1:10" x14ac:dyDescent="0.25">
      <c r="C74" s="57" t="s">
        <v>15</v>
      </c>
      <c r="D74" s="53"/>
      <c r="E74" s="6"/>
      <c r="F74" s="19"/>
      <c r="G74" s="24" t="s">
        <v>2</v>
      </c>
      <c r="H74" s="24" t="s">
        <v>2</v>
      </c>
      <c r="I74" s="31"/>
      <c r="J74" s="35"/>
    </row>
    <row r="75" spans="1:10" x14ac:dyDescent="0.25">
      <c r="C75" s="56"/>
      <c r="D75" s="53"/>
      <c r="E75" s="6"/>
      <c r="F75" s="19"/>
      <c r="G75" s="24"/>
      <c r="H75" s="24"/>
      <c r="I75" s="31"/>
      <c r="J75" s="35"/>
    </row>
    <row r="76" spans="1:10" x14ac:dyDescent="0.25">
      <c r="C76" s="57" t="s">
        <v>16</v>
      </c>
      <c r="D76" s="53"/>
      <c r="E76" s="6"/>
      <c r="F76" s="19"/>
      <c r="G76" s="24" t="s">
        <v>2</v>
      </c>
      <c r="H76" s="24" t="s">
        <v>2</v>
      </c>
      <c r="I76" s="31"/>
      <c r="J76" s="35"/>
    </row>
    <row r="77" spans="1:10" x14ac:dyDescent="0.25">
      <c r="C77" s="56"/>
      <c r="D77" s="53"/>
      <c r="E77" s="6"/>
      <c r="F77" s="19"/>
      <c r="G77" s="24"/>
      <c r="H77" s="24"/>
      <c r="I77" s="31"/>
      <c r="J77" s="35"/>
    </row>
    <row r="78" spans="1:10" x14ac:dyDescent="0.25">
      <c r="A78" s="10"/>
      <c r="B78" s="28"/>
      <c r="C78" s="58" t="s">
        <v>17</v>
      </c>
      <c r="D78" s="53"/>
      <c r="E78" s="6"/>
      <c r="F78" s="19"/>
      <c r="G78" s="24"/>
      <c r="H78" s="24"/>
      <c r="I78" s="31"/>
      <c r="J78" s="35"/>
    </row>
    <row r="79" spans="1:10" x14ac:dyDescent="0.25">
      <c r="A79" s="28"/>
      <c r="B79" s="28"/>
      <c r="C79" s="58" t="s">
        <v>18</v>
      </c>
      <c r="D79" s="53"/>
      <c r="E79" s="6"/>
      <c r="F79" s="19"/>
      <c r="G79" s="24" t="s">
        <v>2</v>
      </c>
      <c r="H79" s="24" t="s">
        <v>2</v>
      </c>
      <c r="I79" s="31"/>
      <c r="J79" s="35"/>
    </row>
    <row r="80" spans="1:10" x14ac:dyDescent="0.25">
      <c r="A80" s="28"/>
      <c r="B80" s="28"/>
      <c r="C80" s="58"/>
      <c r="D80" s="53"/>
      <c r="E80" s="6"/>
      <c r="F80" s="19"/>
      <c r="G80" s="24"/>
      <c r="H80" s="24"/>
      <c r="I80" s="31"/>
      <c r="J80" s="35"/>
    </row>
    <row r="81" spans="1:10" x14ac:dyDescent="0.25">
      <c r="A81" s="28"/>
      <c r="B81" s="28"/>
      <c r="C81" s="58" t="s">
        <v>19</v>
      </c>
      <c r="D81" s="53"/>
      <c r="E81" s="6"/>
      <c r="F81" s="19"/>
      <c r="G81" s="24" t="s">
        <v>2</v>
      </c>
      <c r="H81" s="24" t="s">
        <v>2</v>
      </c>
      <c r="I81" s="31"/>
      <c r="J81" s="35"/>
    </row>
    <row r="82" spans="1:10" x14ac:dyDescent="0.25">
      <c r="A82" s="28"/>
      <c r="B82" s="28"/>
      <c r="C82" s="58"/>
      <c r="D82" s="53"/>
      <c r="E82" s="6"/>
      <c r="F82" s="19"/>
      <c r="G82" s="24"/>
      <c r="H82" s="24"/>
      <c r="I82" s="31"/>
      <c r="J82" s="35"/>
    </row>
    <row r="83" spans="1:10" x14ac:dyDescent="0.25">
      <c r="A83" s="28"/>
      <c r="B83" s="28"/>
      <c r="C83" s="58" t="s">
        <v>20</v>
      </c>
      <c r="D83" s="53"/>
      <c r="E83" s="6"/>
      <c r="F83" s="19"/>
      <c r="G83" s="24" t="s">
        <v>2</v>
      </c>
      <c r="H83" s="24" t="s">
        <v>2</v>
      </c>
      <c r="I83" s="31"/>
      <c r="J83" s="35"/>
    </row>
    <row r="84" spans="1:10" x14ac:dyDescent="0.25">
      <c r="A84" s="28"/>
      <c r="B84" s="28"/>
      <c r="C84" s="58"/>
      <c r="D84" s="53"/>
      <c r="E84" s="6"/>
      <c r="F84" s="19"/>
      <c r="G84" s="24"/>
      <c r="H84" s="24"/>
      <c r="I84" s="31"/>
      <c r="J84" s="35"/>
    </row>
    <row r="85" spans="1:10" x14ac:dyDescent="0.25">
      <c r="A85" s="28"/>
      <c r="B85" s="28"/>
      <c r="C85" s="58" t="s">
        <v>21</v>
      </c>
      <c r="D85" s="53"/>
      <c r="E85" s="6"/>
      <c r="F85" s="19"/>
      <c r="G85" s="24" t="s">
        <v>2</v>
      </c>
      <c r="H85" s="24" t="s">
        <v>2</v>
      </c>
      <c r="I85" s="31"/>
      <c r="J85" s="35"/>
    </row>
    <row r="86" spans="1:10" x14ac:dyDescent="0.25">
      <c r="A86" s="28"/>
      <c r="B86" s="28"/>
      <c r="C86" s="58"/>
      <c r="D86" s="53"/>
      <c r="E86" s="6"/>
      <c r="F86" s="19"/>
      <c r="G86" s="24"/>
      <c r="H86" s="24"/>
      <c r="I86" s="31"/>
      <c r="J86" s="35"/>
    </row>
    <row r="87" spans="1:10" x14ac:dyDescent="0.25">
      <c r="C87" s="59" t="s">
        <v>22</v>
      </c>
      <c r="D87" s="53"/>
      <c r="E87" s="6"/>
      <c r="F87" s="19"/>
      <c r="G87" s="24"/>
      <c r="H87" s="24"/>
      <c r="I87" s="31"/>
      <c r="J87" s="35"/>
    </row>
    <row r="88" spans="1:10" x14ac:dyDescent="0.25">
      <c r="B88" s="8" t="s">
        <v>33</v>
      </c>
      <c r="C88" s="56" t="s">
        <v>34</v>
      </c>
      <c r="D88" s="53"/>
      <c r="E88" s="6"/>
      <c r="F88" s="19"/>
      <c r="G88" s="24">
        <v>1809.2</v>
      </c>
      <c r="H88" s="24">
        <v>1.93</v>
      </c>
      <c r="I88" s="31"/>
      <c r="J88" s="35"/>
    </row>
    <row r="89" spans="1:10" x14ac:dyDescent="0.25">
      <c r="C89" s="57" t="s">
        <v>35</v>
      </c>
      <c r="D89" s="53"/>
      <c r="E89" s="6"/>
      <c r="F89" s="19"/>
      <c r="G89" s="25">
        <v>1809.2</v>
      </c>
      <c r="H89" s="25">
        <v>1.93</v>
      </c>
      <c r="I89" s="31"/>
      <c r="J89" s="35"/>
    </row>
    <row r="90" spans="1:10" x14ac:dyDescent="0.25">
      <c r="C90" s="56"/>
      <c r="D90" s="53"/>
      <c r="E90" s="6"/>
      <c r="F90" s="19"/>
      <c r="G90" s="24"/>
      <c r="H90" s="24"/>
      <c r="I90" s="31"/>
      <c r="J90" s="35"/>
    </row>
    <row r="91" spans="1:10" x14ac:dyDescent="0.25">
      <c r="A91" s="10"/>
      <c r="B91" s="28"/>
      <c r="C91" s="58" t="s">
        <v>23</v>
      </c>
      <c r="D91" s="53"/>
      <c r="E91" s="6"/>
      <c r="F91" s="19"/>
      <c r="G91" s="24"/>
      <c r="H91" s="24"/>
      <c r="I91" s="31"/>
      <c r="J91" s="35"/>
    </row>
    <row r="92" spans="1:10" x14ac:dyDescent="0.25">
      <c r="A92" s="28"/>
      <c r="B92" s="28"/>
      <c r="C92" s="60" t="s">
        <v>3398</v>
      </c>
      <c r="D92" s="53"/>
      <c r="E92" s="6"/>
      <c r="F92" s="19"/>
      <c r="G92" s="24" t="s">
        <v>2</v>
      </c>
      <c r="H92" s="24" t="s">
        <v>2</v>
      </c>
      <c r="I92" s="31"/>
      <c r="J92" s="35"/>
    </row>
    <row r="93" spans="1:10" x14ac:dyDescent="0.25">
      <c r="B93" s="8"/>
      <c r="C93" s="56" t="s">
        <v>36</v>
      </c>
      <c r="D93" s="53"/>
      <c r="E93" s="6"/>
      <c r="F93" s="19"/>
      <c r="G93" s="24">
        <v>3035.15</v>
      </c>
      <c r="H93" s="24">
        <v>3.25</v>
      </c>
      <c r="I93" s="31"/>
      <c r="J93" s="35"/>
    </row>
    <row r="94" spans="1:10" x14ac:dyDescent="0.25">
      <c r="C94" s="57" t="s">
        <v>35</v>
      </c>
      <c r="D94" s="53"/>
      <c r="E94" s="6"/>
      <c r="F94" s="19"/>
      <c r="G94" s="25">
        <v>3035.15</v>
      </c>
      <c r="H94" s="25">
        <v>3.25</v>
      </c>
      <c r="I94" s="31"/>
      <c r="J94" s="35"/>
    </row>
    <row r="95" spans="1:10" x14ac:dyDescent="0.25">
      <c r="C95" s="56"/>
      <c r="D95" s="53"/>
      <c r="E95" s="6"/>
      <c r="F95" s="19"/>
      <c r="G95" s="24"/>
      <c r="H95" s="24"/>
      <c r="I95" s="31"/>
      <c r="J95" s="35"/>
    </row>
    <row r="96" spans="1:10" x14ac:dyDescent="0.25">
      <c r="C96" s="61" t="s">
        <v>37</v>
      </c>
      <c r="D96" s="54"/>
      <c r="E96" s="5"/>
      <c r="F96" s="20"/>
      <c r="G96" s="26">
        <v>93571.85</v>
      </c>
      <c r="H96" s="26">
        <f>SUMIFS(H:H,C:C,"Total")</f>
        <v>100.00000000000001</v>
      </c>
      <c r="I96" s="32"/>
      <c r="J96" s="36"/>
    </row>
    <row r="99" spans="3:3" x14ac:dyDescent="0.25">
      <c r="C99" s="1" t="s">
        <v>38</v>
      </c>
    </row>
    <row r="100" spans="3:3" x14ac:dyDescent="0.25">
      <c r="C100" s="2" t="s">
        <v>39</v>
      </c>
    </row>
    <row r="101" spans="3:3" x14ac:dyDescent="0.25">
      <c r="C101" s="2" t="s">
        <v>40</v>
      </c>
    </row>
    <row r="102" spans="3:3" x14ac:dyDescent="0.25">
      <c r="C102" s="2" t="s">
        <v>3430</v>
      </c>
    </row>
  </sheetData>
  <hyperlinks>
    <hyperlink ref="J2" location="'Index'!A1" display="'Index'!A1"/>
  </hyperlinks>
  <pageMargins left="0.7" right="0.7" top="0.75" bottom="0.75" header="0.3" footer="0.3"/>
  <pageSetup orientation="portrait" horizontalDpi="4294967293"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7"/>
  <dimension ref="A1:J8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2462</v>
      </c>
      <c r="J2" s="37" t="s">
        <v>3307</v>
      </c>
    </row>
    <row r="3" spans="1:10" ht="16.5" x14ac:dyDescent="0.3">
      <c r="C3" s="1" t="s">
        <v>24</v>
      </c>
      <c r="D3" s="21" t="s">
        <v>2463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2464</v>
      </c>
      <c r="C18" s="56" t="s">
        <v>1950</v>
      </c>
      <c r="D18" s="53" t="s">
        <v>2465</v>
      </c>
      <c r="E18" s="6" t="s">
        <v>534</v>
      </c>
      <c r="F18" s="19">
        <v>500</v>
      </c>
      <c r="G18" s="24">
        <v>6256</v>
      </c>
      <c r="H18" s="24">
        <v>9.8800000000000008</v>
      </c>
      <c r="I18" s="31">
        <v>4.9499000000000004</v>
      </c>
      <c r="J18" s="35" t="s">
        <v>514</v>
      </c>
    </row>
    <row r="19" spans="2:10" x14ac:dyDescent="0.25">
      <c r="B19" s="8" t="s">
        <v>2466</v>
      </c>
      <c r="C19" s="56" t="s">
        <v>1344</v>
      </c>
      <c r="D19" s="53" t="s">
        <v>2467</v>
      </c>
      <c r="E19" s="6" t="s">
        <v>534</v>
      </c>
      <c r="F19" s="19">
        <v>640</v>
      </c>
      <c r="G19" s="24">
        <v>6224.47</v>
      </c>
      <c r="H19" s="24">
        <v>9.83</v>
      </c>
      <c r="I19" s="31">
        <v>4.3247999999999998</v>
      </c>
      <c r="J19" s="35" t="s">
        <v>514</v>
      </c>
    </row>
    <row r="20" spans="2:10" x14ac:dyDescent="0.25">
      <c r="B20" s="8" t="s">
        <v>2468</v>
      </c>
      <c r="C20" s="56" t="s">
        <v>1230</v>
      </c>
      <c r="D20" s="53" t="s">
        <v>2469</v>
      </c>
      <c r="E20" s="6" t="s">
        <v>534</v>
      </c>
      <c r="F20" s="19">
        <v>450</v>
      </c>
      <c r="G20" s="24">
        <v>4612.71</v>
      </c>
      <c r="H20" s="24">
        <v>7.28</v>
      </c>
      <c r="I20" s="31">
        <v>3.95</v>
      </c>
      <c r="J20" s="35" t="s">
        <v>514</v>
      </c>
    </row>
    <row r="21" spans="2:10" x14ac:dyDescent="0.25">
      <c r="B21" s="8" t="s">
        <v>2452</v>
      </c>
      <c r="C21" s="56" t="s">
        <v>1376</v>
      </c>
      <c r="D21" s="53" t="s">
        <v>2453</v>
      </c>
      <c r="E21" s="6" t="s">
        <v>534</v>
      </c>
      <c r="F21" s="19">
        <v>400</v>
      </c>
      <c r="G21" s="24">
        <v>4073.28</v>
      </c>
      <c r="H21" s="24">
        <v>6.43</v>
      </c>
      <c r="I21" s="31">
        <v>4.1150000000000002</v>
      </c>
      <c r="J21" s="35" t="s">
        <v>514</v>
      </c>
    </row>
    <row r="22" spans="2:10" x14ac:dyDescent="0.25">
      <c r="B22" s="8" t="s">
        <v>2470</v>
      </c>
      <c r="C22" s="56" t="s">
        <v>2316</v>
      </c>
      <c r="D22" s="53" t="s">
        <v>2471</v>
      </c>
      <c r="E22" s="6" t="s">
        <v>534</v>
      </c>
      <c r="F22" s="19">
        <v>280</v>
      </c>
      <c r="G22" s="24">
        <v>3502.08</v>
      </c>
      <c r="H22" s="24">
        <v>5.53</v>
      </c>
      <c r="I22" s="31">
        <v>4.6425000000000001</v>
      </c>
      <c r="J22" s="35" t="s">
        <v>514</v>
      </c>
    </row>
    <row r="23" spans="2:10" x14ac:dyDescent="0.25">
      <c r="B23" s="8" t="s">
        <v>2472</v>
      </c>
      <c r="C23" s="56" t="s">
        <v>1935</v>
      </c>
      <c r="D23" s="53" t="s">
        <v>2473</v>
      </c>
      <c r="E23" s="6" t="s">
        <v>911</v>
      </c>
      <c r="F23" s="19">
        <v>320</v>
      </c>
      <c r="G23" s="24">
        <v>3118.35</v>
      </c>
      <c r="H23" s="24">
        <v>4.92</v>
      </c>
      <c r="I23" s="31">
        <v>4.3247999999999998</v>
      </c>
      <c r="J23" s="35" t="s">
        <v>514</v>
      </c>
    </row>
    <row r="24" spans="2:10" x14ac:dyDescent="0.25">
      <c r="B24" s="8" t="s">
        <v>2474</v>
      </c>
      <c r="C24" s="56" t="s">
        <v>857</v>
      </c>
      <c r="D24" s="53" t="s">
        <v>2475</v>
      </c>
      <c r="E24" s="6" t="s">
        <v>534</v>
      </c>
      <c r="F24" s="19">
        <v>300</v>
      </c>
      <c r="G24" s="24">
        <v>3078.33</v>
      </c>
      <c r="H24" s="24">
        <v>4.8600000000000003</v>
      </c>
      <c r="I24" s="31">
        <v>3.8849999999999998</v>
      </c>
      <c r="J24" s="35" t="s">
        <v>514</v>
      </c>
    </row>
    <row r="25" spans="2:10" x14ac:dyDescent="0.25">
      <c r="B25" s="8" t="s">
        <v>2476</v>
      </c>
      <c r="C25" s="56" t="s">
        <v>1738</v>
      </c>
      <c r="D25" s="53" t="s">
        <v>2477</v>
      </c>
      <c r="E25" s="6" t="s">
        <v>534</v>
      </c>
      <c r="F25" s="19">
        <v>250</v>
      </c>
      <c r="G25" s="24">
        <v>2592.39</v>
      </c>
      <c r="H25" s="24">
        <v>4.09</v>
      </c>
      <c r="I25" s="31">
        <v>3.9350000000000001</v>
      </c>
      <c r="J25" s="35" t="s">
        <v>514</v>
      </c>
    </row>
    <row r="26" spans="2:10" x14ac:dyDescent="0.25">
      <c r="B26" s="8" t="s">
        <v>2397</v>
      </c>
      <c r="C26" s="56" t="s">
        <v>1752</v>
      </c>
      <c r="D26" s="53" t="s">
        <v>2398</v>
      </c>
      <c r="E26" s="6" t="s">
        <v>1314</v>
      </c>
      <c r="F26" s="19">
        <v>250</v>
      </c>
      <c r="G26" s="24">
        <v>2546.6799999999998</v>
      </c>
      <c r="H26" s="24">
        <v>4.0199999999999996</v>
      </c>
      <c r="I26" s="31">
        <v>3.9590999999999998</v>
      </c>
      <c r="J26" s="35" t="s">
        <v>514</v>
      </c>
    </row>
    <row r="27" spans="2:10" x14ac:dyDescent="0.25">
      <c r="B27" s="8" t="s">
        <v>1737</v>
      </c>
      <c r="C27" s="56" t="s">
        <v>1738</v>
      </c>
      <c r="D27" s="53" t="s">
        <v>1739</v>
      </c>
      <c r="E27" s="6" t="s">
        <v>534</v>
      </c>
      <c r="F27" s="19">
        <v>250</v>
      </c>
      <c r="G27" s="24">
        <v>2543.61</v>
      </c>
      <c r="H27" s="24">
        <v>4.0199999999999996</v>
      </c>
      <c r="I27" s="31">
        <v>3.75</v>
      </c>
      <c r="J27" s="35" t="s">
        <v>514</v>
      </c>
    </row>
    <row r="28" spans="2:10" x14ac:dyDescent="0.25">
      <c r="B28" s="8" t="s">
        <v>1413</v>
      </c>
      <c r="C28" s="56" t="s">
        <v>1127</v>
      </c>
      <c r="D28" s="53" t="s">
        <v>1414</v>
      </c>
      <c r="E28" s="6" t="s">
        <v>534</v>
      </c>
      <c r="F28" s="19">
        <v>220</v>
      </c>
      <c r="G28" s="24">
        <v>2224.73</v>
      </c>
      <c r="H28" s="24">
        <v>3.51</v>
      </c>
      <c r="I28" s="31">
        <v>3.9249999999999998</v>
      </c>
      <c r="J28" s="35" t="s">
        <v>514</v>
      </c>
    </row>
    <row r="29" spans="2:10" x14ac:dyDescent="0.25">
      <c r="B29" s="8" t="s">
        <v>1404</v>
      </c>
      <c r="C29" s="56" t="s">
        <v>125</v>
      </c>
      <c r="D29" s="53" t="s">
        <v>1405</v>
      </c>
      <c r="E29" s="6" t="s">
        <v>534</v>
      </c>
      <c r="F29" s="19">
        <v>15</v>
      </c>
      <c r="G29" s="24">
        <v>1528.64</v>
      </c>
      <c r="H29" s="24">
        <v>2.41</v>
      </c>
      <c r="I29" s="31">
        <v>3.95</v>
      </c>
      <c r="J29" s="35" t="s">
        <v>514</v>
      </c>
    </row>
    <row r="30" spans="2:10" x14ac:dyDescent="0.25">
      <c r="B30" s="8" t="s">
        <v>2315</v>
      </c>
      <c r="C30" s="56" t="s">
        <v>2316</v>
      </c>
      <c r="D30" s="53" t="s">
        <v>2317</v>
      </c>
      <c r="E30" s="6" t="s">
        <v>534</v>
      </c>
      <c r="F30" s="19">
        <v>100</v>
      </c>
      <c r="G30" s="24">
        <v>1251.6400000000001</v>
      </c>
      <c r="H30" s="24">
        <v>1.98</v>
      </c>
      <c r="I30" s="31">
        <v>4.6425000000000001</v>
      </c>
      <c r="J30" s="35" t="s">
        <v>514</v>
      </c>
    </row>
    <row r="31" spans="2:10" x14ac:dyDescent="0.25">
      <c r="B31" s="8" t="s">
        <v>2393</v>
      </c>
      <c r="C31" s="56" t="s">
        <v>1130</v>
      </c>
      <c r="D31" s="53" t="s">
        <v>2394</v>
      </c>
      <c r="E31" s="6" t="s">
        <v>911</v>
      </c>
      <c r="F31" s="19">
        <v>100</v>
      </c>
      <c r="G31" s="24">
        <v>1022.36</v>
      </c>
      <c r="H31" s="24">
        <v>1.61</v>
      </c>
      <c r="I31" s="31">
        <v>4.0209000000000001</v>
      </c>
      <c r="J31" s="35" t="s">
        <v>514</v>
      </c>
    </row>
    <row r="32" spans="2:10" x14ac:dyDescent="0.25">
      <c r="B32" s="8" t="s">
        <v>2366</v>
      </c>
      <c r="C32" s="56" t="s">
        <v>1376</v>
      </c>
      <c r="D32" s="53" t="s">
        <v>2367</v>
      </c>
      <c r="E32" s="6" t="s">
        <v>534</v>
      </c>
      <c r="F32" s="19">
        <v>100</v>
      </c>
      <c r="G32" s="24">
        <v>1017.73</v>
      </c>
      <c r="H32" s="24">
        <v>1.61</v>
      </c>
      <c r="I32" s="31">
        <v>4.1151</v>
      </c>
      <c r="J32" s="35" t="s">
        <v>514</v>
      </c>
    </row>
    <row r="33" spans="1:10" x14ac:dyDescent="0.25">
      <c r="C33" s="57" t="s">
        <v>35</v>
      </c>
      <c r="D33" s="53"/>
      <c r="E33" s="6"/>
      <c r="F33" s="19"/>
      <c r="G33" s="25">
        <v>45593</v>
      </c>
      <c r="H33" s="25">
        <v>71.98</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9" t="s">
        <v>10</v>
      </c>
      <c r="D41" s="53"/>
      <c r="E41" s="6"/>
      <c r="F41" s="19"/>
      <c r="G41" s="24"/>
      <c r="H41" s="24"/>
      <c r="I41" s="31"/>
      <c r="J41" s="35"/>
    </row>
    <row r="42" spans="1:10" x14ac:dyDescent="0.25">
      <c r="B42" s="8" t="s">
        <v>2456</v>
      </c>
      <c r="C42" s="56" t="s">
        <v>2457</v>
      </c>
      <c r="D42" s="53" t="s">
        <v>2458</v>
      </c>
      <c r="E42" s="6" t="s">
        <v>655</v>
      </c>
      <c r="F42" s="19">
        <v>9000000</v>
      </c>
      <c r="G42" s="24">
        <v>9201.4699999999993</v>
      </c>
      <c r="H42" s="24">
        <v>14.53</v>
      </c>
      <c r="I42" s="31">
        <v>3.9607000000000001</v>
      </c>
      <c r="J42" s="35"/>
    </row>
    <row r="43" spans="1:10" x14ac:dyDescent="0.25">
      <c r="B43" s="8" t="s">
        <v>2459</v>
      </c>
      <c r="C43" s="56" t="s">
        <v>2460</v>
      </c>
      <c r="D43" s="53" t="s">
        <v>2461</v>
      </c>
      <c r="E43" s="6" t="s">
        <v>655</v>
      </c>
      <c r="F43" s="19">
        <v>1000000</v>
      </c>
      <c r="G43" s="24">
        <v>1024.33</v>
      </c>
      <c r="H43" s="24">
        <v>1.62</v>
      </c>
      <c r="I43" s="31">
        <v>3.9607999999999999</v>
      </c>
      <c r="J43" s="35"/>
    </row>
    <row r="44" spans="1:10" x14ac:dyDescent="0.25">
      <c r="C44" s="57" t="s">
        <v>35</v>
      </c>
      <c r="D44" s="53"/>
      <c r="E44" s="6"/>
      <c r="F44" s="19"/>
      <c r="G44" s="25">
        <v>10225.799999999999</v>
      </c>
      <c r="H44" s="25">
        <v>16.149999999999999</v>
      </c>
      <c r="I44" s="31"/>
      <c r="J44" s="35"/>
    </row>
    <row r="45" spans="1:10" x14ac:dyDescent="0.25">
      <c r="C45" s="56"/>
      <c r="D45" s="53"/>
      <c r="E45" s="6"/>
      <c r="F45" s="19"/>
      <c r="G45" s="24"/>
      <c r="H45" s="24"/>
      <c r="I45" s="31"/>
      <c r="J45" s="35"/>
    </row>
    <row r="46" spans="1:10" x14ac:dyDescent="0.25">
      <c r="A46" s="10"/>
      <c r="B46" s="28"/>
      <c r="C46" s="58" t="s">
        <v>11</v>
      </c>
      <c r="D46" s="53"/>
      <c r="E46" s="6"/>
      <c r="F46" s="19"/>
      <c r="G46" s="24"/>
      <c r="H46" s="24"/>
      <c r="I46" s="31"/>
      <c r="J46" s="35"/>
    </row>
    <row r="47" spans="1:10" x14ac:dyDescent="0.25">
      <c r="A47" s="28"/>
      <c r="B47" s="28"/>
      <c r="C47" s="58" t="s">
        <v>13</v>
      </c>
      <c r="D47" s="53"/>
      <c r="E47" s="6"/>
      <c r="F47" s="19"/>
      <c r="G47" s="24" t="s">
        <v>2</v>
      </c>
      <c r="H47" s="24" t="s">
        <v>2</v>
      </c>
      <c r="I47" s="31"/>
      <c r="J47" s="35"/>
    </row>
    <row r="48" spans="1:10" x14ac:dyDescent="0.25">
      <c r="A48" s="28"/>
      <c r="B48" s="28"/>
      <c r="C48" s="58"/>
      <c r="D48" s="53"/>
      <c r="E48" s="6"/>
      <c r="F48" s="19"/>
      <c r="G48" s="24"/>
      <c r="H48" s="24"/>
      <c r="I48" s="31"/>
      <c r="J48" s="35"/>
    </row>
    <row r="49" spans="1:10" x14ac:dyDescent="0.25">
      <c r="C49" s="59" t="s">
        <v>14</v>
      </c>
      <c r="D49" s="53"/>
      <c r="E49" s="6"/>
      <c r="F49" s="19"/>
      <c r="G49" s="24"/>
      <c r="H49" s="24"/>
      <c r="I49" s="31"/>
      <c r="J49" s="35"/>
    </row>
    <row r="50" spans="1:10" x14ac:dyDescent="0.25">
      <c r="B50" s="8" t="s">
        <v>2357</v>
      </c>
      <c r="C50" s="56" t="s">
        <v>74</v>
      </c>
      <c r="D50" s="53" t="s">
        <v>2358</v>
      </c>
      <c r="E50" s="6" t="s">
        <v>992</v>
      </c>
      <c r="F50" s="19">
        <v>1500</v>
      </c>
      <c r="G50" s="24">
        <v>1489.48</v>
      </c>
      <c r="H50" s="24">
        <v>2.35</v>
      </c>
      <c r="I50" s="31">
        <v>3.3050999999999999</v>
      </c>
      <c r="J50" s="35"/>
    </row>
    <row r="51" spans="1:10" x14ac:dyDescent="0.25">
      <c r="B51" s="8" t="s">
        <v>1248</v>
      </c>
      <c r="C51" s="56" t="s">
        <v>818</v>
      </c>
      <c r="D51" s="53" t="s">
        <v>1249</v>
      </c>
      <c r="E51" s="6" t="s">
        <v>1000</v>
      </c>
      <c r="F51" s="19">
        <v>1200</v>
      </c>
      <c r="G51" s="24">
        <v>1170.1600000000001</v>
      </c>
      <c r="H51" s="24">
        <v>1.85</v>
      </c>
      <c r="I51" s="31">
        <v>3.8298999999999999</v>
      </c>
      <c r="J51" s="35" t="s">
        <v>514</v>
      </c>
    </row>
    <row r="52" spans="1:10" x14ac:dyDescent="0.25">
      <c r="B52" s="8" t="s">
        <v>2478</v>
      </c>
      <c r="C52" s="56" t="s">
        <v>818</v>
      </c>
      <c r="D52" s="53" t="s">
        <v>2479</v>
      </c>
      <c r="E52" s="6" t="s">
        <v>1000</v>
      </c>
      <c r="F52" s="19">
        <v>800</v>
      </c>
      <c r="G52" s="24">
        <v>782.99</v>
      </c>
      <c r="H52" s="24">
        <v>1.24</v>
      </c>
      <c r="I52" s="31">
        <v>3.83</v>
      </c>
      <c r="J52" s="35" t="s">
        <v>514</v>
      </c>
    </row>
    <row r="53" spans="1:10" x14ac:dyDescent="0.25">
      <c r="B53" s="8" t="s">
        <v>1225</v>
      </c>
      <c r="C53" s="56" t="s">
        <v>818</v>
      </c>
      <c r="D53" s="53" t="s">
        <v>1226</v>
      </c>
      <c r="E53" s="6" t="s">
        <v>1000</v>
      </c>
      <c r="F53" s="19">
        <v>700</v>
      </c>
      <c r="G53" s="24">
        <v>689.44</v>
      </c>
      <c r="H53" s="24">
        <v>1.0900000000000001</v>
      </c>
      <c r="I53" s="31">
        <v>3.5150000000000001</v>
      </c>
      <c r="J53" s="35" t="s">
        <v>514</v>
      </c>
    </row>
    <row r="54" spans="1:10" x14ac:dyDescent="0.25">
      <c r="B54" s="8" t="s">
        <v>1254</v>
      </c>
      <c r="C54" s="56" t="s">
        <v>63</v>
      </c>
      <c r="D54" s="53" t="s">
        <v>1255</v>
      </c>
      <c r="E54" s="6" t="s">
        <v>1132</v>
      </c>
      <c r="F54" s="19">
        <v>100</v>
      </c>
      <c r="G54" s="24">
        <v>99.3</v>
      </c>
      <c r="H54" s="24">
        <v>0.16</v>
      </c>
      <c r="I54" s="31">
        <v>3.3001999999999998</v>
      </c>
      <c r="J54" s="35" t="s">
        <v>514</v>
      </c>
    </row>
    <row r="55" spans="1:10" x14ac:dyDescent="0.25">
      <c r="B55" s="8" t="s">
        <v>1260</v>
      </c>
      <c r="C55" s="56" t="s">
        <v>402</v>
      </c>
      <c r="D55" s="53" t="s">
        <v>1261</v>
      </c>
      <c r="E55" s="6" t="s">
        <v>992</v>
      </c>
      <c r="F55" s="19">
        <v>100</v>
      </c>
      <c r="G55" s="24">
        <v>99.24</v>
      </c>
      <c r="H55" s="24">
        <v>0.16</v>
      </c>
      <c r="I55" s="31">
        <v>3.3250000000000002</v>
      </c>
      <c r="J55" s="35" t="s">
        <v>514</v>
      </c>
    </row>
    <row r="56" spans="1:10" x14ac:dyDescent="0.25">
      <c r="B56" s="8" t="s">
        <v>2480</v>
      </c>
      <c r="C56" s="56" t="s">
        <v>872</v>
      </c>
      <c r="D56" s="53" t="s">
        <v>2481</v>
      </c>
      <c r="E56" s="6" t="s">
        <v>992</v>
      </c>
      <c r="F56" s="19">
        <v>100</v>
      </c>
      <c r="G56" s="24">
        <v>98.82</v>
      </c>
      <c r="H56" s="24">
        <v>0.16</v>
      </c>
      <c r="I56" s="31">
        <v>4.2149999999999999</v>
      </c>
      <c r="J56" s="35" t="s">
        <v>514</v>
      </c>
    </row>
    <row r="57" spans="1:10" x14ac:dyDescent="0.25">
      <c r="C57" s="57" t="s">
        <v>35</v>
      </c>
      <c r="D57" s="53"/>
      <c r="E57" s="6"/>
      <c r="F57" s="19"/>
      <c r="G57" s="25">
        <v>4429.43</v>
      </c>
      <c r="H57" s="25">
        <v>7.01</v>
      </c>
      <c r="I57" s="31"/>
      <c r="J57" s="35"/>
    </row>
    <row r="58" spans="1:10" x14ac:dyDescent="0.25">
      <c r="C58" s="56"/>
      <c r="D58" s="53"/>
      <c r="E58" s="6"/>
      <c r="F58" s="19"/>
      <c r="G58" s="24"/>
      <c r="H58" s="24"/>
      <c r="I58" s="31"/>
      <c r="J58" s="35"/>
    </row>
    <row r="59" spans="1:10" x14ac:dyDescent="0.25">
      <c r="C59" s="57" t="s">
        <v>15</v>
      </c>
      <c r="D59" s="53"/>
      <c r="E59" s="6"/>
      <c r="F59" s="19"/>
      <c r="G59" s="24" t="s">
        <v>2</v>
      </c>
      <c r="H59" s="24" t="s">
        <v>2</v>
      </c>
      <c r="I59" s="31"/>
      <c r="J59" s="35"/>
    </row>
    <row r="60" spans="1:10" x14ac:dyDescent="0.25">
      <c r="C60" s="56"/>
      <c r="D60" s="53"/>
      <c r="E60" s="6"/>
      <c r="F60" s="19"/>
      <c r="G60" s="24"/>
      <c r="H60" s="24"/>
      <c r="I60" s="31"/>
      <c r="J60" s="35"/>
    </row>
    <row r="61" spans="1:10" x14ac:dyDescent="0.25">
      <c r="C61" s="57" t="s">
        <v>16</v>
      </c>
      <c r="D61" s="53"/>
      <c r="E61" s="6"/>
      <c r="F61" s="19"/>
      <c r="G61" s="24" t="s">
        <v>2</v>
      </c>
      <c r="H61" s="24" t="s">
        <v>2</v>
      </c>
      <c r="I61" s="31"/>
      <c r="J61" s="35"/>
    </row>
    <row r="62" spans="1:10" x14ac:dyDescent="0.25">
      <c r="C62" s="56"/>
      <c r="D62" s="53"/>
      <c r="E62" s="6"/>
      <c r="F62" s="19"/>
      <c r="G62" s="24"/>
      <c r="H62" s="24"/>
      <c r="I62" s="31"/>
      <c r="J62" s="35"/>
    </row>
    <row r="63" spans="1:10" x14ac:dyDescent="0.25">
      <c r="A63" s="10"/>
      <c r="B63" s="28"/>
      <c r="C63" s="58" t="s">
        <v>17</v>
      </c>
      <c r="D63" s="53"/>
      <c r="E63" s="6"/>
      <c r="F63" s="19"/>
      <c r="G63" s="24"/>
      <c r="H63" s="24"/>
      <c r="I63" s="31"/>
      <c r="J63" s="35"/>
    </row>
    <row r="64" spans="1:10" x14ac:dyDescent="0.25">
      <c r="A64" s="28"/>
      <c r="B64" s="28"/>
      <c r="C64" s="58" t="s">
        <v>18</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19</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20</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A70" s="28"/>
      <c r="B70" s="28"/>
      <c r="C70" s="58" t="s">
        <v>21</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C72" s="59" t="s">
        <v>22</v>
      </c>
      <c r="D72" s="53"/>
      <c r="E72" s="6"/>
      <c r="F72" s="19"/>
      <c r="G72" s="24"/>
      <c r="H72" s="24"/>
      <c r="I72" s="31"/>
      <c r="J72" s="35"/>
    </row>
    <row r="73" spans="1:10" x14ac:dyDescent="0.25">
      <c r="B73" s="8" t="s">
        <v>33</v>
      </c>
      <c r="C73" s="56" t="s">
        <v>34</v>
      </c>
      <c r="D73" s="53"/>
      <c r="E73" s="6"/>
      <c r="F73" s="19"/>
      <c r="G73" s="24">
        <v>1529.07</v>
      </c>
      <c r="H73" s="24">
        <v>2.41</v>
      </c>
      <c r="I73" s="31"/>
      <c r="J73" s="35"/>
    </row>
    <row r="74" spans="1:10" x14ac:dyDescent="0.25">
      <c r="C74" s="57" t="s">
        <v>35</v>
      </c>
      <c r="D74" s="53"/>
      <c r="E74" s="6"/>
      <c r="F74" s="19"/>
      <c r="G74" s="25">
        <v>1529.07</v>
      </c>
      <c r="H74" s="25">
        <v>2.41</v>
      </c>
      <c r="I74" s="31"/>
      <c r="J74" s="35"/>
    </row>
    <row r="75" spans="1:10" x14ac:dyDescent="0.25">
      <c r="C75" s="56"/>
      <c r="D75" s="53"/>
      <c r="E75" s="6"/>
      <c r="F75" s="19"/>
      <c r="G75" s="24"/>
      <c r="H75" s="24"/>
      <c r="I75" s="31"/>
      <c r="J75" s="35"/>
    </row>
    <row r="76" spans="1:10" x14ac:dyDescent="0.25">
      <c r="A76" s="10"/>
      <c r="B76" s="28"/>
      <c r="C76" s="58" t="s">
        <v>23</v>
      </c>
      <c r="D76" s="53"/>
      <c r="E76" s="6"/>
      <c r="F76" s="19"/>
      <c r="G76" s="24"/>
      <c r="H76" s="24"/>
      <c r="I76" s="31"/>
      <c r="J76" s="35"/>
    </row>
    <row r="77" spans="1:10" x14ac:dyDescent="0.25">
      <c r="A77" s="28"/>
      <c r="B77" s="28"/>
      <c r="C77" s="60" t="s">
        <v>3398</v>
      </c>
      <c r="D77" s="53"/>
      <c r="E77" s="6"/>
      <c r="F77" s="19"/>
      <c r="G77" s="24" t="s">
        <v>2</v>
      </c>
      <c r="H77" s="24" t="s">
        <v>2</v>
      </c>
      <c r="I77" s="31"/>
      <c r="J77" s="35"/>
    </row>
    <row r="78" spans="1:10" x14ac:dyDescent="0.25">
      <c r="B78" s="8"/>
      <c r="C78" s="56" t="s">
        <v>36</v>
      </c>
      <c r="D78" s="53"/>
      <c r="E78" s="6"/>
      <c r="F78" s="19"/>
      <c r="G78" s="24">
        <v>1556.13</v>
      </c>
      <c r="H78" s="24">
        <v>2.4500000000000002</v>
      </c>
      <c r="I78" s="31"/>
      <c r="J78" s="35"/>
    </row>
    <row r="79" spans="1:10" x14ac:dyDescent="0.25">
      <c r="C79" s="57" t="s">
        <v>35</v>
      </c>
      <c r="D79" s="53"/>
      <c r="E79" s="6"/>
      <c r="F79" s="19"/>
      <c r="G79" s="25">
        <v>1556.13</v>
      </c>
      <c r="H79" s="25">
        <v>2.4500000000000002</v>
      </c>
      <c r="I79" s="31"/>
      <c r="J79" s="35"/>
    </row>
    <row r="80" spans="1:10" x14ac:dyDescent="0.25">
      <c r="C80" s="56"/>
      <c r="D80" s="53"/>
      <c r="E80" s="6"/>
      <c r="F80" s="19"/>
      <c r="G80" s="24"/>
      <c r="H80" s="24"/>
      <c r="I80" s="31"/>
      <c r="J80" s="35"/>
    </row>
    <row r="81" spans="3:10" x14ac:dyDescent="0.25">
      <c r="C81" s="61" t="s">
        <v>37</v>
      </c>
      <c r="D81" s="54"/>
      <c r="E81" s="5"/>
      <c r="F81" s="20"/>
      <c r="G81" s="26">
        <v>63333.43</v>
      </c>
      <c r="H81" s="26">
        <f>SUMIFS(H:H,C:C,"Total")</f>
        <v>100</v>
      </c>
      <c r="I81" s="32"/>
      <c r="J81" s="36"/>
    </row>
    <row r="84" spans="3:10" x14ac:dyDescent="0.25">
      <c r="C84" s="1" t="s">
        <v>38</v>
      </c>
    </row>
    <row r="85" spans="3:10" x14ac:dyDescent="0.25">
      <c r="C85" s="2" t="s">
        <v>39</v>
      </c>
    </row>
    <row r="86" spans="3:10" x14ac:dyDescent="0.25">
      <c r="C86" s="2" t="s">
        <v>40</v>
      </c>
    </row>
    <row r="87" spans="3:10" x14ac:dyDescent="0.25">
      <c r="C87" s="2" t="s">
        <v>3430</v>
      </c>
    </row>
  </sheetData>
  <hyperlinks>
    <hyperlink ref="J2" location="'Index'!A1" display="'Index'!A1"/>
  </hyperlinks>
  <pageMargins left="0.7" right="0.7" top="0.75" bottom="0.75" header="0.3" footer="0.3"/>
  <pageSetup orientation="portrait" horizontalDpi="4294967293"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8"/>
  <dimension ref="A1:J9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2482</v>
      </c>
      <c r="J2" s="37" t="s">
        <v>3307</v>
      </c>
    </row>
    <row r="3" spans="1:10" ht="16.5" x14ac:dyDescent="0.3">
      <c r="C3" s="1" t="s">
        <v>24</v>
      </c>
      <c r="D3" s="21" t="s">
        <v>2483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2466</v>
      </c>
      <c r="C18" s="56" t="s">
        <v>1344</v>
      </c>
      <c r="D18" s="53" t="s">
        <v>2467</v>
      </c>
      <c r="E18" s="6" t="s">
        <v>534</v>
      </c>
      <c r="F18" s="19">
        <v>705</v>
      </c>
      <c r="G18" s="24">
        <v>6856.65</v>
      </c>
      <c r="H18" s="24">
        <v>9.83</v>
      </c>
      <c r="I18" s="31">
        <v>4.3247999999999998</v>
      </c>
      <c r="J18" s="35" t="s">
        <v>514</v>
      </c>
    </row>
    <row r="19" spans="2:10" x14ac:dyDescent="0.25">
      <c r="B19" s="8" t="s">
        <v>2484</v>
      </c>
      <c r="C19" s="56" t="s">
        <v>1935</v>
      </c>
      <c r="D19" s="53" t="s">
        <v>2485</v>
      </c>
      <c r="E19" s="6" t="s">
        <v>911</v>
      </c>
      <c r="F19" s="19">
        <v>650</v>
      </c>
      <c r="G19" s="24">
        <v>6307.92</v>
      </c>
      <c r="H19" s="24">
        <v>9.0399999999999991</v>
      </c>
      <c r="I19" s="31">
        <v>4.3247999999999998</v>
      </c>
      <c r="J19" s="35" t="s">
        <v>514</v>
      </c>
    </row>
    <row r="20" spans="2:10" x14ac:dyDescent="0.25">
      <c r="B20" s="8" t="s">
        <v>2470</v>
      </c>
      <c r="C20" s="56" t="s">
        <v>2316</v>
      </c>
      <c r="D20" s="53" t="s">
        <v>2471</v>
      </c>
      <c r="E20" s="6" t="s">
        <v>534</v>
      </c>
      <c r="F20" s="19">
        <v>430</v>
      </c>
      <c r="G20" s="24">
        <v>5378.19</v>
      </c>
      <c r="H20" s="24">
        <v>7.71</v>
      </c>
      <c r="I20" s="31">
        <v>4.6425000000000001</v>
      </c>
      <c r="J20" s="35" t="s">
        <v>514</v>
      </c>
    </row>
    <row r="21" spans="2:10" x14ac:dyDescent="0.25">
      <c r="B21" s="8" t="s">
        <v>2309</v>
      </c>
      <c r="C21" s="56" t="s">
        <v>909</v>
      </c>
      <c r="D21" s="53" t="s">
        <v>2310</v>
      </c>
      <c r="E21" s="6" t="s">
        <v>534</v>
      </c>
      <c r="F21" s="19">
        <v>500</v>
      </c>
      <c r="G21" s="24">
        <v>5060.43</v>
      </c>
      <c r="H21" s="24">
        <v>7.25</v>
      </c>
      <c r="I21" s="31">
        <v>3.7</v>
      </c>
      <c r="J21" s="35" t="s">
        <v>514</v>
      </c>
    </row>
    <row r="22" spans="2:10" x14ac:dyDescent="0.25">
      <c r="B22" s="8" t="s">
        <v>2397</v>
      </c>
      <c r="C22" s="56" t="s">
        <v>1752</v>
      </c>
      <c r="D22" s="53" t="s">
        <v>2398</v>
      </c>
      <c r="E22" s="6" t="s">
        <v>1314</v>
      </c>
      <c r="F22" s="19">
        <v>490</v>
      </c>
      <c r="G22" s="24">
        <v>4991.4799999999996</v>
      </c>
      <c r="H22" s="24">
        <v>7.15</v>
      </c>
      <c r="I22" s="31">
        <v>3.9590999999999998</v>
      </c>
      <c r="J22" s="35" t="s">
        <v>514</v>
      </c>
    </row>
    <row r="23" spans="2:10" x14ac:dyDescent="0.25">
      <c r="B23" s="8" t="s">
        <v>2486</v>
      </c>
      <c r="C23" s="56" t="s">
        <v>1950</v>
      </c>
      <c r="D23" s="53" t="s">
        <v>2487</v>
      </c>
      <c r="E23" s="6" t="s">
        <v>534</v>
      </c>
      <c r="F23" s="19">
        <v>350</v>
      </c>
      <c r="G23" s="24">
        <v>4356.0200000000004</v>
      </c>
      <c r="H23" s="24">
        <v>6.24</v>
      </c>
      <c r="I23" s="31">
        <v>4.95</v>
      </c>
      <c r="J23" s="35" t="s">
        <v>514</v>
      </c>
    </row>
    <row r="24" spans="2:10" x14ac:dyDescent="0.25">
      <c r="B24" s="8" t="s">
        <v>1737</v>
      </c>
      <c r="C24" s="56" t="s">
        <v>1738</v>
      </c>
      <c r="D24" s="53" t="s">
        <v>1739</v>
      </c>
      <c r="E24" s="6" t="s">
        <v>534</v>
      </c>
      <c r="F24" s="19">
        <v>410</v>
      </c>
      <c r="G24" s="24">
        <v>4171.5200000000004</v>
      </c>
      <c r="H24" s="24">
        <v>5.98</v>
      </c>
      <c r="I24" s="31">
        <v>3.75</v>
      </c>
      <c r="J24" s="35" t="s">
        <v>514</v>
      </c>
    </row>
    <row r="25" spans="2:10" x14ac:dyDescent="0.25">
      <c r="B25" s="8" t="s">
        <v>1417</v>
      </c>
      <c r="C25" s="56" t="s">
        <v>1376</v>
      </c>
      <c r="D25" s="53" t="s">
        <v>1418</v>
      </c>
      <c r="E25" s="6" t="s">
        <v>534</v>
      </c>
      <c r="F25" s="19">
        <v>400</v>
      </c>
      <c r="G25" s="24">
        <v>4095.37</v>
      </c>
      <c r="H25" s="24">
        <v>5.87</v>
      </c>
      <c r="I25" s="31">
        <v>4.1500000000000004</v>
      </c>
      <c r="J25" s="35" t="s">
        <v>514</v>
      </c>
    </row>
    <row r="26" spans="2:10" x14ac:dyDescent="0.25">
      <c r="B26" s="8" t="s">
        <v>2488</v>
      </c>
      <c r="C26" s="56" t="s">
        <v>601</v>
      </c>
      <c r="D26" s="53" t="s">
        <v>2489</v>
      </c>
      <c r="E26" s="6" t="s">
        <v>534</v>
      </c>
      <c r="F26" s="19">
        <v>260</v>
      </c>
      <c r="G26" s="24">
        <v>2654.9</v>
      </c>
      <c r="H26" s="24">
        <v>3.8</v>
      </c>
      <c r="I26" s="31">
        <v>4.1150000000000002</v>
      </c>
      <c r="J26" s="35" t="s">
        <v>514</v>
      </c>
    </row>
    <row r="27" spans="2:10" x14ac:dyDescent="0.25">
      <c r="B27" s="8" t="s">
        <v>2389</v>
      </c>
      <c r="C27" s="56" t="s">
        <v>1127</v>
      </c>
      <c r="D27" s="53" t="s">
        <v>2390</v>
      </c>
      <c r="E27" s="6" t="s">
        <v>534</v>
      </c>
      <c r="F27" s="19">
        <v>190</v>
      </c>
      <c r="G27" s="24">
        <v>1931.6</v>
      </c>
      <c r="H27" s="24">
        <v>2.77</v>
      </c>
      <c r="I27" s="31">
        <v>3.9649999999999999</v>
      </c>
      <c r="J27" s="35" t="s">
        <v>514</v>
      </c>
    </row>
    <row r="28" spans="2:10" x14ac:dyDescent="0.25">
      <c r="B28" s="8" t="s">
        <v>2452</v>
      </c>
      <c r="C28" s="56" t="s">
        <v>1376</v>
      </c>
      <c r="D28" s="53" t="s">
        <v>2453</v>
      </c>
      <c r="E28" s="6" t="s">
        <v>534</v>
      </c>
      <c r="F28" s="19">
        <v>155</v>
      </c>
      <c r="G28" s="24">
        <v>1578.39</v>
      </c>
      <c r="H28" s="24">
        <v>2.2599999999999998</v>
      </c>
      <c r="I28" s="31">
        <v>4.1150000000000002</v>
      </c>
      <c r="J28" s="35" t="s">
        <v>514</v>
      </c>
    </row>
    <row r="29" spans="2:10" x14ac:dyDescent="0.25">
      <c r="B29" s="8" t="s">
        <v>2315</v>
      </c>
      <c r="C29" s="56" t="s">
        <v>2316</v>
      </c>
      <c r="D29" s="53" t="s">
        <v>2317</v>
      </c>
      <c r="E29" s="6" t="s">
        <v>534</v>
      </c>
      <c r="F29" s="19">
        <v>120</v>
      </c>
      <c r="G29" s="24">
        <v>1501.97</v>
      </c>
      <c r="H29" s="24">
        <v>2.15</v>
      </c>
      <c r="I29" s="31">
        <v>4.6425000000000001</v>
      </c>
      <c r="J29" s="35" t="s">
        <v>514</v>
      </c>
    </row>
    <row r="30" spans="2:10" x14ac:dyDescent="0.25">
      <c r="B30" s="8" t="s">
        <v>2476</v>
      </c>
      <c r="C30" s="56" t="s">
        <v>1738</v>
      </c>
      <c r="D30" s="53" t="s">
        <v>2477</v>
      </c>
      <c r="E30" s="6" t="s">
        <v>534</v>
      </c>
      <c r="F30" s="19">
        <v>100</v>
      </c>
      <c r="G30" s="24">
        <v>1036.95</v>
      </c>
      <c r="H30" s="24">
        <v>1.49</v>
      </c>
      <c r="I30" s="31">
        <v>3.9350000000000001</v>
      </c>
      <c r="J30" s="35" t="s">
        <v>514</v>
      </c>
    </row>
    <row r="31" spans="2:10" x14ac:dyDescent="0.25">
      <c r="B31" s="8" t="s">
        <v>2393</v>
      </c>
      <c r="C31" s="56" t="s">
        <v>1130</v>
      </c>
      <c r="D31" s="53" t="s">
        <v>2394</v>
      </c>
      <c r="E31" s="6" t="s">
        <v>911</v>
      </c>
      <c r="F31" s="19">
        <v>100</v>
      </c>
      <c r="G31" s="24">
        <v>1022.36</v>
      </c>
      <c r="H31" s="24">
        <v>1.47</v>
      </c>
      <c r="I31" s="31">
        <v>4.0209000000000001</v>
      </c>
      <c r="J31" s="35" t="s">
        <v>514</v>
      </c>
    </row>
    <row r="32" spans="2:10" x14ac:dyDescent="0.25">
      <c r="B32" s="8" t="s">
        <v>2490</v>
      </c>
      <c r="C32" s="56" t="s">
        <v>1127</v>
      </c>
      <c r="D32" s="53" t="s">
        <v>2491</v>
      </c>
      <c r="E32" s="6" t="s">
        <v>534</v>
      </c>
      <c r="F32" s="19">
        <v>70</v>
      </c>
      <c r="G32" s="24">
        <v>708.61</v>
      </c>
      <c r="H32" s="24">
        <v>1.02</v>
      </c>
      <c r="I32" s="31">
        <v>3.9249999999999998</v>
      </c>
      <c r="J32" s="35" t="s">
        <v>514</v>
      </c>
    </row>
    <row r="33" spans="2:10" x14ac:dyDescent="0.25">
      <c r="B33" s="8" t="s">
        <v>1404</v>
      </c>
      <c r="C33" s="56" t="s">
        <v>125</v>
      </c>
      <c r="D33" s="53" t="s">
        <v>1405</v>
      </c>
      <c r="E33" s="6" t="s">
        <v>534</v>
      </c>
      <c r="F33" s="19">
        <v>5</v>
      </c>
      <c r="G33" s="24">
        <v>509.55</v>
      </c>
      <c r="H33" s="24">
        <v>0.73</v>
      </c>
      <c r="I33" s="31">
        <v>3.95</v>
      </c>
      <c r="J33" s="35" t="s">
        <v>514</v>
      </c>
    </row>
    <row r="34" spans="2:10" x14ac:dyDescent="0.25">
      <c r="B34" s="8" t="s">
        <v>2434</v>
      </c>
      <c r="C34" s="56" t="s">
        <v>601</v>
      </c>
      <c r="D34" s="53" t="s">
        <v>2435</v>
      </c>
      <c r="E34" s="6" t="s">
        <v>534</v>
      </c>
      <c r="F34" s="19">
        <v>50</v>
      </c>
      <c r="G34" s="24">
        <v>509.33</v>
      </c>
      <c r="H34" s="24">
        <v>0.73</v>
      </c>
      <c r="I34" s="31">
        <v>4.1151</v>
      </c>
      <c r="J34" s="35" t="s">
        <v>514</v>
      </c>
    </row>
    <row r="35" spans="2:10" x14ac:dyDescent="0.25">
      <c r="B35" s="8" t="s">
        <v>2355</v>
      </c>
      <c r="C35" s="56" t="s">
        <v>1130</v>
      </c>
      <c r="D35" s="53" t="s">
        <v>2356</v>
      </c>
      <c r="E35" s="6" t="s">
        <v>911</v>
      </c>
      <c r="F35" s="19">
        <v>50</v>
      </c>
      <c r="G35" s="24">
        <v>508.87</v>
      </c>
      <c r="H35" s="24">
        <v>0.73</v>
      </c>
      <c r="I35" s="31">
        <v>4.0250000000000004</v>
      </c>
      <c r="J35" s="35" t="s">
        <v>514</v>
      </c>
    </row>
    <row r="36" spans="2:10" x14ac:dyDescent="0.25">
      <c r="B36" s="8" t="s">
        <v>2492</v>
      </c>
      <c r="C36" s="56" t="s">
        <v>137</v>
      </c>
      <c r="D36" s="53" t="s">
        <v>2493</v>
      </c>
      <c r="E36" s="6" t="s">
        <v>534</v>
      </c>
      <c r="F36" s="19">
        <v>20</v>
      </c>
      <c r="G36" s="24">
        <v>205.6</v>
      </c>
      <c r="H36" s="24">
        <v>0.28999999999999998</v>
      </c>
      <c r="I36" s="31">
        <v>4.085</v>
      </c>
      <c r="J36" s="35" t="s">
        <v>514</v>
      </c>
    </row>
    <row r="37" spans="2:10" x14ac:dyDescent="0.25">
      <c r="C37" s="57" t="s">
        <v>35</v>
      </c>
      <c r="D37" s="53"/>
      <c r="E37" s="6"/>
      <c r="F37" s="19"/>
      <c r="G37" s="25">
        <v>53385.71</v>
      </c>
      <c r="H37" s="25">
        <v>76.510000000000005</v>
      </c>
      <c r="I37" s="31"/>
      <c r="J37" s="35"/>
    </row>
    <row r="38" spans="2:10" x14ac:dyDescent="0.25">
      <c r="C38" s="56"/>
      <c r="D38" s="53"/>
      <c r="E38" s="6"/>
      <c r="F38" s="19"/>
      <c r="G38" s="24"/>
      <c r="H38" s="24"/>
      <c r="I38" s="31"/>
      <c r="J38" s="35"/>
    </row>
    <row r="39" spans="2:10" x14ac:dyDescent="0.25">
      <c r="C39" s="57" t="s">
        <v>7</v>
      </c>
      <c r="D39" s="53"/>
      <c r="E39" s="6"/>
      <c r="F39" s="19"/>
      <c r="G39" s="24" t="s">
        <v>2</v>
      </c>
      <c r="H39" s="24" t="s">
        <v>2</v>
      </c>
      <c r="I39" s="31"/>
      <c r="J39" s="35"/>
    </row>
    <row r="40" spans="2:10" x14ac:dyDescent="0.25">
      <c r="C40" s="56"/>
      <c r="D40" s="53"/>
      <c r="E40" s="6"/>
      <c r="F40" s="19"/>
      <c r="G40" s="24"/>
      <c r="H40" s="24"/>
      <c r="I40" s="31"/>
      <c r="J40" s="35"/>
    </row>
    <row r="41" spans="2:10" x14ac:dyDescent="0.25">
      <c r="C41" s="57" t="s">
        <v>8</v>
      </c>
      <c r="D41" s="53"/>
      <c r="E41" s="6"/>
      <c r="F41" s="19"/>
      <c r="G41" s="24" t="s">
        <v>2</v>
      </c>
      <c r="H41" s="24" t="s">
        <v>2</v>
      </c>
      <c r="I41" s="31"/>
      <c r="J41" s="35"/>
    </row>
    <row r="42" spans="2:10" x14ac:dyDescent="0.25">
      <c r="C42" s="56"/>
      <c r="D42" s="53"/>
      <c r="E42" s="6"/>
      <c r="F42" s="19"/>
      <c r="G42" s="24"/>
      <c r="H42" s="24"/>
      <c r="I42" s="31"/>
      <c r="J42" s="35"/>
    </row>
    <row r="43" spans="2:10" x14ac:dyDescent="0.25">
      <c r="C43" s="57" t="s">
        <v>9</v>
      </c>
      <c r="D43" s="53"/>
      <c r="E43" s="6"/>
      <c r="F43" s="19"/>
      <c r="G43" s="24" t="s">
        <v>2</v>
      </c>
      <c r="H43" s="24" t="s">
        <v>2</v>
      </c>
      <c r="I43" s="31"/>
      <c r="J43" s="35"/>
    </row>
    <row r="44" spans="2:10" x14ac:dyDescent="0.25">
      <c r="C44" s="56"/>
      <c r="D44" s="53"/>
      <c r="E44" s="6"/>
      <c r="F44" s="19"/>
      <c r="G44" s="24"/>
      <c r="H44" s="24"/>
      <c r="I44" s="31"/>
      <c r="J44" s="35"/>
    </row>
    <row r="45" spans="2:10" x14ac:dyDescent="0.25">
      <c r="C45" s="59" t="s">
        <v>10</v>
      </c>
      <c r="D45" s="53"/>
      <c r="E45" s="6"/>
      <c r="F45" s="19"/>
      <c r="G45" s="24"/>
      <c r="H45" s="24"/>
      <c r="I45" s="31"/>
      <c r="J45" s="35"/>
    </row>
    <row r="46" spans="2:10" x14ac:dyDescent="0.25">
      <c r="B46" s="8" t="s">
        <v>2494</v>
      </c>
      <c r="C46" s="56" t="s">
        <v>2495</v>
      </c>
      <c r="D46" s="53" t="s">
        <v>2496</v>
      </c>
      <c r="E46" s="6" t="s">
        <v>655</v>
      </c>
      <c r="F46" s="19">
        <v>5000000</v>
      </c>
      <c r="G46" s="24">
        <v>5149.5</v>
      </c>
      <c r="H46" s="24">
        <v>7.38</v>
      </c>
      <c r="I46" s="31">
        <v>3.9704999999999999</v>
      </c>
      <c r="J46" s="35"/>
    </row>
    <row r="47" spans="2:10" x14ac:dyDescent="0.25">
      <c r="B47" s="8" t="s">
        <v>2326</v>
      </c>
      <c r="C47" s="56" t="s">
        <v>2327</v>
      </c>
      <c r="D47" s="53" t="s">
        <v>2328</v>
      </c>
      <c r="E47" s="6" t="s">
        <v>655</v>
      </c>
      <c r="F47" s="19">
        <v>2500000</v>
      </c>
      <c r="G47" s="24">
        <v>2552.6</v>
      </c>
      <c r="H47" s="24">
        <v>3.66</v>
      </c>
      <c r="I47" s="31">
        <v>3.7279</v>
      </c>
      <c r="J47" s="35"/>
    </row>
    <row r="48" spans="2:10" x14ac:dyDescent="0.25">
      <c r="B48" s="8" t="s">
        <v>2497</v>
      </c>
      <c r="C48" s="56" t="s">
        <v>2498</v>
      </c>
      <c r="D48" s="53" t="s">
        <v>2499</v>
      </c>
      <c r="E48" s="6" t="s">
        <v>655</v>
      </c>
      <c r="F48" s="19">
        <v>1000000</v>
      </c>
      <c r="G48" s="24">
        <v>1027.95</v>
      </c>
      <c r="H48" s="24">
        <v>1.47</v>
      </c>
      <c r="I48" s="31">
        <v>3.9641999999999999</v>
      </c>
      <c r="J48" s="35"/>
    </row>
    <row r="49" spans="1:10" x14ac:dyDescent="0.25">
      <c r="B49" s="8" t="s">
        <v>1435</v>
      </c>
      <c r="C49" s="56" t="s">
        <v>1436</v>
      </c>
      <c r="D49" s="53" t="s">
        <v>1437</v>
      </c>
      <c r="E49" s="6" t="s">
        <v>655</v>
      </c>
      <c r="F49" s="19">
        <v>350000</v>
      </c>
      <c r="G49" s="24">
        <v>356.92</v>
      </c>
      <c r="H49" s="24">
        <v>0.51</v>
      </c>
      <c r="I49" s="31">
        <v>3.7057000000000002</v>
      </c>
      <c r="J49" s="35"/>
    </row>
    <row r="50" spans="1:10" x14ac:dyDescent="0.25">
      <c r="C50" s="57" t="s">
        <v>35</v>
      </c>
      <c r="D50" s="53"/>
      <c r="E50" s="6"/>
      <c r="F50" s="19"/>
      <c r="G50" s="25">
        <v>9086.9699999999993</v>
      </c>
      <c r="H50" s="25">
        <v>13.02</v>
      </c>
      <c r="I50" s="31"/>
      <c r="J50" s="35"/>
    </row>
    <row r="51" spans="1:10" x14ac:dyDescent="0.25">
      <c r="C51" s="56"/>
      <c r="D51" s="53"/>
      <c r="E51" s="6"/>
      <c r="F51" s="19"/>
      <c r="G51" s="24"/>
      <c r="H51" s="24"/>
      <c r="I51" s="31"/>
      <c r="J51" s="35"/>
    </row>
    <row r="52" spans="1:10" x14ac:dyDescent="0.25">
      <c r="A52" s="10"/>
      <c r="B52" s="28"/>
      <c r="C52" s="58" t="s">
        <v>11</v>
      </c>
      <c r="D52" s="53"/>
      <c r="E52" s="6"/>
      <c r="F52" s="19"/>
      <c r="G52" s="24"/>
      <c r="H52" s="24"/>
      <c r="I52" s="31"/>
      <c r="J52" s="35"/>
    </row>
    <row r="53" spans="1:10" x14ac:dyDescent="0.25">
      <c r="A53" s="28"/>
      <c r="B53" s="28"/>
      <c r="C53" s="58" t="s">
        <v>13</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C55" s="59" t="s">
        <v>14</v>
      </c>
      <c r="D55" s="53"/>
      <c r="E55" s="6"/>
      <c r="F55" s="19"/>
      <c r="G55" s="24"/>
      <c r="H55" s="24"/>
      <c r="I55" s="31"/>
      <c r="J55" s="35"/>
    </row>
    <row r="56" spans="1:10" x14ac:dyDescent="0.25">
      <c r="B56" s="8" t="s">
        <v>1234</v>
      </c>
      <c r="C56" s="56" t="s">
        <v>74</v>
      </c>
      <c r="D56" s="53" t="s">
        <v>1235</v>
      </c>
      <c r="E56" s="6" t="s">
        <v>992</v>
      </c>
      <c r="F56" s="19">
        <v>1200</v>
      </c>
      <c r="G56" s="24">
        <v>1181.3800000000001</v>
      </c>
      <c r="H56" s="24">
        <v>1.69</v>
      </c>
      <c r="I56" s="31">
        <v>3.5950000000000002</v>
      </c>
      <c r="J56" s="35" t="s">
        <v>514</v>
      </c>
    </row>
    <row r="57" spans="1:10" x14ac:dyDescent="0.25">
      <c r="B57" s="8" t="s">
        <v>2357</v>
      </c>
      <c r="C57" s="56" t="s">
        <v>74</v>
      </c>
      <c r="D57" s="53" t="s">
        <v>2358</v>
      </c>
      <c r="E57" s="6" t="s">
        <v>992</v>
      </c>
      <c r="F57" s="19">
        <v>1000</v>
      </c>
      <c r="G57" s="24">
        <v>992.99</v>
      </c>
      <c r="H57" s="24">
        <v>1.42</v>
      </c>
      <c r="I57" s="31">
        <v>3.3050999999999999</v>
      </c>
      <c r="J57" s="35"/>
    </row>
    <row r="58" spans="1:10" x14ac:dyDescent="0.25">
      <c r="B58" s="8" t="s">
        <v>1254</v>
      </c>
      <c r="C58" s="56" t="s">
        <v>63</v>
      </c>
      <c r="D58" s="53" t="s">
        <v>1255</v>
      </c>
      <c r="E58" s="6" t="s">
        <v>1132</v>
      </c>
      <c r="F58" s="19">
        <v>800</v>
      </c>
      <c r="G58" s="24">
        <v>794.4</v>
      </c>
      <c r="H58" s="24">
        <v>1.1399999999999999</v>
      </c>
      <c r="I58" s="31">
        <v>3.3001999999999998</v>
      </c>
      <c r="J58" s="35" t="s">
        <v>514</v>
      </c>
    </row>
    <row r="59" spans="1:10" x14ac:dyDescent="0.25">
      <c r="B59" s="8" t="s">
        <v>1248</v>
      </c>
      <c r="C59" s="56" t="s">
        <v>818</v>
      </c>
      <c r="D59" s="53" t="s">
        <v>1249</v>
      </c>
      <c r="E59" s="6" t="s">
        <v>1000</v>
      </c>
      <c r="F59" s="19">
        <v>800</v>
      </c>
      <c r="G59" s="24">
        <v>780.11</v>
      </c>
      <c r="H59" s="24">
        <v>1.1200000000000001</v>
      </c>
      <c r="I59" s="31">
        <v>3.8298999999999999</v>
      </c>
      <c r="J59" s="35" t="s">
        <v>514</v>
      </c>
    </row>
    <row r="60" spans="1:10" x14ac:dyDescent="0.25">
      <c r="B60" s="8" t="s">
        <v>2478</v>
      </c>
      <c r="C60" s="56" t="s">
        <v>818</v>
      </c>
      <c r="D60" s="53" t="s">
        <v>2479</v>
      </c>
      <c r="E60" s="6" t="s">
        <v>1000</v>
      </c>
      <c r="F60" s="19">
        <v>400</v>
      </c>
      <c r="G60" s="24">
        <v>391.5</v>
      </c>
      <c r="H60" s="24">
        <v>0.56000000000000005</v>
      </c>
      <c r="I60" s="31">
        <v>3.83</v>
      </c>
      <c r="J60" s="35" t="s">
        <v>514</v>
      </c>
    </row>
    <row r="61" spans="1:10" x14ac:dyDescent="0.25">
      <c r="B61" s="8" t="s">
        <v>2480</v>
      </c>
      <c r="C61" s="56" t="s">
        <v>872</v>
      </c>
      <c r="D61" s="53" t="s">
        <v>2481</v>
      </c>
      <c r="E61" s="6" t="s">
        <v>992</v>
      </c>
      <c r="F61" s="19">
        <v>100</v>
      </c>
      <c r="G61" s="24">
        <v>98.82</v>
      </c>
      <c r="H61" s="24">
        <v>0.14000000000000001</v>
      </c>
      <c r="I61" s="31">
        <v>4.2149999999999999</v>
      </c>
      <c r="J61" s="35" t="s">
        <v>514</v>
      </c>
    </row>
    <row r="62" spans="1:10" x14ac:dyDescent="0.25">
      <c r="C62" s="57" t="s">
        <v>35</v>
      </c>
      <c r="D62" s="53"/>
      <c r="E62" s="6"/>
      <c r="F62" s="19"/>
      <c r="G62" s="25">
        <v>4239.2</v>
      </c>
      <c r="H62" s="25">
        <v>6.07</v>
      </c>
      <c r="I62" s="31"/>
      <c r="J62" s="35"/>
    </row>
    <row r="63" spans="1:10" x14ac:dyDescent="0.25">
      <c r="C63" s="56"/>
      <c r="D63" s="53"/>
      <c r="E63" s="6"/>
      <c r="F63" s="19"/>
      <c r="G63" s="24"/>
      <c r="H63" s="24"/>
      <c r="I63" s="31"/>
      <c r="J63" s="35"/>
    </row>
    <row r="64" spans="1:10" x14ac:dyDescent="0.25">
      <c r="C64" s="57" t="s">
        <v>15</v>
      </c>
      <c r="D64" s="53"/>
      <c r="E64" s="6"/>
      <c r="F64" s="19"/>
      <c r="G64" s="24" t="s">
        <v>2</v>
      </c>
      <c r="H64" s="24" t="s">
        <v>2</v>
      </c>
      <c r="I64" s="31"/>
      <c r="J64" s="35"/>
    </row>
    <row r="65" spans="1:10" x14ac:dyDescent="0.25">
      <c r="C65" s="56"/>
      <c r="D65" s="53"/>
      <c r="E65" s="6"/>
      <c r="F65" s="19"/>
      <c r="G65" s="24"/>
      <c r="H65" s="24"/>
      <c r="I65" s="31"/>
      <c r="J65" s="35"/>
    </row>
    <row r="66" spans="1:10" x14ac:dyDescent="0.25">
      <c r="C66" s="57" t="s">
        <v>16</v>
      </c>
      <c r="D66" s="53"/>
      <c r="E66" s="6"/>
      <c r="F66" s="19"/>
      <c r="G66" s="24" t="s">
        <v>2</v>
      </c>
      <c r="H66" s="24" t="s">
        <v>2</v>
      </c>
      <c r="I66" s="31"/>
      <c r="J66" s="35"/>
    </row>
    <row r="67" spans="1:10" x14ac:dyDescent="0.25">
      <c r="C67" s="56"/>
      <c r="D67" s="53"/>
      <c r="E67" s="6"/>
      <c r="F67" s="19"/>
      <c r="G67" s="24"/>
      <c r="H67" s="24"/>
      <c r="I67" s="31"/>
      <c r="J67" s="35"/>
    </row>
    <row r="68" spans="1:10" x14ac:dyDescent="0.25">
      <c r="A68" s="10"/>
      <c r="B68" s="28"/>
      <c r="C68" s="58" t="s">
        <v>17</v>
      </c>
      <c r="D68" s="53"/>
      <c r="E68" s="6"/>
      <c r="F68" s="19"/>
      <c r="G68" s="24"/>
      <c r="H68" s="24"/>
      <c r="I68" s="31"/>
      <c r="J68" s="35"/>
    </row>
    <row r="69" spans="1:10" x14ac:dyDescent="0.25">
      <c r="A69" s="28"/>
      <c r="B69" s="28"/>
      <c r="C69" s="58" t="s">
        <v>18</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19</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20</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A75" s="28"/>
      <c r="B75" s="28"/>
      <c r="C75" s="58" t="s">
        <v>21</v>
      </c>
      <c r="D75" s="53"/>
      <c r="E75" s="6"/>
      <c r="F75" s="19"/>
      <c r="G75" s="24" t="s">
        <v>2</v>
      </c>
      <c r="H75" s="24" t="s">
        <v>2</v>
      </c>
      <c r="I75" s="31"/>
      <c r="J75" s="35"/>
    </row>
    <row r="76" spans="1:10" x14ac:dyDescent="0.25">
      <c r="A76" s="28"/>
      <c r="B76" s="28"/>
      <c r="C76" s="58"/>
      <c r="D76" s="53"/>
      <c r="E76" s="6"/>
      <c r="F76" s="19"/>
      <c r="G76" s="24"/>
      <c r="H76" s="24"/>
      <c r="I76" s="31"/>
      <c r="J76" s="35"/>
    </row>
    <row r="77" spans="1:10" x14ac:dyDescent="0.25">
      <c r="C77" s="59" t="s">
        <v>22</v>
      </c>
      <c r="D77" s="53"/>
      <c r="E77" s="6"/>
      <c r="F77" s="19"/>
      <c r="G77" s="24"/>
      <c r="H77" s="24"/>
      <c r="I77" s="31"/>
      <c r="J77" s="35"/>
    </row>
    <row r="78" spans="1:10" x14ac:dyDescent="0.25">
      <c r="B78" s="8" t="s">
        <v>33</v>
      </c>
      <c r="C78" s="56" t="s">
        <v>34</v>
      </c>
      <c r="D78" s="53"/>
      <c r="E78" s="6"/>
      <c r="F78" s="19"/>
      <c r="G78" s="24">
        <v>1429.99</v>
      </c>
      <c r="H78" s="24">
        <v>2.0499999999999998</v>
      </c>
      <c r="I78" s="31"/>
      <c r="J78" s="35"/>
    </row>
    <row r="79" spans="1:10" x14ac:dyDescent="0.25">
      <c r="C79" s="57" t="s">
        <v>35</v>
      </c>
      <c r="D79" s="53"/>
      <c r="E79" s="6"/>
      <c r="F79" s="19"/>
      <c r="G79" s="25">
        <v>1429.99</v>
      </c>
      <c r="H79" s="25">
        <v>2.0499999999999998</v>
      </c>
      <c r="I79" s="31"/>
      <c r="J79" s="35"/>
    </row>
    <row r="80" spans="1:10" x14ac:dyDescent="0.25">
      <c r="C80" s="56"/>
      <c r="D80" s="53"/>
      <c r="E80" s="6"/>
      <c r="F80" s="19"/>
      <c r="G80" s="24"/>
      <c r="H80" s="24"/>
      <c r="I80" s="31"/>
      <c r="J80" s="35"/>
    </row>
    <row r="81" spans="1:10" x14ac:dyDescent="0.25">
      <c r="A81" s="10"/>
      <c r="B81" s="28"/>
      <c r="C81" s="58" t="s">
        <v>23</v>
      </c>
      <c r="D81" s="53"/>
      <c r="E81" s="6"/>
      <c r="F81" s="19"/>
      <c r="G81" s="24"/>
      <c r="H81" s="24"/>
      <c r="I81" s="31"/>
      <c r="J81" s="35"/>
    </row>
    <row r="82" spans="1:10" x14ac:dyDescent="0.25">
      <c r="A82" s="28"/>
      <c r="B82" s="28"/>
      <c r="C82" s="60" t="s">
        <v>3398</v>
      </c>
      <c r="D82" s="53"/>
      <c r="E82" s="6"/>
      <c r="F82" s="19"/>
      <c r="G82" s="24" t="s">
        <v>2</v>
      </c>
      <c r="H82" s="24" t="s">
        <v>2</v>
      </c>
      <c r="I82" s="31"/>
      <c r="J82" s="35"/>
    </row>
    <row r="83" spans="1:10" x14ac:dyDescent="0.25">
      <c r="B83" s="8"/>
      <c r="C83" s="56" t="s">
        <v>36</v>
      </c>
      <c r="D83" s="53"/>
      <c r="E83" s="6"/>
      <c r="F83" s="19"/>
      <c r="G83" s="24">
        <v>1642.54</v>
      </c>
      <c r="H83" s="24">
        <v>2.35</v>
      </c>
      <c r="I83" s="31"/>
      <c r="J83" s="35"/>
    </row>
    <row r="84" spans="1:10" x14ac:dyDescent="0.25">
      <c r="C84" s="57" t="s">
        <v>35</v>
      </c>
      <c r="D84" s="53"/>
      <c r="E84" s="6"/>
      <c r="F84" s="19"/>
      <c r="G84" s="25">
        <v>1642.54</v>
      </c>
      <c r="H84" s="25">
        <v>2.35</v>
      </c>
      <c r="I84" s="31"/>
      <c r="J84" s="35"/>
    </row>
    <row r="85" spans="1:10" x14ac:dyDescent="0.25">
      <c r="C85" s="56"/>
      <c r="D85" s="53"/>
      <c r="E85" s="6"/>
      <c r="F85" s="19"/>
      <c r="G85" s="24"/>
      <c r="H85" s="24"/>
      <c r="I85" s="31"/>
      <c r="J85" s="35"/>
    </row>
    <row r="86" spans="1:10" x14ac:dyDescent="0.25">
      <c r="C86" s="61" t="s">
        <v>37</v>
      </c>
      <c r="D86" s="54"/>
      <c r="E86" s="5"/>
      <c r="F86" s="20"/>
      <c r="G86" s="26">
        <v>69784.41</v>
      </c>
      <c r="H86" s="26">
        <f>SUMIFS(H:H,C:C,"Total")</f>
        <v>99.999999999999986</v>
      </c>
      <c r="I86" s="32"/>
      <c r="J86" s="36"/>
    </row>
    <row r="89" spans="1:10" x14ac:dyDescent="0.25">
      <c r="C89" s="1" t="s">
        <v>38</v>
      </c>
    </row>
    <row r="90" spans="1:10" x14ac:dyDescent="0.25">
      <c r="C90" s="2" t="s">
        <v>39</v>
      </c>
    </row>
    <row r="91" spans="1:10" x14ac:dyDescent="0.25">
      <c r="C91" s="2" t="s">
        <v>40</v>
      </c>
    </row>
    <row r="92" spans="1:10" x14ac:dyDescent="0.25">
      <c r="C92" s="2" t="s">
        <v>3430</v>
      </c>
    </row>
  </sheetData>
  <hyperlinks>
    <hyperlink ref="J2" location="'Index'!A1" display="'Index'!A1"/>
  </hyperlinks>
  <pageMargins left="0.7" right="0.7" top="0.75" bottom="0.75" header="0.3" footer="0.3"/>
  <pageSetup orientation="portrait" horizontalDpi="4294967293"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9"/>
  <dimension ref="A1:J8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2500</v>
      </c>
      <c r="J2" s="37" t="s">
        <v>3307</v>
      </c>
    </row>
    <row r="3" spans="1:10" ht="16.5" x14ac:dyDescent="0.3">
      <c r="C3" s="1" t="s">
        <v>24</v>
      </c>
      <c r="D3" s="21" t="s">
        <v>2501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2484</v>
      </c>
      <c r="C18" s="56" t="s">
        <v>1935</v>
      </c>
      <c r="D18" s="53" t="s">
        <v>2485</v>
      </c>
      <c r="E18" s="6" t="s">
        <v>911</v>
      </c>
      <c r="F18" s="19">
        <v>390</v>
      </c>
      <c r="G18" s="24">
        <v>3784.75</v>
      </c>
      <c r="H18" s="24">
        <v>9.9600000000000009</v>
      </c>
      <c r="I18" s="31">
        <v>4.3247999999999998</v>
      </c>
      <c r="J18" s="35" t="s">
        <v>514</v>
      </c>
    </row>
    <row r="19" spans="2:10" x14ac:dyDescent="0.25">
      <c r="B19" s="8" t="s">
        <v>2502</v>
      </c>
      <c r="C19" s="56" t="s">
        <v>1344</v>
      </c>
      <c r="D19" s="53" t="s">
        <v>2503</v>
      </c>
      <c r="E19" s="6" t="s">
        <v>534</v>
      </c>
      <c r="F19" s="19">
        <v>300</v>
      </c>
      <c r="G19" s="24">
        <v>3754.69</v>
      </c>
      <c r="H19" s="24">
        <v>9.8800000000000008</v>
      </c>
      <c r="I19" s="31">
        <v>4.5218999999999996</v>
      </c>
      <c r="J19" s="35" t="s">
        <v>514</v>
      </c>
    </row>
    <row r="20" spans="2:10" x14ac:dyDescent="0.25">
      <c r="B20" s="8" t="s">
        <v>2470</v>
      </c>
      <c r="C20" s="56" t="s">
        <v>2316</v>
      </c>
      <c r="D20" s="53" t="s">
        <v>2471</v>
      </c>
      <c r="E20" s="6" t="s">
        <v>534</v>
      </c>
      <c r="F20" s="19">
        <v>300</v>
      </c>
      <c r="G20" s="24">
        <v>3752.23</v>
      </c>
      <c r="H20" s="24">
        <v>9.8699999999999992</v>
      </c>
      <c r="I20" s="31">
        <v>4.6425000000000001</v>
      </c>
      <c r="J20" s="35" t="s">
        <v>514</v>
      </c>
    </row>
    <row r="21" spans="2:10" x14ac:dyDescent="0.25">
      <c r="B21" s="8" t="s">
        <v>2492</v>
      </c>
      <c r="C21" s="56" t="s">
        <v>137</v>
      </c>
      <c r="D21" s="53" t="s">
        <v>2493</v>
      </c>
      <c r="E21" s="6" t="s">
        <v>534</v>
      </c>
      <c r="F21" s="19">
        <v>310</v>
      </c>
      <c r="G21" s="24">
        <v>3186.82</v>
      </c>
      <c r="H21" s="24">
        <v>8.3800000000000008</v>
      </c>
      <c r="I21" s="31">
        <v>4.085</v>
      </c>
      <c r="J21" s="35" t="s">
        <v>514</v>
      </c>
    </row>
    <row r="22" spans="2:10" x14ac:dyDescent="0.25">
      <c r="B22" s="8" t="s">
        <v>2504</v>
      </c>
      <c r="C22" s="56" t="s">
        <v>1752</v>
      </c>
      <c r="D22" s="53" t="s">
        <v>2505</v>
      </c>
      <c r="E22" s="6" t="s">
        <v>1314</v>
      </c>
      <c r="F22" s="19">
        <v>300</v>
      </c>
      <c r="G22" s="24">
        <v>3093.46</v>
      </c>
      <c r="H22" s="24">
        <v>8.14</v>
      </c>
      <c r="I22" s="31">
        <v>3.9590999999999998</v>
      </c>
      <c r="J22" s="35" t="s">
        <v>514</v>
      </c>
    </row>
    <row r="23" spans="2:10" x14ac:dyDescent="0.25">
      <c r="B23" s="8" t="s">
        <v>2313</v>
      </c>
      <c r="C23" s="56" t="s">
        <v>1376</v>
      </c>
      <c r="D23" s="53" t="s">
        <v>2314</v>
      </c>
      <c r="E23" s="6" t="s">
        <v>534</v>
      </c>
      <c r="F23" s="19">
        <v>255</v>
      </c>
      <c r="G23" s="24">
        <v>2591.96</v>
      </c>
      <c r="H23" s="24">
        <v>6.82</v>
      </c>
      <c r="I23" s="31">
        <v>3.8349000000000002</v>
      </c>
      <c r="J23" s="35" t="s">
        <v>514</v>
      </c>
    </row>
    <row r="24" spans="2:10" x14ac:dyDescent="0.25">
      <c r="B24" s="8" t="s">
        <v>1737</v>
      </c>
      <c r="C24" s="56" t="s">
        <v>1738</v>
      </c>
      <c r="D24" s="53" t="s">
        <v>1739</v>
      </c>
      <c r="E24" s="6" t="s">
        <v>534</v>
      </c>
      <c r="F24" s="19">
        <v>250</v>
      </c>
      <c r="G24" s="24">
        <v>2543.61</v>
      </c>
      <c r="H24" s="24">
        <v>6.69</v>
      </c>
      <c r="I24" s="31">
        <v>3.75</v>
      </c>
      <c r="J24" s="35" t="s">
        <v>514</v>
      </c>
    </row>
    <row r="25" spans="2:10" x14ac:dyDescent="0.25">
      <c r="B25" s="8" t="s">
        <v>2355</v>
      </c>
      <c r="C25" s="56" t="s">
        <v>1130</v>
      </c>
      <c r="D25" s="53" t="s">
        <v>2356</v>
      </c>
      <c r="E25" s="6" t="s">
        <v>911</v>
      </c>
      <c r="F25" s="19">
        <v>200</v>
      </c>
      <c r="G25" s="24">
        <v>2035.47</v>
      </c>
      <c r="H25" s="24">
        <v>5.35</v>
      </c>
      <c r="I25" s="31">
        <v>4.0250000000000004</v>
      </c>
      <c r="J25" s="35" t="s">
        <v>514</v>
      </c>
    </row>
    <row r="26" spans="2:10" x14ac:dyDescent="0.25">
      <c r="B26" s="8" t="s">
        <v>2506</v>
      </c>
      <c r="C26" s="56" t="s">
        <v>1950</v>
      </c>
      <c r="D26" s="53" t="s">
        <v>2507</v>
      </c>
      <c r="E26" s="6" t="s">
        <v>1383</v>
      </c>
      <c r="F26" s="19">
        <v>160</v>
      </c>
      <c r="G26" s="24">
        <v>1967.15</v>
      </c>
      <c r="H26" s="24">
        <v>5.18</v>
      </c>
      <c r="I26" s="31">
        <v>5.2622</v>
      </c>
      <c r="J26" s="35" t="s">
        <v>514</v>
      </c>
    </row>
    <row r="27" spans="2:10" x14ac:dyDescent="0.25">
      <c r="B27" s="8" t="s">
        <v>2387</v>
      </c>
      <c r="C27" s="56" t="s">
        <v>1127</v>
      </c>
      <c r="D27" s="53" t="s">
        <v>2388</v>
      </c>
      <c r="E27" s="6" t="s">
        <v>534</v>
      </c>
      <c r="F27" s="19">
        <v>100</v>
      </c>
      <c r="G27" s="24">
        <v>1246.5</v>
      </c>
      <c r="H27" s="24">
        <v>3.28</v>
      </c>
      <c r="I27" s="31">
        <v>3.9649999999999999</v>
      </c>
      <c r="J27" s="35" t="s">
        <v>514</v>
      </c>
    </row>
    <row r="28" spans="2:10" x14ac:dyDescent="0.25">
      <c r="B28" s="8" t="s">
        <v>2434</v>
      </c>
      <c r="C28" s="56" t="s">
        <v>601</v>
      </c>
      <c r="D28" s="53" t="s">
        <v>2435</v>
      </c>
      <c r="E28" s="6" t="s">
        <v>534</v>
      </c>
      <c r="F28" s="19">
        <v>70</v>
      </c>
      <c r="G28" s="24">
        <v>713.06</v>
      </c>
      <c r="H28" s="24">
        <v>1.88</v>
      </c>
      <c r="I28" s="31">
        <v>4.1151</v>
      </c>
      <c r="J28" s="35" t="s">
        <v>514</v>
      </c>
    </row>
    <row r="29" spans="2:10" x14ac:dyDescent="0.25">
      <c r="B29" s="8" t="s">
        <v>2383</v>
      </c>
      <c r="C29" s="56" t="s">
        <v>1127</v>
      </c>
      <c r="D29" s="53" t="s">
        <v>2384</v>
      </c>
      <c r="E29" s="6" t="s">
        <v>534</v>
      </c>
      <c r="F29" s="19">
        <v>50</v>
      </c>
      <c r="G29" s="24">
        <v>506.44</v>
      </c>
      <c r="H29" s="24">
        <v>1.33</v>
      </c>
      <c r="I29" s="31">
        <v>3.9649000000000001</v>
      </c>
      <c r="J29" s="35" t="s">
        <v>514</v>
      </c>
    </row>
    <row r="30" spans="2:10" x14ac:dyDescent="0.25">
      <c r="C30" s="57" t="s">
        <v>35</v>
      </c>
      <c r="D30" s="53"/>
      <c r="E30" s="6"/>
      <c r="F30" s="19"/>
      <c r="G30" s="25">
        <v>29176.14</v>
      </c>
      <c r="H30" s="25">
        <v>76.760000000000005</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7" t="s">
        <v>8</v>
      </c>
      <c r="D34" s="53"/>
      <c r="E34" s="6"/>
      <c r="F34" s="19"/>
      <c r="G34" s="24" t="s">
        <v>2</v>
      </c>
      <c r="H34" s="24" t="s">
        <v>2</v>
      </c>
      <c r="I34" s="31"/>
      <c r="J34" s="35"/>
    </row>
    <row r="35" spans="1:10" x14ac:dyDescent="0.25">
      <c r="C35" s="56"/>
      <c r="D35" s="53"/>
      <c r="E35" s="6"/>
      <c r="F35" s="19"/>
      <c r="G35" s="24"/>
      <c r="H35" s="24"/>
      <c r="I35" s="31"/>
      <c r="J35" s="35"/>
    </row>
    <row r="36" spans="1:10" x14ac:dyDescent="0.25">
      <c r="C36" s="57" t="s">
        <v>9</v>
      </c>
      <c r="D36" s="53"/>
      <c r="E36" s="6"/>
      <c r="F36" s="19"/>
      <c r="G36" s="24" t="s">
        <v>2</v>
      </c>
      <c r="H36" s="24" t="s">
        <v>2</v>
      </c>
      <c r="I36" s="31"/>
      <c r="J36" s="35"/>
    </row>
    <row r="37" spans="1:10" x14ac:dyDescent="0.25">
      <c r="C37" s="56"/>
      <c r="D37" s="53"/>
      <c r="E37" s="6"/>
      <c r="F37" s="19"/>
      <c r="G37" s="24"/>
      <c r="H37" s="24"/>
      <c r="I37" s="31"/>
      <c r="J37" s="35"/>
    </row>
    <row r="38" spans="1:10" x14ac:dyDescent="0.25">
      <c r="C38" s="59" t="s">
        <v>10</v>
      </c>
      <c r="D38" s="53"/>
      <c r="E38" s="6"/>
      <c r="F38" s="19"/>
      <c r="G38" s="24"/>
      <c r="H38" s="24"/>
      <c r="I38" s="31"/>
      <c r="J38" s="35"/>
    </row>
    <row r="39" spans="1:10" x14ac:dyDescent="0.25">
      <c r="B39" s="8" t="s">
        <v>2508</v>
      </c>
      <c r="C39" s="56" t="s">
        <v>2509</v>
      </c>
      <c r="D39" s="53" t="s">
        <v>2510</v>
      </c>
      <c r="E39" s="6" t="s">
        <v>655</v>
      </c>
      <c r="F39" s="19">
        <v>4800000</v>
      </c>
      <c r="G39" s="24">
        <v>4907.3599999999997</v>
      </c>
      <c r="H39" s="24">
        <v>12.91</v>
      </c>
      <c r="I39" s="31">
        <v>3.9641000000000002</v>
      </c>
      <c r="J39" s="35"/>
    </row>
    <row r="40" spans="1:10" x14ac:dyDescent="0.25">
      <c r="C40" s="57" t="s">
        <v>35</v>
      </c>
      <c r="D40" s="53"/>
      <c r="E40" s="6"/>
      <c r="F40" s="19"/>
      <c r="G40" s="25">
        <v>4907.3599999999997</v>
      </c>
      <c r="H40" s="25">
        <v>12.91</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1225</v>
      </c>
      <c r="C46" s="56" t="s">
        <v>818</v>
      </c>
      <c r="D46" s="53" t="s">
        <v>1226</v>
      </c>
      <c r="E46" s="6" t="s">
        <v>1000</v>
      </c>
      <c r="F46" s="19">
        <v>800</v>
      </c>
      <c r="G46" s="24">
        <v>787.94</v>
      </c>
      <c r="H46" s="24">
        <v>2.0699999999999998</v>
      </c>
      <c r="I46" s="31">
        <v>3.5150000000000001</v>
      </c>
      <c r="J46" s="35" t="s">
        <v>514</v>
      </c>
    </row>
    <row r="47" spans="1:10" x14ac:dyDescent="0.25">
      <c r="B47" s="8" t="s">
        <v>1254</v>
      </c>
      <c r="C47" s="56" t="s">
        <v>63</v>
      </c>
      <c r="D47" s="53" t="s">
        <v>1255</v>
      </c>
      <c r="E47" s="6" t="s">
        <v>1132</v>
      </c>
      <c r="F47" s="19">
        <v>700</v>
      </c>
      <c r="G47" s="24">
        <v>695.1</v>
      </c>
      <c r="H47" s="24">
        <v>1.83</v>
      </c>
      <c r="I47" s="31">
        <v>3.3001999999999998</v>
      </c>
      <c r="J47" s="35" t="s">
        <v>514</v>
      </c>
    </row>
    <row r="48" spans="1:10" x14ac:dyDescent="0.25">
      <c r="B48" s="8" t="s">
        <v>1232</v>
      </c>
      <c r="C48" s="56" t="s">
        <v>818</v>
      </c>
      <c r="D48" s="53" t="s">
        <v>1233</v>
      </c>
      <c r="E48" s="6" t="s">
        <v>1000</v>
      </c>
      <c r="F48" s="19">
        <v>400</v>
      </c>
      <c r="G48" s="24">
        <v>389.22</v>
      </c>
      <c r="H48" s="24">
        <v>1.02</v>
      </c>
      <c r="I48" s="31">
        <v>3.83</v>
      </c>
      <c r="J48" s="35" t="s">
        <v>514</v>
      </c>
    </row>
    <row r="49" spans="1:10" x14ac:dyDescent="0.25">
      <c r="B49" s="8" t="s">
        <v>2478</v>
      </c>
      <c r="C49" s="56" t="s">
        <v>818</v>
      </c>
      <c r="D49" s="53" t="s">
        <v>2479</v>
      </c>
      <c r="E49" s="6" t="s">
        <v>1000</v>
      </c>
      <c r="F49" s="19">
        <v>300</v>
      </c>
      <c r="G49" s="24">
        <v>293.62</v>
      </c>
      <c r="H49" s="24">
        <v>0.77</v>
      </c>
      <c r="I49" s="31">
        <v>3.83</v>
      </c>
      <c r="J49" s="35" t="s">
        <v>514</v>
      </c>
    </row>
    <row r="50" spans="1:10" x14ac:dyDescent="0.25">
      <c r="B50" s="8" t="s">
        <v>1260</v>
      </c>
      <c r="C50" s="56" t="s">
        <v>402</v>
      </c>
      <c r="D50" s="53" t="s">
        <v>1261</v>
      </c>
      <c r="E50" s="6" t="s">
        <v>992</v>
      </c>
      <c r="F50" s="19">
        <v>100</v>
      </c>
      <c r="G50" s="24">
        <v>99.24</v>
      </c>
      <c r="H50" s="24">
        <v>0.26</v>
      </c>
      <c r="I50" s="31">
        <v>3.3250000000000002</v>
      </c>
      <c r="J50" s="35" t="s">
        <v>514</v>
      </c>
    </row>
    <row r="51" spans="1:10" x14ac:dyDescent="0.25">
      <c r="C51" s="57" t="s">
        <v>35</v>
      </c>
      <c r="D51" s="53"/>
      <c r="E51" s="6"/>
      <c r="F51" s="19"/>
      <c r="G51" s="25">
        <v>2265.12</v>
      </c>
      <c r="H51" s="25">
        <v>5.95</v>
      </c>
      <c r="I51" s="31"/>
      <c r="J51" s="35"/>
    </row>
    <row r="52" spans="1:10" x14ac:dyDescent="0.25">
      <c r="C52" s="56"/>
      <c r="D52" s="53"/>
      <c r="E52" s="6"/>
      <c r="F52" s="19"/>
      <c r="G52" s="24"/>
      <c r="H52" s="24"/>
      <c r="I52" s="31"/>
      <c r="J52" s="35"/>
    </row>
    <row r="53" spans="1:10" x14ac:dyDescent="0.25">
      <c r="C53" s="57" t="s">
        <v>15</v>
      </c>
      <c r="D53" s="53"/>
      <c r="E53" s="6"/>
      <c r="F53" s="19"/>
      <c r="G53" s="24" t="s">
        <v>2</v>
      </c>
      <c r="H53" s="24" t="s">
        <v>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935.73</v>
      </c>
      <c r="H67" s="24">
        <v>2.46</v>
      </c>
      <c r="I67" s="31"/>
      <c r="J67" s="35"/>
    </row>
    <row r="68" spans="1:10" x14ac:dyDescent="0.25">
      <c r="C68" s="57" t="s">
        <v>35</v>
      </c>
      <c r="D68" s="53"/>
      <c r="E68" s="6"/>
      <c r="F68" s="19"/>
      <c r="G68" s="25">
        <v>935.73</v>
      </c>
      <c r="H68" s="25">
        <v>2.46</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727.52</v>
      </c>
      <c r="H72" s="24">
        <v>1.92</v>
      </c>
      <c r="I72" s="31"/>
      <c r="J72" s="35"/>
    </row>
    <row r="73" spans="1:10" x14ac:dyDescent="0.25">
      <c r="C73" s="57" t="s">
        <v>35</v>
      </c>
      <c r="D73" s="53"/>
      <c r="E73" s="6"/>
      <c r="F73" s="19"/>
      <c r="G73" s="25">
        <v>727.52</v>
      </c>
      <c r="H73" s="25">
        <v>1.92</v>
      </c>
      <c r="I73" s="31"/>
      <c r="J73" s="35"/>
    </row>
    <row r="74" spans="1:10" x14ac:dyDescent="0.25">
      <c r="C74" s="56"/>
      <c r="D74" s="53"/>
      <c r="E74" s="6"/>
      <c r="F74" s="19"/>
      <c r="G74" s="24"/>
      <c r="H74" s="24"/>
      <c r="I74" s="31"/>
      <c r="J74" s="35"/>
    </row>
    <row r="75" spans="1:10" x14ac:dyDescent="0.25">
      <c r="C75" s="61" t="s">
        <v>37</v>
      </c>
      <c r="D75" s="54"/>
      <c r="E75" s="5"/>
      <c r="F75" s="20"/>
      <c r="G75" s="26">
        <v>38011.870000000003</v>
      </c>
      <c r="H75" s="26">
        <f>SUMIFS(H:H,C:C,"Total")</f>
        <v>100</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0"/>
  <dimension ref="A1:J10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2511</v>
      </c>
      <c r="J2" s="37" t="s">
        <v>3307</v>
      </c>
    </row>
    <row r="3" spans="1:10" ht="16.5" x14ac:dyDescent="0.3">
      <c r="C3" s="1" t="s">
        <v>24</v>
      </c>
      <c r="D3" s="21" t="s">
        <v>2512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145000</v>
      </c>
      <c r="G10" s="24">
        <v>1461.96</v>
      </c>
      <c r="H10" s="24">
        <v>1.5</v>
      </c>
      <c r="I10" s="31"/>
      <c r="J10" s="35"/>
    </row>
    <row r="11" spans="1:10" x14ac:dyDescent="0.25">
      <c r="B11" s="8" t="s">
        <v>48</v>
      </c>
      <c r="C11" s="56" t="s">
        <v>49</v>
      </c>
      <c r="D11" s="53" t="s">
        <v>50</v>
      </c>
      <c r="E11" s="6" t="s">
        <v>51</v>
      </c>
      <c r="F11" s="19">
        <v>92000</v>
      </c>
      <c r="G11" s="24">
        <v>992.31</v>
      </c>
      <c r="H11" s="24">
        <v>1.02</v>
      </c>
      <c r="I11" s="31"/>
      <c r="J11" s="35"/>
    </row>
    <row r="12" spans="1:10" x14ac:dyDescent="0.25">
      <c r="B12" s="8" t="s">
        <v>69</v>
      </c>
      <c r="C12" s="56" t="s">
        <v>70</v>
      </c>
      <c r="D12" s="53" t="s">
        <v>71</v>
      </c>
      <c r="E12" s="6" t="s">
        <v>72</v>
      </c>
      <c r="F12" s="19">
        <v>3840</v>
      </c>
      <c r="G12" s="24">
        <v>819.3</v>
      </c>
      <c r="H12" s="24">
        <v>0.84</v>
      </c>
      <c r="I12" s="31"/>
      <c r="J12" s="35"/>
    </row>
    <row r="13" spans="1:10" x14ac:dyDescent="0.25">
      <c r="B13" s="8" t="s">
        <v>112</v>
      </c>
      <c r="C13" s="56" t="s">
        <v>113</v>
      </c>
      <c r="D13" s="53" t="s">
        <v>114</v>
      </c>
      <c r="E13" s="6" t="s">
        <v>111</v>
      </c>
      <c r="F13" s="19">
        <v>25000</v>
      </c>
      <c r="G13" s="24">
        <v>761.99</v>
      </c>
      <c r="H13" s="24">
        <v>0.78</v>
      </c>
      <c r="I13" s="31"/>
      <c r="J13" s="35"/>
    </row>
    <row r="14" spans="1:10" x14ac:dyDescent="0.25">
      <c r="B14" s="8" t="s">
        <v>59</v>
      </c>
      <c r="C14" s="56" t="s">
        <v>60</v>
      </c>
      <c r="D14" s="53" t="s">
        <v>61</v>
      </c>
      <c r="E14" s="6" t="s">
        <v>51</v>
      </c>
      <c r="F14" s="19">
        <v>60000</v>
      </c>
      <c r="G14" s="24">
        <v>760.92</v>
      </c>
      <c r="H14" s="24">
        <v>0.78</v>
      </c>
      <c r="I14" s="31"/>
      <c r="J14" s="35"/>
    </row>
    <row r="15" spans="1:10" x14ac:dyDescent="0.25">
      <c r="B15" s="8" t="s">
        <v>62</v>
      </c>
      <c r="C15" s="56" t="s">
        <v>63</v>
      </c>
      <c r="D15" s="53" t="s">
        <v>64</v>
      </c>
      <c r="E15" s="6" t="s">
        <v>51</v>
      </c>
      <c r="F15" s="19">
        <v>180000</v>
      </c>
      <c r="G15" s="24">
        <v>638.54999999999995</v>
      </c>
      <c r="H15" s="24">
        <v>0.66</v>
      </c>
      <c r="I15" s="31"/>
      <c r="J15" s="35"/>
    </row>
    <row r="16" spans="1:10" x14ac:dyDescent="0.25">
      <c r="B16" s="8" t="s">
        <v>56</v>
      </c>
      <c r="C16" s="56" t="s">
        <v>57</v>
      </c>
      <c r="D16" s="53" t="s">
        <v>58</v>
      </c>
      <c r="E16" s="6" t="s">
        <v>47</v>
      </c>
      <c r="F16" s="19">
        <v>25000</v>
      </c>
      <c r="G16" s="24">
        <v>623.08000000000004</v>
      </c>
      <c r="H16" s="24">
        <v>0.64</v>
      </c>
      <c r="I16" s="31"/>
      <c r="J16" s="35"/>
    </row>
    <row r="17" spans="2:10" x14ac:dyDescent="0.25">
      <c r="B17" s="8" t="s">
        <v>1601</v>
      </c>
      <c r="C17" s="56" t="s">
        <v>1602</v>
      </c>
      <c r="D17" s="53" t="s">
        <v>1603</v>
      </c>
      <c r="E17" s="6" t="s">
        <v>826</v>
      </c>
      <c r="F17" s="19">
        <v>160000</v>
      </c>
      <c r="G17" s="24">
        <v>618.88</v>
      </c>
      <c r="H17" s="24">
        <v>0.64</v>
      </c>
      <c r="I17" s="31"/>
      <c r="J17" s="35"/>
    </row>
    <row r="18" spans="2:10" x14ac:dyDescent="0.25">
      <c r="B18" s="8" t="s">
        <v>409</v>
      </c>
      <c r="C18" s="56" t="s">
        <v>410</v>
      </c>
      <c r="D18" s="53" t="s">
        <v>411</v>
      </c>
      <c r="E18" s="6" t="s">
        <v>98</v>
      </c>
      <c r="F18" s="19">
        <v>9000</v>
      </c>
      <c r="G18" s="24">
        <v>606.91</v>
      </c>
      <c r="H18" s="24">
        <v>0.62</v>
      </c>
      <c r="I18" s="31"/>
      <c r="J18" s="35"/>
    </row>
    <row r="19" spans="2:10" x14ac:dyDescent="0.25">
      <c r="B19" s="8" t="s">
        <v>859</v>
      </c>
      <c r="C19" s="56" t="s">
        <v>860</v>
      </c>
      <c r="D19" s="53" t="s">
        <v>861</v>
      </c>
      <c r="E19" s="6" t="s">
        <v>98</v>
      </c>
      <c r="F19" s="19">
        <v>19000</v>
      </c>
      <c r="G19" s="24">
        <v>597.99</v>
      </c>
      <c r="H19" s="24">
        <v>0.61</v>
      </c>
      <c r="I19" s="31"/>
      <c r="J19" s="35"/>
    </row>
    <row r="20" spans="2:10" x14ac:dyDescent="0.25">
      <c r="B20" s="8" t="s">
        <v>161</v>
      </c>
      <c r="C20" s="56" t="s">
        <v>162</v>
      </c>
      <c r="D20" s="53" t="s">
        <v>163</v>
      </c>
      <c r="E20" s="6" t="s">
        <v>94</v>
      </c>
      <c r="F20" s="19">
        <v>140000</v>
      </c>
      <c r="G20" s="24">
        <v>589.26</v>
      </c>
      <c r="H20" s="24">
        <v>0.61</v>
      </c>
      <c r="I20" s="31"/>
      <c r="J20" s="35"/>
    </row>
    <row r="21" spans="2:10" x14ac:dyDescent="0.25">
      <c r="B21" s="8" t="s">
        <v>136</v>
      </c>
      <c r="C21" s="56" t="s">
        <v>137</v>
      </c>
      <c r="D21" s="53" t="s">
        <v>138</v>
      </c>
      <c r="E21" s="6" t="s">
        <v>41</v>
      </c>
      <c r="F21" s="19">
        <v>14000</v>
      </c>
      <c r="G21" s="24">
        <v>566.94000000000005</v>
      </c>
      <c r="H21" s="24">
        <v>0.57999999999999996</v>
      </c>
      <c r="I21" s="31"/>
      <c r="J21" s="35"/>
    </row>
    <row r="22" spans="2:10" x14ac:dyDescent="0.25">
      <c r="B22" s="8" t="s">
        <v>1354</v>
      </c>
      <c r="C22" s="56" t="s">
        <v>1355</v>
      </c>
      <c r="D22" s="53" t="s">
        <v>1356</v>
      </c>
      <c r="E22" s="6" t="s">
        <v>826</v>
      </c>
      <c r="F22" s="19">
        <v>250000</v>
      </c>
      <c r="G22" s="24">
        <v>551.63</v>
      </c>
      <c r="H22" s="24">
        <v>0.56999999999999995</v>
      </c>
      <c r="I22" s="31"/>
      <c r="J22" s="35"/>
    </row>
    <row r="23" spans="2:10" x14ac:dyDescent="0.25">
      <c r="B23" s="8" t="s">
        <v>486</v>
      </c>
      <c r="C23" s="56" t="s">
        <v>487</v>
      </c>
      <c r="D23" s="53" t="s">
        <v>488</v>
      </c>
      <c r="E23" s="6" t="s">
        <v>41</v>
      </c>
      <c r="F23" s="19">
        <v>60000</v>
      </c>
      <c r="G23" s="24">
        <v>452.1</v>
      </c>
      <c r="H23" s="24">
        <v>0.46</v>
      </c>
      <c r="I23" s="31"/>
      <c r="J23" s="35"/>
    </row>
    <row r="24" spans="2:10" x14ac:dyDescent="0.25">
      <c r="B24" s="8" t="s">
        <v>76</v>
      </c>
      <c r="C24" s="56" t="s">
        <v>77</v>
      </c>
      <c r="D24" s="53" t="s">
        <v>78</v>
      </c>
      <c r="E24" s="6" t="s">
        <v>79</v>
      </c>
      <c r="F24" s="19">
        <v>50000</v>
      </c>
      <c r="G24" s="24">
        <v>450.8</v>
      </c>
      <c r="H24" s="24">
        <v>0.46</v>
      </c>
      <c r="I24" s="31"/>
      <c r="J24" s="35"/>
    </row>
    <row r="25" spans="2:10" x14ac:dyDescent="0.25">
      <c r="B25" s="8" t="s">
        <v>370</v>
      </c>
      <c r="C25" s="56" t="s">
        <v>371</v>
      </c>
      <c r="D25" s="53" t="s">
        <v>372</v>
      </c>
      <c r="E25" s="6" t="s">
        <v>41</v>
      </c>
      <c r="F25" s="19">
        <v>30000</v>
      </c>
      <c r="G25" s="24">
        <v>418.04</v>
      </c>
      <c r="H25" s="24">
        <v>0.43</v>
      </c>
      <c r="I25" s="31"/>
      <c r="J25" s="35"/>
    </row>
    <row r="26" spans="2:10" x14ac:dyDescent="0.25">
      <c r="B26" s="8" t="s">
        <v>73</v>
      </c>
      <c r="C26" s="56" t="s">
        <v>74</v>
      </c>
      <c r="D26" s="53" t="s">
        <v>75</v>
      </c>
      <c r="E26" s="6" t="s">
        <v>51</v>
      </c>
      <c r="F26" s="19">
        <v>98000</v>
      </c>
      <c r="G26" s="24">
        <v>416.16</v>
      </c>
      <c r="H26" s="24">
        <v>0.43</v>
      </c>
      <c r="I26" s="31"/>
      <c r="J26" s="35"/>
    </row>
    <row r="27" spans="2:10" x14ac:dyDescent="0.25">
      <c r="B27" s="8" t="s">
        <v>65</v>
      </c>
      <c r="C27" s="56" t="s">
        <v>66</v>
      </c>
      <c r="D27" s="53" t="s">
        <v>67</v>
      </c>
      <c r="E27" s="6" t="s">
        <v>68</v>
      </c>
      <c r="F27" s="19">
        <v>96268</v>
      </c>
      <c r="G27" s="24">
        <v>405.24</v>
      </c>
      <c r="H27" s="24">
        <v>0.42</v>
      </c>
      <c r="I27" s="31"/>
      <c r="J27" s="35"/>
    </row>
    <row r="28" spans="2:10" x14ac:dyDescent="0.25">
      <c r="B28" s="8" t="s">
        <v>164</v>
      </c>
      <c r="C28" s="56" t="s">
        <v>165</v>
      </c>
      <c r="D28" s="53" t="s">
        <v>166</v>
      </c>
      <c r="E28" s="6" t="s">
        <v>51</v>
      </c>
      <c r="F28" s="19">
        <v>170000</v>
      </c>
      <c r="G28" s="24">
        <v>315.18</v>
      </c>
      <c r="H28" s="24">
        <v>0.32</v>
      </c>
      <c r="I28" s="31"/>
      <c r="J28" s="35"/>
    </row>
    <row r="29" spans="2:10" x14ac:dyDescent="0.25">
      <c r="B29" s="8" t="s">
        <v>139</v>
      </c>
      <c r="C29" s="56" t="s">
        <v>140</v>
      </c>
      <c r="D29" s="53" t="s">
        <v>141</v>
      </c>
      <c r="E29" s="6" t="s">
        <v>142</v>
      </c>
      <c r="F29" s="19">
        <v>25000</v>
      </c>
      <c r="G29" s="24">
        <v>312.27999999999997</v>
      </c>
      <c r="H29" s="24">
        <v>0.32</v>
      </c>
      <c r="I29" s="31"/>
      <c r="J29" s="35"/>
    </row>
    <row r="30" spans="2:10" x14ac:dyDescent="0.25">
      <c r="B30" s="8" t="s">
        <v>398</v>
      </c>
      <c r="C30" s="56" t="s">
        <v>399</v>
      </c>
      <c r="D30" s="53" t="s">
        <v>400</v>
      </c>
      <c r="E30" s="6" t="s">
        <v>90</v>
      </c>
      <c r="F30" s="19">
        <v>80000</v>
      </c>
      <c r="G30" s="24">
        <v>290.39999999999998</v>
      </c>
      <c r="H30" s="24">
        <v>0.3</v>
      </c>
      <c r="I30" s="31"/>
      <c r="J30" s="35"/>
    </row>
    <row r="31" spans="2:10" x14ac:dyDescent="0.25">
      <c r="B31" s="8" t="s">
        <v>154</v>
      </c>
      <c r="C31" s="56" t="s">
        <v>155</v>
      </c>
      <c r="D31" s="53" t="s">
        <v>156</v>
      </c>
      <c r="E31" s="6" t="s">
        <v>157</v>
      </c>
      <c r="F31" s="19">
        <v>62000</v>
      </c>
      <c r="G31" s="24">
        <v>276.02</v>
      </c>
      <c r="H31" s="24">
        <v>0.28000000000000003</v>
      </c>
      <c r="I31" s="31"/>
      <c r="J31" s="35"/>
    </row>
    <row r="32" spans="2:10" x14ac:dyDescent="0.25">
      <c r="B32" s="8" t="s">
        <v>2256</v>
      </c>
      <c r="C32" s="56" t="s">
        <v>2257</v>
      </c>
      <c r="D32" s="53" t="s">
        <v>2258</v>
      </c>
      <c r="E32" s="6" t="s">
        <v>722</v>
      </c>
      <c r="F32" s="19">
        <v>140000</v>
      </c>
      <c r="G32" s="24">
        <v>271.18</v>
      </c>
      <c r="H32" s="24">
        <v>0.28000000000000003</v>
      </c>
      <c r="I32" s="31"/>
      <c r="J32" s="35"/>
    </row>
    <row r="33" spans="1:10" x14ac:dyDescent="0.25">
      <c r="B33" s="8" t="s">
        <v>95</v>
      </c>
      <c r="C33" s="56" t="s">
        <v>96</v>
      </c>
      <c r="D33" s="53" t="s">
        <v>97</v>
      </c>
      <c r="E33" s="6" t="s">
        <v>98</v>
      </c>
      <c r="F33" s="19">
        <v>40000</v>
      </c>
      <c r="G33" s="24">
        <v>243.16</v>
      </c>
      <c r="H33" s="24">
        <v>0.25</v>
      </c>
      <c r="I33" s="31"/>
      <c r="J33" s="35"/>
    </row>
    <row r="34" spans="1:10" x14ac:dyDescent="0.25">
      <c r="B34" s="8" t="s">
        <v>118</v>
      </c>
      <c r="C34" s="56" t="s">
        <v>119</v>
      </c>
      <c r="D34" s="53" t="s">
        <v>120</v>
      </c>
      <c r="E34" s="6" t="s">
        <v>98</v>
      </c>
      <c r="F34" s="19">
        <v>60000</v>
      </c>
      <c r="G34" s="24">
        <v>79.98</v>
      </c>
      <c r="H34" s="24">
        <v>0.08</v>
      </c>
      <c r="I34" s="31"/>
      <c r="J34" s="35"/>
    </row>
    <row r="35" spans="1:10" x14ac:dyDescent="0.25">
      <c r="C35" s="57" t="s">
        <v>35</v>
      </c>
      <c r="D35" s="53"/>
      <c r="E35" s="6"/>
      <c r="F35" s="19"/>
      <c r="G35" s="25">
        <v>13520.26</v>
      </c>
      <c r="H35" s="25">
        <v>13.88</v>
      </c>
      <c r="I35" s="31"/>
      <c r="J35" s="35"/>
    </row>
    <row r="36" spans="1:10" x14ac:dyDescent="0.25">
      <c r="C36" s="56"/>
      <c r="D36" s="53"/>
      <c r="E36" s="6"/>
      <c r="F36" s="19"/>
      <c r="G36" s="24"/>
      <c r="H36" s="24"/>
      <c r="I36" s="31"/>
      <c r="J36" s="35"/>
    </row>
    <row r="37" spans="1:10" x14ac:dyDescent="0.25">
      <c r="C37" s="57" t="s">
        <v>3</v>
      </c>
      <c r="D37" s="53"/>
      <c r="E37" s="6"/>
      <c r="F37" s="19"/>
      <c r="G37" s="24" t="s">
        <v>2</v>
      </c>
      <c r="H37" s="24" t="s">
        <v>2</v>
      </c>
      <c r="I37" s="31"/>
      <c r="J37" s="35"/>
    </row>
    <row r="38" spans="1:10" x14ac:dyDescent="0.25">
      <c r="C38" s="56"/>
      <c r="D38" s="53"/>
      <c r="E38" s="6"/>
      <c r="F38" s="19"/>
      <c r="G38" s="24"/>
      <c r="H38" s="24"/>
      <c r="I38" s="31"/>
      <c r="J38" s="35"/>
    </row>
    <row r="39" spans="1:10" x14ac:dyDescent="0.25">
      <c r="C39" s="57" t="s">
        <v>4</v>
      </c>
      <c r="D39" s="53"/>
      <c r="E39" s="6"/>
      <c r="F39" s="19"/>
      <c r="G39" s="24" t="s">
        <v>2</v>
      </c>
      <c r="H39" s="24" t="s">
        <v>2</v>
      </c>
      <c r="I39" s="31"/>
      <c r="J39" s="35"/>
    </row>
    <row r="40" spans="1:10" x14ac:dyDescent="0.25">
      <c r="C40" s="56"/>
      <c r="D40" s="53"/>
      <c r="E40" s="6"/>
      <c r="F40" s="19"/>
      <c r="G40" s="24"/>
      <c r="H40" s="24"/>
      <c r="I40" s="31"/>
      <c r="J40" s="35"/>
    </row>
    <row r="41" spans="1:10" x14ac:dyDescent="0.25">
      <c r="A41" s="10"/>
      <c r="B41" s="28"/>
      <c r="C41" s="58" t="s">
        <v>5</v>
      </c>
      <c r="D41" s="53"/>
      <c r="E41" s="6"/>
      <c r="F41" s="19"/>
      <c r="G41" s="24"/>
      <c r="H41" s="24"/>
      <c r="I41" s="31"/>
      <c r="J41" s="35"/>
    </row>
    <row r="42" spans="1:10" x14ac:dyDescent="0.25">
      <c r="C42" s="59" t="s">
        <v>6</v>
      </c>
      <c r="D42" s="53"/>
      <c r="E42" s="6"/>
      <c r="F42" s="19"/>
      <c r="G42" s="24"/>
      <c r="H42" s="24"/>
      <c r="I42" s="31"/>
      <c r="J42" s="35"/>
    </row>
    <row r="43" spans="1:10" x14ac:dyDescent="0.25">
      <c r="B43" s="8" t="s">
        <v>2513</v>
      </c>
      <c r="C43" s="56" t="s">
        <v>1030</v>
      </c>
      <c r="D43" s="53" t="s">
        <v>2514</v>
      </c>
      <c r="E43" s="6" t="s">
        <v>616</v>
      </c>
      <c r="F43" s="19">
        <v>700</v>
      </c>
      <c r="G43" s="24">
        <v>8632.64</v>
      </c>
      <c r="H43" s="24">
        <v>8.8699999999999992</v>
      </c>
      <c r="I43" s="31">
        <v>6.7622</v>
      </c>
      <c r="J43" s="35" t="s">
        <v>514</v>
      </c>
    </row>
    <row r="44" spans="1:10" x14ac:dyDescent="0.25">
      <c r="B44" s="8" t="s">
        <v>1956</v>
      </c>
      <c r="C44" s="56" t="s">
        <v>909</v>
      </c>
      <c r="D44" s="53" t="s">
        <v>1957</v>
      </c>
      <c r="E44" s="6" t="s">
        <v>534</v>
      </c>
      <c r="F44" s="19">
        <v>830</v>
      </c>
      <c r="G44" s="24">
        <v>8566.39</v>
      </c>
      <c r="H44" s="24">
        <v>8.8000000000000007</v>
      </c>
      <c r="I44" s="31">
        <v>4.1600999999999999</v>
      </c>
      <c r="J44" s="35" t="s">
        <v>514</v>
      </c>
    </row>
    <row r="45" spans="1:10" x14ac:dyDescent="0.25">
      <c r="B45" s="8" t="s">
        <v>1315</v>
      </c>
      <c r="C45" s="56" t="s">
        <v>938</v>
      </c>
      <c r="D45" s="53" t="s">
        <v>1316</v>
      </c>
      <c r="E45" s="6" t="s">
        <v>573</v>
      </c>
      <c r="F45" s="19">
        <v>830000</v>
      </c>
      <c r="G45" s="24">
        <v>8107.78</v>
      </c>
      <c r="H45" s="24">
        <v>8.33</v>
      </c>
      <c r="I45" s="31">
        <v>12.112299999999999</v>
      </c>
      <c r="J45" s="35" t="s">
        <v>514</v>
      </c>
    </row>
    <row r="46" spans="1:10" x14ac:dyDescent="0.25">
      <c r="B46" s="8" t="s">
        <v>619</v>
      </c>
      <c r="C46" s="56" t="s">
        <v>53</v>
      </c>
      <c r="D46" s="53" t="s">
        <v>620</v>
      </c>
      <c r="E46" s="6" t="s">
        <v>534</v>
      </c>
      <c r="F46" s="19">
        <v>750</v>
      </c>
      <c r="G46" s="24">
        <v>7751.06</v>
      </c>
      <c r="H46" s="24">
        <v>7.96</v>
      </c>
      <c r="I46" s="31">
        <v>4.24</v>
      </c>
      <c r="J46" s="35" t="s">
        <v>514</v>
      </c>
    </row>
    <row r="47" spans="1:10" x14ac:dyDescent="0.25">
      <c r="B47" s="8" t="s">
        <v>2407</v>
      </c>
      <c r="C47" s="56" t="s">
        <v>358</v>
      </c>
      <c r="D47" s="53" t="s">
        <v>2408</v>
      </c>
      <c r="E47" s="6" t="s">
        <v>541</v>
      </c>
      <c r="F47" s="19">
        <v>750</v>
      </c>
      <c r="G47" s="24">
        <v>7381.8</v>
      </c>
      <c r="H47" s="24">
        <v>7.58</v>
      </c>
      <c r="I47" s="31">
        <v>11.2997</v>
      </c>
      <c r="J47" s="35" t="s">
        <v>514</v>
      </c>
    </row>
    <row r="48" spans="1:10" x14ac:dyDescent="0.25">
      <c r="B48" s="8" t="s">
        <v>2515</v>
      </c>
      <c r="C48" s="56" t="s">
        <v>2282</v>
      </c>
      <c r="D48" s="53" t="s">
        <v>2516</v>
      </c>
      <c r="E48" s="6" t="s">
        <v>534</v>
      </c>
      <c r="F48" s="19">
        <v>500</v>
      </c>
      <c r="G48" s="24">
        <v>6213.53</v>
      </c>
      <c r="H48" s="24">
        <v>6.38</v>
      </c>
      <c r="I48" s="31">
        <v>5.7625000000000002</v>
      </c>
      <c r="J48" s="35" t="s">
        <v>514</v>
      </c>
    </row>
    <row r="49" spans="2:10" x14ac:dyDescent="0.25">
      <c r="B49" s="8" t="s">
        <v>2517</v>
      </c>
      <c r="C49" s="56" t="s">
        <v>1329</v>
      </c>
      <c r="D49" s="53" t="s">
        <v>2518</v>
      </c>
      <c r="E49" s="6" t="s">
        <v>1383</v>
      </c>
      <c r="F49" s="19">
        <v>500</v>
      </c>
      <c r="G49" s="24">
        <v>6153.5</v>
      </c>
      <c r="H49" s="24">
        <v>6.32</v>
      </c>
      <c r="I49" s="31">
        <v>5.7648000000000001</v>
      </c>
      <c r="J49" s="35" t="s">
        <v>514</v>
      </c>
    </row>
    <row r="50" spans="2:10" x14ac:dyDescent="0.25">
      <c r="B50" s="8" t="s">
        <v>2519</v>
      </c>
      <c r="C50" s="56" t="s">
        <v>926</v>
      </c>
      <c r="D50" s="53" t="s">
        <v>2520</v>
      </c>
      <c r="E50" s="6" t="s">
        <v>928</v>
      </c>
      <c r="F50" s="19">
        <v>500</v>
      </c>
      <c r="G50" s="24">
        <v>5127.97</v>
      </c>
      <c r="H50" s="24">
        <v>5.27</v>
      </c>
      <c r="I50" s="31">
        <v>6.1498999999999997</v>
      </c>
      <c r="J50" s="35" t="s">
        <v>514</v>
      </c>
    </row>
    <row r="51" spans="2:10" x14ac:dyDescent="0.25">
      <c r="B51" s="8" t="s">
        <v>2434</v>
      </c>
      <c r="C51" s="56" t="s">
        <v>601</v>
      </c>
      <c r="D51" s="53" t="s">
        <v>2435</v>
      </c>
      <c r="E51" s="6" t="s">
        <v>534</v>
      </c>
      <c r="F51" s="19">
        <v>120</v>
      </c>
      <c r="G51" s="24">
        <v>1222.3800000000001</v>
      </c>
      <c r="H51" s="24">
        <v>1.26</v>
      </c>
      <c r="I51" s="31">
        <v>4.1151</v>
      </c>
      <c r="J51" s="35" t="s">
        <v>514</v>
      </c>
    </row>
    <row r="52" spans="2:10" x14ac:dyDescent="0.25">
      <c r="B52" s="8" t="s">
        <v>2521</v>
      </c>
      <c r="C52" s="56" t="s">
        <v>331</v>
      </c>
      <c r="D52" s="53" t="s">
        <v>2522</v>
      </c>
      <c r="E52" s="6" t="s">
        <v>573</v>
      </c>
      <c r="F52" s="19">
        <v>100</v>
      </c>
      <c r="G52" s="24">
        <v>1023.7</v>
      </c>
      <c r="H52" s="24">
        <v>1.05</v>
      </c>
      <c r="I52" s="31">
        <v>5.4371</v>
      </c>
      <c r="J52" s="35" t="s">
        <v>514</v>
      </c>
    </row>
    <row r="53" spans="2:10" x14ac:dyDescent="0.25">
      <c r="B53" s="8" t="s">
        <v>2492</v>
      </c>
      <c r="C53" s="56" t="s">
        <v>137</v>
      </c>
      <c r="D53" s="53" t="s">
        <v>2493</v>
      </c>
      <c r="E53" s="6" t="s">
        <v>534</v>
      </c>
      <c r="F53" s="19">
        <v>70</v>
      </c>
      <c r="G53" s="24">
        <v>719.6</v>
      </c>
      <c r="H53" s="24">
        <v>0.74</v>
      </c>
      <c r="I53" s="31">
        <v>4.085</v>
      </c>
      <c r="J53" s="35" t="s">
        <v>514</v>
      </c>
    </row>
    <row r="54" spans="2:10" x14ac:dyDescent="0.25">
      <c r="B54" s="8" t="s">
        <v>2523</v>
      </c>
      <c r="C54" s="56" t="s">
        <v>2316</v>
      </c>
      <c r="D54" s="53" t="s">
        <v>2524</v>
      </c>
      <c r="E54" s="6" t="s">
        <v>534</v>
      </c>
      <c r="F54" s="19">
        <v>61</v>
      </c>
      <c r="G54" s="24">
        <v>626.02</v>
      </c>
      <c r="H54" s="24">
        <v>0.64</v>
      </c>
      <c r="I54" s="31">
        <v>4.9249999999999998</v>
      </c>
      <c r="J54" s="35" t="s">
        <v>514</v>
      </c>
    </row>
    <row r="55" spans="2:10" x14ac:dyDescent="0.25">
      <c r="B55" s="8" t="s">
        <v>1400</v>
      </c>
      <c r="C55" s="56" t="s">
        <v>53</v>
      </c>
      <c r="D55" s="53" t="s">
        <v>1401</v>
      </c>
      <c r="E55" s="6" t="s">
        <v>534</v>
      </c>
      <c r="F55" s="19">
        <v>30</v>
      </c>
      <c r="G55" s="24">
        <v>308.91000000000003</v>
      </c>
      <c r="H55" s="24">
        <v>0.32</v>
      </c>
      <c r="I55" s="31">
        <v>4.24</v>
      </c>
      <c r="J55" s="35" t="s">
        <v>514</v>
      </c>
    </row>
    <row r="56" spans="2:10" x14ac:dyDescent="0.25">
      <c r="C56" s="57" t="s">
        <v>35</v>
      </c>
      <c r="D56" s="53"/>
      <c r="E56" s="6"/>
      <c r="F56" s="19"/>
      <c r="G56" s="25">
        <v>61835.28</v>
      </c>
      <c r="H56" s="25">
        <v>63.52</v>
      </c>
      <c r="I56" s="31"/>
      <c r="J56" s="35"/>
    </row>
    <row r="57" spans="2:10" x14ac:dyDescent="0.25">
      <c r="C57" s="56"/>
      <c r="D57" s="53"/>
      <c r="E57" s="6"/>
      <c r="F57" s="19"/>
      <c r="G57" s="24"/>
      <c r="H57" s="24"/>
      <c r="I57" s="31"/>
      <c r="J57" s="35"/>
    </row>
    <row r="58" spans="2:10" x14ac:dyDescent="0.25">
      <c r="C58" s="57" t="s">
        <v>7</v>
      </c>
      <c r="D58" s="53"/>
      <c r="E58" s="6"/>
      <c r="F58" s="19"/>
      <c r="G58" s="24" t="s">
        <v>2</v>
      </c>
      <c r="H58" s="24" t="s">
        <v>2</v>
      </c>
      <c r="I58" s="31"/>
      <c r="J58" s="35"/>
    </row>
    <row r="59" spans="2:10" x14ac:dyDescent="0.25">
      <c r="C59" s="56"/>
      <c r="D59" s="53"/>
      <c r="E59" s="6"/>
      <c r="F59" s="19"/>
      <c r="G59" s="24"/>
      <c r="H59" s="24"/>
      <c r="I59" s="31"/>
      <c r="J59" s="35"/>
    </row>
    <row r="60" spans="2:10" x14ac:dyDescent="0.25">
      <c r="C60" s="57" t="s">
        <v>8</v>
      </c>
      <c r="D60" s="53"/>
      <c r="E60" s="6"/>
      <c r="F60" s="19"/>
      <c r="G60" s="24" t="s">
        <v>2</v>
      </c>
      <c r="H60" s="24" t="s">
        <v>2</v>
      </c>
      <c r="I60" s="31"/>
      <c r="J60" s="35"/>
    </row>
    <row r="61" spans="2:10" x14ac:dyDescent="0.25">
      <c r="C61" s="56"/>
      <c r="D61" s="53"/>
      <c r="E61" s="6"/>
      <c r="F61" s="19"/>
      <c r="G61" s="24"/>
      <c r="H61" s="24"/>
      <c r="I61" s="31"/>
      <c r="J61" s="35"/>
    </row>
    <row r="62" spans="2:10" x14ac:dyDescent="0.25">
      <c r="C62" s="57" t="s">
        <v>9</v>
      </c>
      <c r="D62" s="53"/>
      <c r="E62" s="6"/>
      <c r="F62" s="19"/>
      <c r="G62" s="24" t="s">
        <v>2</v>
      </c>
      <c r="H62" s="24" t="s">
        <v>2</v>
      </c>
      <c r="I62" s="31"/>
      <c r="J62" s="35"/>
    </row>
    <row r="63" spans="2:10" x14ac:dyDescent="0.25">
      <c r="C63" s="56"/>
      <c r="D63" s="53"/>
      <c r="E63" s="6"/>
      <c r="F63" s="19"/>
      <c r="G63" s="24"/>
      <c r="H63" s="24"/>
      <c r="I63" s="31"/>
      <c r="J63" s="35"/>
    </row>
    <row r="64" spans="2:10" x14ac:dyDescent="0.25">
      <c r="C64" s="59" t="s">
        <v>10</v>
      </c>
      <c r="D64" s="53"/>
      <c r="E64" s="6"/>
      <c r="F64" s="19"/>
      <c r="G64" s="24"/>
      <c r="H64" s="24"/>
      <c r="I64" s="31"/>
      <c r="J64" s="35"/>
    </row>
    <row r="65" spans="1:10" x14ac:dyDescent="0.25">
      <c r="B65" s="8" t="s">
        <v>2525</v>
      </c>
      <c r="C65" s="56" t="s">
        <v>2526</v>
      </c>
      <c r="D65" s="53" t="s">
        <v>2527</v>
      </c>
      <c r="E65" s="6" t="s">
        <v>655</v>
      </c>
      <c r="F65" s="19">
        <v>7500000</v>
      </c>
      <c r="G65" s="24">
        <v>7630.73</v>
      </c>
      <c r="H65" s="24">
        <v>7.84</v>
      </c>
      <c r="I65" s="31">
        <v>3.7210000000000001</v>
      </c>
      <c r="J65" s="35"/>
    </row>
    <row r="66" spans="1:10" x14ac:dyDescent="0.25">
      <c r="B66" s="8" t="s">
        <v>2528</v>
      </c>
      <c r="C66" s="56" t="s">
        <v>2529</v>
      </c>
      <c r="D66" s="53" t="s">
        <v>2530</v>
      </c>
      <c r="E66" s="6" t="s">
        <v>655</v>
      </c>
      <c r="F66" s="19">
        <v>1000000</v>
      </c>
      <c r="G66" s="24">
        <v>1017.5</v>
      </c>
      <c r="H66" s="24">
        <v>1.05</v>
      </c>
      <c r="I66" s="31">
        <v>3.7057000000000002</v>
      </c>
      <c r="J66" s="35"/>
    </row>
    <row r="67" spans="1:10" x14ac:dyDescent="0.25">
      <c r="C67" s="57" t="s">
        <v>35</v>
      </c>
      <c r="D67" s="53"/>
      <c r="E67" s="6"/>
      <c r="F67" s="19"/>
      <c r="G67" s="25">
        <v>8648.23</v>
      </c>
      <c r="H67" s="25">
        <v>8.89</v>
      </c>
      <c r="I67" s="31"/>
      <c r="J67" s="35"/>
    </row>
    <row r="68" spans="1:10" x14ac:dyDescent="0.25">
      <c r="C68" s="56"/>
      <c r="D68" s="53"/>
      <c r="E68" s="6"/>
      <c r="F68" s="19"/>
      <c r="G68" s="24"/>
      <c r="H68" s="24"/>
      <c r="I68" s="31"/>
      <c r="J68" s="35"/>
    </row>
    <row r="69" spans="1:10" x14ac:dyDescent="0.25">
      <c r="A69" s="10"/>
      <c r="B69" s="28"/>
      <c r="C69" s="58" t="s">
        <v>11</v>
      </c>
      <c r="D69" s="53"/>
      <c r="E69" s="6"/>
      <c r="F69" s="19"/>
      <c r="G69" s="24"/>
      <c r="H69" s="24"/>
      <c r="I69" s="31"/>
      <c r="J69" s="35"/>
    </row>
    <row r="70" spans="1:10" x14ac:dyDescent="0.25">
      <c r="A70" s="28"/>
      <c r="B70" s="28"/>
      <c r="C70" s="58" t="s">
        <v>13</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C72" s="59" t="s">
        <v>14</v>
      </c>
      <c r="D72" s="53"/>
      <c r="E72" s="6"/>
      <c r="F72" s="19"/>
      <c r="G72" s="24"/>
      <c r="H72" s="24"/>
      <c r="I72" s="31"/>
      <c r="J72" s="35"/>
    </row>
    <row r="73" spans="1:10" x14ac:dyDescent="0.25">
      <c r="B73" s="8" t="s">
        <v>1232</v>
      </c>
      <c r="C73" s="56" t="s">
        <v>818</v>
      </c>
      <c r="D73" s="53" t="s">
        <v>1233</v>
      </c>
      <c r="E73" s="6" t="s">
        <v>1000</v>
      </c>
      <c r="F73" s="19">
        <v>4000</v>
      </c>
      <c r="G73" s="24">
        <v>3892.18</v>
      </c>
      <c r="H73" s="24">
        <v>4</v>
      </c>
      <c r="I73" s="31">
        <v>3.83</v>
      </c>
      <c r="J73" s="35" t="s">
        <v>514</v>
      </c>
    </row>
    <row r="74" spans="1:10" x14ac:dyDescent="0.25">
      <c r="B74" s="8" t="s">
        <v>2338</v>
      </c>
      <c r="C74" s="56" t="s">
        <v>2339</v>
      </c>
      <c r="D74" s="53" t="s">
        <v>2340</v>
      </c>
      <c r="E74" s="6" t="s">
        <v>992</v>
      </c>
      <c r="F74" s="19">
        <v>3500</v>
      </c>
      <c r="G74" s="24">
        <v>3422.13</v>
      </c>
      <c r="H74" s="24">
        <v>3.52</v>
      </c>
      <c r="I74" s="31">
        <v>5.65</v>
      </c>
      <c r="J74" s="35" t="s">
        <v>514</v>
      </c>
    </row>
    <row r="75" spans="1:10" x14ac:dyDescent="0.25">
      <c r="C75" s="57" t="s">
        <v>35</v>
      </c>
      <c r="D75" s="53"/>
      <c r="E75" s="6"/>
      <c r="F75" s="19"/>
      <c r="G75" s="25">
        <v>7314.31</v>
      </c>
      <c r="H75" s="25">
        <v>7.52</v>
      </c>
      <c r="I75" s="31"/>
      <c r="J75" s="35"/>
    </row>
    <row r="76" spans="1:10" x14ac:dyDescent="0.25">
      <c r="C76" s="56"/>
      <c r="D76" s="53"/>
      <c r="E76" s="6"/>
      <c r="F76" s="19"/>
      <c r="G76" s="24"/>
      <c r="H76" s="24"/>
      <c r="I76" s="31"/>
      <c r="J76" s="35"/>
    </row>
    <row r="77" spans="1:10" x14ac:dyDescent="0.25">
      <c r="C77" s="57" t="s">
        <v>15</v>
      </c>
      <c r="D77" s="53"/>
      <c r="E77" s="6"/>
      <c r="F77" s="19"/>
      <c r="G77" s="24" t="s">
        <v>2</v>
      </c>
      <c r="H77" s="24" t="s">
        <v>2</v>
      </c>
      <c r="I77" s="31"/>
      <c r="J77" s="35"/>
    </row>
    <row r="78" spans="1:10" x14ac:dyDescent="0.25">
      <c r="C78" s="56"/>
      <c r="D78" s="53"/>
      <c r="E78" s="6"/>
      <c r="F78" s="19"/>
      <c r="G78" s="24"/>
      <c r="H78" s="24"/>
      <c r="I78" s="31"/>
      <c r="J78" s="35"/>
    </row>
    <row r="79" spans="1:10" x14ac:dyDescent="0.25">
      <c r="C79" s="57" t="s">
        <v>16</v>
      </c>
      <c r="D79" s="53"/>
      <c r="E79" s="6"/>
      <c r="F79" s="19"/>
      <c r="G79" s="24" t="s">
        <v>2</v>
      </c>
      <c r="H79" s="24" t="s">
        <v>2</v>
      </c>
      <c r="I79" s="31"/>
      <c r="J79" s="35"/>
    </row>
    <row r="80" spans="1:10" x14ac:dyDescent="0.25">
      <c r="C80" s="56"/>
      <c r="D80" s="53"/>
      <c r="E80" s="6"/>
      <c r="F80" s="19"/>
      <c r="G80" s="24"/>
      <c r="H80" s="24"/>
      <c r="I80" s="31"/>
      <c r="J80" s="35"/>
    </row>
    <row r="81" spans="1:10" x14ac:dyDescent="0.25">
      <c r="A81" s="10"/>
      <c r="B81" s="28"/>
      <c r="C81" s="58" t="s">
        <v>17</v>
      </c>
      <c r="D81" s="53"/>
      <c r="E81" s="6"/>
      <c r="F81" s="19"/>
      <c r="G81" s="24"/>
      <c r="H81" s="24"/>
      <c r="I81" s="31"/>
      <c r="J81" s="35"/>
    </row>
    <row r="82" spans="1:10" x14ac:dyDescent="0.25">
      <c r="A82" s="28"/>
      <c r="B82" s="28"/>
      <c r="C82" s="58" t="s">
        <v>18</v>
      </c>
      <c r="D82" s="53"/>
      <c r="E82" s="6"/>
      <c r="F82" s="19"/>
      <c r="G82" s="24" t="s">
        <v>2</v>
      </c>
      <c r="H82" s="24" t="s">
        <v>2</v>
      </c>
      <c r="I82" s="31"/>
      <c r="J82" s="35"/>
    </row>
    <row r="83" spans="1:10" x14ac:dyDescent="0.25">
      <c r="A83" s="28"/>
      <c r="B83" s="28"/>
      <c r="C83" s="58"/>
      <c r="D83" s="53"/>
      <c r="E83" s="6"/>
      <c r="F83" s="19"/>
      <c r="G83" s="24"/>
      <c r="H83" s="24"/>
      <c r="I83" s="31"/>
      <c r="J83" s="35"/>
    </row>
    <row r="84" spans="1:10" x14ac:dyDescent="0.25">
      <c r="A84" s="28"/>
      <c r="B84" s="28"/>
      <c r="C84" s="58" t="s">
        <v>19</v>
      </c>
      <c r="D84" s="53"/>
      <c r="E84" s="6"/>
      <c r="F84" s="19"/>
      <c r="G84" s="24" t="s">
        <v>2</v>
      </c>
      <c r="H84" s="24" t="s">
        <v>2</v>
      </c>
      <c r="I84" s="31"/>
      <c r="J84" s="35"/>
    </row>
    <row r="85" spans="1:10" x14ac:dyDescent="0.25">
      <c r="A85" s="28"/>
      <c r="B85" s="28"/>
      <c r="C85" s="58"/>
      <c r="D85" s="53"/>
      <c r="E85" s="6"/>
      <c r="F85" s="19"/>
      <c r="G85" s="24"/>
      <c r="H85" s="24"/>
      <c r="I85" s="31"/>
      <c r="J85" s="35"/>
    </row>
    <row r="86" spans="1:10" x14ac:dyDescent="0.25">
      <c r="A86" s="28"/>
      <c r="B86" s="28"/>
      <c r="C86" s="58" t="s">
        <v>20</v>
      </c>
      <c r="D86" s="53"/>
      <c r="E86" s="6"/>
      <c r="F86" s="19"/>
      <c r="G86" s="24" t="s">
        <v>2</v>
      </c>
      <c r="H86" s="24" t="s">
        <v>2</v>
      </c>
      <c r="I86" s="31"/>
      <c r="J86" s="35"/>
    </row>
    <row r="87" spans="1:10" x14ac:dyDescent="0.25">
      <c r="A87" s="28"/>
      <c r="B87" s="28"/>
      <c r="C87" s="58"/>
      <c r="D87" s="53"/>
      <c r="E87" s="6"/>
      <c r="F87" s="19"/>
      <c r="G87" s="24"/>
      <c r="H87" s="24"/>
      <c r="I87" s="31"/>
      <c r="J87" s="35"/>
    </row>
    <row r="88" spans="1:10" x14ac:dyDescent="0.25">
      <c r="A88" s="28"/>
      <c r="B88" s="28"/>
      <c r="C88" s="58" t="s">
        <v>21</v>
      </c>
      <c r="D88" s="53"/>
      <c r="E88" s="6"/>
      <c r="F88" s="19"/>
      <c r="G88" s="24" t="s">
        <v>2</v>
      </c>
      <c r="H88" s="24" t="s">
        <v>2</v>
      </c>
      <c r="I88" s="31"/>
      <c r="J88" s="35"/>
    </row>
    <row r="89" spans="1:10" x14ac:dyDescent="0.25">
      <c r="A89" s="28"/>
      <c r="B89" s="28"/>
      <c r="C89" s="58"/>
      <c r="D89" s="53"/>
      <c r="E89" s="6"/>
      <c r="F89" s="19"/>
      <c r="G89" s="24"/>
      <c r="H89" s="24"/>
      <c r="I89" s="31"/>
      <c r="J89" s="35"/>
    </row>
    <row r="90" spans="1:10" x14ac:dyDescent="0.25">
      <c r="C90" s="59" t="s">
        <v>22</v>
      </c>
      <c r="D90" s="53"/>
      <c r="E90" s="6"/>
      <c r="F90" s="19"/>
      <c r="G90" s="24"/>
      <c r="H90" s="24"/>
      <c r="I90" s="31"/>
      <c r="J90" s="35"/>
    </row>
    <row r="91" spans="1:10" x14ac:dyDescent="0.25">
      <c r="B91" s="8" t="s">
        <v>33</v>
      </c>
      <c r="C91" s="56" t="s">
        <v>34</v>
      </c>
      <c r="D91" s="53"/>
      <c r="E91" s="6"/>
      <c r="F91" s="19"/>
      <c r="G91" s="24">
        <v>4172.42</v>
      </c>
      <c r="H91" s="24">
        <v>4.29</v>
      </c>
      <c r="I91" s="31"/>
      <c r="J91" s="35"/>
    </row>
    <row r="92" spans="1:10" x14ac:dyDescent="0.25">
      <c r="C92" s="57" t="s">
        <v>35</v>
      </c>
      <c r="D92" s="53"/>
      <c r="E92" s="6"/>
      <c r="F92" s="19"/>
      <c r="G92" s="25">
        <v>4172.42</v>
      </c>
      <c r="H92" s="25">
        <v>4.29</v>
      </c>
      <c r="I92" s="31"/>
      <c r="J92" s="35"/>
    </row>
    <row r="93" spans="1:10" x14ac:dyDescent="0.25">
      <c r="C93" s="56"/>
      <c r="D93" s="53"/>
      <c r="E93" s="6"/>
      <c r="F93" s="19"/>
      <c r="G93" s="24"/>
      <c r="H93" s="24"/>
      <c r="I93" s="31"/>
      <c r="J93" s="35"/>
    </row>
    <row r="94" spans="1:10" x14ac:dyDescent="0.25">
      <c r="A94" s="10"/>
      <c r="B94" s="28"/>
      <c r="C94" s="58" t="s">
        <v>23</v>
      </c>
      <c r="D94" s="53"/>
      <c r="E94" s="6"/>
      <c r="F94" s="19"/>
      <c r="G94" s="24"/>
      <c r="H94" s="24"/>
      <c r="I94" s="31"/>
      <c r="J94" s="35"/>
    </row>
    <row r="95" spans="1:10" x14ac:dyDescent="0.25">
      <c r="A95" s="28"/>
      <c r="B95" s="28"/>
      <c r="C95" s="60" t="s">
        <v>3398</v>
      </c>
      <c r="D95" s="53"/>
      <c r="E95" s="6"/>
      <c r="F95" s="19"/>
      <c r="G95" s="24" t="s">
        <v>2</v>
      </c>
      <c r="H95" s="24" t="s">
        <v>2</v>
      </c>
      <c r="I95" s="31"/>
      <c r="J95" s="35"/>
    </row>
    <row r="96" spans="1:10" x14ac:dyDescent="0.25">
      <c r="B96" s="8"/>
      <c r="C96" s="56" t="s">
        <v>36</v>
      </c>
      <c r="D96" s="53"/>
      <c r="E96" s="6"/>
      <c r="F96" s="19"/>
      <c r="G96" s="24">
        <v>1853.32</v>
      </c>
      <c r="H96" s="24">
        <v>1.9</v>
      </c>
      <c r="I96" s="31"/>
      <c r="J96" s="35"/>
    </row>
    <row r="97" spans="3:10" x14ac:dyDescent="0.25">
      <c r="C97" s="57" t="s">
        <v>35</v>
      </c>
      <c r="D97" s="53"/>
      <c r="E97" s="6"/>
      <c r="F97" s="19"/>
      <c r="G97" s="25">
        <v>1853.32</v>
      </c>
      <c r="H97" s="25">
        <v>1.9</v>
      </c>
      <c r="I97" s="31"/>
      <c r="J97" s="35"/>
    </row>
    <row r="98" spans="3:10" x14ac:dyDescent="0.25">
      <c r="C98" s="56"/>
      <c r="D98" s="53"/>
      <c r="E98" s="6"/>
      <c r="F98" s="19"/>
      <c r="G98" s="24"/>
      <c r="H98" s="24"/>
      <c r="I98" s="31"/>
      <c r="J98" s="35"/>
    </row>
    <row r="99" spans="3:10" x14ac:dyDescent="0.25">
      <c r="C99" s="61" t="s">
        <v>37</v>
      </c>
      <c r="D99" s="54"/>
      <c r="E99" s="5"/>
      <c r="F99" s="20"/>
      <c r="G99" s="26">
        <v>97343.82</v>
      </c>
      <c r="H99" s="26">
        <f>SUMIFS(H:H,C:C,"Total")</f>
        <v>100.00000000000001</v>
      </c>
      <c r="I99" s="32"/>
      <c r="J99" s="36"/>
    </row>
    <row r="102" spans="3:10" x14ac:dyDescent="0.25">
      <c r="C102" s="1" t="s">
        <v>38</v>
      </c>
    </row>
    <row r="103" spans="3:10" x14ac:dyDescent="0.25">
      <c r="C103" s="2" t="s">
        <v>39</v>
      </c>
    </row>
    <row r="104" spans="3:10" x14ac:dyDescent="0.25">
      <c r="C104" s="2" t="s">
        <v>40</v>
      </c>
    </row>
    <row r="105" spans="3:10" x14ac:dyDescent="0.25">
      <c r="C105" s="2" t="s">
        <v>3430</v>
      </c>
    </row>
  </sheetData>
  <hyperlinks>
    <hyperlink ref="J2" location="'Index'!A1" display="'Index'!A1"/>
  </hyperlinks>
  <pageMargins left="0.7" right="0.7" top="0.75" bottom="0.75" header="0.3" footer="0.3"/>
  <pageSetup orientation="portrait" horizontalDpi="4294967293"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1"/>
  <dimension ref="A1:J8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2531</v>
      </c>
      <c r="J2" s="37" t="s">
        <v>3307</v>
      </c>
    </row>
    <row r="3" spans="1:10" ht="16.5" x14ac:dyDescent="0.3">
      <c r="C3" s="1" t="s">
        <v>24</v>
      </c>
      <c r="D3" s="21" t="s">
        <v>2532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2502</v>
      </c>
      <c r="C18" s="56" t="s">
        <v>1344</v>
      </c>
      <c r="D18" s="53" t="s">
        <v>2503</v>
      </c>
      <c r="E18" s="6" t="s">
        <v>534</v>
      </c>
      <c r="F18" s="19">
        <v>135</v>
      </c>
      <c r="G18" s="24">
        <v>1689.61</v>
      </c>
      <c r="H18" s="24">
        <v>9.9700000000000006</v>
      </c>
      <c r="I18" s="31">
        <v>4.5218999999999996</v>
      </c>
      <c r="J18" s="35" t="s">
        <v>514</v>
      </c>
    </row>
    <row r="19" spans="2:10" x14ac:dyDescent="0.25">
      <c r="B19" s="8" t="s">
        <v>2506</v>
      </c>
      <c r="C19" s="56" t="s">
        <v>1950</v>
      </c>
      <c r="D19" s="53" t="s">
        <v>2507</v>
      </c>
      <c r="E19" s="6" t="s">
        <v>1383</v>
      </c>
      <c r="F19" s="19">
        <v>135</v>
      </c>
      <c r="G19" s="24">
        <v>1659.78</v>
      </c>
      <c r="H19" s="24">
        <v>9.7899999999999991</v>
      </c>
      <c r="I19" s="31">
        <v>5.2622</v>
      </c>
      <c r="J19" s="35" t="s">
        <v>514</v>
      </c>
    </row>
    <row r="20" spans="2:10" x14ac:dyDescent="0.25">
      <c r="B20" s="8" t="s">
        <v>2523</v>
      </c>
      <c r="C20" s="56" t="s">
        <v>2316</v>
      </c>
      <c r="D20" s="53" t="s">
        <v>2524</v>
      </c>
      <c r="E20" s="6" t="s">
        <v>534</v>
      </c>
      <c r="F20" s="19">
        <v>139</v>
      </c>
      <c r="G20" s="24">
        <v>1426.51</v>
      </c>
      <c r="H20" s="24">
        <v>8.41</v>
      </c>
      <c r="I20" s="31">
        <v>4.9249999999999998</v>
      </c>
      <c r="J20" s="35" t="s">
        <v>514</v>
      </c>
    </row>
    <row r="21" spans="2:10" x14ac:dyDescent="0.25">
      <c r="B21" s="8" t="s">
        <v>1956</v>
      </c>
      <c r="C21" s="56" t="s">
        <v>909</v>
      </c>
      <c r="D21" s="53" t="s">
        <v>1957</v>
      </c>
      <c r="E21" s="6" t="s">
        <v>534</v>
      </c>
      <c r="F21" s="19">
        <v>135</v>
      </c>
      <c r="G21" s="24">
        <v>1393.33</v>
      </c>
      <c r="H21" s="24">
        <v>8.2200000000000006</v>
      </c>
      <c r="I21" s="31">
        <v>4.1600999999999999</v>
      </c>
      <c r="J21" s="35" t="s">
        <v>514</v>
      </c>
    </row>
    <row r="22" spans="2:10" x14ac:dyDescent="0.25">
      <c r="B22" s="8" t="s">
        <v>1417</v>
      </c>
      <c r="C22" s="56" t="s">
        <v>1376</v>
      </c>
      <c r="D22" s="53" t="s">
        <v>1418</v>
      </c>
      <c r="E22" s="6" t="s">
        <v>534</v>
      </c>
      <c r="F22" s="19">
        <v>135</v>
      </c>
      <c r="G22" s="24">
        <v>1382.19</v>
      </c>
      <c r="H22" s="24">
        <v>8.15</v>
      </c>
      <c r="I22" s="31">
        <v>4.1500000000000004</v>
      </c>
      <c r="J22" s="35" t="s">
        <v>514</v>
      </c>
    </row>
    <row r="23" spans="2:10" x14ac:dyDescent="0.25">
      <c r="B23" s="8" t="s">
        <v>2492</v>
      </c>
      <c r="C23" s="56" t="s">
        <v>137</v>
      </c>
      <c r="D23" s="53" t="s">
        <v>2493</v>
      </c>
      <c r="E23" s="6" t="s">
        <v>534</v>
      </c>
      <c r="F23" s="19">
        <v>130</v>
      </c>
      <c r="G23" s="24">
        <v>1336.41</v>
      </c>
      <c r="H23" s="24">
        <v>7.88</v>
      </c>
      <c r="I23" s="31">
        <v>4.085</v>
      </c>
      <c r="J23" s="35" t="s">
        <v>514</v>
      </c>
    </row>
    <row r="24" spans="2:10" x14ac:dyDescent="0.25">
      <c r="B24" s="8" t="s">
        <v>2504</v>
      </c>
      <c r="C24" s="56" t="s">
        <v>1752</v>
      </c>
      <c r="D24" s="53" t="s">
        <v>2505</v>
      </c>
      <c r="E24" s="6" t="s">
        <v>1314</v>
      </c>
      <c r="F24" s="19">
        <v>127</v>
      </c>
      <c r="G24" s="24">
        <v>1309.56</v>
      </c>
      <c r="H24" s="24">
        <v>7.72</v>
      </c>
      <c r="I24" s="31">
        <v>3.9590999999999998</v>
      </c>
      <c r="J24" s="35" t="s">
        <v>514</v>
      </c>
    </row>
    <row r="25" spans="2:10" x14ac:dyDescent="0.25">
      <c r="B25" s="8" t="s">
        <v>2355</v>
      </c>
      <c r="C25" s="56" t="s">
        <v>1130</v>
      </c>
      <c r="D25" s="53" t="s">
        <v>2356</v>
      </c>
      <c r="E25" s="6" t="s">
        <v>911</v>
      </c>
      <c r="F25" s="19">
        <v>100</v>
      </c>
      <c r="G25" s="24">
        <v>1017.74</v>
      </c>
      <c r="H25" s="24">
        <v>6</v>
      </c>
      <c r="I25" s="31">
        <v>4.0250000000000004</v>
      </c>
      <c r="J25" s="35" t="s">
        <v>514</v>
      </c>
    </row>
    <row r="26" spans="2:10" x14ac:dyDescent="0.25">
      <c r="B26" s="8" t="s">
        <v>2533</v>
      </c>
      <c r="C26" s="56" t="s">
        <v>601</v>
      </c>
      <c r="D26" s="53" t="s">
        <v>2534</v>
      </c>
      <c r="E26" s="6" t="s">
        <v>534</v>
      </c>
      <c r="F26" s="19">
        <v>60</v>
      </c>
      <c r="G26" s="24">
        <v>623.15</v>
      </c>
      <c r="H26" s="24">
        <v>3.68</v>
      </c>
      <c r="I26" s="31">
        <v>4.1500000000000004</v>
      </c>
      <c r="J26" s="35" t="s">
        <v>514</v>
      </c>
    </row>
    <row r="27" spans="2:10" x14ac:dyDescent="0.25">
      <c r="B27" s="8" t="s">
        <v>2535</v>
      </c>
      <c r="C27" s="56" t="s">
        <v>2421</v>
      </c>
      <c r="D27" s="53" t="s">
        <v>2536</v>
      </c>
      <c r="E27" s="6" t="s">
        <v>534</v>
      </c>
      <c r="F27" s="19">
        <v>50</v>
      </c>
      <c r="G27" s="24">
        <v>515.79</v>
      </c>
      <c r="H27" s="24">
        <v>3.04</v>
      </c>
      <c r="I27" s="31">
        <v>4.4720000000000004</v>
      </c>
      <c r="J27" s="35" t="s">
        <v>514</v>
      </c>
    </row>
    <row r="28" spans="2:10" x14ac:dyDescent="0.25">
      <c r="B28" s="8" t="s">
        <v>2537</v>
      </c>
      <c r="C28" s="56" t="s">
        <v>1935</v>
      </c>
      <c r="D28" s="53" t="s">
        <v>2538</v>
      </c>
      <c r="E28" s="6" t="s">
        <v>911</v>
      </c>
      <c r="F28" s="19">
        <v>25</v>
      </c>
      <c r="G28" s="24">
        <v>241.24</v>
      </c>
      <c r="H28" s="24">
        <v>1.42</v>
      </c>
      <c r="I28" s="31">
        <v>4.5218999999999996</v>
      </c>
      <c r="J28" s="35" t="s">
        <v>514</v>
      </c>
    </row>
    <row r="29" spans="2:10" x14ac:dyDescent="0.25">
      <c r="C29" s="57" t="s">
        <v>35</v>
      </c>
      <c r="D29" s="53"/>
      <c r="E29" s="6"/>
      <c r="F29" s="19"/>
      <c r="G29" s="25">
        <v>12595.31</v>
      </c>
      <c r="H29" s="25">
        <v>74.28</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2539</v>
      </c>
      <c r="C38" s="56" t="s">
        <v>2540</v>
      </c>
      <c r="D38" s="53" t="s">
        <v>2541</v>
      </c>
      <c r="E38" s="6" t="s">
        <v>655</v>
      </c>
      <c r="F38" s="19">
        <v>1500000</v>
      </c>
      <c r="G38" s="24">
        <v>1551.74</v>
      </c>
      <c r="H38" s="24">
        <v>9.15</v>
      </c>
      <c r="I38" s="31">
        <v>4.0155000000000003</v>
      </c>
      <c r="J38" s="35"/>
    </row>
    <row r="39" spans="1:10" x14ac:dyDescent="0.25">
      <c r="B39" s="8" t="s">
        <v>2508</v>
      </c>
      <c r="C39" s="56" t="s">
        <v>2509</v>
      </c>
      <c r="D39" s="53" t="s">
        <v>2510</v>
      </c>
      <c r="E39" s="6" t="s">
        <v>655</v>
      </c>
      <c r="F39" s="19">
        <v>600000</v>
      </c>
      <c r="G39" s="24">
        <v>613.41999999999996</v>
      </c>
      <c r="H39" s="24">
        <v>3.62</v>
      </c>
      <c r="I39" s="31">
        <v>3.9641000000000002</v>
      </c>
      <c r="J39" s="35"/>
    </row>
    <row r="40" spans="1:10" x14ac:dyDescent="0.25">
      <c r="C40" s="57" t="s">
        <v>35</v>
      </c>
      <c r="D40" s="53"/>
      <c r="E40" s="6"/>
      <c r="F40" s="19"/>
      <c r="G40" s="25">
        <v>2165.16</v>
      </c>
      <c r="H40" s="25">
        <v>12.77</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1248</v>
      </c>
      <c r="C46" s="56" t="s">
        <v>818</v>
      </c>
      <c r="D46" s="53" t="s">
        <v>1249</v>
      </c>
      <c r="E46" s="6" t="s">
        <v>1000</v>
      </c>
      <c r="F46" s="19">
        <v>500</v>
      </c>
      <c r="G46" s="24">
        <v>487.57</v>
      </c>
      <c r="H46" s="24">
        <v>2.88</v>
      </c>
      <c r="I46" s="31">
        <v>3.8298999999999999</v>
      </c>
      <c r="J46" s="35" t="s">
        <v>514</v>
      </c>
    </row>
    <row r="47" spans="1:10" x14ac:dyDescent="0.25">
      <c r="B47" s="8" t="s">
        <v>1225</v>
      </c>
      <c r="C47" s="56" t="s">
        <v>818</v>
      </c>
      <c r="D47" s="53" t="s">
        <v>1226</v>
      </c>
      <c r="E47" s="6" t="s">
        <v>1000</v>
      </c>
      <c r="F47" s="19">
        <v>300</v>
      </c>
      <c r="G47" s="24">
        <v>295.48</v>
      </c>
      <c r="H47" s="24">
        <v>1.74</v>
      </c>
      <c r="I47" s="31">
        <v>3.5150000000000001</v>
      </c>
      <c r="J47" s="35" t="s">
        <v>514</v>
      </c>
    </row>
    <row r="48" spans="1:10" x14ac:dyDescent="0.25">
      <c r="B48" s="8" t="s">
        <v>1254</v>
      </c>
      <c r="C48" s="56" t="s">
        <v>63</v>
      </c>
      <c r="D48" s="53" t="s">
        <v>1255</v>
      </c>
      <c r="E48" s="6" t="s">
        <v>1132</v>
      </c>
      <c r="F48" s="19">
        <v>100</v>
      </c>
      <c r="G48" s="24">
        <v>99.3</v>
      </c>
      <c r="H48" s="24">
        <v>0.59</v>
      </c>
      <c r="I48" s="31">
        <v>3.3001999999999998</v>
      </c>
      <c r="J48" s="35" t="s">
        <v>514</v>
      </c>
    </row>
    <row r="49" spans="1:10" x14ac:dyDescent="0.25">
      <c r="B49" s="8" t="s">
        <v>2480</v>
      </c>
      <c r="C49" s="56" t="s">
        <v>872</v>
      </c>
      <c r="D49" s="53" t="s">
        <v>2481</v>
      </c>
      <c r="E49" s="6" t="s">
        <v>992</v>
      </c>
      <c r="F49" s="19">
        <v>100</v>
      </c>
      <c r="G49" s="24">
        <v>98.82</v>
      </c>
      <c r="H49" s="24">
        <v>0.57999999999999996</v>
      </c>
      <c r="I49" s="31">
        <v>4.2149999999999999</v>
      </c>
      <c r="J49" s="35" t="s">
        <v>514</v>
      </c>
    </row>
    <row r="50" spans="1:10" x14ac:dyDescent="0.25">
      <c r="B50" s="8" t="s">
        <v>2478</v>
      </c>
      <c r="C50" s="56" t="s">
        <v>818</v>
      </c>
      <c r="D50" s="53" t="s">
        <v>2479</v>
      </c>
      <c r="E50" s="6" t="s">
        <v>1000</v>
      </c>
      <c r="F50" s="19">
        <v>100</v>
      </c>
      <c r="G50" s="24">
        <v>97.87</v>
      </c>
      <c r="H50" s="24">
        <v>0.57999999999999996</v>
      </c>
      <c r="I50" s="31">
        <v>3.83</v>
      </c>
      <c r="J50" s="35" t="s">
        <v>514</v>
      </c>
    </row>
    <row r="51" spans="1:10" x14ac:dyDescent="0.25">
      <c r="B51" s="8" t="s">
        <v>1232</v>
      </c>
      <c r="C51" s="56" t="s">
        <v>818</v>
      </c>
      <c r="D51" s="53" t="s">
        <v>1233</v>
      </c>
      <c r="E51" s="6" t="s">
        <v>1000</v>
      </c>
      <c r="F51" s="19">
        <v>100</v>
      </c>
      <c r="G51" s="24">
        <v>97.3</v>
      </c>
      <c r="H51" s="24">
        <v>0.56999999999999995</v>
      </c>
      <c r="I51" s="31">
        <v>3.83</v>
      </c>
      <c r="J51" s="35" t="s">
        <v>514</v>
      </c>
    </row>
    <row r="52" spans="1:10" x14ac:dyDescent="0.25">
      <c r="C52" s="57" t="s">
        <v>35</v>
      </c>
      <c r="D52" s="53"/>
      <c r="E52" s="6"/>
      <c r="F52" s="19"/>
      <c r="G52" s="25">
        <v>1176.3399999999999</v>
      </c>
      <c r="H52" s="25">
        <v>6.94</v>
      </c>
      <c r="I52" s="31"/>
      <c r="J52" s="35"/>
    </row>
    <row r="53" spans="1:10" x14ac:dyDescent="0.25">
      <c r="C53" s="56"/>
      <c r="D53" s="53"/>
      <c r="E53" s="6"/>
      <c r="F53" s="19"/>
      <c r="G53" s="24"/>
      <c r="H53" s="24"/>
      <c r="I53" s="31"/>
      <c r="J53" s="35"/>
    </row>
    <row r="54" spans="1:10" x14ac:dyDescent="0.25">
      <c r="C54" s="57" t="s">
        <v>15</v>
      </c>
      <c r="D54" s="53"/>
      <c r="E54" s="6"/>
      <c r="F54" s="19"/>
      <c r="G54" s="24" t="s">
        <v>2</v>
      </c>
      <c r="H54" s="24" t="s">
        <v>2</v>
      </c>
      <c r="I54" s="31"/>
      <c r="J54" s="35"/>
    </row>
    <row r="55" spans="1:10" x14ac:dyDescent="0.25">
      <c r="C55" s="56"/>
      <c r="D55" s="53"/>
      <c r="E55" s="6"/>
      <c r="F55" s="19"/>
      <c r="G55" s="24"/>
      <c r="H55" s="24"/>
      <c r="I55" s="31"/>
      <c r="J55" s="35"/>
    </row>
    <row r="56" spans="1:10" x14ac:dyDescent="0.25">
      <c r="C56" s="57" t="s">
        <v>16</v>
      </c>
      <c r="D56" s="53"/>
      <c r="E56" s="6"/>
      <c r="F56" s="19"/>
      <c r="G56" s="24" t="s">
        <v>2</v>
      </c>
      <c r="H56" s="24" t="s">
        <v>2</v>
      </c>
      <c r="I56" s="31"/>
      <c r="J56" s="35"/>
    </row>
    <row r="57" spans="1:10" x14ac:dyDescent="0.25">
      <c r="C57" s="56"/>
      <c r="D57" s="53"/>
      <c r="E57" s="6"/>
      <c r="F57" s="19"/>
      <c r="G57" s="24"/>
      <c r="H57" s="24"/>
      <c r="I57" s="31"/>
      <c r="J57" s="35"/>
    </row>
    <row r="58" spans="1:10" x14ac:dyDescent="0.25">
      <c r="A58" s="10"/>
      <c r="B58" s="28"/>
      <c r="C58" s="58" t="s">
        <v>17</v>
      </c>
      <c r="D58" s="53"/>
      <c r="E58" s="6"/>
      <c r="F58" s="19"/>
      <c r="G58" s="24"/>
      <c r="H58" s="24"/>
      <c r="I58" s="31"/>
      <c r="J58" s="35"/>
    </row>
    <row r="59" spans="1:10" x14ac:dyDescent="0.25">
      <c r="A59" s="28"/>
      <c r="B59" s="28"/>
      <c r="C59" s="58" t="s">
        <v>18</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19</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20</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A65" s="28"/>
      <c r="B65" s="28"/>
      <c r="C65" s="58" t="s">
        <v>21</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C67" s="59" t="s">
        <v>22</v>
      </c>
      <c r="D67" s="53"/>
      <c r="E67" s="6"/>
      <c r="F67" s="19"/>
      <c r="G67" s="24"/>
      <c r="H67" s="24"/>
      <c r="I67" s="31"/>
      <c r="J67" s="35"/>
    </row>
    <row r="68" spans="1:10" x14ac:dyDescent="0.25">
      <c r="B68" s="8" t="s">
        <v>33</v>
      </c>
      <c r="C68" s="56" t="s">
        <v>34</v>
      </c>
      <c r="D68" s="53"/>
      <c r="E68" s="6"/>
      <c r="F68" s="19"/>
      <c r="G68" s="24">
        <v>765.89</v>
      </c>
      <c r="H68" s="24">
        <v>4.5199999999999996</v>
      </c>
      <c r="I68" s="31"/>
      <c r="J68" s="35"/>
    </row>
    <row r="69" spans="1:10" x14ac:dyDescent="0.25">
      <c r="C69" s="57" t="s">
        <v>35</v>
      </c>
      <c r="D69" s="53"/>
      <c r="E69" s="6"/>
      <c r="F69" s="19"/>
      <c r="G69" s="25">
        <v>765.89</v>
      </c>
      <c r="H69" s="25">
        <v>4.5199999999999996</v>
      </c>
      <c r="I69" s="31"/>
      <c r="J69" s="35"/>
    </row>
    <row r="70" spans="1:10" x14ac:dyDescent="0.25">
      <c r="C70" s="56"/>
      <c r="D70" s="53"/>
      <c r="E70" s="6"/>
      <c r="F70" s="19"/>
      <c r="G70" s="24"/>
      <c r="H70" s="24"/>
      <c r="I70" s="31"/>
      <c r="J70" s="35"/>
    </row>
    <row r="71" spans="1:10" x14ac:dyDescent="0.25">
      <c r="A71" s="10"/>
      <c r="B71" s="28"/>
      <c r="C71" s="58" t="s">
        <v>23</v>
      </c>
      <c r="D71" s="53"/>
      <c r="E71" s="6"/>
      <c r="F71" s="19"/>
      <c r="G71" s="24"/>
      <c r="H71" s="24"/>
      <c r="I71" s="31"/>
      <c r="J71" s="35"/>
    </row>
    <row r="72" spans="1:10" x14ac:dyDescent="0.25">
      <c r="A72" s="28"/>
      <c r="B72" s="28"/>
      <c r="C72" s="60" t="s">
        <v>3398</v>
      </c>
      <c r="D72" s="53"/>
      <c r="E72" s="6"/>
      <c r="F72" s="19"/>
      <c r="G72" s="24" t="s">
        <v>2</v>
      </c>
      <c r="H72" s="24" t="s">
        <v>2</v>
      </c>
      <c r="I72" s="31"/>
      <c r="J72" s="35"/>
    </row>
    <row r="73" spans="1:10" x14ac:dyDescent="0.25">
      <c r="B73" s="8"/>
      <c r="C73" s="56" t="s">
        <v>36</v>
      </c>
      <c r="D73" s="53"/>
      <c r="E73" s="6"/>
      <c r="F73" s="19"/>
      <c r="G73" s="24">
        <v>249.77</v>
      </c>
      <c r="H73" s="24">
        <v>1.49</v>
      </c>
      <c r="I73" s="31"/>
      <c r="J73" s="35"/>
    </row>
    <row r="74" spans="1:10" x14ac:dyDescent="0.25">
      <c r="C74" s="57" t="s">
        <v>35</v>
      </c>
      <c r="D74" s="53"/>
      <c r="E74" s="6"/>
      <c r="F74" s="19"/>
      <c r="G74" s="25">
        <v>249.77</v>
      </c>
      <c r="H74" s="25">
        <v>1.49</v>
      </c>
      <c r="I74" s="31"/>
      <c r="J74" s="35"/>
    </row>
    <row r="75" spans="1:10" x14ac:dyDescent="0.25">
      <c r="C75" s="56"/>
      <c r="D75" s="53"/>
      <c r="E75" s="6"/>
      <c r="F75" s="19"/>
      <c r="G75" s="24"/>
      <c r="H75" s="24"/>
      <c r="I75" s="31"/>
      <c r="J75" s="35"/>
    </row>
    <row r="76" spans="1:10" x14ac:dyDescent="0.25">
      <c r="C76" s="61" t="s">
        <v>37</v>
      </c>
      <c r="D76" s="54"/>
      <c r="E76" s="5"/>
      <c r="F76" s="20"/>
      <c r="G76" s="26">
        <v>16952.47</v>
      </c>
      <c r="H76" s="26">
        <f>SUMIFS(H:H,C:C,"Total")</f>
        <v>99.999999999999986</v>
      </c>
      <c r="I76" s="32"/>
      <c r="J76" s="36"/>
    </row>
    <row r="79" spans="1:10" x14ac:dyDescent="0.25">
      <c r="C79" s="1" t="s">
        <v>38</v>
      </c>
    </row>
    <row r="80" spans="1:10" x14ac:dyDescent="0.25">
      <c r="C80" s="2" t="s">
        <v>39</v>
      </c>
    </row>
    <row r="81" spans="3:3" x14ac:dyDescent="0.25">
      <c r="C81" s="2" t="s">
        <v>40</v>
      </c>
    </row>
    <row r="82" spans="3:3" x14ac:dyDescent="0.25">
      <c r="C82" s="2" t="s">
        <v>3430</v>
      </c>
    </row>
  </sheetData>
  <hyperlinks>
    <hyperlink ref="J2" location="'Index'!A1" display="'Index'!A1"/>
  </hyperlinks>
  <pageMargins left="0.7" right="0.7" top="0.75" bottom="0.75" header="0.3" footer="0.3"/>
  <pageSetup orientation="portrait" horizontalDpi="4294967293"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2"/>
  <dimension ref="A1:J8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2542</v>
      </c>
      <c r="J2" s="37" t="s">
        <v>3307</v>
      </c>
    </row>
    <row r="3" spans="1:10" ht="16.5" x14ac:dyDescent="0.3">
      <c r="C3" s="1" t="s">
        <v>24</v>
      </c>
      <c r="D3" s="21" t="s">
        <v>2543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2515</v>
      </c>
      <c r="C18" s="56" t="s">
        <v>2282</v>
      </c>
      <c r="D18" s="53" t="s">
        <v>2516</v>
      </c>
      <c r="E18" s="6" t="s">
        <v>534</v>
      </c>
      <c r="F18" s="19">
        <v>216</v>
      </c>
      <c r="G18" s="24">
        <v>2684.24</v>
      </c>
      <c r="H18" s="24">
        <v>10.08</v>
      </c>
      <c r="I18" s="31">
        <v>5.7625000000000002</v>
      </c>
      <c r="J18" s="35" t="s">
        <v>514</v>
      </c>
    </row>
    <row r="19" spans="2:10" x14ac:dyDescent="0.25">
      <c r="B19" s="8" t="s">
        <v>1400</v>
      </c>
      <c r="C19" s="56" t="s">
        <v>53</v>
      </c>
      <c r="D19" s="53" t="s">
        <v>1401</v>
      </c>
      <c r="E19" s="6" t="s">
        <v>534</v>
      </c>
      <c r="F19" s="19">
        <v>220</v>
      </c>
      <c r="G19" s="24">
        <v>2265.35</v>
      </c>
      <c r="H19" s="24">
        <v>8.51</v>
      </c>
      <c r="I19" s="31">
        <v>4.24</v>
      </c>
      <c r="J19" s="35" t="s">
        <v>514</v>
      </c>
    </row>
    <row r="20" spans="2:10" x14ac:dyDescent="0.25">
      <c r="B20" s="8" t="s">
        <v>2492</v>
      </c>
      <c r="C20" s="56" t="s">
        <v>137</v>
      </c>
      <c r="D20" s="53" t="s">
        <v>2493</v>
      </c>
      <c r="E20" s="6" t="s">
        <v>534</v>
      </c>
      <c r="F20" s="19">
        <v>220</v>
      </c>
      <c r="G20" s="24">
        <v>2261.62</v>
      </c>
      <c r="H20" s="24">
        <v>8.49</v>
      </c>
      <c r="I20" s="31">
        <v>4.085</v>
      </c>
      <c r="J20" s="35" t="s">
        <v>514</v>
      </c>
    </row>
    <row r="21" spans="2:10" x14ac:dyDescent="0.25">
      <c r="B21" s="8" t="s">
        <v>1735</v>
      </c>
      <c r="C21" s="56" t="s">
        <v>909</v>
      </c>
      <c r="D21" s="53" t="s">
        <v>1736</v>
      </c>
      <c r="E21" s="6" t="s">
        <v>534</v>
      </c>
      <c r="F21" s="19">
        <v>215</v>
      </c>
      <c r="G21" s="24">
        <v>2222.35</v>
      </c>
      <c r="H21" s="24">
        <v>8.35</v>
      </c>
      <c r="I21" s="31">
        <v>4.16</v>
      </c>
      <c r="J21" s="35" t="s">
        <v>514</v>
      </c>
    </row>
    <row r="22" spans="2:10" x14ac:dyDescent="0.25">
      <c r="B22" s="8" t="s">
        <v>2544</v>
      </c>
      <c r="C22" s="56" t="s">
        <v>2421</v>
      </c>
      <c r="D22" s="53" t="s">
        <v>2545</v>
      </c>
      <c r="E22" s="6" t="s">
        <v>534</v>
      </c>
      <c r="F22" s="19">
        <v>170</v>
      </c>
      <c r="G22" s="24">
        <v>2129.21</v>
      </c>
      <c r="H22" s="24">
        <v>8</v>
      </c>
      <c r="I22" s="31">
        <v>4.3247999999999998</v>
      </c>
      <c r="J22" s="35" t="s">
        <v>514</v>
      </c>
    </row>
    <row r="23" spans="2:10" x14ac:dyDescent="0.25">
      <c r="B23" s="8" t="s">
        <v>2546</v>
      </c>
      <c r="C23" s="56" t="s">
        <v>1016</v>
      </c>
      <c r="D23" s="53" t="s">
        <v>2547</v>
      </c>
      <c r="E23" s="6" t="s">
        <v>1383</v>
      </c>
      <c r="F23" s="19">
        <v>110</v>
      </c>
      <c r="G23" s="24">
        <v>1123.94</v>
      </c>
      <c r="H23" s="24">
        <v>4.22</v>
      </c>
      <c r="I23" s="31">
        <v>6.3632999999999997</v>
      </c>
      <c r="J23" s="35" t="s">
        <v>514</v>
      </c>
    </row>
    <row r="24" spans="2:10" x14ac:dyDescent="0.25">
      <c r="B24" s="8" t="s">
        <v>2548</v>
      </c>
      <c r="C24" s="56" t="s">
        <v>1019</v>
      </c>
      <c r="D24" s="53" t="s">
        <v>2549</v>
      </c>
      <c r="E24" s="6" t="s">
        <v>1383</v>
      </c>
      <c r="F24" s="19">
        <v>108</v>
      </c>
      <c r="G24" s="24">
        <v>1107.03</v>
      </c>
      <c r="H24" s="24">
        <v>4.16</v>
      </c>
      <c r="I24" s="31">
        <v>6.1619000000000002</v>
      </c>
      <c r="J24" s="35" t="s">
        <v>514</v>
      </c>
    </row>
    <row r="25" spans="2:10" x14ac:dyDescent="0.25">
      <c r="B25" s="8" t="s">
        <v>2533</v>
      </c>
      <c r="C25" s="56" t="s">
        <v>601</v>
      </c>
      <c r="D25" s="53" t="s">
        <v>2534</v>
      </c>
      <c r="E25" s="6" t="s">
        <v>534</v>
      </c>
      <c r="F25" s="19">
        <v>100</v>
      </c>
      <c r="G25" s="24">
        <v>1038.5899999999999</v>
      </c>
      <c r="H25" s="24">
        <v>3.9</v>
      </c>
      <c r="I25" s="31">
        <v>4.1500000000000004</v>
      </c>
      <c r="J25" s="35" t="s">
        <v>514</v>
      </c>
    </row>
    <row r="26" spans="2:10" x14ac:dyDescent="0.25">
      <c r="B26" s="8" t="s">
        <v>2550</v>
      </c>
      <c r="C26" s="56" t="s">
        <v>1376</v>
      </c>
      <c r="D26" s="53" t="s">
        <v>2551</v>
      </c>
      <c r="E26" s="6" t="s">
        <v>534</v>
      </c>
      <c r="F26" s="19">
        <v>100</v>
      </c>
      <c r="G26" s="24">
        <v>1038.3699999999999</v>
      </c>
      <c r="H26" s="24">
        <v>3.9</v>
      </c>
      <c r="I26" s="31">
        <v>4.3049999999999997</v>
      </c>
      <c r="J26" s="35" t="s">
        <v>514</v>
      </c>
    </row>
    <row r="27" spans="2:10" x14ac:dyDescent="0.25">
      <c r="B27" s="8" t="s">
        <v>2504</v>
      </c>
      <c r="C27" s="56" t="s">
        <v>1752</v>
      </c>
      <c r="D27" s="53" t="s">
        <v>2505</v>
      </c>
      <c r="E27" s="6" t="s">
        <v>1314</v>
      </c>
      <c r="F27" s="19">
        <v>100</v>
      </c>
      <c r="G27" s="24">
        <v>1031.1500000000001</v>
      </c>
      <c r="H27" s="24">
        <v>3.87</v>
      </c>
      <c r="I27" s="31">
        <v>3.9590999999999998</v>
      </c>
      <c r="J27" s="35" t="s">
        <v>514</v>
      </c>
    </row>
    <row r="28" spans="2:10" x14ac:dyDescent="0.25">
      <c r="B28" s="8" t="s">
        <v>2434</v>
      </c>
      <c r="C28" s="56" t="s">
        <v>601</v>
      </c>
      <c r="D28" s="53" t="s">
        <v>2435</v>
      </c>
      <c r="E28" s="6" t="s">
        <v>534</v>
      </c>
      <c r="F28" s="19">
        <v>60</v>
      </c>
      <c r="G28" s="24">
        <v>611.19000000000005</v>
      </c>
      <c r="H28" s="24">
        <v>2.2999999999999998</v>
      </c>
      <c r="I28" s="31">
        <v>4.1151</v>
      </c>
      <c r="J28" s="35" t="s">
        <v>514</v>
      </c>
    </row>
    <row r="29" spans="2:10" x14ac:dyDescent="0.25">
      <c r="B29" s="8" t="s">
        <v>2552</v>
      </c>
      <c r="C29" s="56" t="s">
        <v>1143</v>
      </c>
      <c r="D29" s="53" t="s">
        <v>2553</v>
      </c>
      <c r="E29" s="6" t="s">
        <v>911</v>
      </c>
      <c r="F29" s="19">
        <v>30</v>
      </c>
      <c r="G29" s="24">
        <v>306.95999999999998</v>
      </c>
      <c r="H29" s="24">
        <v>1.1499999999999999</v>
      </c>
      <c r="I29" s="31">
        <v>4.6247999999999996</v>
      </c>
      <c r="J29" s="35" t="s">
        <v>514</v>
      </c>
    </row>
    <row r="30" spans="2:10" x14ac:dyDescent="0.25">
      <c r="C30" s="57" t="s">
        <v>35</v>
      </c>
      <c r="D30" s="53"/>
      <c r="E30" s="6"/>
      <c r="F30" s="19"/>
      <c r="G30" s="25">
        <v>17820</v>
      </c>
      <c r="H30" s="25">
        <v>66.930000000000007</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9" t="s">
        <v>8</v>
      </c>
      <c r="D34" s="53"/>
      <c r="E34" s="6"/>
      <c r="F34" s="19"/>
      <c r="G34" s="24"/>
      <c r="H34" s="24"/>
      <c r="I34" s="31"/>
      <c r="J34" s="35"/>
    </row>
    <row r="35" spans="1:10" x14ac:dyDescent="0.25">
      <c r="B35" s="8" t="s">
        <v>1794</v>
      </c>
      <c r="C35" s="56" t="s">
        <v>1424</v>
      </c>
      <c r="D35" s="53" t="s">
        <v>1795</v>
      </c>
      <c r="E35" s="6" t="s">
        <v>1422</v>
      </c>
      <c r="F35" s="19">
        <v>100</v>
      </c>
      <c r="G35" s="24">
        <v>1223.0899999999999</v>
      </c>
      <c r="H35" s="24">
        <v>4.59</v>
      </c>
      <c r="I35" s="31">
        <v>4.8571999999999997</v>
      </c>
      <c r="J35" s="35" t="s">
        <v>514</v>
      </c>
    </row>
    <row r="36" spans="1:10" x14ac:dyDescent="0.25">
      <c r="C36" s="57" t="s">
        <v>35</v>
      </c>
      <c r="D36" s="53"/>
      <c r="E36" s="6"/>
      <c r="F36" s="19"/>
      <c r="G36" s="25">
        <v>1223.0899999999999</v>
      </c>
      <c r="H36" s="25">
        <v>4.59</v>
      </c>
      <c r="I36" s="31"/>
      <c r="J36" s="35"/>
    </row>
    <row r="37" spans="1:10" x14ac:dyDescent="0.25">
      <c r="C37" s="56"/>
      <c r="D37" s="53"/>
      <c r="E37" s="6"/>
      <c r="F37" s="19"/>
      <c r="G37" s="24"/>
      <c r="H37" s="24"/>
      <c r="I37" s="31"/>
      <c r="J37" s="35"/>
    </row>
    <row r="38" spans="1:10" x14ac:dyDescent="0.25">
      <c r="C38" s="57" t="s">
        <v>9</v>
      </c>
      <c r="D38" s="53"/>
      <c r="E38" s="6"/>
      <c r="F38" s="19"/>
      <c r="G38" s="24" t="s">
        <v>2</v>
      </c>
      <c r="H38" s="24" t="s">
        <v>2</v>
      </c>
      <c r="I38" s="31"/>
      <c r="J38" s="35"/>
    </row>
    <row r="39" spans="1:10" x14ac:dyDescent="0.25">
      <c r="C39" s="56"/>
      <c r="D39" s="53"/>
      <c r="E39" s="6"/>
      <c r="F39" s="19"/>
      <c r="G39" s="24"/>
      <c r="H39" s="24"/>
      <c r="I39" s="31"/>
      <c r="J39" s="35"/>
    </row>
    <row r="40" spans="1:10" x14ac:dyDescent="0.25">
      <c r="C40" s="59" t="s">
        <v>10</v>
      </c>
      <c r="D40" s="53"/>
      <c r="E40" s="6"/>
      <c r="F40" s="19"/>
      <c r="G40" s="24"/>
      <c r="H40" s="24"/>
      <c r="I40" s="31"/>
      <c r="J40" s="35"/>
    </row>
    <row r="41" spans="1:10" x14ac:dyDescent="0.25">
      <c r="B41" s="8" t="s">
        <v>2508</v>
      </c>
      <c r="C41" s="56" t="s">
        <v>2509</v>
      </c>
      <c r="D41" s="53" t="s">
        <v>2510</v>
      </c>
      <c r="E41" s="6" t="s">
        <v>655</v>
      </c>
      <c r="F41" s="19">
        <v>3100000</v>
      </c>
      <c r="G41" s="24">
        <v>3169.34</v>
      </c>
      <c r="H41" s="24">
        <v>11.9</v>
      </c>
      <c r="I41" s="31">
        <v>3.9641000000000002</v>
      </c>
      <c r="J41" s="35"/>
    </row>
    <row r="42" spans="1:10" x14ac:dyDescent="0.25">
      <c r="C42" s="57" t="s">
        <v>35</v>
      </c>
      <c r="D42" s="53"/>
      <c r="E42" s="6"/>
      <c r="F42" s="19"/>
      <c r="G42" s="25">
        <v>3169.34</v>
      </c>
      <c r="H42" s="25">
        <v>11.9</v>
      </c>
      <c r="I42" s="31"/>
      <c r="J42" s="35"/>
    </row>
    <row r="43" spans="1:10" x14ac:dyDescent="0.25">
      <c r="C43" s="56"/>
      <c r="D43" s="53"/>
      <c r="E43" s="6"/>
      <c r="F43" s="19"/>
      <c r="G43" s="24"/>
      <c r="H43" s="24"/>
      <c r="I43" s="31"/>
      <c r="J43" s="35"/>
    </row>
    <row r="44" spans="1:10" x14ac:dyDescent="0.25">
      <c r="A44" s="10"/>
      <c r="B44" s="28"/>
      <c r="C44" s="58" t="s">
        <v>11</v>
      </c>
      <c r="D44" s="53"/>
      <c r="E44" s="6"/>
      <c r="F44" s="19"/>
      <c r="G44" s="24"/>
      <c r="H44" s="24"/>
      <c r="I44" s="31"/>
      <c r="J44" s="35"/>
    </row>
    <row r="45" spans="1:10" x14ac:dyDescent="0.25">
      <c r="A45" s="28"/>
      <c r="B45" s="28"/>
      <c r="C45" s="58" t="s">
        <v>13</v>
      </c>
      <c r="D45" s="53"/>
      <c r="E45" s="6"/>
      <c r="F45" s="19"/>
      <c r="G45" s="24" t="s">
        <v>2</v>
      </c>
      <c r="H45" s="24" t="s">
        <v>2</v>
      </c>
      <c r="I45" s="31"/>
      <c r="J45" s="35"/>
    </row>
    <row r="46" spans="1:10" x14ac:dyDescent="0.25">
      <c r="A46" s="28"/>
      <c r="B46" s="28"/>
      <c r="C46" s="58"/>
      <c r="D46" s="53"/>
      <c r="E46" s="6"/>
      <c r="F46" s="19"/>
      <c r="G46" s="24"/>
      <c r="H46" s="24"/>
      <c r="I46" s="31"/>
      <c r="J46" s="35"/>
    </row>
    <row r="47" spans="1:10" x14ac:dyDescent="0.25">
      <c r="C47" s="59" t="s">
        <v>14</v>
      </c>
      <c r="D47" s="53"/>
      <c r="E47" s="6"/>
      <c r="F47" s="19"/>
      <c r="G47" s="24"/>
      <c r="H47" s="24"/>
      <c r="I47" s="31"/>
      <c r="J47" s="35"/>
    </row>
    <row r="48" spans="1:10" x14ac:dyDescent="0.25">
      <c r="B48" s="8" t="s">
        <v>1248</v>
      </c>
      <c r="C48" s="56" t="s">
        <v>818</v>
      </c>
      <c r="D48" s="53" t="s">
        <v>1249</v>
      </c>
      <c r="E48" s="6" t="s">
        <v>1000</v>
      </c>
      <c r="F48" s="19">
        <v>700</v>
      </c>
      <c r="G48" s="24">
        <v>682.6</v>
      </c>
      <c r="H48" s="24">
        <v>2.56</v>
      </c>
      <c r="I48" s="31">
        <v>3.8298999999999999</v>
      </c>
      <c r="J48" s="35" t="s">
        <v>514</v>
      </c>
    </row>
    <row r="49" spans="1:10" x14ac:dyDescent="0.25">
      <c r="B49" s="8" t="s">
        <v>2478</v>
      </c>
      <c r="C49" s="56" t="s">
        <v>818</v>
      </c>
      <c r="D49" s="53" t="s">
        <v>2479</v>
      </c>
      <c r="E49" s="6" t="s">
        <v>1000</v>
      </c>
      <c r="F49" s="19">
        <v>400</v>
      </c>
      <c r="G49" s="24">
        <v>391.5</v>
      </c>
      <c r="H49" s="24">
        <v>1.47</v>
      </c>
      <c r="I49" s="31">
        <v>3.83</v>
      </c>
      <c r="J49" s="35" t="s">
        <v>514</v>
      </c>
    </row>
    <row r="50" spans="1:10" x14ac:dyDescent="0.25">
      <c r="B50" s="8" t="s">
        <v>2338</v>
      </c>
      <c r="C50" s="56" t="s">
        <v>2339</v>
      </c>
      <c r="D50" s="53" t="s">
        <v>2340</v>
      </c>
      <c r="E50" s="6" t="s">
        <v>992</v>
      </c>
      <c r="F50" s="19">
        <v>400</v>
      </c>
      <c r="G50" s="24">
        <v>391.1</v>
      </c>
      <c r="H50" s="24">
        <v>1.47</v>
      </c>
      <c r="I50" s="31">
        <v>5.65</v>
      </c>
      <c r="J50" s="35" t="s">
        <v>514</v>
      </c>
    </row>
    <row r="51" spans="1:10" x14ac:dyDescent="0.25">
      <c r="B51" s="8" t="s">
        <v>1254</v>
      </c>
      <c r="C51" s="56" t="s">
        <v>63</v>
      </c>
      <c r="D51" s="53" t="s">
        <v>1255</v>
      </c>
      <c r="E51" s="6" t="s">
        <v>1132</v>
      </c>
      <c r="F51" s="19">
        <v>300</v>
      </c>
      <c r="G51" s="24">
        <v>297.89999999999998</v>
      </c>
      <c r="H51" s="24">
        <v>1.1200000000000001</v>
      </c>
      <c r="I51" s="31">
        <v>3.3001999999999998</v>
      </c>
      <c r="J51" s="35" t="s">
        <v>514</v>
      </c>
    </row>
    <row r="52" spans="1:10" x14ac:dyDescent="0.25">
      <c r="B52" s="8" t="s">
        <v>1260</v>
      </c>
      <c r="C52" s="56" t="s">
        <v>402</v>
      </c>
      <c r="D52" s="53" t="s">
        <v>1261</v>
      </c>
      <c r="E52" s="6" t="s">
        <v>992</v>
      </c>
      <c r="F52" s="19">
        <v>300</v>
      </c>
      <c r="G52" s="24">
        <v>297.72000000000003</v>
      </c>
      <c r="H52" s="24">
        <v>1.1200000000000001</v>
      </c>
      <c r="I52" s="31">
        <v>3.3250000000000002</v>
      </c>
      <c r="J52" s="35" t="s">
        <v>514</v>
      </c>
    </row>
    <row r="53" spans="1:10" x14ac:dyDescent="0.25">
      <c r="B53" s="8" t="s">
        <v>1225</v>
      </c>
      <c r="C53" s="56" t="s">
        <v>818</v>
      </c>
      <c r="D53" s="53" t="s">
        <v>1226</v>
      </c>
      <c r="E53" s="6" t="s">
        <v>1000</v>
      </c>
      <c r="F53" s="19">
        <v>200</v>
      </c>
      <c r="G53" s="24">
        <v>196.98</v>
      </c>
      <c r="H53" s="24">
        <v>0.74</v>
      </c>
      <c r="I53" s="31">
        <v>3.5150000000000001</v>
      </c>
      <c r="J53" s="35" t="s">
        <v>514</v>
      </c>
    </row>
    <row r="54" spans="1:10" x14ac:dyDescent="0.25">
      <c r="B54" s="8" t="s">
        <v>1232</v>
      </c>
      <c r="C54" s="56" t="s">
        <v>818</v>
      </c>
      <c r="D54" s="53" t="s">
        <v>1233</v>
      </c>
      <c r="E54" s="6" t="s">
        <v>1000</v>
      </c>
      <c r="F54" s="19">
        <v>100</v>
      </c>
      <c r="G54" s="24">
        <v>97.3</v>
      </c>
      <c r="H54" s="24">
        <v>0.37</v>
      </c>
      <c r="I54" s="31">
        <v>3.83</v>
      </c>
      <c r="J54" s="35" t="s">
        <v>514</v>
      </c>
    </row>
    <row r="55" spans="1:10" x14ac:dyDescent="0.25">
      <c r="C55" s="57" t="s">
        <v>35</v>
      </c>
      <c r="D55" s="53"/>
      <c r="E55" s="6"/>
      <c r="F55" s="19"/>
      <c r="G55" s="25">
        <v>2355.1</v>
      </c>
      <c r="H55" s="25">
        <v>8.85</v>
      </c>
      <c r="I55" s="31"/>
      <c r="J55" s="35"/>
    </row>
    <row r="56" spans="1:10" x14ac:dyDescent="0.25">
      <c r="C56" s="56"/>
      <c r="D56" s="53"/>
      <c r="E56" s="6"/>
      <c r="F56" s="19"/>
      <c r="G56" s="24"/>
      <c r="H56" s="24"/>
      <c r="I56" s="31"/>
      <c r="J56" s="35"/>
    </row>
    <row r="57" spans="1:10" x14ac:dyDescent="0.25">
      <c r="C57" s="57" t="s">
        <v>15</v>
      </c>
      <c r="D57" s="53"/>
      <c r="E57" s="6"/>
      <c r="F57" s="19"/>
      <c r="G57" s="24" t="s">
        <v>2</v>
      </c>
      <c r="H57" s="24" t="s">
        <v>2</v>
      </c>
      <c r="I57" s="31"/>
      <c r="J57" s="35"/>
    </row>
    <row r="58" spans="1:10" x14ac:dyDescent="0.25">
      <c r="C58" s="56"/>
      <c r="D58" s="53"/>
      <c r="E58" s="6"/>
      <c r="F58" s="19"/>
      <c r="G58" s="24"/>
      <c r="H58" s="24"/>
      <c r="I58" s="31"/>
      <c r="J58" s="35"/>
    </row>
    <row r="59" spans="1:10" x14ac:dyDescent="0.25">
      <c r="C59" s="57" t="s">
        <v>16</v>
      </c>
      <c r="D59" s="53"/>
      <c r="E59" s="6"/>
      <c r="F59" s="19"/>
      <c r="G59" s="24" t="s">
        <v>2</v>
      </c>
      <c r="H59" s="24" t="s">
        <v>2</v>
      </c>
      <c r="I59" s="31"/>
      <c r="J59" s="35"/>
    </row>
    <row r="60" spans="1:10" x14ac:dyDescent="0.25">
      <c r="C60" s="56"/>
      <c r="D60" s="53"/>
      <c r="E60" s="6"/>
      <c r="F60" s="19"/>
      <c r="G60" s="24"/>
      <c r="H60" s="24"/>
      <c r="I60" s="31"/>
      <c r="J60" s="35"/>
    </row>
    <row r="61" spans="1:10" x14ac:dyDescent="0.25">
      <c r="A61" s="10"/>
      <c r="B61" s="28"/>
      <c r="C61" s="58" t="s">
        <v>17</v>
      </c>
      <c r="D61" s="53"/>
      <c r="E61" s="6"/>
      <c r="F61" s="19"/>
      <c r="G61" s="24"/>
      <c r="H61" s="24"/>
      <c r="I61" s="31"/>
      <c r="J61" s="35"/>
    </row>
    <row r="62" spans="1:10" x14ac:dyDescent="0.25">
      <c r="A62" s="28"/>
      <c r="B62" s="28"/>
      <c r="C62" s="58" t="s">
        <v>18</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19</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20</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21</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C70" s="59" t="s">
        <v>22</v>
      </c>
      <c r="D70" s="53"/>
      <c r="E70" s="6"/>
      <c r="F70" s="19"/>
      <c r="G70" s="24"/>
      <c r="H70" s="24"/>
      <c r="I70" s="31"/>
      <c r="J70" s="35"/>
    </row>
    <row r="71" spans="1:10" x14ac:dyDescent="0.25">
      <c r="B71" s="8" t="s">
        <v>33</v>
      </c>
      <c r="C71" s="56" t="s">
        <v>34</v>
      </c>
      <c r="D71" s="53"/>
      <c r="E71" s="6"/>
      <c r="F71" s="19"/>
      <c r="G71" s="24">
        <v>1306.72</v>
      </c>
      <c r="H71" s="24">
        <v>4.91</v>
      </c>
      <c r="I71" s="31"/>
      <c r="J71" s="35"/>
    </row>
    <row r="72" spans="1:10" x14ac:dyDescent="0.25">
      <c r="C72" s="57" t="s">
        <v>35</v>
      </c>
      <c r="D72" s="53"/>
      <c r="E72" s="6"/>
      <c r="F72" s="19"/>
      <c r="G72" s="25">
        <v>1306.72</v>
      </c>
      <c r="H72" s="25">
        <v>4.91</v>
      </c>
      <c r="I72" s="31"/>
      <c r="J72" s="35"/>
    </row>
    <row r="73" spans="1:10" x14ac:dyDescent="0.25">
      <c r="C73" s="56"/>
      <c r="D73" s="53"/>
      <c r="E73" s="6"/>
      <c r="F73" s="19"/>
      <c r="G73" s="24"/>
      <c r="H73" s="24"/>
      <c r="I73" s="31"/>
      <c r="J73" s="35"/>
    </row>
    <row r="74" spans="1:10" x14ac:dyDescent="0.25">
      <c r="A74" s="10"/>
      <c r="B74" s="28"/>
      <c r="C74" s="58" t="s">
        <v>23</v>
      </c>
      <c r="D74" s="53"/>
      <c r="E74" s="6"/>
      <c r="F74" s="19"/>
      <c r="G74" s="24"/>
      <c r="H74" s="24"/>
      <c r="I74" s="31"/>
      <c r="J74" s="35"/>
    </row>
    <row r="75" spans="1:10" x14ac:dyDescent="0.25">
      <c r="A75" s="28"/>
      <c r="B75" s="28"/>
      <c r="C75" s="60" t="s">
        <v>3398</v>
      </c>
      <c r="D75" s="53"/>
      <c r="E75" s="6"/>
      <c r="F75" s="19"/>
      <c r="G75" s="24" t="s">
        <v>2</v>
      </c>
      <c r="H75" s="24" t="s">
        <v>2</v>
      </c>
      <c r="I75" s="31"/>
      <c r="J75" s="35"/>
    </row>
    <row r="76" spans="1:10" x14ac:dyDescent="0.25">
      <c r="B76" s="8"/>
      <c r="C76" s="56" t="s">
        <v>36</v>
      </c>
      <c r="D76" s="53"/>
      <c r="E76" s="6"/>
      <c r="F76" s="19"/>
      <c r="G76" s="24">
        <v>755.83</v>
      </c>
      <c r="H76" s="24">
        <v>2.82</v>
      </c>
      <c r="I76" s="31"/>
      <c r="J76" s="35"/>
    </row>
    <row r="77" spans="1:10" x14ac:dyDescent="0.25">
      <c r="C77" s="57" t="s">
        <v>35</v>
      </c>
      <c r="D77" s="53"/>
      <c r="E77" s="6"/>
      <c r="F77" s="19"/>
      <c r="G77" s="25">
        <v>755.83</v>
      </c>
      <c r="H77" s="25">
        <v>2.82</v>
      </c>
      <c r="I77" s="31"/>
      <c r="J77" s="35"/>
    </row>
    <row r="78" spans="1:10" x14ac:dyDescent="0.25">
      <c r="C78" s="56"/>
      <c r="D78" s="53"/>
      <c r="E78" s="6"/>
      <c r="F78" s="19"/>
      <c r="G78" s="24"/>
      <c r="H78" s="24"/>
      <c r="I78" s="31"/>
      <c r="J78" s="35"/>
    </row>
    <row r="79" spans="1:10" x14ac:dyDescent="0.25">
      <c r="C79" s="61" t="s">
        <v>37</v>
      </c>
      <c r="D79" s="54"/>
      <c r="E79" s="5"/>
      <c r="F79" s="20"/>
      <c r="G79" s="26">
        <v>26630.080000000002</v>
      </c>
      <c r="H79" s="26">
        <f>SUMIFS(H:H,C:C,"Total")</f>
        <v>100</v>
      </c>
      <c r="I79" s="32"/>
      <c r="J79" s="36"/>
    </row>
    <row r="82" spans="3:3" x14ac:dyDescent="0.25">
      <c r="C82" s="1" t="s">
        <v>38</v>
      </c>
    </row>
    <row r="83" spans="3:3" x14ac:dyDescent="0.25">
      <c r="C83" s="2" t="s">
        <v>39</v>
      </c>
    </row>
    <row r="84" spans="3:3" x14ac:dyDescent="0.25">
      <c r="C84" s="2" t="s">
        <v>40</v>
      </c>
    </row>
    <row r="85" spans="3:3" x14ac:dyDescent="0.25">
      <c r="C85" s="2" t="s">
        <v>3430</v>
      </c>
    </row>
  </sheetData>
  <hyperlinks>
    <hyperlink ref="J2" location="'Index'!A1" display="'Index'!A1"/>
  </hyperlinks>
  <pageMargins left="0.7" right="0.7" top="0.75" bottom="0.75" header="0.3" footer="0.3"/>
  <pageSetup orientation="portrait" horizontalDpi="4294967293"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3"/>
  <dimension ref="A1:J8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2554</v>
      </c>
      <c r="J2" s="37" t="s">
        <v>3307</v>
      </c>
    </row>
    <row r="3" spans="1:10" ht="16.5" x14ac:dyDescent="0.3">
      <c r="C3" s="1" t="s">
        <v>24</v>
      </c>
      <c r="D3" s="21" t="s">
        <v>2555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1319</v>
      </c>
      <c r="C18" s="56" t="s">
        <v>1320</v>
      </c>
      <c r="D18" s="53" t="s">
        <v>1321</v>
      </c>
      <c r="E18" s="6" t="s">
        <v>541</v>
      </c>
      <c r="F18" s="19">
        <v>280</v>
      </c>
      <c r="G18" s="24">
        <v>3399.36</v>
      </c>
      <c r="H18" s="24">
        <v>10.01</v>
      </c>
      <c r="I18" s="31">
        <v>6.8826999999999998</v>
      </c>
      <c r="J18" s="35" t="s">
        <v>514</v>
      </c>
    </row>
    <row r="19" spans="2:10" x14ac:dyDescent="0.25">
      <c r="B19" s="8" t="s">
        <v>2556</v>
      </c>
      <c r="C19" s="56" t="s">
        <v>1030</v>
      </c>
      <c r="D19" s="53" t="s">
        <v>2557</v>
      </c>
      <c r="E19" s="6" t="s">
        <v>616</v>
      </c>
      <c r="F19" s="19">
        <v>250</v>
      </c>
      <c r="G19" s="24">
        <v>3048.47</v>
      </c>
      <c r="H19" s="24">
        <v>8.98</v>
      </c>
      <c r="I19" s="31">
        <v>6.7621000000000002</v>
      </c>
      <c r="J19" s="35" t="s">
        <v>514</v>
      </c>
    </row>
    <row r="20" spans="2:10" x14ac:dyDescent="0.25">
      <c r="B20" s="8" t="s">
        <v>2519</v>
      </c>
      <c r="C20" s="56" t="s">
        <v>926</v>
      </c>
      <c r="D20" s="53" t="s">
        <v>2520</v>
      </c>
      <c r="E20" s="6" t="s">
        <v>928</v>
      </c>
      <c r="F20" s="19">
        <v>270</v>
      </c>
      <c r="G20" s="24">
        <v>2769.1</v>
      </c>
      <c r="H20" s="24">
        <v>8.15</v>
      </c>
      <c r="I20" s="31">
        <v>6.1498999999999997</v>
      </c>
      <c r="J20" s="35" t="s">
        <v>514</v>
      </c>
    </row>
    <row r="21" spans="2:10" x14ac:dyDescent="0.25">
      <c r="B21" s="8" t="s">
        <v>1315</v>
      </c>
      <c r="C21" s="56" t="s">
        <v>938</v>
      </c>
      <c r="D21" s="53" t="s">
        <v>1316</v>
      </c>
      <c r="E21" s="6" t="s">
        <v>573</v>
      </c>
      <c r="F21" s="19">
        <v>270000</v>
      </c>
      <c r="G21" s="24">
        <v>2637.47</v>
      </c>
      <c r="H21" s="24">
        <v>7.77</v>
      </c>
      <c r="I21" s="31">
        <v>12.112299999999999</v>
      </c>
      <c r="J21" s="35" t="s">
        <v>514</v>
      </c>
    </row>
    <row r="22" spans="2:10" x14ac:dyDescent="0.25">
      <c r="B22" s="8" t="s">
        <v>1735</v>
      </c>
      <c r="C22" s="56" t="s">
        <v>909</v>
      </c>
      <c r="D22" s="53" t="s">
        <v>1736</v>
      </c>
      <c r="E22" s="6" t="s">
        <v>534</v>
      </c>
      <c r="F22" s="19">
        <v>250</v>
      </c>
      <c r="G22" s="24">
        <v>2584.12</v>
      </c>
      <c r="H22" s="24">
        <v>7.61</v>
      </c>
      <c r="I22" s="31">
        <v>4.16</v>
      </c>
      <c r="J22" s="35" t="s">
        <v>514</v>
      </c>
    </row>
    <row r="23" spans="2:10" x14ac:dyDescent="0.25">
      <c r="B23" s="8" t="s">
        <v>619</v>
      </c>
      <c r="C23" s="56" t="s">
        <v>53</v>
      </c>
      <c r="D23" s="53" t="s">
        <v>620</v>
      </c>
      <c r="E23" s="6" t="s">
        <v>534</v>
      </c>
      <c r="F23" s="19">
        <v>250</v>
      </c>
      <c r="G23" s="24">
        <v>2583.69</v>
      </c>
      <c r="H23" s="24">
        <v>7.61</v>
      </c>
      <c r="I23" s="31">
        <v>4.24</v>
      </c>
      <c r="J23" s="35" t="s">
        <v>514</v>
      </c>
    </row>
    <row r="24" spans="2:10" x14ac:dyDescent="0.25">
      <c r="B24" s="8" t="s">
        <v>2558</v>
      </c>
      <c r="C24" s="56" t="s">
        <v>119</v>
      </c>
      <c r="D24" s="53" t="s">
        <v>2559</v>
      </c>
      <c r="E24" s="6" t="s">
        <v>616</v>
      </c>
      <c r="F24" s="19">
        <v>250</v>
      </c>
      <c r="G24" s="24">
        <v>2509.85</v>
      </c>
      <c r="H24" s="24">
        <v>7.39</v>
      </c>
      <c r="I24" s="31">
        <v>6.7549000000000001</v>
      </c>
      <c r="J24" s="35" t="s">
        <v>514</v>
      </c>
    </row>
    <row r="25" spans="2:10" x14ac:dyDescent="0.25">
      <c r="B25" s="8" t="s">
        <v>2560</v>
      </c>
      <c r="C25" s="56" t="s">
        <v>358</v>
      </c>
      <c r="D25" s="53" t="s">
        <v>2561</v>
      </c>
      <c r="E25" s="6" t="s">
        <v>541</v>
      </c>
      <c r="F25" s="19">
        <v>250</v>
      </c>
      <c r="G25" s="24">
        <v>2452.44</v>
      </c>
      <c r="H25" s="24">
        <v>7.22</v>
      </c>
      <c r="I25" s="31">
        <v>11.675000000000001</v>
      </c>
      <c r="J25" s="35" t="s">
        <v>514</v>
      </c>
    </row>
    <row r="26" spans="2:10" x14ac:dyDescent="0.25">
      <c r="B26" s="8" t="s">
        <v>1703</v>
      </c>
      <c r="C26" s="56" t="s">
        <v>601</v>
      </c>
      <c r="D26" s="53" t="s">
        <v>1704</v>
      </c>
      <c r="E26" s="6" t="s">
        <v>534</v>
      </c>
      <c r="F26" s="19">
        <v>200</v>
      </c>
      <c r="G26" s="24">
        <v>2054.11</v>
      </c>
      <c r="H26" s="24">
        <v>6.05</v>
      </c>
      <c r="I26" s="31">
        <v>4.25</v>
      </c>
      <c r="J26" s="35" t="s">
        <v>514</v>
      </c>
    </row>
    <row r="27" spans="2:10" x14ac:dyDescent="0.25">
      <c r="B27" s="8" t="s">
        <v>2562</v>
      </c>
      <c r="C27" s="56" t="s">
        <v>1752</v>
      </c>
      <c r="D27" s="53" t="s">
        <v>2563</v>
      </c>
      <c r="E27" s="6" t="s">
        <v>1314</v>
      </c>
      <c r="F27" s="19">
        <v>156</v>
      </c>
      <c r="G27" s="24">
        <v>1615.82</v>
      </c>
      <c r="H27" s="24">
        <v>4.76</v>
      </c>
      <c r="I27" s="31">
        <v>4.0350000000000001</v>
      </c>
      <c r="J27" s="35" t="s">
        <v>514</v>
      </c>
    </row>
    <row r="28" spans="2:10" x14ac:dyDescent="0.25">
      <c r="B28" s="8" t="s">
        <v>2564</v>
      </c>
      <c r="C28" s="56" t="s">
        <v>691</v>
      </c>
      <c r="D28" s="53" t="s">
        <v>2565</v>
      </c>
      <c r="E28" s="6" t="s">
        <v>693</v>
      </c>
      <c r="F28" s="19">
        <v>150</v>
      </c>
      <c r="G28" s="24">
        <v>1547.51</v>
      </c>
      <c r="H28" s="24">
        <v>4.5599999999999996</v>
      </c>
      <c r="I28" s="31">
        <v>6.4401000000000002</v>
      </c>
      <c r="J28" s="35" t="s">
        <v>514</v>
      </c>
    </row>
    <row r="29" spans="2:10" x14ac:dyDescent="0.25">
      <c r="B29" s="8" t="s">
        <v>2521</v>
      </c>
      <c r="C29" s="56" t="s">
        <v>331</v>
      </c>
      <c r="D29" s="53" t="s">
        <v>2522</v>
      </c>
      <c r="E29" s="6" t="s">
        <v>573</v>
      </c>
      <c r="F29" s="19">
        <v>140</v>
      </c>
      <c r="G29" s="24">
        <v>1433.18</v>
      </c>
      <c r="H29" s="24">
        <v>4.22</v>
      </c>
      <c r="I29" s="31">
        <v>5.4371</v>
      </c>
      <c r="J29" s="35" t="s">
        <v>514</v>
      </c>
    </row>
    <row r="30" spans="2:10" x14ac:dyDescent="0.25">
      <c r="C30" s="57" t="s">
        <v>35</v>
      </c>
      <c r="D30" s="53"/>
      <c r="E30" s="6"/>
      <c r="F30" s="19"/>
      <c r="G30" s="25">
        <v>28635.119999999999</v>
      </c>
      <c r="H30" s="25">
        <v>84.33</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7" t="s">
        <v>8</v>
      </c>
      <c r="D34" s="53"/>
      <c r="E34" s="6"/>
      <c r="F34" s="19"/>
      <c r="G34" s="24" t="s">
        <v>2</v>
      </c>
      <c r="H34" s="24" t="s">
        <v>2</v>
      </c>
      <c r="I34" s="31"/>
      <c r="J34" s="35"/>
    </row>
    <row r="35" spans="1:10" x14ac:dyDescent="0.25">
      <c r="C35" s="56"/>
      <c r="D35" s="53"/>
      <c r="E35" s="6"/>
      <c r="F35" s="19"/>
      <c r="G35" s="24"/>
      <c r="H35" s="24"/>
      <c r="I35" s="31"/>
      <c r="J35" s="35"/>
    </row>
    <row r="36" spans="1:10" x14ac:dyDescent="0.25">
      <c r="C36" s="57" t="s">
        <v>9</v>
      </c>
      <c r="D36" s="53"/>
      <c r="E36" s="6"/>
      <c r="F36" s="19"/>
      <c r="G36" s="24" t="s">
        <v>2</v>
      </c>
      <c r="H36" s="24" t="s">
        <v>2</v>
      </c>
      <c r="I36" s="31"/>
      <c r="J36" s="35"/>
    </row>
    <row r="37" spans="1:10" x14ac:dyDescent="0.25">
      <c r="C37" s="56"/>
      <c r="D37" s="53"/>
      <c r="E37" s="6"/>
      <c r="F37" s="19"/>
      <c r="G37" s="24"/>
      <c r="H37" s="24"/>
      <c r="I37" s="31"/>
      <c r="J37" s="35"/>
    </row>
    <row r="38" spans="1:10" x14ac:dyDescent="0.25">
      <c r="C38" s="59" t="s">
        <v>10</v>
      </c>
      <c r="D38" s="53"/>
      <c r="E38" s="6"/>
      <c r="F38" s="19"/>
      <c r="G38" s="24"/>
      <c r="H38" s="24"/>
      <c r="I38" s="31"/>
      <c r="J38" s="35"/>
    </row>
    <row r="39" spans="1:10" x14ac:dyDescent="0.25">
      <c r="B39" s="8" t="s">
        <v>1435</v>
      </c>
      <c r="C39" s="56" t="s">
        <v>1436</v>
      </c>
      <c r="D39" s="53" t="s">
        <v>1437</v>
      </c>
      <c r="E39" s="6" t="s">
        <v>655</v>
      </c>
      <c r="F39" s="19">
        <v>2500000</v>
      </c>
      <c r="G39" s="24">
        <v>2549.44</v>
      </c>
      <c r="H39" s="24">
        <v>7.51</v>
      </c>
      <c r="I39" s="31">
        <v>3.7057000000000002</v>
      </c>
      <c r="J39" s="35"/>
    </row>
    <row r="40" spans="1:10" x14ac:dyDescent="0.25">
      <c r="C40" s="57" t="s">
        <v>35</v>
      </c>
      <c r="D40" s="53"/>
      <c r="E40" s="6"/>
      <c r="F40" s="19"/>
      <c r="G40" s="25">
        <v>2549.44</v>
      </c>
      <c r="H40" s="25">
        <v>7.51</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1225</v>
      </c>
      <c r="C46" s="56" t="s">
        <v>818</v>
      </c>
      <c r="D46" s="53" t="s">
        <v>1226</v>
      </c>
      <c r="E46" s="6" t="s">
        <v>1000</v>
      </c>
      <c r="F46" s="19">
        <v>800</v>
      </c>
      <c r="G46" s="24">
        <v>787.94</v>
      </c>
      <c r="H46" s="24">
        <v>2.3199999999999998</v>
      </c>
      <c r="I46" s="31">
        <v>3.5150000000000001</v>
      </c>
      <c r="J46" s="35" t="s">
        <v>514</v>
      </c>
    </row>
    <row r="47" spans="1:10" x14ac:dyDescent="0.25">
      <c r="B47" s="8" t="s">
        <v>1248</v>
      </c>
      <c r="C47" s="56" t="s">
        <v>818</v>
      </c>
      <c r="D47" s="53" t="s">
        <v>1249</v>
      </c>
      <c r="E47" s="6" t="s">
        <v>1000</v>
      </c>
      <c r="F47" s="19">
        <v>400</v>
      </c>
      <c r="G47" s="24">
        <v>390.05</v>
      </c>
      <c r="H47" s="24">
        <v>1.1499999999999999</v>
      </c>
      <c r="I47" s="31">
        <v>3.8298999999999999</v>
      </c>
      <c r="J47" s="35" t="s">
        <v>514</v>
      </c>
    </row>
    <row r="48" spans="1:10" x14ac:dyDescent="0.25">
      <c r="B48" s="8" t="s">
        <v>2480</v>
      </c>
      <c r="C48" s="56" t="s">
        <v>872</v>
      </c>
      <c r="D48" s="53" t="s">
        <v>2481</v>
      </c>
      <c r="E48" s="6" t="s">
        <v>992</v>
      </c>
      <c r="F48" s="19">
        <v>200</v>
      </c>
      <c r="G48" s="24">
        <v>197.65</v>
      </c>
      <c r="H48" s="24">
        <v>0.57999999999999996</v>
      </c>
      <c r="I48" s="31">
        <v>4.2149999999999999</v>
      </c>
      <c r="J48" s="35" t="s">
        <v>514</v>
      </c>
    </row>
    <row r="49" spans="1:10" x14ac:dyDescent="0.25">
      <c r="B49" s="8" t="s">
        <v>1232</v>
      </c>
      <c r="C49" s="56" t="s">
        <v>818</v>
      </c>
      <c r="D49" s="53" t="s">
        <v>1233</v>
      </c>
      <c r="E49" s="6" t="s">
        <v>1000</v>
      </c>
      <c r="F49" s="19">
        <v>100</v>
      </c>
      <c r="G49" s="24">
        <v>97.3</v>
      </c>
      <c r="H49" s="24">
        <v>0.28999999999999998</v>
      </c>
      <c r="I49" s="31">
        <v>3.83</v>
      </c>
      <c r="J49" s="35" t="s">
        <v>514</v>
      </c>
    </row>
    <row r="50" spans="1:10" x14ac:dyDescent="0.25">
      <c r="C50" s="57" t="s">
        <v>35</v>
      </c>
      <c r="D50" s="53"/>
      <c r="E50" s="6"/>
      <c r="F50" s="19"/>
      <c r="G50" s="25">
        <v>1472.94</v>
      </c>
      <c r="H50" s="25">
        <v>4.34</v>
      </c>
      <c r="I50" s="31"/>
      <c r="J50" s="35"/>
    </row>
    <row r="51" spans="1:10" x14ac:dyDescent="0.25">
      <c r="C51" s="56"/>
      <c r="D51" s="53"/>
      <c r="E51" s="6"/>
      <c r="F51" s="19"/>
      <c r="G51" s="24"/>
      <c r="H51" s="24"/>
      <c r="I51" s="31"/>
      <c r="J51" s="35"/>
    </row>
    <row r="52" spans="1:10" x14ac:dyDescent="0.25">
      <c r="C52" s="57" t="s">
        <v>15</v>
      </c>
      <c r="D52" s="53"/>
      <c r="E52" s="6"/>
      <c r="F52" s="19"/>
      <c r="G52" s="24" t="s">
        <v>2</v>
      </c>
      <c r="H52" s="24" t="s">
        <v>2</v>
      </c>
      <c r="I52" s="31"/>
      <c r="J52" s="35"/>
    </row>
    <row r="53" spans="1:10" x14ac:dyDescent="0.25">
      <c r="C53" s="56"/>
      <c r="D53" s="53"/>
      <c r="E53" s="6"/>
      <c r="F53" s="19"/>
      <c r="G53" s="24"/>
      <c r="H53" s="24"/>
      <c r="I53" s="31"/>
      <c r="J53" s="35"/>
    </row>
    <row r="54" spans="1:10" x14ac:dyDescent="0.25">
      <c r="C54" s="57" t="s">
        <v>16</v>
      </c>
      <c r="D54" s="53"/>
      <c r="E54" s="6"/>
      <c r="F54" s="19"/>
      <c r="G54" s="24" t="s">
        <v>2</v>
      </c>
      <c r="H54" s="24" t="s">
        <v>2</v>
      </c>
      <c r="I54" s="31"/>
      <c r="J54" s="35"/>
    </row>
    <row r="55" spans="1:10" x14ac:dyDescent="0.25">
      <c r="C55" s="56"/>
      <c r="D55" s="53"/>
      <c r="E55" s="6"/>
      <c r="F55" s="19"/>
      <c r="G55" s="24"/>
      <c r="H55" s="24"/>
      <c r="I55" s="31"/>
      <c r="J55" s="35"/>
    </row>
    <row r="56" spans="1:10" x14ac:dyDescent="0.25">
      <c r="A56" s="10"/>
      <c r="B56" s="28"/>
      <c r="C56" s="58" t="s">
        <v>17</v>
      </c>
      <c r="D56" s="53"/>
      <c r="E56" s="6"/>
      <c r="F56" s="19"/>
      <c r="G56" s="24"/>
      <c r="H56" s="24"/>
      <c r="I56" s="31"/>
      <c r="J56" s="35"/>
    </row>
    <row r="57" spans="1:10" x14ac:dyDescent="0.25">
      <c r="A57" s="28"/>
      <c r="B57" s="28"/>
      <c r="C57" s="58" t="s">
        <v>18</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19</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20</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21</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C65" s="59" t="s">
        <v>22</v>
      </c>
      <c r="D65" s="53"/>
      <c r="E65" s="6"/>
      <c r="F65" s="19"/>
      <c r="G65" s="24"/>
      <c r="H65" s="24"/>
      <c r="I65" s="31"/>
      <c r="J65" s="35"/>
    </row>
    <row r="66" spans="1:10" x14ac:dyDescent="0.25">
      <c r="B66" s="8" t="s">
        <v>33</v>
      </c>
      <c r="C66" s="56" t="s">
        <v>34</v>
      </c>
      <c r="D66" s="53"/>
      <c r="E66" s="6"/>
      <c r="F66" s="19"/>
      <c r="G66" s="24">
        <v>385.34</v>
      </c>
      <c r="H66" s="24">
        <v>1.1299999999999999</v>
      </c>
      <c r="I66" s="31"/>
      <c r="J66" s="35"/>
    </row>
    <row r="67" spans="1:10" x14ac:dyDescent="0.25">
      <c r="C67" s="57" t="s">
        <v>35</v>
      </c>
      <c r="D67" s="53"/>
      <c r="E67" s="6"/>
      <c r="F67" s="19"/>
      <c r="G67" s="25">
        <v>385.34</v>
      </c>
      <c r="H67" s="25">
        <v>1.1299999999999999</v>
      </c>
      <c r="I67" s="31"/>
      <c r="J67" s="35"/>
    </row>
    <row r="68" spans="1:10" x14ac:dyDescent="0.25">
      <c r="C68" s="56"/>
      <c r="D68" s="53"/>
      <c r="E68" s="6"/>
      <c r="F68" s="19"/>
      <c r="G68" s="24"/>
      <c r="H68" s="24"/>
      <c r="I68" s="31"/>
      <c r="J68" s="35"/>
    </row>
    <row r="69" spans="1:10" x14ac:dyDescent="0.25">
      <c r="A69" s="10"/>
      <c r="B69" s="28"/>
      <c r="C69" s="58" t="s">
        <v>23</v>
      </c>
      <c r="D69" s="53"/>
      <c r="E69" s="6"/>
      <c r="F69" s="19"/>
      <c r="G69" s="24"/>
      <c r="H69" s="24"/>
      <c r="I69" s="31"/>
      <c r="J69" s="35"/>
    </row>
    <row r="70" spans="1:10" x14ac:dyDescent="0.25">
      <c r="A70" s="28"/>
      <c r="B70" s="28"/>
      <c r="C70" s="60" t="s">
        <v>3398</v>
      </c>
      <c r="D70" s="53"/>
      <c r="E70" s="6"/>
      <c r="F70" s="19"/>
      <c r="G70" s="24" t="s">
        <v>2</v>
      </c>
      <c r="H70" s="24" t="s">
        <v>2</v>
      </c>
      <c r="I70" s="31"/>
      <c r="J70" s="35"/>
    </row>
    <row r="71" spans="1:10" x14ac:dyDescent="0.25">
      <c r="B71" s="8"/>
      <c r="C71" s="56" t="s">
        <v>36</v>
      </c>
      <c r="D71" s="53"/>
      <c r="E71" s="6"/>
      <c r="F71" s="19"/>
      <c r="G71" s="24">
        <v>920.16</v>
      </c>
      <c r="H71" s="24">
        <v>2.69</v>
      </c>
      <c r="I71" s="31"/>
      <c r="J71" s="35"/>
    </row>
    <row r="72" spans="1:10" x14ac:dyDescent="0.25">
      <c r="C72" s="57" t="s">
        <v>35</v>
      </c>
      <c r="D72" s="53"/>
      <c r="E72" s="6"/>
      <c r="F72" s="19"/>
      <c r="G72" s="25">
        <v>920.16</v>
      </c>
      <c r="H72" s="25">
        <v>2.69</v>
      </c>
      <c r="I72" s="31"/>
      <c r="J72" s="35"/>
    </row>
    <row r="73" spans="1:10" x14ac:dyDescent="0.25">
      <c r="C73" s="56"/>
      <c r="D73" s="53"/>
      <c r="E73" s="6"/>
      <c r="F73" s="19"/>
      <c r="G73" s="24"/>
      <c r="H73" s="24"/>
      <c r="I73" s="31"/>
      <c r="J73" s="35"/>
    </row>
    <row r="74" spans="1:10" x14ac:dyDescent="0.25">
      <c r="C74" s="61" t="s">
        <v>37</v>
      </c>
      <c r="D74" s="54"/>
      <c r="E74" s="5"/>
      <c r="F74" s="20"/>
      <c r="G74" s="26">
        <v>33963</v>
      </c>
      <c r="H74" s="26">
        <f>SUMIFS(H:H,C:C,"Total")</f>
        <v>100</v>
      </c>
      <c r="I74" s="32"/>
      <c r="J74" s="36"/>
    </row>
    <row r="77" spans="1:10" x14ac:dyDescent="0.25">
      <c r="C77" s="1" t="s">
        <v>38</v>
      </c>
    </row>
    <row r="78" spans="1:10" x14ac:dyDescent="0.25">
      <c r="C78" s="2" t="s">
        <v>39</v>
      </c>
    </row>
    <row r="79" spans="1:10" x14ac:dyDescent="0.25">
      <c r="C79" s="2" t="s">
        <v>40</v>
      </c>
    </row>
    <row r="80" spans="1:10" x14ac:dyDescent="0.25">
      <c r="C80" s="2" t="s">
        <v>3430</v>
      </c>
    </row>
  </sheetData>
  <hyperlinks>
    <hyperlink ref="J2" location="'Index'!A1" display="'Index'!A1"/>
  </hyperlinks>
  <pageMargins left="0.7" right="0.7" top="0.75" bottom="0.75" header="0.3" footer="0.3"/>
  <pageSetup orientation="portrait" horizontalDpi="4294967293"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4"/>
  <dimension ref="A1:J8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2566</v>
      </c>
      <c r="J2" s="37" t="s">
        <v>3307</v>
      </c>
    </row>
    <row r="3" spans="1:10" ht="16.5" x14ac:dyDescent="0.3">
      <c r="C3" s="1" t="s">
        <v>24</v>
      </c>
      <c r="D3" s="21" t="s">
        <v>2567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2568</v>
      </c>
      <c r="C18" s="56" t="s">
        <v>1935</v>
      </c>
      <c r="D18" s="53" t="s">
        <v>2569</v>
      </c>
      <c r="E18" s="6" t="s">
        <v>534</v>
      </c>
      <c r="F18" s="19">
        <v>642</v>
      </c>
      <c r="G18" s="24">
        <v>6164.91</v>
      </c>
      <c r="H18" s="24">
        <v>8.5299999999999994</v>
      </c>
      <c r="I18" s="31">
        <v>4.5217999999999998</v>
      </c>
      <c r="J18" s="35" t="s">
        <v>514</v>
      </c>
    </row>
    <row r="19" spans="2:10" x14ac:dyDescent="0.25">
      <c r="B19" s="8" t="s">
        <v>2570</v>
      </c>
      <c r="C19" s="56" t="s">
        <v>1019</v>
      </c>
      <c r="D19" s="53" t="s">
        <v>2571</v>
      </c>
      <c r="E19" s="6" t="s">
        <v>1383</v>
      </c>
      <c r="F19" s="19">
        <v>590</v>
      </c>
      <c r="G19" s="24">
        <v>6060.21</v>
      </c>
      <c r="H19" s="24">
        <v>8.3800000000000008</v>
      </c>
      <c r="I19" s="31">
        <v>6.1619000000000002</v>
      </c>
      <c r="J19" s="35" t="s">
        <v>514</v>
      </c>
    </row>
    <row r="20" spans="2:10" x14ac:dyDescent="0.25">
      <c r="B20" s="8" t="s">
        <v>2546</v>
      </c>
      <c r="C20" s="56" t="s">
        <v>1016</v>
      </c>
      <c r="D20" s="53" t="s">
        <v>2547</v>
      </c>
      <c r="E20" s="6" t="s">
        <v>1383</v>
      </c>
      <c r="F20" s="19">
        <v>580</v>
      </c>
      <c r="G20" s="24">
        <v>5926.23</v>
      </c>
      <c r="H20" s="24">
        <v>8.1999999999999993</v>
      </c>
      <c r="I20" s="31">
        <v>6.3632999999999997</v>
      </c>
      <c r="J20" s="35" t="s">
        <v>514</v>
      </c>
    </row>
    <row r="21" spans="2:10" x14ac:dyDescent="0.25">
      <c r="B21" s="8" t="s">
        <v>1703</v>
      </c>
      <c r="C21" s="56" t="s">
        <v>601</v>
      </c>
      <c r="D21" s="53" t="s">
        <v>1704</v>
      </c>
      <c r="E21" s="6" t="s">
        <v>534</v>
      </c>
      <c r="F21" s="19">
        <v>570</v>
      </c>
      <c r="G21" s="24">
        <v>5854.22</v>
      </c>
      <c r="H21" s="24">
        <v>8.1</v>
      </c>
      <c r="I21" s="31">
        <v>4.25</v>
      </c>
      <c r="J21" s="35" t="s">
        <v>514</v>
      </c>
    </row>
    <row r="22" spans="2:10" x14ac:dyDescent="0.25">
      <c r="B22" s="8" t="s">
        <v>2562</v>
      </c>
      <c r="C22" s="56" t="s">
        <v>1752</v>
      </c>
      <c r="D22" s="53" t="s">
        <v>2563</v>
      </c>
      <c r="E22" s="6" t="s">
        <v>1314</v>
      </c>
      <c r="F22" s="19">
        <v>550</v>
      </c>
      <c r="G22" s="24">
        <v>5696.78</v>
      </c>
      <c r="H22" s="24">
        <v>7.88</v>
      </c>
      <c r="I22" s="31">
        <v>4.0350000000000001</v>
      </c>
      <c r="J22" s="35" t="s">
        <v>514</v>
      </c>
    </row>
    <row r="23" spans="2:10" x14ac:dyDescent="0.25">
      <c r="B23" s="8" t="s">
        <v>1735</v>
      </c>
      <c r="C23" s="56" t="s">
        <v>909</v>
      </c>
      <c r="D23" s="53" t="s">
        <v>1736</v>
      </c>
      <c r="E23" s="6" t="s">
        <v>534</v>
      </c>
      <c r="F23" s="19">
        <v>550</v>
      </c>
      <c r="G23" s="24">
        <v>5685.07</v>
      </c>
      <c r="H23" s="24">
        <v>7.87</v>
      </c>
      <c r="I23" s="31">
        <v>4.16</v>
      </c>
      <c r="J23" s="35" t="s">
        <v>514</v>
      </c>
    </row>
    <row r="24" spans="2:10" x14ac:dyDescent="0.25">
      <c r="B24" s="8" t="s">
        <v>1737</v>
      </c>
      <c r="C24" s="56" t="s">
        <v>1738</v>
      </c>
      <c r="D24" s="53" t="s">
        <v>1739</v>
      </c>
      <c r="E24" s="6" t="s">
        <v>534</v>
      </c>
      <c r="F24" s="19">
        <v>500</v>
      </c>
      <c r="G24" s="24">
        <v>5087.22</v>
      </c>
      <c r="H24" s="24">
        <v>7.04</v>
      </c>
      <c r="I24" s="31">
        <v>3.75</v>
      </c>
      <c r="J24" s="35" t="s">
        <v>514</v>
      </c>
    </row>
    <row r="25" spans="2:10" x14ac:dyDescent="0.25">
      <c r="B25" s="8" t="s">
        <v>2573</v>
      </c>
      <c r="C25" s="56" t="s">
        <v>1376</v>
      </c>
      <c r="D25" s="53" t="s">
        <v>2574</v>
      </c>
      <c r="E25" s="6" t="s">
        <v>534</v>
      </c>
      <c r="F25" s="19">
        <v>460</v>
      </c>
      <c r="G25" s="24">
        <v>4793.05</v>
      </c>
      <c r="H25" s="24">
        <v>6.63</v>
      </c>
      <c r="I25" s="31">
        <v>4.3449999999999998</v>
      </c>
      <c r="J25" s="35" t="s">
        <v>514</v>
      </c>
    </row>
    <row r="26" spans="2:10" x14ac:dyDescent="0.25">
      <c r="B26" s="8" t="s">
        <v>2575</v>
      </c>
      <c r="C26" s="56" t="s">
        <v>1950</v>
      </c>
      <c r="D26" s="53" t="s">
        <v>2576</v>
      </c>
      <c r="E26" s="6" t="s">
        <v>534</v>
      </c>
      <c r="F26" s="19">
        <v>365</v>
      </c>
      <c r="G26" s="24">
        <v>4471.78</v>
      </c>
      <c r="H26" s="24">
        <v>6.19</v>
      </c>
      <c r="I26" s="31">
        <v>5.3616000000000001</v>
      </c>
      <c r="J26" s="35" t="s">
        <v>514</v>
      </c>
    </row>
    <row r="27" spans="2:10" x14ac:dyDescent="0.25">
      <c r="B27" s="8" t="s">
        <v>2468</v>
      </c>
      <c r="C27" s="56" t="s">
        <v>1230</v>
      </c>
      <c r="D27" s="53" t="s">
        <v>2469</v>
      </c>
      <c r="E27" s="6" t="s">
        <v>534</v>
      </c>
      <c r="F27" s="19">
        <v>350</v>
      </c>
      <c r="G27" s="24">
        <v>3587.66</v>
      </c>
      <c r="H27" s="24">
        <v>4.96</v>
      </c>
      <c r="I27" s="31">
        <v>3.95</v>
      </c>
      <c r="J27" s="35" t="s">
        <v>514</v>
      </c>
    </row>
    <row r="28" spans="2:10" x14ac:dyDescent="0.25">
      <c r="B28" s="8" t="s">
        <v>1723</v>
      </c>
      <c r="C28" s="56" t="s">
        <v>53</v>
      </c>
      <c r="D28" s="53" t="s">
        <v>1724</v>
      </c>
      <c r="E28" s="6" t="s">
        <v>534</v>
      </c>
      <c r="F28" s="19">
        <v>350</v>
      </c>
      <c r="G28" s="24">
        <v>3526.85</v>
      </c>
      <c r="H28" s="24">
        <v>4.88</v>
      </c>
      <c r="I28" s="31">
        <v>3.5099</v>
      </c>
      <c r="J28" s="35" t="s">
        <v>514</v>
      </c>
    </row>
    <row r="29" spans="2:10" x14ac:dyDescent="0.25">
      <c r="B29" s="8" t="s">
        <v>2577</v>
      </c>
      <c r="C29" s="56" t="s">
        <v>125</v>
      </c>
      <c r="D29" s="53" t="s">
        <v>2578</v>
      </c>
      <c r="E29" s="6" t="s">
        <v>534</v>
      </c>
      <c r="F29" s="19">
        <v>110</v>
      </c>
      <c r="G29" s="24">
        <v>1143.24</v>
      </c>
      <c r="H29" s="24">
        <v>1.58</v>
      </c>
      <c r="I29" s="31">
        <v>4.38</v>
      </c>
      <c r="J29" s="35" t="s">
        <v>514</v>
      </c>
    </row>
    <row r="30" spans="2:10" x14ac:dyDescent="0.25">
      <c r="B30" s="8" t="s">
        <v>2579</v>
      </c>
      <c r="C30" s="56" t="s">
        <v>137</v>
      </c>
      <c r="D30" s="53" t="s">
        <v>2580</v>
      </c>
      <c r="E30" s="6" t="s">
        <v>534</v>
      </c>
      <c r="F30" s="19">
        <v>110</v>
      </c>
      <c r="G30" s="24">
        <v>1130.18</v>
      </c>
      <c r="H30" s="24">
        <v>1.56</v>
      </c>
      <c r="I30" s="31">
        <v>4.17</v>
      </c>
      <c r="J30" s="35" t="s">
        <v>514</v>
      </c>
    </row>
    <row r="31" spans="2:10" x14ac:dyDescent="0.25">
      <c r="B31" s="8" t="s">
        <v>2550</v>
      </c>
      <c r="C31" s="56" t="s">
        <v>1376</v>
      </c>
      <c r="D31" s="53" t="s">
        <v>2551</v>
      </c>
      <c r="E31" s="6" t="s">
        <v>534</v>
      </c>
      <c r="F31" s="19">
        <v>100</v>
      </c>
      <c r="G31" s="24">
        <v>1038.3699999999999</v>
      </c>
      <c r="H31" s="24">
        <v>1.44</v>
      </c>
      <c r="I31" s="31">
        <v>4.3049999999999997</v>
      </c>
      <c r="J31" s="35" t="s">
        <v>514</v>
      </c>
    </row>
    <row r="32" spans="2:10" x14ac:dyDescent="0.25">
      <c r="B32" s="8" t="s">
        <v>2476</v>
      </c>
      <c r="C32" s="56" t="s">
        <v>1738</v>
      </c>
      <c r="D32" s="53" t="s">
        <v>2477</v>
      </c>
      <c r="E32" s="6" t="s">
        <v>534</v>
      </c>
      <c r="F32" s="19">
        <v>100</v>
      </c>
      <c r="G32" s="24">
        <v>1036.95</v>
      </c>
      <c r="H32" s="24">
        <v>1.43</v>
      </c>
      <c r="I32" s="31">
        <v>3.9350000000000001</v>
      </c>
      <c r="J32" s="35" t="s">
        <v>514</v>
      </c>
    </row>
    <row r="33" spans="1:10" x14ac:dyDescent="0.25">
      <c r="B33" s="8" t="s">
        <v>2581</v>
      </c>
      <c r="C33" s="56" t="s">
        <v>2316</v>
      </c>
      <c r="D33" s="53" t="s">
        <v>2582</v>
      </c>
      <c r="E33" s="6" t="s">
        <v>534</v>
      </c>
      <c r="F33" s="19">
        <v>90</v>
      </c>
      <c r="G33" s="24">
        <v>919.82</v>
      </c>
      <c r="H33" s="24">
        <v>1.27</v>
      </c>
      <c r="I33" s="31">
        <v>4.6425000000000001</v>
      </c>
      <c r="J33" s="35" t="s">
        <v>514</v>
      </c>
    </row>
    <row r="34" spans="1:10" x14ac:dyDescent="0.25">
      <c r="B34" s="8" t="s">
        <v>2523</v>
      </c>
      <c r="C34" s="56" t="s">
        <v>2316</v>
      </c>
      <c r="D34" s="53" t="s">
        <v>2524</v>
      </c>
      <c r="E34" s="6" t="s">
        <v>534</v>
      </c>
      <c r="F34" s="19">
        <v>70</v>
      </c>
      <c r="G34" s="24">
        <v>718.39</v>
      </c>
      <c r="H34" s="24">
        <v>0.99</v>
      </c>
      <c r="I34" s="31">
        <v>4.9249999999999998</v>
      </c>
      <c r="J34" s="35" t="s">
        <v>514</v>
      </c>
    </row>
    <row r="35" spans="1:10" x14ac:dyDescent="0.25">
      <c r="C35" s="57" t="s">
        <v>35</v>
      </c>
      <c r="D35" s="53"/>
      <c r="E35" s="6"/>
      <c r="F35" s="19"/>
      <c r="G35" s="25">
        <v>62840.93</v>
      </c>
      <c r="H35" s="25">
        <v>86.93</v>
      </c>
      <c r="I35" s="31"/>
      <c r="J35" s="35"/>
    </row>
    <row r="36" spans="1:10" x14ac:dyDescent="0.25">
      <c r="C36" s="56"/>
      <c r="D36" s="53"/>
      <c r="E36" s="6"/>
      <c r="F36" s="19"/>
      <c r="G36" s="24"/>
      <c r="H36" s="24"/>
      <c r="I36" s="31"/>
      <c r="J36" s="35"/>
    </row>
    <row r="37" spans="1:10" x14ac:dyDescent="0.25">
      <c r="C37" s="57" t="s">
        <v>7</v>
      </c>
      <c r="D37" s="53"/>
      <c r="E37" s="6"/>
      <c r="F37" s="19"/>
      <c r="G37" s="24" t="s">
        <v>2</v>
      </c>
      <c r="H37" s="24" t="s">
        <v>2</v>
      </c>
      <c r="I37" s="31"/>
      <c r="J37" s="35"/>
    </row>
    <row r="38" spans="1:10" x14ac:dyDescent="0.25">
      <c r="C38" s="56"/>
      <c r="D38" s="53"/>
      <c r="E38" s="6"/>
      <c r="F38" s="19"/>
      <c r="G38" s="24"/>
      <c r="H38" s="24"/>
      <c r="I38" s="31"/>
      <c r="J38" s="35"/>
    </row>
    <row r="39" spans="1:10" x14ac:dyDescent="0.25">
      <c r="C39" s="57" t="s">
        <v>8</v>
      </c>
      <c r="D39" s="53"/>
      <c r="E39" s="6"/>
      <c r="F39" s="19"/>
      <c r="G39" s="24" t="s">
        <v>2</v>
      </c>
      <c r="H39" s="24" t="s">
        <v>2</v>
      </c>
      <c r="I39" s="31"/>
      <c r="J39" s="35"/>
    </row>
    <row r="40" spans="1:10" x14ac:dyDescent="0.25">
      <c r="C40" s="56"/>
      <c r="D40" s="53"/>
      <c r="E40" s="6"/>
      <c r="F40" s="19"/>
      <c r="G40" s="24"/>
      <c r="H40" s="24"/>
      <c r="I40" s="31"/>
      <c r="J40" s="35"/>
    </row>
    <row r="41" spans="1:10" x14ac:dyDescent="0.25">
      <c r="C41" s="57" t="s">
        <v>9</v>
      </c>
      <c r="D41" s="53"/>
      <c r="E41" s="6"/>
      <c r="F41" s="19"/>
      <c r="G41" s="24" t="s">
        <v>2</v>
      </c>
      <c r="H41" s="24" t="s">
        <v>2</v>
      </c>
      <c r="I41" s="31"/>
      <c r="J41" s="35"/>
    </row>
    <row r="42" spans="1:10" x14ac:dyDescent="0.25">
      <c r="C42" s="56"/>
      <c r="D42" s="53"/>
      <c r="E42" s="6"/>
      <c r="F42" s="19"/>
      <c r="G42" s="24"/>
      <c r="H42" s="24"/>
      <c r="I42" s="31"/>
      <c r="J42" s="35"/>
    </row>
    <row r="43" spans="1:10" x14ac:dyDescent="0.25">
      <c r="C43" s="57" t="s">
        <v>10</v>
      </c>
      <c r="D43" s="53"/>
      <c r="E43" s="6"/>
      <c r="F43" s="19"/>
      <c r="G43" s="24" t="s">
        <v>2</v>
      </c>
      <c r="H43" s="24" t="s">
        <v>2</v>
      </c>
      <c r="I43" s="31"/>
      <c r="J43" s="35"/>
    </row>
    <row r="44" spans="1:10" x14ac:dyDescent="0.25">
      <c r="C44" s="56"/>
      <c r="D44" s="53"/>
      <c r="E44" s="6"/>
      <c r="F44" s="19"/>
      <c r="G44" s="24"/>
      <c r="H44" s="24"/>
      <c r="I44" s="31"/>
      <c r="J44" s="35"/>
    </row>
    <row r="45" spans="1:10" x14ac:dyDescent="0.25">
      <c r="A45" s="10"/>
      <c r="B45" s="28"/>
      <c r="C45" s="58" t="s">
        <v>11</v>
      </c>
      <c r="D45" s="53"/>
      <c r="E45" s="6"/>
      <c r="F45" s="19"/>
      <c r="G45" s="24"/>
      <c r="H45" s="24"/>
      <c r="I45" s="31"/>
      <c r="J45" s="35"/>
    </row>
    <row r="46" spans="1:10" x14ac:dyDescent="0.25">
      <c r="A46" s="28"/>
      <c r="B46" s="28"/>
      <c r="C46" s="58" t="s">
        <v>13</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C48" s="59" t="s">
        <v>14</v>
      </c>
      <c r="D48" s="53"/>
      <c r="E48" s="6"/>
      <c r="F48" s="19"/>
      <c r="G48" s="24"/>
      <c r="H48" s="24"/>
      <c r="I48" s="31"/>
      <c r="J48" s="35"/>
    </row>
    <row r="49" spans="1:10" x14ac:dyDescent="0.25">
      <c r="B49" s="8" t="s">
        <v>1234</v>
      </c>
      <c r="C49" s="56" t="s">
        <v>74</v>
      </c>
      <c r="D49" s="53" t="s">
        <v>1235</v>
      </c>
      <c r="E49" s="6" t="s">
        <v>992</v>
      </c>
      <c r="F49" s="19">
        <v>1900</v>
      </c>
      <c r="G49" s="24">
        <v>1870.52</v>
      </c>
      <c r="H49" s="24">
        <v>2.59</v>
      </c>
      <c r="I49" s="31">
        <v>3.5950000000000002</v>
      </c>
      <c r="J49" s="35" t="s">
        <v>514</v>
      </c>
    </row>
    <row r="50" spans="1:10" x14ac:dyDescent="0.25">
      <c r="B50" s="8" t="s">
        <v>1254</v>
      </c>
      <c r="C50" s="56" t="s">
        <v>63</v>
      </c>
      <c r="D50" s="53" t="s">
        <v>1255</v>
      </c>
      <c r="E50" s="6" t="s">
        <v>1132</v>
      </c>
      <c r="F50" s="19">
        <v>500</v>
      </c>
      <c r="G50" s="24">
        <v>496.5</v>
      </c>
      <c r="H50" s="24">
        <v>0.69</v>
      </c>
      <c r="I50" s="31">
        <v>3.3001999999999998</v>
      </c>
      <c r="J50" s="35" t="s">
        <v>514</v>
      </c>
    </row>
    <row r="51" spans="1:10" x14ac:dyDescent="0.25">
      <c r="B51" s="8" t="s">
        <v>1248</v>
      </c>
      <c r="C51" s="56" t="s">
        <v>818</v>
      </c>
      <c r="D51" s="53" t="s">
        <v>1249</v>
      </c>
      <c r="E51" s="6" t="s">
        <v>1000</v>
      </c>
      <c r="F51" s="19">
        <v>500</v>
      </c>
      <c r="G51" s="24">
        <v>487.57</v>
      </c>
      <c r="H51" s="24">
        <v>0.67</v>
      </c>
      <c r="I51" s="31">
        <v>3.8298999999999999</v>
      </c>
      <c r="J51" s="35" t="s">
        <v>514</v>
      </c>
    </row>
    <row r="52" spans="1:10" x14ac:dyDescent="0.25">
      <c r="B52" s="8" t="s">
        <v>1260</v>
      </c>
      <c r="C52" s="56" t="s">
        <v>402</v>
      </c>
      <c r="D52" s="53" t="s">
        <v>1261</v>
      </c>
      <c r="E52" s="6" t="s">
        <v>992</v>
      </c>
      <c r="F52" s="19">
        <v>400</v>
      </c>
      <c r="G52" s="24">
        <v>396.96</v>
      </c>
      <c r="H52" s="24">
        <v>0.55000000000000004</v>
      </c>
      <c r="I52" s="31">
        <v>3.3250000000000002</v>
      </c>
      <c r="J52" s="35" t="s">
        <v>514</v>
      </c>
    </row>
    <row r="53" spans="1:10" x14ac:dyDescent="0.25">
      <c r="B53" s="8" t="s">
        <v>2478</v>
      </c>
      <c r="C53" s="56" t="s">
        <v>818</v>
      </c>
      <c r="D53" s="53" t="s">
        <v>2479</v>
      </c>
      <c r="E53" s="6" t="s">
        <v>1000</v>
      </c>
      <c r="F53" s="19">
        <v>100</v>
      </c>
      <c r="G53" s="24">
        <v>97.87</v>
      </c>
      <c r="H53" s="24">
        <v>0.14000000000000001</v>
      </c>
      <c r="I53" s="31">
        <v>3.83</v>
      </c>
      <c r="J53" s="35" t="s">
        <v>514</v>
      </c>
    </row>
    <row r="54" spans="1:10" x14ac:dyDescent="0.25">
      <c r="C54" s="57" t="s">
        <v>35</v>
      </c>
      <c r="D54" s="53"/>
      <c r="E54" s="6"/>
      <c r="F54" s="19"/>
      <c r="G54" s="25">
        <v>3349.42</v>
      </c>
      <c r="H54" s="25">
        <v>4.6399999999999997</v>
      </c>
      <c r="I54" s="31"/>
      <c r="J54" s="35"/>
    </row>
    <row r="55" spans="1:10" x14ac:dyDescent="0.25">
      <c r="C55" s="56"/>
      <c r="D55" s="53"/>
      <c r="E55" s="6"/>
      <c r="F55" s="19"/>
      <c r="G55" s="24"/>
      <c r="H55" s="24"/>
      <c r="I55" s="31"/>
      <c r="J55" s="35"/>
    </row>
    <row r="56" spans="1:10" x14ac:dyDescent="0.25">
      <c r="C56" s="57" t="s">
        <v>15</v>
      </c>
      <c r="D56" s="53"/>
      <c r="E56" s="6"/>
      <c r="F56" s="19"/>
      <c r="G56" s="24" t="s">
        <v>2</v>
      </c>
      <c r="H56" s="24" t="s">
        <v>2</v>
      </c>
      <c r="I56" s="31"/>
      <c r="J56" s="35"/>
    </row>
    <row r="57" spans="1:10" x14ac:dyDescent="0.25">
      <c r="C57" s="56"/>
      <c r="D57" s="53"/>
      <c r="E57" s="6"/>
      <c r="F57" s="19"/>
      <c r="G57" s="24"/>
      <c r="H57" s="24"/>
      <c r="I57" s="31"/>
      <c r="J57" s="35"/>
    </row>
    <row r="58" spans="1:10" x14ac:dyDescent="0.25">
      <c r="C58" s="57" t="s">
        <v>16</v>
      </c>
      <c r="D58" s="53"/>
      <c r="E58" s="6"/>
      <c r="F58" s="19"/>
      <c r="G58" s="24" t="s">
        <v>2</v>
      </c>
      <c r="H58" s="24" t="s">
        <v>2</v>
      </c>
      <c r="I58" s="31"/>
      <c r="J58" s="35"/>
    </row>
    <row r="59" spans="1:10" x14ac:dyDescent="0.25">
      <c r="C59" s="56"/>
      <c r="D59" s="53"/>
      <c r="E59" s="6"/>
      <c r="F59" s="19"/>
      <c r="G59" s="24"/>
      <c r="H59" s="24"/>
      <c r="I59" s="31"/>
      <c r="J59" s="35"/>
    </row>
    <row r="60" spans="1:10" x14ac:dyDescent="0.25">
      <c r="A60" s="10"/>
      <c r="B60" s="28"/>
      <c r="C60" s="58" t="s">
        <v>17</v>
      </c>
      <c r="D60" s="53"/>
      <c r="E60" s="6"/>
      <c r="F60" s="19"/>
      <c r="G60" s="24"/>
      <c r="H60" s="24"/>
      <c r="I60" s="31"/>
      <c r="J60" s="35"/>
    </row>
    <row r="61" spans="1:10" x14ac:dyDescent="0.25">
      <c r="A61" s="28"/>
      <c r="B61" s="28"/>
      <c r="C61" s="58" t="s">
        <v>18</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19</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A65" s="28"/>
      <c r="B65" s="28"/>
      <c r="C65" s="58" t="s">
        <v>20</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A67" s="28"/>
      <c r="B67" s="28"/>
      <c r="C67" s="58" t="s">
        <v>21</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C69" s="59" t="s">
        <v>22</v>
      </c>
      <c r="D69" s="53"/>
      <c r="E69" s="6"/>
      <c r="F69" s="19"/>
      <c r="G69" s="24"/>
      <c r="H69" s="24"/>
      <c r="I69" s="31"/>
      <c r="J69" s="35"/>
    </row>
    <row r="70" spans="1:10" x14ac:dyDescent="0.25">
      <c r="B70" s="8" t="s">
        <v>33</v>
      </c>
      <c r="C70" s="56" t="s">
        <v>34</v>
      </c>
      <c r="D70" s="53"/>
      <c r="E70" s="6"/>
      <c r="F70" s="19"/>
      <c r="G70" s="24">
        <v>2845.63</v>
      </c>
      <c r="H70" s="24">
        <v>3.94</v>
      </c>
      <c r="I70" s="31"/>
      <c r="J70" s="35"/>
    </row>
    <row r="71" spans="1:10" x14ac:dyDescent="0.25">
      <c r="C71" s="57" t="s">
        <v>35</v>
      </c>
      <c r="D71" s="53"/>
      <c r="E71" s="6"/>
      <c r="F71" s="19"/>
      <c r="G71" s="25">
        <v>2845.63</v>
      </c>
      <c r="H71" s="25">
        <v>3.94</v>
      </c>
      <c r="I71" s="31"/>
      <c r="J71" s="35"/>
    </row>
    <row r="72" spans="1:10" x14ac:dyDescent="0.25">
      <c r="C72" s="56"/>
      <c r="D72" s="53"/>
      <c r="E72" s="6"/>
      <c r="F72" s="19"/>
      <c r="G72" s="24"/>
      <c r="H72" s="24"/>
      <c r="I72" s="31"/>
      <c r="J72" s="35"/>
    </row>
    <row r="73" spans="1:10" x14ac:dyDescent="0.25">
      <c r="A73" s="10"/>
      <c r="B73" s="28"/>
      <c r="C73" s="58" t="s">
        <v>23</v>
      </c>
      <c r="D73" s="53"/>
      <c r="E73" s="6"/>
      <c r="F73" s="19"/>
      <c r="G73" s="24"/>
      <c r="H73" s="24"/>
      <c r="I73" s="31"/>
      <c r="J73" s="35"/>
    </row>
    <row r="74" spans="1:10" x14ac:dyDescent="0.25">
      <c r="A74" s="28"/>
      <c r="B74" s="28"/>
      <c r="C74" s="60" t="s">
        <v>3398</v>
      </c>
      <c r="D74" s="53"/>
      <c r="E74" s="6"/>
      <c r="F74" s="19"/>
      <c r="G74" s="24" t="s">
        <v>2</v>
      </c>
      <c r="H74" s="24" t="s">
        <v>2</v>
      </c>
      <c r="I74" s="31"/>
      <c r="J74" s="35"/>
    </row>
    <row r="75" spans="1:10" x14ac:dyDescent="0.25">
      <c r="B75" s="8"/>
      <c r="C75" s="56" t="s">
        <v>36</v>
      </c>
      <c r="D75" s="53"/>
      <c r="E75" s="6"/>
      <c r="F75" s="19"/>
      <c r="G75" s="24">
        <v>3241.52</v>
      </c>
      <c r="H75" s="24">
        <v>4.49</v>
      </c>
      <c r="I75" s="31"/>
      <c r="J75" s="35"/>
    </row>
    <row r="76" spans="1:10" x14ac:dyDescent="0.25">
      <c r="C76" s="57" t="s">
        <v>35</v>
      </c>
      <c r="D76" s="53"/>
      <c r="E76" s="6"/>
      <c r="F76" s="19"/>
      <c r="G76" s="25">
        <v>3241.52</v>
      </c>
      <c r="H76" s="25">
        <v>4.49</v>
      </c>
      <c r="I76" s="31"/>
      <c r="J76" s="35"/>
    </row>
    <row r="77" spans="1:10" x14ac:dyDescent="0.25">
      <c r="C77" s="56"/>
      <c r="D77" s="53"/>
      <c r="E77" s="6"/>
      <c r="F77" s="19"/>
      <c r="G77" s="24"/>
      <c r="H77" s="24"/>
      <c r="I77" s="31"/>
      <c r="J77" s="35"/>
    </row>
    <row r="78" spans="1:10" x14ac:dyDescent="0.25">
      <c r="C78" s="61" t="s">
        <v>37</v>
      </c>
      <c r="D78" s="54"/>
      <c r="E78" s="5"/>
      <c r="F78" s="20"/>
      <c r="G78" s="26">
        <v>72277.5</v>
      </c>
      <c r="H78" s="26">
        <f>SUMIFS(H:H,C:C,"Total")</f>
        <v>100</v>
      </c>
      <c r="I78" s="32"/>
      <c r="J78" s="36"/>
    </row>
    <row r="81" spans="3:3" x14ac:dyDescent="0.25">
      <c r="C81" s="1" t="s">
        <v>38</v>
      </c>
    </row>
    <row r="82" spans="3:3" x14ac:dyDescent="0.25">
      <c r="C82" s="2" t="s">
        <v>39</v>
      </c>
    </row>
    <row r="83" spans="3:3" x14ac:dyDescent="0.25">
      <c r="C83" s="2" t="s">
        <v>40</v>
      </c>
    </row>
    <row r="84" spans="3:3" x14ac:dyDescent="0.25">
      <c r="C84" s="2" t="s">
        <v>3430</v>
      </c>
    </row>
  </sheetData>
  <hyperlinks>
    <hyperlink ref="J2" location="'Index'!A1" display="'Index'!A1"/>
  </hyperlinks>
  <pageMargins left="0.7" right="0.7" top="0.75" bottom="0.75" header="0.3" footer="0.3"/>
  <pageSetup orientation="portrait" horizontalDpi="4294967293"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5"/>
  <dimension ref="A1:J12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2583</v>
      </c>
      <c r="J2" s="37" t="s">
        <v>3307</v>
      </c>
    </row>
    <row r="3" spans="1:10" ht="16.5" x14ac:dyDescent="0.3">
      <c r="C3" s="1" t="s">
        <v>24</v>
      </c>
      <c r="D3" s="21" t="s">
        <v>2584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591</v>
      </c>
      <c r="G10" s="24">
        <v>18.010000000000002</v>
      </c>
      <c r="H10" s="24">
        <v>5.17</v>
      </c>
      <c r="I10" s="31"/>
      <c r="J10" s="35"/>
    </row>
    <row r="11" spans="1:10" x14ac:dyDescent="0.25">
      <c r="B11" s="8" t="s">
        <v>143</v>
      </c>
      <c r="C11" s="56" t="s">
        <v>144</v>
      </c>
      <c r="D11" s="53" t="s">
        <v>145</v>
      </c>
      <c r="E11" s="6" t="s">
        <v>146</v>
      </c>
      <c r="F11" s="19">
        <v>691</v>
      </c>
      <c r="G11" s="24">
        <v>15.19</v>
      </c>
      <c r="H11" s="24">
        <v>4.3600000000000003</v>
      </c>
      <c r="I11" s="31"/>
      <c r="J11" s="35"/>
    </row>
    <row r="12" spans="1:10" x14ac:dyDescent="0.25">
      <c r="B12" s="8" t="s">
        <v>1573</v>
      </c>
      <c r="C12" s="56" t="s">
        <v>1574</v>
      </c>
      <c r="D12" s="53" t="s">
        <v>1575</v>
      </c>
      <c r="E12" s="6" t="s">
        <v>90</v>
      </c>
      <c r="F12" s="19">
        <v>2779</v>
      </c>
      <c r="G12" s="24">
        <v>13.89</v>
      </c>
      <c r="H12" s="24">
        <v>3.99</v>
      </c>
      <c r="I12" s="31"/>
      <c r="J12" s="35"/>
    </row>
    <row r="13" spans="1:10" x14ac:dyDescent="0.25">
      <c r="B13" s="8" t="s">
        <v>130</v>
      </c>
      <c r="C13" s="56" t="s">
        <v>131</v>
      </c>
      <c r="D13" s="53" t="s">
        <v>132</v>
      </c>
      <c r="E13" s="6" t="s">
        <v>47</v>
      </c>
      <c r="F13" s="19">
        <v>328</v>
      </c>
      <c r="G13" s="24">
        <v>11.91</v>
      </c>
      <c r="H13" s="24">
        <v>3.42</v>
      </c>
      <c r="I13" s="31"/>
      <c r="J13" s="35"/>
    </row>
    <row r="14" spans="1:10" x14ac:dyDescent="0.25">
      <c r="B14" s="8" t="s">
        <v>158</v>
      </c>
      <c r="C14" s="56" t="s">
        <v>159</v>
      </c>
      <c r="D14" s="53" t="s">
        <v>160</v>
      </c>
      <c r="E14" s="6" t="s">
        <v>111</v>
      </c>
      <c r="F14" s="19">
        <v>1111</v>
      </c>
      <c r="G14" s="24">
        <v>11.19</v>
      </c>
      <c r="H14" s="24">
        <v>3.21</v>
      </c>
      <c r="I14" s="31"/>
      <c r="J14" s="35"/>
    </row>
    <row r="15" spans="1:10" x14ac:dyDescent="0.25">
      <c r="B15" s="8" t="s">
        <v>769</v>
      </c>
      <c r="C15" s="56" t="s">
        <v>770</v>
      </c>
      <c r="D15" s="53" t="s">
        <v>771</v>
      </c>
      <c r="E15" s="6" t="s">
        <v>111</v>
      </c>
      <c r="F15" s="19">
        <v>1305</v>
      </c>
      <c r="G15" s="24">
        <v>10.4</v>
      </c>
      <c r="H15" s="24">
        <v>2.99</v>
      </c>
      <c r="I15" s="31"/>
      <c r="J15" s="35"/>
    </row>
    <row r="16" spans="1:10" x14ac:dyDescent="0.25">
      <c r="B16" s="8" t="s">
        <v>1582</v>
      </c>
      <c r="C16" s="56" t="s">
        <v>1583</v>
      </c>
      <c r="D16" s="53" t="s">
        <v>1584</v>
      </c>
      <c r="E16" s="6" t="s">
        <v>195</v>
      </c>
      <c r="F16" s="19">
        <v>714</v>
      </c>
      <c r="G16" s="24">
        <v>10.220000000000001</v>
      </c>
      <c r="H16" s="24">
        <v>2.94</v>
      </c>
      <c r="I16" s="31"/>
      <c r="J16" s="35"/>
    </row>
    <row r="17" spans="2:10" x14ac:dyDescent="0.25">
      <c r="B17" s="8" t="s">
        <v>772</v>
      </c>
      <c r="C17" s="56" t="s">
        <v>773</v>
      </c>
      <c r="D17" s="53" t="s">
        <v>774</v>
      </c>
      <c r="E17" s="6" t="s">
        <v>366</v>
      </c>
      <c r="F17" s="19">
        <v>445</v>
      </c>
      <c r="G17" s="24">
        <v>9.57</v>
      </c>
      <c r="H17" s="24">
        <v>2.75</v>
      </c>
      <c r="I17" s="31"/>
      <c r="J17" s="35"/>
    </row>
    <row r="18" spans="2:10" x14ac:dyDescent="0.25">
      <c r="B18" s="8" t="s">
        <v>719</v>
      </c>
      <c r="C18" s="56" t="s">
        <v>720</v>
      </c>
      <c r="D18" s="53" t="s">
        <v>721</v>
      </c>
      <c r="E18" s="6" t="s">
        <v>722</v>
      </c>
      <c r="F18" s="19">
        <v>4457</v>
      </c>
      <c r="G18" s="24">
        <v>9.32</v>
      </c>
      <c r="H18" s="24">
        <v>2.68</v>
      </c>
      <c r="I18" s="31"/>
      <c r="J18" s="35"/>
    </row>
    <row r="19" spans="2:10" x14ac:dyDescent="0.25">
      <c r="B19" s="8" t="s">
        <v>439</v>
      </c>
      <c r="C19" s="56" t="s">
        <v>440</v>
      </c>
      <c r="D19" s="53" t="s">
        <v>441</v>
      </c>
      <c r="E19" s="6" t="s">
        <v>111</v>
      </c>
      <c r="F19" s="19">
        <v>2060</v>
      </c>
      <c r="G19" s="24">
        <v>9.2200000000000006</v>
      </c>
      <c r="H19" s="24">
        <v>2.65</v>
      </c>
      <c r="I19" s="31"/>
      <c r="J19" s="35"/>
    </row>
    <row r="20" spans="2:10" x14ac:dyDescent="0.25">
      <c r="B20" s="8" t="s">
        <v>84</v>
      </c>
      <c r="C20" s="56" t="s">
        <v>85</v>
      </c>
      <c r="D20" s="53" t="s">
        <v>86</v>
      </c>
      <c r="E20" s="6" t="s">
        <v>41</v>
      </c>
      <c r="F20" s="19">
        <v>45</v>
      </c>
      <c r="G20" s="24">
        <v>9.1199999999999992</v>
      </c>
      <c r="H20" s="24">
        <v>2.62</v>
      </c>
      <c r="I20" s="31"/>
      <c r="J20" s="35"/>
    </row>
    <row r="21" spans="2:10" x14ac:dyDescent="0.25">
      <c r="B21" s="8" t="s">
        <v>87</v>
      </c>
      <c r="C21" s="56" t="s">
        <v>88</v>
      </c>
      <c r="D21" s="53" t="s">
        <v>89</v>
      </c>
      <c r="E21" s="6" t="s">
        <v>90</v>
      </c>
      <c r="F21" s="19">
        <v>618</v>
      </c>
      <c r="G21" s="24">
        <v>8.85</v>
      </c>
      <c r="H21" s="24">
        <v>2.54</v>
      </c>
      <c r="I21" s="31"/>
      <c r="J21" s="35"/>
    </row>
    <row r="22" spans="2:10" x14ac:dyDescent="0.25">
      <c r="B22" s="8" t="s">
        <v>398</v>
      </c>
      <c r="C22" s="56" t="s">
        <v>399</v>
      </c>
      <c r="D22" s="53" t="s">
        <v>400</v>
      </c>
      <c r="E22" s="6" t="s">
        <v>90</v>
      </c>
      <c r="F22" s="19">
        <v>2395</v>
      </c>
      <c r="G22" s="24">
        <v>8.69</v>
      </c>
      <c r="H22" s="24">
        <v>2.5</v>
      </c>
      <c r="I22" s="31"/>
      <c r="J22" s="35"/>
    </row>
    <row r="23" spans="2:10" x14ac:dyDescent="0.25">
      <c r="B23" s="8" t="s">
        <v>1585</v>
      </c>
      <c r="C23" s="56" t="s">
        <v>1586</v>
      </c>
      <c r="D23" s="53" t="s">
        <v>1587</v>
      </c>
      <c r="E23" s="6" t="s">
        <v>83</v>
      </c>
      <c r="F23" s="19">
        <v>1160</v>
      </c>
      <c r="G23" s="24">
        <v>7.86</v>
      </c>
      <c r="H23" s="24">
        <v>2.2599999999999998</v>
      </c>
      <c r="I23" s="31"/>
      <c r="J23" s="35"/>
    </row>
    <row r="24" spans="2:10" x14ac:dyDescent="0.25">
      <c r="B24" s="8" t="s">
        <v>1354</v>
      </c>
      <c r="C24" s="56" t="s">
        <v>1355</v>
      </c>
      <c r="D24" s="53" t="s">
        <v>1356</v>
      </c>
      <c r="E24" s="6" t="s">
        <v>826</v>
      </c>
      <c r="F24" s="19">
        <v>3480</v>
      </c>
      <c r="G24" s="24">
        <v>7.68</v>
      </c>
      <c r="H24" s="24">
        <v>2.2000000000000002</v>
      </c>
      <c r="I24" s="31"/>
      <c r="J24" s="35"/>
    </row>
    <row r="25" spans="2:10" x14ac:dyDescent="0.25">
      <c r="B25" s="8" t="s">
        <v>161</v>
      </c>
      <c r="C25" s="56" t="s">
        <v>162</v>
      </c>
      <c r="D25" s="53" t="s">
        <v>163</v>
      </c>
      <c r="E25" s="6" t="s">
        <v>94</v>
      </c>
      <c r="F25" s="19">
        <v>1798</v>
      </c>
      <c r="G25" s="24">
        <v>7.57</v>
      </c>
      <c r="H25" s="24">
        <v>2.17</v>
      </c>
      <c r="I25" s="31"/>
      <c r="J25" s="35"/>
    </row>
    <row r="26" spans="2:10" x14ac:dyDescent="0.25">
      <c r="B26" s="8" t="s">
        <v>324</v>
      </c>
      <c r="C26" s="56" t="s">
        <v>325</v>
      </c>
      <c r="D26" s="53" t="s">
        <v>326</v>
      </c>
      <c r="E26" s="6" t="s">
        <v>41</v>
      </c>
      <c r="F26" s="19">
        <v>3409</v>
      </c>
      <c r="G26" s="24">
        <v>7.4</v>
      </c>
      <c r="H26" s="24">
        <v>2.12</v>
      </c>
      <c r="I26" s="31"/>
      <c r="J26" s="35"/>
    </row>
    <row r="27" spans="2:10" x14ac:dyDescent="0.25">
      <c r="B27" s="8" t="s">
        <v>823</v>
      </c>
      <c r="C27" s="56" t="s">
        <v>824</v>
      </c>
      <c r="D27" s="53" t="s">
        <v>825</v>
      </c>
      <c r="E27" s="6" t="s">
        <v>826</v>
      </c>
      <c r="F27" s="19">
        <v>8371</v>
      </c>
      <c r="G27" s="24">
        <v>7.27</v>
      </c>
      <c r="H27" s="24">
        <v>2.09</v>
      </c>
      <c r="I27" s="31"/>
      <c r="J27" s="35"/>
    </row>
    <row r="28" spans="2:10" x14ac:dyDescent="0.25">
      <c r="B28" s="8" t="s">
        <v>1518</v>
      </c>
      <c r="C28" s="56" t="s">
        <v>1519</v>
      </c>
      <c r="D28" s="53" t="s">
        <v>1520</v>
      </c>
      <c r="E28" s="6" t="s">
        <v>83</v>
      </c>
      <c r="F28" s="19">
        <v>1059</v>
      </c>
      <c r="G28" s="24">
        <v>7.21</v>
      </c>
      <c r="H28" s="24">
        <v>2.0699999999999998</v>
      </c>
      <c r="I28" s="31"/>
      <c r="J28" s="35"/>
    </row>
    <row r="29" spans="2:10" x14ac:dyDescent="0.25">
      <c r="B29" s="8" t="s">
        <v>1588</v>
      </c>
      <c r="C29" s="56" t="s">
        <v>1589</v>
      </c>
      <c r="D29" s="53" t="s">
        <v>1590</v>
      </c>
      <c r="E29" s="6" t="s">
        <v>1591</v>
      </c>
      <c r="F29" s="19">
        <v>3948</v>
      </c>
      <c r="G29" s="24">
        <v>6.92</v>
      </c>
      <c r="H29" s="24">
        <v>1.99</v>
      </c>
      <c r="I29" s="31"/>
      <c r="J29" s="35"/>
    </row>
    <row r="30" spans="2:10" x14ac:dyDescent="0.25">
      <c r="B30" s="8" t="s">
        <v>121</v>
      </c>
      <c r="C30" s="56" t="s">
        <v>122</v>
      </c>
      <c r="D30" s="53" t="s">
        <v>123</v>
      </c>
      <c r="E30" s="6" t="s">
        <v>90</v>
      </c>
      <c r="F30" s="19">
        <v>288</v>
      </c>
      <c r="G30" s="24">
        <v>6.75</v>
      </c>
      <c r="H30" s="24">
        <v>1.94</v>
      </c>
      <c r="I30" s="31"/>
      <c r="J30" s="35"/>
    </row>
    <row r="31" spans="2:10" x14ac:dyDescent="0.25">
      <c r="B31" s="8" t="s">
        <v>1592</v>
      </c>
      <c r="C31" s="56" t="s">
        <v>1593</v>
      </c>
      <c r="D31" s="53" t="s">
        <v>1594</v>
      </c>
      <c r="E31" s="6" t="s">
        <v>90</v>
      </c>
      <c r="F31" s="19">
        <v>1126</v>
      </c>
      <c r="G31" s="24">
        <v>6.58</v>
      </c>
      <c r="H31" s="24">
        <v>1.89</v>
      </c>
      <c r="I31" s="31"/>
      <c r="J31" s="35"/>
    </row>
    <row r="32" spans="2:10" x14ac:dyDescent="0.25">
      <c r="B32" s="8" t="s">
        <v>1595</v>
      </c>
      <c r="C32" s="56" t="s">
        <v>1596</v>
      </c>
      <c r="D32" s="53" t="s">
        <v>1597</v>
      </c>
      <c r="E32" s="6" t="s">
        <v>94</v>
      </c>
      <c r="F32" s="19">
        <v>522</v>
      </c>
      <c r="G32" s="24">
        <v>6.54</v>
      </c>
      <c r="H32" s="24">
        <v>1.88</v>
      </c>
      <c r="I32" s="31"/>
      <c r="J32" s="35"/>
    </row>
    <row r="33" spans="2:10" x14ac:dyDescent="0.25">
      <c r="B33" s="8" t="s">
        <v>1598</v>
      </c>
      <c r="C33" s="56" t="s">
        <v>1599</v>
      </c>
      <c r="D33" s="53" t="s">
        <v>1600</v>
      </c>
      <c r="E33" s="6" t="s">
        <v>196</v>
      </c>
      <c r="F33" s="19">
        <v>5568</v>
      </c>
      <c r="G33" s="24">
        <v>6.39</v>
      </c>
      <c r="H33" s="24">
        <v>1.84</v>
      </c>
      <c r="I33" s="31"/>
      <c r="J33" s="35"/>
    </row>
    <row r="34" spans="2:10" x14ac:dyDescent="0.25">
      <c r="B34" s="8" t="s">
        <v>1601</v>
      </c>
      <c r="C34" s="56" t="s">
        <v>1602</v>
      </c>
      <c r="D34" s="53" t="s">
        <v>1603</v>
      </c>
      <c r="E34" s="6" t="s">
        <v>826</v>
      </c>
      <c r="F34" s="19">
        <v>1624</v>
      </c>
      <c r="G34" s="24">
        <v>6.29</v>
      </c>
      <c r="H34" s="24">
        <v>1.81</v>
      </c>
      <c r="I34" s="31"/>
      <c r="J34" s="35"/>
    </row>
    <row r="35" spans="2:10" x14ac:dyDescent="0.25">
      <c r="B35" s="8" t="s">
        <v>330</v>
      </c>
      <c r="C35" s="56" t="s">
        <v>331</v>
      </c>
      <c r="D35" s="53" t="s">
        <v>332</v>
      </c>
      <c r="E35" s="6" t="s">
        <v>83</v>
      </c>
      <c r="F35" s="19">
        <v>2152</v>
      </c>
      <c r="G35" s="24">
        <v>6.29</v>
      </c>
      <c r="H35" s="24">
        <v>1.81</v>
      </c>
      <c r="I35" s="31"/>
      <c r="J35" s="35"/>
    </row>
    <row r="36" spans="2:10" x14ac:dyDescent="0.25">
      <c r="B36" s="8" t="s">
        <v>805</v>
      </c>
      <c r="C36" s="56" t="s">
        <v>806</v>
      </c>
      <c r="D36" s="53" t="s">
        <v>807</v>
      </c>
      <c r="E36" s="6" t="s">
        <v>55</v>
      </c>
      <c r="F36" s="19">
        <v>3465</v>
      </c>
      <c r="G36" s="24">
        <v>6.24</v>
      </c>
      <c r="H36" s="24">
        <v>1.79</v>
      </c>
      <c r="I36" s="31"/>
      <c r="J36" s="35"/>
    </row>
    <row r="37" spans="2:10" x14ac:dyDescent="0.25">
      <c r="B37" s="8" t="s">
        <v>483</v>
      </c>
      <c r="C37" s="56" t="s">
        <v>484</v>
      </c>
      <c r="D37" s="53" t="s">
        <v>485</v>
      </c>
      <c r="E37" s="6" t="s">
        <v>196</v>
      </c>
      <c r="F37" s="19">
        <v>10</v>
      </c>
      <c r="G37" s="24">
        <v>5.96</v>
      </c>
      <c r="H37" s="24">
        <v>1.71</v>
      </c>
      <c r="I37" s="31"/>
      <c r="J37" s="35"/>
    </row>
    <row r="38" spans="2:10" x14ac:dyDescent="0.25">
      <c r="B38" s="8" t="s">
        <v>1607</v>
      </c>
      <c r="C38" s="56" t="s">
        <v>1608</v>
      </c>
      <c r="D38" s="53" t="s">
        <v>1609</v>
      </c>
      <c r="E38" s="6" t="s">
        <v>94</v>
      </c>
      <c r="F38" s="19">
        <v>232</v>
      </c>
      <c r="G38" s="24">
        <v>5.6</v>
      </c>
      <c r="H38" s="24">
        <v>1.61</v>
      </c>
      <c r="I38" s="31"/>
      <c r="J38" s="35"/>
    </row>
    <row r="39" spans="2:10" x14ac:dyDescent="0.25">
      <c r="B39" s="8" t="s">
        <v>139</v>
      </c>
      <c r="C39" s="56" t="s">
        <v>140</v>
      </c>
      <c r="D39" s="53" t="s">
        <v>141</v>
      </c>
      <c r="E39" s="6" t="s">
        <v>142</v>
      </c>
      <c r="F39" s="19">
        <v>446</v>
      </c>
      <c r="G39" s="24">
        <v>5.57</v>
      </c>
      <c r="H39" s="24">
        <v>1.6</v>
      </c>
      <c r="I39" s="31"/>
      <c r="J39" s="35"/>
    </row>
    <row r="40" spans="2:10" x14ac:dyDescent="0.25">
      <c r="B40" s="8" t="s">
        <v>69</v>
      </c>
      <c r="C40" s="56" t="s">
        <v>70</v>
      </c>
      <c r="D40" s="53" t="s">
        <v>71</v>
      </c>
      <c r="E40" s="6" t="s">
        <v>72</v>
      </c>
      <c r="F40" s="19">
        <v>26</v>
      </c>
      <c r="G40" s="24">
        <v>5.56</v>
      </c>
      <c r="H40" s="24">
        <v>1.6</v>
      </c>
      <c r="I40" s="31"/>
      <c r="J40" s="35"/>
    </row>
    <row r="41" spans="2:10" x14ac:dyDescent="0.25">
      <c r="B41" s="8" t="s">
        <v>899</v>
      </c>
      <c r="C41" s="56" t="s">
        <v>900</v>
      </c>
      <c r="D41" s="53" t="s">
        <v>901</v>
      </c>
      <c r="E41" s="6" t="s">
        <v>196</v>
      </c>
      <c r="F41" s="19">
        <v>40</v>
      </c>
      <c r="G41" s="24">
        <v>5.49</v>
      </c>
      <c r="H41" s="24">
        <v>1.58</v>
      </c>
      <c r="I41" s="31"/>
      <c r="J41" s="35"/>
    </row>
    <row r="42" spans="2:10" x14ac:dyDescent="0.25">
      <c r="B42" s="8" t="s">
        <v>370</v>
      </c>
      <c r="C42" s="56" t="s">
        <v>371</v>
      </c>
      <c r="D42" s="53" t="s">
        <v>372</v>
      </c>
      <c r="E42" s="6" t="s">
        <v>41</v>
      </c>
      <c r="F42" s="19">
        <v>392</v>
      </c>
      <c r="G42" s="24">
        <v>5.46</v>
      </c>
      <c r="H42" s="24">
        <v>1.57</v>
      </c>
      <c r="I42" s="31"/>
      <c r="J42" s="35"/>
    </row>
    <row r="43" spans="2:10" x14ac:dyDescent="0.25">
      <c r="B43" s="8" t="s">
        <v>2242</v>
      </c>
      <c r="C43" s="56" t="s">
        <v>938</v>
      </c>
      <c r="D43" s="53" t="s">
        <v>2243</v>
      </c>
      <c r="E43" s="6" t="s">
        <v>94</v>
      </c>
      <c r="F43" s="19">
        <v>869</v>
      </c>
      <c r="G43" s="24">
        <v>5.38</v>
      </c>
      <c r="H43" s="24">
        <v>1.55</v>
      </c>
      <c r="I43" s="31"/>
      <c r="J43" s="35"/>
    </row>
    <row r="44" spans="2:10" x14ac:dyDescent="0.25">
      <c r="B44" s="8" t="s">
        <v>174</v>
      </c>
      <c r="C44" s="56" t="s">
        <v>175</v>
      </c>
      <c r="D44" s="53" t="s">
        <v>176</v>
      </c>
      <c r="E44" s="6" t="s">
        <v>157</v>
      </c>
      <c r="F44" s="19">
        <v>1167</v>
      </c>
      <c r="G44" s="24">
        <v>5.22</v>
      </c>
      <c r="H44" s="24">
        <v>1.5</v>
      </c>
      <c r="I44" s="31"/>
      <c r="J44" s="35"/>
    </row>
    <row r="45" spans="2:10" x14ac:dyDescent="0.25">
      <c r="B45" s="8" t="s">
        <v>1610</v>
      </c>
      <c r="C45" s="56" t="s">
        <v>1611</v>
      </c>
      <c r="D45" s="53" t="s">
        <v>1612</v>
      </c>
      <c r="E45" s="6" t="s">
        <v>254</v>
      </c>
      <c r="F45" s="19">
        <v>413</v>
      </c>
      <c r="G45" s="24">
        <v>5.22</v>
      </c>
      <c r="H45" s="24">
        <v>1.5</v>
      </c>
      <c r="I45" s="31"/>
      <c r="J45" s="35"/>
    </row>
    <row r="46" spans="2:10" x14ac:dyDescent="0.25">
      <c r="B46" s="8" t="s">
        <v>2244</v>
      </c>
      <c r="C46" s="56" t="s">
        <v>2245</v>
      </c>
      <c r="D46" s="53" t="s">
        <v>2246</v>
      </c>
      <c r="E46" s="6" t="s">
        <v>98</v>
      </c>
      <c r="F46" s="19">
        <v>6518</v>
      </c>
      <c r="G46" s="24">
        <v>4.8499999999999996</v>
      </c>
      <c r="H46" s="24">
        <v>1.39</v>
      </c>
      <c r="I46" s="31"/>
      <c r="J46" s="35"/>
    </row>
    <row r="47" spans="2:10" x14ac:dyDescent="0.25">
      <c r="B47" s="8" t="s">
        <v>1618</v>
      </c>
      <c r="C47" s="56" t="s">
        <v>1619</v>
      </c>
      <c r="D47" s="53" t="s">
        <v>1620</v>
      </c>
      <c r="E47" s="6" t="s">
        <v>142</v>
      </c>
      <c r="F47" s="19">
        <v>1272</v>
      </c>
      <c r="G47" s="24">
        <v>4.6500000000000004</v>
      </c>
      <c r="H47" s="24">
        <v>1.33</v>
      </c>
      <c r="I47" s="31"/>
      <c r="J47" s="35"/>
    </row>
    <row r="48" spans="2:10" x14ac:dyDescent="0.25">
      <c r="B48" s="8" t="s">
        <v>1616</v>
      </c>
      <c r="C48" s="56" t="s">
        <v>601</v>
      </c>
      <c r="D48" s="53" t="s">
        <v>1617</v>
      </c>
      <c r="E48" s="6" t="s">
        <v>94</v>
      </c>
      <c r="F48" s="19">
        <v>5390</v>
      </c>
      <c r="G48" s="24">
        <v>4.6500000000000004</v>
      </c>
      <c r="H48" s="24">
        <v>1.34</v>
      </c>
      <c r="I48" s="31"/>
      <c r="J48" s="35"/>
    </row>
    <row r="49" spans="2:10" x14ac:dyDescent="0.25">
      <c r="B49" s="8" t="s">
        <v>373</v>
      </c>
      <c r="C49" s="56" t="s">
        <v>374</v>
      </c>
      <c r="D49" s="53" t="s">
        <v>375</v>
      </c>
      <c r="E49" s="6" t="s">
        <v>51</v>
      </c>
      <c r="F49" s="19">
        <v>9234</v>
      </c>
      <c r="G49" s="24">
        <v>4.4800000000000004</v>
      </c>
      <c r="H49" s="24">
        <v>1.29</v>
      </c>
      <c r="I49" s="31"/>
      <c r="J49" s="35"/>
    </row>
    <row r="50" spans="2:10" x14ac:dyDescent="0.25">
      <c r="B50" s="8" t="s">
        <v>294</v>
      </c>
      <c r="C50" s="56" t="s">
        <v>295</v>
      </c>
      <c r="D50" s="53" t="s">
        <v>296</v>
      </c>
      <c r="E50" s="6" t="s">
        <v>274</v>
      </c>
      <c r="F50" s="19">
        <v>2871</v>
      </c>
      <c r="G50" s="24">
        <v>4.38</v>
      </c>
      <c r="H50" s="24">
        <v>1.26</v>
      </c>
      <c r="I50" s="31"/>
      <c r="J50" s="35"/>
    </row>
    <row r="51" spans="2:10" x14ac:dyDescent="0.25">
      <c r="B51" s="8" t="s">
        <v>105</v>
      </c>
      <c r="C51" s="56" t="s">
        <v>106</v>
      </c>
      <c r="D51" s="53" t="s">
        <v>107</v>
      </c>
      <c r="E51" s="6" t="s">
        <v>98</v>
      </c>
      <c r="F51" s="19">
        <v>926</v>
      </c>
      <c r="G51" s="24">
        <v>4.34</v>
      </c>
      <c r="H51" s="24">
        <v>1.25</v>
      </c>
      <c r="I51" s="31"/>
      <c r="J51" s="35"/>
    </row>
    <row r="52" spans="2:10" x14ac:dyDescent="0.25">
      <c r="B52" s="8" t="s">
        <v>2247</v>
      </c>
      <c r="C52" s="56" t="s">
        <v>1376</v>
      </c>
      <c r="D52" s="53" t="s">
        <v>2248</v>
      </c>
      <c r="E52" s="6" t="s">
        <v>94</v>
      </c>
      <c r="F52" s="19">
        <v>4307</v>
      </c>
      <c r="G52" s="24">
        <v>4.2699999999999996</v>
      </c>
      <c r="H52" s="24">
        <v>1.23</v>
      </c>
      <c r="I52" s="31"/>
      <c r="J52" s="35"/>
    </row>
    <row r="53" spans="2:10" x14ac:dyDescent="0.25">
      <c r="B53" s="8" t="s">
        <v>2249</v>
      </c>
      <c r="C53" s="56" t="s">
        <v>524</v>
      </c>
      <c r="D53" s="53" t="s">
        <v>2250</v>
      </c>
      <c r="E53" s="6" t="s">
        <v>261</v>
      </c>
      <c r="F53" s="19">
        <v>7781</v>
      </c>
      <c r="G53" s="24">
        <v>4.1399999999999997</v>
      </c>
      <c r="H53" s="24">
        <v>1.19</v>
      </c>
      <c r="I53" s="31"/>
      <c r="J53" s="35"/>
    </row>
    <row r="54" spans="2:10" x14ac:dyDescent="0.25">
      <c r="B54" s="8" t="s">
        <v>1649</v>
      </c>
      <c r="C54" s="56" t="s">
        <v>1127</v>
      </c>
      <c r="D54" s="53" t="s">
        <v>1650</v>
      </c>
      <c r="E54" s="6" t="s">
        <v>94</v>
      </c>
      <c r="F54" s="19">
        <v>1405</v>
      </c>
      <c r="G54" s="24">
        <v>3.87</v>
      </c>
      <c r="H54" s="24">
        <v>1.1100000000000001</v>
      </c>
      <c r="I54" s="31"/>
      <c r="J54" s="35"/>
    </row>
    <row r="55" spans="2:10" x14ac:dyDescent="0.25">
      <c r="B55" s="8" t="s">
        <v>1624</v>
      </c>
      <c r="C55" s="56" t="s">
        <v>1625</v>
      </c>
      <c r="D55" s="53" t="s">
        <v>1626</v>
      </c>
      <c r="E55" s="6" t="s">
        <v>886</v>
      </c>
      <c r="F55" s="19">
        <v>4262</v>
      </c>
      <c r="G55" s="24">
        <v>3.51</v>
      </c>
      <c r="H55" s="24">
        <v>1.01</v>
      </c>
      <c r="I55" s="31"/>
      <c r="J55" s="35"/>
    </row>
    <row r="56" spans="2:10" x14ac:dyDescent="0.25">
      <c r="B56" s="8" t="s">
        <v>212</v>
      </c>
      <c r="C56" s="56" t="s">
        <v>213</v>
      </c>
      <c r="D56" s="53" t="s">
        <v>214</v>
      </c>
      <c r="E56" s="6" t="s">
        <v>196</v>
      </c>
      <c r="F56" s="19">
        <v>2130</v>
      </c>
      <c r="G56" s="24">
        <v>3.51</v>
      </c>
      <c r="H56" s="24">
        <v>1.01</v>
      </c>
      <c r="I56" s="31"/>
      <c r="J56" s="35"/>
    </row>
    <row r="57" spans="2:10" x14ac:dyDescent="0.25">
      <c r="B57" s="8" t="s">
        <v>1499</v>
      </c>
      <c r="C57" s="56" t="s">
        <v>1381</v>
      </c>
      <c r="D57" s="53" t="s">
        <v>1500</v>
      </c>
      <c r="E57" s="6" t="s">
        <v>94</v>
      </c>
      <c r="F57" s="19">
        <v>2752</v>
      </c>
      <c r="G57" s="24">
        <v>3.39</v>
      </c>
      <c r="H57" s="24">
        <v>0.97</v>
      </c>
      <c r="I57" s="31"/>
      <c r="J57" s="35"/>
    </row>
    <row r="58" spans="2:10" x14ac:dyDescent="0.25">
      <c r="B58" s="8" t="s">
        <v>2228</v>
      </c>
      <c r="C58" s="56" t="s">
        <v>1239</v>
      </c>
      <c r="D58" s="53" t="s">
        <v>2229</v>
      </c>
      <c r="E58" s="6" t="s">
        <v>51</v>
      </c>
      <c r="F58" s="19">
        <v>1983</v>
      </c>
      <c r="G58" s="24">
        <v>3.37</v>
      </c>
      <c r="H58" s="24">
        <v>0.97</v>
      </c>
      <c r="I58" s="31"/>
      <c r="J58" s="35"/>
    </row>
    <row r="59" spans="2:10" x14ac:dyDescent="0.25">
      <c r="B59" s="8" t="s">
        <v>817</v>
      </c>
      <c r="C59" s="56" t="s">
        <v>818</v>
      </c>
      <c r="D59" s="53" t="s">
        <v>819</v>
      </c>
      <c r="E59" s="6" t="s">
        <v>51</v>
      </c>
      <c r="F59" s="19">
        <v>6003</v>
      </c>
      <c r="G59" s="24">
        <v>2.46</v>
      </c>
      <c r="H59" s="24">
        <v>0.71</v>
      </c>
      <c r="I59" s="31"/>
      <c r="J59" s="35"/>
    </row>
    <row r="60" spans="2:10" x14ac:dyDescent="0.25">
      <c r="C60" s="57" t="s">
        <v>35</v>
      </c>
      <c r="D60" s="53"/>
      <c r="E60" s="6"/>
      <c r="F60" s="19"/>
      <c r="G60" s="25">
        <v>347.9</v>
      </c>
      <c r="H60" s="25">
        <v>99.96</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3:10" x14ac:dyDescent="0.25">
      <c r="C65" s="56"/>
      <c r="D65" s="53"/>
      <c r="E65" s="6"/>
      <c r="F65" s="19"/>
      <c r="G65" s="24"/>
      <c r="H65" s="24"/>
      <c r="I65" s="31"/>
      <c r="J65" s="35"/>
    </row>
    <row r="66" spans="3:10" x14ac:dyDescent="0.25">
      <c r="C66" s="57" t="s">
        <v>5</v>
      </c>
      <c r="D66" s="53"/>
      <c r="E66" s="6"/>
      <c r="F66" s="19"/>
      <c r="G66" s="24"/>
      <c r="H66" s="24"/>
      <c r="I66" s="31"/>
      <c r="J66" s="35"/>
    </row>
    <row r="67" spans="3:10" x14ac:dyDescent="0.25">
      <c r="C67" s="56"/>
      <c r="D67" s="53"/>
      <c r="E67" s="6"/>
      <c r="F67" s="19"/>
      <c r="G67" s="24"/>
      <c r="H67" s="24"/>
      <c r="I67" s="31"/>
      <c r="J67" s="35"/>
    </row>
    <row r="68" spans="3:10" x14ac:dyDescent="0.25">
      <c r="C68" s="57" t="s">
        <v>6</v>
      </c>
      <c r="D68" s="53"/>
      <c r="E68" s="6"/>
      <c r="F68" s="19"/>
      <c r="G68" s="24" t="s">
        <v>2</v>
      </c>
      <c r="H68" s="24" t="s">
        <v>2</v>
      </c>
      <c r="I68" s="31"/>
      <c r="J68" s="35"/>
    </row>
    <row r="69" spans="3:10" x14ac:dyDescent="0.25">
      <c r="C69" s="56"/>
      <c r="D69" s="53"/>
      <c r="E69" s="6"/>
      <c r="F69" s="19"/>
      <c r="G69" s="24"/>
      <c r="H69" s="24"/>
      <c r="I69" s="31"/>
      <c r="J69" s="35"/>
    </row>
    <row r="70" spans="3:10" x14ac:dyDescent="0.25">
      <c r="C70" s="57" t="s">
        <v>7</v>
      </c>
      <c r="D70" s="53"/>
      <c r="E70" s="6"/>
      <c r="F70" s="19"/>
      <c r="G70" s="24" t="s">
        <v>2</v>
      </c>
      <c r="H70" s="24" t="s">
        <v>2</v>
      </c>
      <c r="I70" s="31"/>
      <c r="J70" s="35"/>
    </row>
    <row r="71" spans="3:10" x14ac:dyDescent="0.25">
      <c r="C71" s="56"/>
      <c r="D71" s="53"/>
      <c r="E71" s="6"/>
      <c r="F71" s="19"/>
      <c r="G71" s="24"/>
      <c r="H71" s="24"/>
      <c r="I71" s="31"/>
      <c r="J71" s="35"/>
    </row>
    <row r="72" spans="3:10" x14ac:dyDescent="0.25">
      <c r="C72" s="57" t="s">
        <v>8</v>
      </c>
      <c r="D72" s="53"/>
      <c r="E72" s="6"/>
      <c r="F72" s="19"/>
      <c r="G72" s="24" t="s">
        <v>2</v>
      </c>
      <c r="H72" s="24" t="s">
        <v>2</v>
      </c>
      <c r="I72" s="31"/>
      <c r="J72" s="35"/>
    </row>
    <row r="73" spans="3:10" x14ac:dyDescent="0.25">
      <c r="C73" s="56"/>
      <c r="D73" s="53"/>
      <c r="E73" s="6"/>
      <c r="F73" s="19"/>
      <c r="G73" s="24"/>
      <c r="H73" s="24"/>
      <c r="I73" s="31"/>
      <c r="J73" s="35"/>
    </row>
    <row r="74" spans="3:10" x14ac:dyDescent="0.25">
      <c r="C74" s="57" t="s">
        <v>9</v>
      </c>
      <c r="D74" s="53"/>
      <c r="E74" s="6"/>
      <c r="F74" s="19"/>
      <c r="G74" s="24" t="s">
        <v>2</v>
      </c>
      <c r="H74" s="24" t="s">
        <v>2</v>
      </c>
      <c r="I74" s="31"/>
      <c r="J74" s="35"/>
    </row>
    <row r="75" spans="3:10" x14ac:dyDescent="0.25">
      <c r="C75" s="56"/>
      <c r="D75" s="53"/>
      <c r="E75" s="6"/>
      <c r="F75" s="19"/>
      <c r="G75" s="24"/>
      <c r="H75" s="24"/>
      <c r="I75" s="31"/>
      <c r="J75" s="35"/>
    </row>
    <row r="76" spans="3:10" x14ac:dyDescent="0.25">
      <c r="C76" s="57" t="s">
        <v>10</v>
      </c>
      <c r="D76" s="53"/>
      <c r="E76" s="6"/>
      <c r="F76" s="19"/>
      <c r="G76" s="24" t="s">
        <v>2</v>
      </c>
      <c r="H76" s="24" t="s">
        <v>2</v>
      </c>
      <c r="I76" s="31"/>
      <c r="J76" s="35"/>
    </row>
    <row r="77" spans="3:10" x14ac:dyDescent="0.25">
      <c r="C77" s="56"/>
      <c r="D77" s="53"/>
      <c r="E77" s="6"/>
      <c r="F77" s="19"/>
      <c r="G77" s="24"/>
      <c r="H77" s="24"/>
      <c r="I77" s="31"/>
      <c r="J77" s="35"/>
    </row>
    <row r="78" spans="3:10" x14ac:dyDescent="0.25">
      <c r="C78" s="57" t="s">
        <v>11</v>
      </c>
      <c r="D78" s="53"/>
      <c r="E78" s="6"/>
      <c r="F78" s="19"/>
      <c r="G78" s="24"/>
      <c r="H78" s="24"/>
      <c r="I78" s="31"/>
      <c r="J78" s="35"/>
    </row>
    <row r="79" spans="3:10" x14ac:dyDescent="0.25">
      <c r="C79" s="56"/>
      <c r="D79" s="53"/>
      <c r="E79" s="6"/>
      <c r="F79" s="19"/>
      <c r="G79" s="24"/>
      <c r="H79" s="24"/>
      <c r="I79" s="31"/>
      <c r="J79" s="35"/>
    </row>
    <row r="80" spans="3:10" x14ac:dyDescent="0.25">
      <c r="C80" s="57" t="s">
        <v>13</v>
      </c>
      <c r="D80" s="53"/>
      <c r="E80" s="6"/>
      <c r="F80" s="19"/>
      <c r="G80" s="24" t="s">
        <v>2</v>
      </c>
      <c r="H80" s="24" t="s">
        <v>2</v>
      </c>
      <c r="I80" s="31"/>
      <c r="J80" s="35"/>
    </row>
    <row r="81" spans="1:10" x14ac:dyDescent="0.25">
      <c r="C81" s="56"/>
      <c r="D81" s="53"/>
      <c r="E81" s="6"/>
      <c r="F81" s="19"/>
      <c r="G81" s="24"/>
      <c r="H81" s="24"/>
      <c r="I81" s="31"/>
      <c r="J81" s="35"/>
    </row>
    <row r="82" spans="1:10" x14ac:dyDescent="0.25">
      <c r="C82" s="57" t="s">
        <v>14</v>
      </c>
      <c r="D82" s="53"/>
      <c r="E82" s="6"/>
      <c r="F82" s="19"/>
      <c r="G82" s="24" t="s">
        <v>2</v>
      </c>
      <c r="H82" s="24" t="s">
        <v>2</v>
      </c>
      <c r="I82" s="31"/>
      <c r="J82" s="35"/>
    </row>
    <row r="83" spans="1:10" x14ac:dyDescent="0.25">
      <c r="C83" s="56"/>
      <c r="D83" s="53"/>
      <c r="E83" s="6"/>
      <c r="F83" s="19"/>
      <c r="G83" s="24"/>
      <c r="H83" s="24"/>
      <c r="I83" s="31"/>
      <c r="J83" s="35"/>
    </row>
    <row r="84" spans="1:10" x14ac:dyDescent="0.25">
      <c r="C84" s="57" t="s">
        <v>15</v>
      </c>
      <c r="D84" s="53"/>
      <c r="E84" s="6"/>
      <c r="F84" s="19"/>
      <c r="G84" s="24" t="s">
        <v>2</v>
      </c>
      <c r="H84" s="24" t="s">
        <v>2</v>
      </c>
      <c r="I84" s="31"/>
      <c r="J84" s="35"/>
    </row>
    <row r="85" spans="1:10" x14ac:dyDescent="0.25">
      <c r="C85" s="56"/>
      <c r="D85" s="53"/>
      <c r="E85" s="6"/>
      <c r="F85" s="19"/>
      <c r="G85" s="24"/>
      <c r="H85" s="24"/>
      <c r="I85" s="31"/>
      <c r="J85" s="35"/>
    </row>
    <row r="86" spans="1:10" x14ac:dyDescent="0.25">
      <c r="C86" s="57" t="s">
        <v>16</v>
      </c>
      <c r="D86" s="53"/>
      <c r="E86" s="6"/>
      <c r="F86" s="19"/>
      <c r="G86" s="24" t="s">
        <v>2</v>
      </c>
      <c r="H86" s="24" t="s">
        <v>2</v>
      </c>
      <c r="I86" s="31"/>
      <c r="J86" s="35"/>
    </row>
    <row r="87" spans="1:10" x14ac:dyDescent="0.25">
      <c r="C87" s="56"/>
      <c r="D87" s="53"/>
      <c r="E87" s="6"/>
      <c r="F87" s="19"/>
      <c r="G87" s="24"/>
      <c r="H87" s="24"/>
      <c r="I87" s="31"/>
      <c r="J87" s="35"/>
    </row>
    <row r="88" spans="1:10" x14ac:dyDescent="0.25">
      <c r="A88" s="10"/>
      <c r="B88" s="28"/>
      <c r="C88" s="58" t="s">
        <v>17</v>
      </c>
      <c r="D88" s="53"/>
      <c r="E88" s="6"/>
      <c r="F88" s="19"/>
      <c r="G88" s="24"/>
      <c r="H88" s="24"/>
      <c r="I88" s="31"/>
      <c r="J88" s="35"/>
    </row>
    <row r="89" spans="1:10" x14ac:dyDescent="0.25">
      <c r="A89" s="28"/>
      <c r="B89" s="28"/>
      <c r="C89" s="58" t="s">
        <v>18</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19</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A93" s="28"/>
      <c r="B93" s="28"/>
      <c r="C93" s="58" t="s">
        <v>20</v>
      </c>
      <c r="D93" s="53"/>
      <c r="E93" s="6"/>
      <c r="F93" s="19"/>
      <c r="G93" s="24" t="s">
        <v>2</v>
      </c>
      <c r="H93" s="24" t="s">
        <v>2</v>
      </c>
      <c r="I93" s="31"/>
      <c r="J93" s="35"/>
    </row>
    <row r="94" spans="1:10" x14ac:dyDescent="0.25">
      <c r="A94" s="28"/>
      <c r="B94" s="28"/>
      <c r="C94" s="58"/>
      <c r="D94" s="53"/>
      <c r="E94" s="6"/>
      <c r="F94" s="19"/>
      <c r="G94" s="24"/>
      <c r="H94" s="24"/>
      <c r="I94" s="31"/>
      <c r="J94" s="35"/>
    </row>
    <row r="95" spans="1:10" x14ac:dyDescent="0.25">
      <c r="A95" s="28"/>
      <c r="B95" s="28"/>
      <c r="C95" s="58" t="s">
        <v>21</v>
      </c>
      <c r="D95" s="53"/>
      <c r="E95" s="6"/>
      <c r="F95" s="19"/>
      <c r="G95" s="24" t="s">
        <v>2</v>
      </c>
      <c r="H95" s="24" t="s">
        <v>2</v>
      </c>
      <c r="I95" s="31"/>
      <c r="J95" s="35"/>
    </row>
    <row r="96" spans="1:10" x14ac:dyDescent="0.25">
      <c r="A96" s="28"/>
      <c r="B96" s="28"/>
      <c r="C96" s="58"/>
      <c r="D96" s="53"/>
      <c r="E96" s="6"/>
      <c r="F96" s="19"/>
      <c r="G96" s="24"/>
      <c r="H96" s="24"/>
      <c r="I96" s="31"/>
      <c r="J96" s="35"/>
    </row>
    <row r="97" spans="1:10" x14ac:dyDescent="0.25">
      <c r="C97" s="59" t="s">
        <v>22</v>
      </c>
      <c r="D97" s="53"/>
      <c r="E97" s="6"/>
      <c r="F97" s="19"/>
      <c r="G97" s="24"/>
      <c r="H97" s="24"/>
      <c r="I97" s="31"/>
      <c r="J97" s="35"/>
    </row>
    <row r="98" spans="1:10" x14ac:dyDescent="0.25">
      <c r="B98" s="8" t="s">
        <v>33</v>
      </c>
      <c r="C98" s="56" t="s">
        <v>34</v>
      </c>
      <c r="D98" s="53"/>
      <c r="E98" s="6"/>
      <c r="F98" s="19"/>
      <c r="G98" s="24">
        <v>0.17</v>
      </c>
      <c r="H98" s="24">
        <v>0.05</v>
      </c>
      <c r="I98" s="31"/>
      <c r="J98" s="35"/>
    </row>
    <row r="99" spans="1:10" x14ac:dyDescent="0.25">
      <c r="C99" s="57" t="s">
        <v>35</v>
      </c>
      <c r="D99" s="53"/>
      <c r="E99" s="6"/>
      <c r="F99" s="19"/>
      <c r="G99" s="25">
        <v>0.17</v>
      </c>
      <c r="H99" s="25">
        <v>0.05</v>
      </c>
      <c r="I99" s="31"/>
      <c r="J99" s="35"/>
    </row>
    <row r="100" spans="1:10" x14ac:dyDescent="0.25">
      <c r="C100" s="56"/>
      <c r="D100" s="53"/>
      <c r="E100" s="6"/>
      <c r="F100" s="19"/>
      <c r="G100" s="24"/>
      <c r="H100" s="24"/>
      <c r="I100" s="31"/>
      <c r="J100" s="35"/>
    </row>
    <row r="101" spans="1:10" x14ac:dyDescent="0.25">
      <c r="A101" s="10"/>
      <c r="B101" s="28"/>
      <c r="C101" s="58" t="s">
        <v>23</v>
      </c>
      <c r="D101" s="53"/>
      <c r="E101" s="6"/>
      <c r="F101" s="19"/>
      <c r="G101" s="24"/>
      <c r="H101" s="24"/>
      <c r="I101" s="31"/>
      <c r="J101" s="35"/>
    </row>
    <row r="102" spans="1:10" x14ac:dyDescent="0.25">
      <c r="A102" s="28"/>
      <c r="B102" s="28"/>
      <c r="C102" s="60" t="s">
        <v>3398</v>
      </c>
      <c r="D102" s="53"/>
      <c r="E102" s="6"/>
      <c r="F102" s="19"/>
      <c r="G102" s="24" t="s">
        <v>2</v>
      </c>
      <c r="H102" s="24" t="s">
        <v>2</v>
      </c>
      <c r="I102" s="31"/>
      <c r="J102" s="35"/>
    </row>
    <row r="103" spans="1:10" x14ac:dyDescent="0.25">
      <c r="B103" s="8"/>
      <c r="C103" s="56" t="s">
        <v>36</v>
      </c>
      <c r="D103" s="53"/>
      <c r="E103" s="6"/>
      <c r="F103" s="19"/>
      <c r="G103" s="24">
        <v>0.09</v>
      </c>
      <c r="H103" s="24">
        <v>-1.0000000000000002E-2</v>
      </c>
      <c r="I103" s="31"/>
      <c r="J103" s="35"/>
    </row>
    <row r="104" spans="1:10" x14ac:dyDescent="0.25">
      <c r="C104" s="57" t="s">
        <v>35</v>
      </c>
      <c r="D104" s="53"/>
      <c r="E104" s="6"/>
      <c r="F104" s="19"/>
      <c r="G104" s="25">
        <v>0.09</v>
      </c>
      <c r="H104" s="25">
        <v>-1.0000000000000002E-2</v>
      </c>
      <c r="I104" s="31"/>
      <c r="J104" s="35"/>
    </row>
    <row r="105" spans="1:10" x14ac:dyDescent="0.25">
      <c r="C105" s="56"/>
      <c r="D105" s="53"/>
      <c r="E105" s="6"/>
      <c r="F105" s="19"/>
      <c r="G105" s="24"/>
      <c r="H105" s="24"/>
      <c r="I105" s="31"/>
      <c r="J105" s="35"/>
    </row>
    <row r="106" spans="1:10" x14ac:dyDescent="0.25">
      <c r="C106" s="61" t="s">
        <v>37</v>
      </c>
      <c r="D106" s="54"/>
      <c r="E106" s="5"/>
      <c r="F106" s="20"/>
      <c r="G106" s="26">
        <v>348.16</v>
      </c>
      <c r="H106" s="26">
        <f>SUMIFS(H:H,C:C,"Total")</f>
        <v>99.999999999999986</v>
      </c>
      <c r="I106" s="32"/>
      <c r="J106" s="36"/>
    </row>
    <row r="109" spans="1:10" x14ac:dyDescent="0.25">
      <c r="C109" s="65" t="s">
        <v>3404</v>
      </c>
      <c r="D109" s="66"/>
      <c r="E109" s="67"/>
      <c r="F109" s="68"/>
      <c r="G109" s="69"/>
      <c r="H109" s="69"/>
      <c r="I109" s="3"/>
    </row>
    <row r="110" spans="1:10" ht="14.25" thickBot="1" x14ac:dyDescent="0.3">
      <c r="C110" s="66"/>
      <c r="D110" s="66"/>
      <c r="E110" s="67"/>
      <c r="F110" s="68"/>
      <c r="G110" s="69"/>
      <c r="H110" s="69"/>
      <c r="I110" s="3"/>
    </row>
    <row r="111" spans="1:10" ht="27" x14ac:dyDescent="0.25">
      <c r="C111" s="70" t="s">
        <v>26</v>
      </c>
      <c r="D111" s="71" t="s">
        <v>27</v>
      </c>
      <c r="E111" s="72" t="s">
        <v>3320</v>
      </c>
      <c r="F111" s="17" t="s">
        <v>28</v>
      </c>
      <c r="G111" s="14" t="s">
        <v>29</v>
      </c>
      <c r="H111" s="14" t="s">
        <v>30</v>
      </c>
      <c r="I111" s="100" t="s">
        <v>32</v>
      </c>
    </row>
    <row r="112" spans="1:10" x14ac:dyDescent="0.25">
      <c r="C112" s="73" t="s">
        <v>0</v>
      </c>
      <c r="D112" s="74"/>
      <c r="E112" s="75"/>
      <c r="F112" s="76"/>
      <c r="G112" s="77"/>
      <c r="H112" s="77"/>
      <c r="I112" s="101"/>
    </row>
    <row r="113" spans="3:9" x14ac:dyDescent="0.25">
      <c r="C113" s="78" t="s">
        <v>3405</v>
      </c>
      <c r="D113" s="79"/>
      <c r="E113" s="80"/>
      <c r="F113" s="81"/>
      <c r="G113" s="82"/>
      <c r="H113" s="82"/>
      <c r="I113" s="102"/>
    </row>
    <row r="114" spans="3:9" x14ac:dyDescent="0.25">
      <c r="C114" s="83"/>
      <c r="D114" s="79"/>
      <c r="E114" s="80"/>
      <c r="F114" s="81"/>
      <c r="G114" s="82"/>
      <c r="H114" s="82"/>
      <c r="I114" s="102"/>
    </row>
    <row r="115" spans="3:9" x14ac:dyDescent="0.25">
      <c r="C115" s="84" t="s">
        <v>887</v>
      </c>
      <c r="D115" s="85" t="s">
        <v>3401</v>
      </c>
      <c r="E115" s="86" t="s">
        <v>51</v>
      </c>
      <c r="F115" s="87">
        <v>7623</v>
      </c>
      <c r="G115" s="88">
        <v>0</v>
      </c>
      <c r="H115" s="89" t="s">
        <v>3399</v>
      </c>
      <c r="I115" s="103" t="s">
        <v>3408</v>
      </c>
    </row>
    <row r="116" spans="3:9" ht="14.25" thickBot="1" x14ac:dyDescent="0.3">
      <c r="C116" s="90"/>
      <c r="D116" s="91"/>
      <c r="E116" s="92"/>
      <c r="F116" s="20"/>
      <c r="G116" s="93"/>
      <c r="H116" s="94"/>
      <c r="I116" s="36"/>
    </row>
    <row r="117" spans="3:9" x14ac:dyDescent="0.25">
      <c r="C117" s="95"/>
      <c r="D117" s="95"/>
      <c r="E117" s="96"/>
      <c r="F117" s="97"/>
      <c r="G117" s="98"/>
      <c r="H117" s="99"/>
      <c r="I117" s="99"/>
    </row>
    <row r="118" spans="3:9" x14ac:dyDescent="0.25">
      <c r="E118" s="16"/>
      <c r="F118" s="13"/>
      <c r="H118" s="3"/>
      <c r="I118" s="2"/>
    </row>
    <row r="119" spans="3:9" x14ac:dyDescent="0.25">
      <c r="C119" s="1" t="s">
        <v>38</v>
      </c>
      <c r="E119" s="16"/>
      <c r="F119" s="13"/>
      <c r="H119" s="3"/>
      <c r="I119" s="2"/>
    </row>
    <row r="120" spans="3:9" x14ac:dyDescent="0.25">
      <c r="C120" s="2" t="s">
        <v>3406</v>
      </c>
      <c r="E120" s="16"/>
      <c r="F120" s="13"/>
      <c r="H120" s="3"/>
      <c r="I120" s="2"/>
    </row>
    <row r="121" spans="3:9" x14ac:dyDescent="0.25">
      <c r="C121" s="2" t="s">
        <v>40</v>
      </c>
      <c r="E121" s="16"/>
      <c r="F121" s="13"/>
      <c r="H121" s="3"/>
      <c r="I121" s="2"/>
    </row>
    <row r="122" spans="3:9" x14ac:dyDescent="0.25">
      <c r="C122" s="2" t="s">
        <v>3430</v>
      </c>
      <c r="E122" s="16"/>
      <c r="F122" s="13"/>
      <c r="H122" s="3"/>
      <c r="I122" s="2"/>
    </row>
    <row r="123" spans="3:9" ht="130.5" customHeight="1" x14ac:dyDescent="0.25">
      <c r="C123" s="116" t="s">
        <v>3407</v>
      </c>
      <c r="D123" s="116"/>
      <c r="E123" s="116"/>
      <c r="F123" s="116"/>
      <c r="G123" s="116"/>
      <c r="H123" s="116"/>
      <c r="I123" s="104"/>
    </row>
    <row r="124" spans="3:9" x14ac:dyDescent="0.25">
      <c r="I124" s="3"/>
    </row>
    <row r="125" spans="3:9" x14ac:dyDescent="0.25">
      <c r="I125" s="3"/>
    </row>
  </sheetData>
  <mergeCells count="1">
    <mergeCell ref="C123:H123"/>
  </mergeCells>
  <hyperlinks>
    <hyperlink ref="J2" location="'Index'!A1" display="'Index'!A1"/>
  </hyperlinks>
  <pageMargins left="0.7" right="0.7" top="0.75" bottom="0.75" header="0.3" footer="0.3"/>
  <pageSetup orientation="portrait" horizontalDpi="4294967293"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6"/>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2586</v>
      </c>
      <c r="J2" s="37" t="s">
        <v>3307</v>
      </c>
    </row>
    <row r="3" spans="1:10" ht="16.5" x14ac:dyDescent="0.3">
      <c r="C3" s="1" t="s">
        <v>24</v>
      </c>
      <c r="D3" s="21" t="s">
        <v>2587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2418</v>
      </c>
      <c r="C18" s="56" t="s">
        <v>2282</v>
      </c>
      <c r="D18" s="53" t="s">
        <v>2419</v>
      </c>
      <c r="E18" s="6" t="s">
        <v>1314</v>
      </c>
      <c r="F18" s="19">
        <v>150</v>
      </c>
      <c r="G18" s="24">
        <v>1868.18</v>
      </c>
      <c r="H18" s="24">
        <v>9.25</v>
      </c>
      <c r="I18" s="31">
        <v>5.4999000000000002</v>
      </c>
      <c r="J18" s="35" t="s">
        <v>514</v>
      </c>
    </row>
    <row r="19" spans="2:10" x14ac:dyDescent="0.25">
      <c r="B19" s="8" t="s">
        <v>2573</v>
      </c>
      <c r="C19" s="56" t="s">
        <v>1376</v>
      </c>
      <c r="D19" s="53" t="s">
        <v>2574</v>
      </c>
      <c r="E19" s="6" t="s">
        <v>534</v>
      </c>
      <c r="F19" s="19">
        <v>150</v>
      </c>
      <c r="G19" s="24">
        <v>1562.95</v>
      </c>
      <c r="H19" s="24">
        <v>7.74</v>
      </c>
      <c r="I19" s="31">
        <v>4.3449999999999998</v>
      </c>
      <c r="J19" s="35" t="s">
        <v>514</v>
      </c>
    </row>
    <row r="20" spans="2:10" x14ac:dyDescent="0.25">
      <c r="B20" s="8" t="s">
        <v>2588</v>
      </c>
      <c r="C20" s="56" t="s">
        <v>854</v>
      </c>
      <c r="D20" s="53" t="s">
        <v>2589</v>
      </c>
      <c r="E20" s="6" t="s">
        <v>534</v>
      </c>
      <c r="F20" s="19">
        <v>150</v>
      </c>
      <c r="G20" s="24">
        <v>1559.75</v>
      </c>
      <c r="H20" s="24">
        <v>7.73</v>
      </c>
      <c r="I20" s="31">
        <v>4.0449999999999999</v>
      </c>
      <c r="J20" s="35" t="s">
        <v>514</v>
      </c>
    </row>
    <row r="21" spans="2:10" x14ac:dyDescent="0.25">
      <c r="B21" s="8" t="s">
        <v>2562</v>
      </c>
      <c r="C21" s="56" t="s">
        <v>1752</v>
      </c>
      <c r="D21" s="53" t="s">
        <v>2563</v>
      </c>
      <c r="E21" s="6" t="s">
        <v>1314</v>
      </c>
      <c r="F21" s="19">
        <v>150</v>
      </c>
      <c r="G21" s="24">
        <v>1553.67</v>
      </c>
      <c r="H21" s="24">
        <v>7.7</v>
      </c>
      <c r="I21" s="31">
        <v>4.0350000000000001</v>
      </c>
      <c r="J21" s="35" t="s">
        <v>514</v>
      </c>
    </row>
    <row r="22" spans="2:10" x14ac:dyDescent="0.25">
      <c r="B22" s="8" t="s">
        <v>1735</v>
      </c>
      <c r="C22" s="56" t="s">
        <v>909</v>
      </c>
      <c r="D22" s="53" t="s">
        <v>1736</v>
      </c>
      <c r="E22" s="6" t="s">
        <v>534</v>
      </c>
      <c r="F22" s="19">
        <v>150</v>
      </c>
      <c r="G22" s="24">
        <v>1550.47</v>
      </c>
      <c r="H22" s="24">
        <v>7.68</v>
      </c>
      <c r="I22" s="31">
        <v>4.16</v>
      </c>
      <c r="J22" s="35" t="s">
        <v>514</v>
      </c>
    </row>
    <row r="23" spans="2:10" x14ac:dyDescent="0.25">
      <c r="B23" s="8" t="s">
        <v>619</v>
      </c>
      <c r="C23" s="56" t="s">
        <v>53</v>
      </c>
      <c r="D23" s="53" t="s">
        <v>620</v>
      </c>
      <c r="E23" s="6" t="s">
        <v>534</v>
      </c>
      <c r="F23" s="19">
        <v>150</v>
      </c>
      <c r="G23" s="24">
        <v>1550.21</v>
      </c>
      <c r="H23" s="24">
        <v>7.68</v>
      </c>
      <c r="I23" s="31">
        <v>4.24</v>
      </c>
      <c r="J23" s="35" t="s">
        <v>514</v>
      </c>
    </row>
    <row r="24" spans="2:10" x14ac:dyDescent="0.25">
      <c r="B24" s="8" t="s">
        <v>1703</v>
      </c>
      <c r="C24" s="56" t="s">
        <v>601</v>
      </c>
      <c r="D24" s="53" t="s">
        <v>1704</v>
      </c>
      <c r="E24" s="6" t="s">
        <v>534</v>
      </c>
      <c r="F24" s="19">
        <v>150</v>
      </c>
      <c r="G24" s="24">
        <v>1540.58</v>
      </c>
      <c r="H24" s="24">
        <v>7.63</v>
      </c>
      <c r="I24" s="31">
        <v>4.25</v>
      </c>
      <c r="J24" s="35" t="s">
        <v>514</v>
      </c>
    </row>
    <row r="25" spans="2:10" x14ac:dyDescent="0.25">
      <c r="B25" s="8" t="s">
        <v>2546</v>
      </c>
      <c r="C25" s="56" t="s">
        <v>1016</v>
      </c>
      <c r="D25" s="53" t="s">
        <v>2547</v>
      </c>
      <c r="E25" s="6" t="s">
        <v>1383</v>
      </c>
      <c r="F25" s="19">
        <v>150</v>
      </c>
      <c r="G25" s="24">
        <v>1532.65</v>
      </c>
      <c r="H25" s="24">
        <v>7.59</v>
      </c>
      <c r="I25" s="31">
        <v>6.3632999999999997</v>
      </c>
      <c r="J25" s="35" t="s">
        <v>514</v>
      </c>
    </row>
    <row r="26" spans="2:10" x14ac:dyDescent="0.25">
      <c r="B26" s="8" t="s">
        <v>2579</v>
      </c>
      <c r="C26" s="56" t="s">
        <v>137</v>
      </c>
      <c r="D26" s="53" t="s">
        <v>2580</v>
      </c>
      <c r="E26" s="6" t="s">
        <v>534</v>
      </c>
      <c r="F26" s="19">
        <v>140</v>
      </c>
      <c r="G26" s="24">
        <v>1438.41</v>
      </c>
      <c r="H26" s="24">
        <v>7.13</v>
      </c>
      <c r="I26" s="31">
        <v>4.17</v>
      </c>
      <c r="J26" s="35" t="s">
        <v>514</v>
      </c>
    </row>
    <row r="27" spans="2:10" x14ac:dyDescent="0.25">
      <c r="B27" s="8" t="s">
        <v>2590</v>
      </c>
      <c r="C27" s="56" t="s">
        <v>1019</v>
      </c>
      <c r="D27" s="53" t="s">
        <v>2591</v>
      </c>
      <c r="E27" s="6" t="s">
        <v>1383</v>
      </c>
      <c r="F27" s="19">
        <v>80</v>
      </c>
      <c r="G27" s="24">
        <v>821.62</v>
      </c>
      <c r="H27" s="24">
        <v>4.07</v>
      </c>
      <c r="I27" s="31">
        <v>6.1619000000000002</v>
      </c>
      <c r="J27" s="35" t="s">
        <v>514</v>
      </c>
    </row>
    <row r="28" spans="2:10" x14ac:dyDescent="0.25">
      <c r="B28" s="8" t="s">
        <v>2517</v>
      </c>
      <c r="C28" s="56" t="s">
        <v>1329</v>
      </c>
      <c r="D28" s="53" t="s">
        <v>2518</v>
      </c>
      <c r="E28" s="6" t="s">
        <v>1383</v>
      </c>
      <c r="F28" s="19">
        <v>40</v>
      </c>
      <c r="G28" s="24">
        <v>492.28</v>
      </c>
      <c r="H28" s="24">
        <v>2.44</v>
      </c>
      <c r="I28" s="31">
        <v>5.7648000000000001</v>
      </c>
      <c r="J28" s="35" t="s">
        <v>514</v>
      </c>
    </row>
    <row r="29" spans="2:10" x14ac:dyDescent="0.25">
      <c r="B29" s="8" t="s">
        <v>2577</v>
      </c>
      <c r="C29" s="56" t="s">
        <v>125</v>
      </c>
      <c r="D29" s="53" t="s">
        <v>2578</v>
      </c>
      <c r="E29" s="6" t="s">
        <v>534</v>
      </c>
      <c r="F29" s="19">
        <v>40</v>
      </c>
      <c r="G29" s="24">
        <v>415.73</v>
      </c>
      <c r="H29" s="24">
        <v>2.06</v>
      </c>
      <c r="I29" s="31">
        <v>4.38</v>
      </c>
      <c r="J29" s="35" t="s">
        <v>514</v>
      </c>
    </row>
    <row r="30" spans="2:10" x14ac:dyDescent="0.25">
      <c r="C30" s="57" t="s">
        <v>35</v>
      </c>
      <c r="D30" s="53"/>
      <c r="E30" s="6"/>
      <c r="F30" s="19"/>
      <c r="G30" s="25">
        <v>15886.5</v>
      </c>
      <c r="H30" s="25">
        <v>78.7</v>
      </c>
      <c r="I30" s="31"/>
      <c r="J30" s="35"/>
    </row>
    <row r="31" spans="2:10" x14ac:dyDescent="0.25">
      <c r="C31" s="56"/>
      <c r="D31" s="53"/>
      <c r="E31" s="6"/>
      <c r="F31" s="19"/>
      <c r="G31" s="24"/>
      <c r="H31" s="24"/>
      <c r="I31" s="31"/>
      <c r="J31" s="35"/>
    </row>
    <row r="32" spans="2:10" x14ac:dyDescent="0.25">
      <c r="C32" s="59" t="s">
        <v>7</v>
      </c>
      <c r="D32" s="53"/>
      <c r="E32" s="6"/>
      <c r="F32" s="19"/>
      <c r="G32" s="24"/>
      <c r="H32" s="24"/>
      <c r="I32" s="31"/>
      <c r="J32" s="35"/>
    </row>
    <row r="33" spans="1:10" x14ac:dyDescent="0.25">
      <c r="B33" s="8" t="s">
        <v>2592</v>
      </c>
      <c r="C33" s="56" t="s">
        <v>1786</v>
      </c>
      <c r="D33" s="53" t="s">
        <v>2593</v>
      </c>
      <c r="E33" s="6" t="s">
        <v>534</v>
      </c>
      <c r="F33" s="19">
        <v>150</v>
      </c>
      <c r="G33" s="24">
        <v>1541.44</v>
      </c>
      <c r="H33" s="24">
        <v>7.64</v>
      </c>
      <c r="I33" s="31">
        <v>4.8672000000000004</v>
      </c>
      <c r="J33" s="35" t="s">
        <v>514</v>
      </c>
    </row>
    <row r="34" spans="1:10" x14ac:dyDescent="0.25">
      <c r="C34" s="57" t="s">
        <v>35</v>
      </c>
      <c r="D34" s="53"/>
      <c r="E34" s="6"/>
      <c r="F34" s="19"/>
      <c r="G34" s="25">
        <v>1541.44</v>
      </c>
      <c r="H34" s="25">
        <v>7.64</v>
      </c>
      <c r="I34" s="31"/>
      <c r="J34" s="35"/>
    </row>
    <row r="35" spans="1:10" x14ac:dyDescent="0.25">
      <c r="C35" s="56"/>
      <c r="D35" s="53"/>
      <c r="E35" s="6"/>
      <c r="F35" s="19"/>
      <c r="G35" s="24"/>
      <c r="H35" s="24"/>
      <c r="I35" s="31"/>
      <c r="J35" s="35"/>
    </row>
    <row r="36" spans="1:10" x14ac:dyDescent="0.25">
      <c r="C36" s="57" t="s">
        <v>8</v>
      </c>
      <c r="D36" s="53"/>
      <c r="E36" s="6"/>
      <c r="F36" s="19"/>
      <c r="G36" s="24" t="s">
        <v>2</v>
      </c>
      <c r="H36" s="24" t="s">
        <v>2</v>
      </c>
      <c r="I36" s="31"/>
      <c r="J36" s="35"/>
    </row>
    <row r="37" spans="1:10" x14ac:dyDescent="0.25">
      <c r="C37" s="56"/>
      <c r="D37" s="53"/>
      <c r="E37" s="6"/>
      <c r="F37" s="19"/>
      <c r="G37" s="24"/>
      <c r="H37" s="24"/>
      <c r="I37" s="31"/>
      <c r="J37" s="35"/>
    </row>
    <row r="38" spans="1:10" x14ac:dyDescent="0.25">
      <c r="C38" s="57" t="s">
        <v>9</v>
      </c>
      <c r="D38" s="53"/>
      <c r="E38" s="6"/>
      <c r="F38" s="19"/>
      <c r="G38" s="24" t="s">
        <v>2</v>
      </c>
      <c r="H38" s="24" t="s">
        <v>2</v>
      </c>
      <c r="I38" s="31"/>
      <c r="J38" s="35"/>
    </row>
    <row r="39" spans="1:10" x14ac:dyDescent="0.25">
      <c r="C39" s="56"/>
      <c r="D39" s="53"/>
      <c r="E39" s="6"/>
      <c r="F39" s="19"/>
      <c r="G39" s="24"/>
      <c r="H39" s="24"/>
      <c r="I39" s="31"/>
      <c r="J39" s="35"/>
    </row>
    <row r="40" spans="1:10" x14ac:dyDescent="0.25">
      <c r="C40" s="57" t="s">
        <v>10</v>
      </c>
      <c r="D40" s="53"/>
      <c r="E40" s="6"/>
      <c r="F40" s="19"/>
      <c r="G40" s="24" t="s">
        <v>2</v>
      </c>
      <c r="H40" s="24" t="s">
        <v>2</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1260</v>
      </c>
      <c r="C46" s="56" t="s">
        <v>402</v>
      </c>
      <c r="D46" s="53" t="s">
        <v>1261</v>
      </c>
      <c r="E46" s="6" t="s">
        <v>992</v>
      </c>
      <c r="F46" s="19">
        <v>500</v>
      </c>
      <c r="G46" s="24">
        <v>496.2</v>
      </c>
      <c r="H46" s="24">
        <v>2.46</v>
      </c>
      <c r="I46" s="31">
        <v>3.3250000000000002</v>
      </c>
      <c r="J46" s="35" t="s">
        <v>514</v>
      </c>
    </row>
    <row r="47" spans="1:10" x14ac:dyDescent="0.25">
      <c r="B47" s="8" t="s">
        <v>2480</v>
      </c>
      <c r="C47" s="56" t="s">
        <v>872</v>
      </c>
      <c r="D47" s="53" t="s">
        <v>2481</v>
      </c>
      <c r="E47" s="6" t="s">
        <v>992</v>
      </c>
      <c r="F47" s="19">
        <v>500</v>
      </c>
      <c r="G47" s="24">
        <v>494.12</v>
      </c>
      <c r="H47" s="24">
        <v>2.4500000000000002</v>
      </c>
      <c r="I47" s="31">
        <v>4.2149999999999999</v>
      </c>
      <c r="J47" s="35" t="s">
        <v>514</v>
      </c>
    </row>
    <row r="48" spans="1:10" x14ac:dyDescent="0.25">
      <c r="B48" s="8" t="s">
        <v>1225</v>
      </c>
      <c r="C48" s="56" t="s">
        <v>818</v>
      </c>
      <c r="D48" s="53" t="s">
        <v>1226</v>
      </c>
      <c r="E48" s="6" t="s">
        <v>1000</v>
      </c>
      <c r="F48" s="19">
        <v>200</v>
      </c>
      <c r="G48" s="24">
        <v>196.98</v>
      </c>
      <c r="H48" s="24">
        <v>0.98</v>
      </c>
      <c r="I48" s="31">
        <v>3.5150000000000001</v>
      </c>
      <c r="J48" s="35" t="s">
        <v>514</v>
      </c>
    </row>
    <row r="49" spans="1:10" x14ac:dyDescent="0.25">
      <c r="C49" s="57" t="s">
        <v>35</v>
      </c>
      <c r="D49" s="53"/>
      <c r="E49" s="6"/>
      <c r="F49" s="19"/>
      <c r="G49" s="25">
        <v>1187.3</v>
      </c>
      <c r="H49" s="25">
        <v>5.89</v>
      </c>
      <c r="I49" s="31"/>
      <c r="J49" s="35"/>
    </row>
    <row r="50" spans="1:10" x14ac:dyDescent="0.25">
      <c r="C50" s="56"/>
      <c r="D50" s="53"/>
      <c r="E50" s="6"/>
      <c r="F50" s="19"/>
      <c r="G50" s="24"/>
      <c r="H50" s="24"/>
      <c r="I50" s="31"/>
      <c r="J50" s="35"/>
    </row>
    <row r="51" spans="1:10" x14ac:dyDescent="0.25">
      <c r="C51" s="57" t="s">
        <v>15</v>
      </c>
      <c r="D51" s="53"/>
      <c r="E51" s="6"/>
      <c r="F51" s="19"/>
      <c r="G51" s="24" t="s">
        <v>2</v>
      </c>
      <c r="H51" s="24" t="s">
        <v>2</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933.41</v>
      </c>
      <c r="H65" s="24">
        <v>4.62</v>
      </c>
      <c r="I65" s="31"/>
      <c r="J65" s="35"/>
    </row>
    <row r="66" spans="1:10" x14ac:dyDescent="0.25">
      <c r="C66" s="57" t="s">
        <v>35</v>
      </c>
      <c r="D66" s="53"/>
      <c r="E66" s="6"/>
      <c r="F66" s="19"/>
      <c r="G66" s="25">
        <v>933.41</v>
      </c>
      <c r="H66" s="25">
        <v>4.62</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638.28</v>
      </c>
      <c r="H70" s="24">
        <v>3.1500000000000004</v>
      </c>
      <c r="I70" s="31"/>
      <c r="J70" s="35"/>
    </row>
    <row r="71" spans="1:10" x14ac:dyDescent="0.25">
      <c r="C71" s="57" t="s">
        <v>35</v>
      </c>
      <c r="D71" s="53"/>
      <c r="E71" s="6"/>
      <c r="F71" s="19"/>
      <c r="G71" s="25">
        <v>638.28</v>
      </c>
      <c r="H71" s="25">
        <v>3.1500000000000004</v>
      </c>
      <c r="I71" s="31"/>
      <c r="J71" s="35"/>
    </row>
    <row r="72" spans="1:10" x14ac:dyDescent="0.25">
      <c r="C72" s="56"/>
      <c r="D72" s="53"/>
      <c r="E72" s="6"/>
      <c r="F72" s="19"/>
      <c r="G72" s="24"/>
      <c r="H72" s="24"/>
      <c r="I72" s="31"/>
      <c r="J72" s="35"/>
    </row>
    <row r="73" spans="1:10" x14ac:dyDescent="0.25">
      <c r="C73" s="61" t="s">
        <v>37</v>
      </c>
      <c r="D73" s="54"/>
      <c r="E73" s="5"/>
      <c r="F73" s="20"/>
      <c r="G73" s="26">
        <v>20186.93</v>
      </c>
      <c r="H73" s="26">
        <f>SUMIFS(H:H,C:C,"Total")</f>
        <v>100.00000000000001</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7"/>
  <dimension ref="A1:J8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890</v>
      </c>
      <c r="J2" s="37" t="s">
        <v>3307</v>
      </c>
    </row>
    <row r="3" spans="1:10" ht="16.5" x14ac:dyDescent="0.3">
      <c r="C3" s="1" t="s">
        <v>24</v>
      </c>
      <c r="D3" s="21" t="s">
        <v>2594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1319</v>
      </c>
      <c r="C18" s="56" t="s">
        <v>1320</v>
      </c>
      <c r="D18" s="53" t="s">
        <v>1321</v>
      </c>
      <c r="E18" s="6" t="s">
        <v>541</v>
      </c>
      <c r="F18" s="19">
        <v>300</v>
      </c>
      <c r="G18" s="24">
        <v>3642.17</v>
      </c>
      <c r="H18" s="24">
        <v>9.64</v>
      </c>
      <c r="I18" s="31">
        <v>6.8826999999999998</v>
      </c>
      <c r="J18" s="35" t="s">
        <v>514</v>
      </c>
    </row>
    <row r="19" spans="2:10" x14ac:dyDescent="0.25">
      <c r="B19" s="8" t="s">
        <v>2595</v>
      </c>
      <c r="C19" s="56" t="s">
        <v>926</v>
      </c>
      <c r="D19" s="53" t="s">
        <v>2596</v>
      </c>
      <c r="E19" s="6" t="s">
        <v>928</v>
      </c>
      <c r="F19" s="19">
        <v>300</v>
      </c>
      <c r="G19" s="24">
        <v>3120.92</v>
      </c>
      <c r="H19" s="24">
        <v>8.26</v>
      </c>
      <c r="I19" s="31">
        <v>6.1496000000000004</v>
      </c>
      <c r="J19" s="35" t="s">
        <v>514</v>
      </c>
    </row>
    <row r="20" spans="2:10" x14ac:dyDescent="0.25">
      <c r="B20" s="8" t="s">
        <v>1386</v>
      </c>
      <c r="C20" s="56" t="s">
        <v>230</v>
      </c>
      <c r="D20" s="53" t="s">
        <v>1387</v>
      </c>
      <c r="E20" s="6" t="s">
        <v>541</v>
      </c>
      <c r="F20" s="19">
        <v>250000</v>
      </c>
      <c r="G20" s="24">
        <v>2542.4499999999998</v>
      </c>
      <c r="H20" s="24">
        <v>6.73</v>
      </c>
      <c r="I20" s="31">
        <v>6.2046999999999999</v>
      </c>
      <c r="J20" s="35" t="s">
        <v>514</v>
      </c>
    </row>
    <row r="21" spans="2:10" x14ac:dyDescent="0.25">
      <c r="B21" s="8" t="s">
        <v>1735</v>
      </c>
      <c r="C21" s="56" t="s">
        <v>909</v>
      </c>
      <c r="D21" s="53" t="s">
        <v>1736</v>
      </c>
      <c r="E21" s="6" t="s">
        <v>534</v>
      </c>
      <c r="F21" s="19">
        <v>240</v>
      </c>
      <c r="G21" s="24">
        <v>2480.7600000000002</v>
      </c>
      <c r="H21" s="24">
        <v>6.57</v>
      </c>
      <c r="I21" s="31">
        <v>4.16</v>
      </c>
      <c r="J21" s="35" t="s">
        <v>514</v>
      </c>
    </row>
    <row r="22" spans="2:10" x14ac:dyDescent="0.25">
      <c r="B22" s="8" t="s">
        <v>619</v>
      </c>
      <c r="C22" s="56" t="s">
        <v>53</v>
      </c>
      <c r="D22" s="53" t="s">
        <v>620</v>
      </c>
      <c r="E22" s="6" t="s">
        <v>534</v>
      </c>
      <c r="F22" s="19">
        <v>240</v>
      </c>
      <c r="G22" s="24">
        <v>2480.34</v>
      </c>
      <c r="H22" s="24">
        <v>6.57</v>
      </c>
      <c r="I22" s="31">
        <v>4.24</v>
      </c>
      <c r="J22" s="35" t="s">
        <v>514</v>
      </c>
    </row>
    <row r="23" spans="2:10" x14ac:dyDescent="0.25">
      <c r="B23" s="8" t="s">
        <v>1964</v>
      </c>
      <c r="C23" s="56" t="s">
        <v>601</v>
      </c>
      <c r="D23" s="53" t="s">
        <v>1965</v>
      </c>
      <c r="E23" s="6" t="s">
        <v>534</v>
      </c>
      <c r="F23" s="19">
        <v>240</v>
      </c>
      <c r="G23" s="24">
        <v>2470.6799999999998</v>
      </c>
      <c r="H23" s="24">
        <v>6.54</v>
      </c>
      <c r="I23" s="31">
        <v>4.26</v>
      </c>
      <c r="J23" s="35" t="s">
        <v>514</v>
      </c>
    </row>
    <row r="24" spans="2:10" x14ac:dyDescent="0.25">
      <c r="B24" s="8" t="s">
        <v>2407</v>
      </c>
      <c r="C24" s="56" t="s">
        <v>358</v>
      </c>
      <c r="D24" s="53" t="s">
        <v>2408</v>
      </c>
      <c r="E24" s="6" t="s">
        <v>541</v>
      </c>
      <c r="F24" s="19">
        <v>250</v>
      </c>
      <c r="G24" s="24">
        <v>2460.6</v>
      </c>
      <c r="H24" s="24">
        <v>6.51</v>
      </c>
      <c r="I24" s="31">
        <v>11.2997</v>
      </c>
      <c r="J24" s="35" t="s">
        <v>514</v>
      </c>
    </row>
    <row r="25" spans="2:10" x14ac:dyDescent="0.25">
      <c r="B25" s="8" t="s">
        <v>2562</v>
      </c>
      <c r="C25" s="56" t="s">
        <v>1752</v>
      </c>
      <c r="D25" s="53" t="s">
        <v>2563</v>
      </c>
      <c r="E25" s="6" t="s">
        <v>1314</v>
      </c>
      <c r="F25" s="19">
        <v>230</v>
      </c>
      <c r="G25" s="24">
        <v>2382.29</v>
      </c>
      <c r="H25" s="24">
        <v>6.31</v>
      </c>
      <c r="I25" s="31">
        <v>4.0350000000000001</v>
      </c>
      <c r="J25" s="35" t="s">
        <v>514</v>
      </c>
    </row>
    <row r="26" spans="2:10" x14ac:dyDescent="0.25">
      <c r="B26" s="8" t="s">
        <v>1315</v>
      </c>
      <c r="C26" s="56" t="s">
        <v>938</v>
      </c>
      <c r="D26" s="53" t="s">
        <v>1316</v>
      </c>
      <c r="E26" s="6" t="s">
        <v>573</v>
      </c>
      <c r="F26" s="19">
        <v>200000</v>
      </c>
      <c r="G26" s="24">
        <v>1953.68</v>
      </c>
      <c r="H26" s="24">
        <v>5.17</v>
      </c>
      <c r="I26" s="31">
        <v>12.112299999999999</v>
      </c>
      <c r="J26" s="35" t="s">
        <v>514</v>
      </c>
    </row>
    <row r="27" spans="2:10" x14ac:dyDescent="0.25">
      <c r="B27" s="8" t="s">
        <v>2517</v>
      </c>
      <c r="C27" s="56" t="s">
        <v>1329</v>
      </c>
      <c r="D27" s="53" t="s">
        <v>2518</v>
      </c>
      <c r="E27" s="6" t="s">
        <v>1383</v>
      </c>
      <c r="F27" s="19">
        <v>140</v>
      </c>
      <c r="G27" s="24">
        <v>1722.98</v>
      </c>
      <c r="H27" s="24">
        <v>4.5599999999999996</v>
      </c>
      <c r="I27" s="31">
        <v>5.7648000000000001</v>
      </c>
      <c r="J27" s="35" t="s">
        <v>514</v>
      </c>
    </row>
    <row r="28" spans="2:10" x14ac:dyDescent="0.25">
      <c r="B28" s="8" t="s">
        <v>583</v>
      </c>
      <c r="C28" s="56" t="s">
        <v>562</v>
      </c>
      <c r="D28" s="53" t="s">
        <v>584</v>
      </c>
      <c r="E28" s="6" t="s">
        <v>564</v>
      </c>
      <c r="F28" s="19">
        <v>150</v>
      </c>
      <c r="G28" s="24">
        <v>1712.3</v>
      </c>
      <c r="H28" s="24">
        <v>4.53</v>
      </c>
      <c r="I28" s="31">
        <v>7.4341999999999997</v>
      </c>
      <c r="J28" s="35" t="s">
        <v>514</v>
      </c>
    </row>
    <row r="29" spans="2:10" x14ac:dyDescent="0.25">
      <c r="B29" s="8" t="s">
        <v>2597</v>
      </c>
      <c r="C29" s="56" t="s">
        <v>683</v>
      </c>
      <c r="D29" s="53" t="s">
        <v>2598</v>
      </c>
      <c r="E29" s="6" t="s">
        <v>957</v>
      </c>
      <c r="F29" s="19">
        <v>150</v>
      </c>
      <c r="G29" s="24">
        <v>1534.6</v>
      </c>
      <c r="H29" s="24">
        <v>4.0599999999999996</v>
      </c>
      <c r="I29" s="31">
        <v>5.5799000000000003</v>
      </c>
      <c r="J29" s="35" t="s">
        <v>514</v>
      </c>
    </row>
    <row r="30" spans="2:10" x14ac:dyDescent="0.25">
      <c r="B30" s="8" t="s">
        <v>1286</v>
      </c>
      <c r="C30" s="56" t="s">
        <v>66</v>
      </c>
      <c r="D30" s="53" t="s">
        <v>1287</v>
      </c>
      <c r="E30" s="6" t="s">
        <v>541</v>
      </c>
      <c r="F30" s="19">
        <v>150</v>
      </c>
      <c r="G30" s="24">
        <v>1527.93</v>
      </c>
      <c r="H30" s="24">
        <v>4.04</v>
      </c>
      <c r="I30" s="31">
        <v>4.7049000000000003</v>
      </c>
      <c r="J30" s="35" t="s">
        <v>514</v>
      </c>
    </row>
    <row r="31" spans="2:10" x14ac:dyDescent="0.25">
      <c r="B31" s="8" t="s">
        <v>2521</v>
      </c>
      <c r="C31" s="56" t="s">
        <v>331</v>
      </c>
      <c r="D31" s="53" t="s">
        <v>2522</v>
      </c>
      <c r="E31" s="6" t="s">
        <v>573</v>
      </c>
      <c r="F31" s="19">
        <v>110</v>
      </c>
      <c r="G31" s="24">
        <v>1126.07</v>
      </c>
      <c r="H31" s="24">
        <v>2.98</v>
      </c>
      <c r="I31" s="31">
        <v>5.4371</v>
      </c>
      <c r="J31" s="35" t="s">
        <v>514</v>
      </c>
    </row>
    <row r="32" spans="2:10" x14ac:dyDescent="0.25">
      <c r="B32" s="8" t="s">
        <v>2564</v>
      </c>
      <c r="C32" s="56" t="s">
        <v>691</v>
      </c>
      <c r="D32" s="53" t="s">
        <v>2565</v>
      </c>
      <c r="E32" s="6" t="s">
        <v>693</v>
      </c>
      <c r="F32" s="19">
        <v>100</v>
      </c>
      <c r="G32" s="24">
        <v>1031.68</v>
      </c>
      <c r="H32" s="24">
        <v>2.73</v>
      </c>
      <c r="I32" s="31">
        <v>6.4401000000000002</v>
      </c>
      <c r="J32" s="35" t="s">
        <v>514</v>
      </c>
    </row>
    <row r="33" spans="1:10" x14ac:dyDescent="0.25">
      <c r="B33" s="8" t="s">
        <v>2588</v>
      </c>
      <c r="C33" s="56" t="s">
        <v>854</v>
      </c>
      <c r="D33" s="53" t="s">
        <v>2589</v>
      </c>
      <c r="E33" s="6" t="s">
        <v>534</v>
      </c>
      <c r="F33" s="19">
        <v>40</v>
      </c>
      <c r="G33" s="24">
        <v>415.93</v>
      </c>
      <c r="H33" s="24">
        <v>1.1000000000000001</v>
      </c>
      <c r="I33" s="31">
        <v>4.0449999999999999</v>
      </c>
      <c r="J33" s="35" t="s">
        <v>514</v>
      </c>
    </row>
    <row r="34" spans="1:10" x14ac:dyDescent="0.25">
      <c r="B34" s="8" t="s">
        <v>2570</v>
      </c>
      <c r="C34" s="56" t="s">
        <v>1019</v>
      </c>
      <c r="D34" s="53" t="s">
        <v>2571</v>
      </c>
      <c r="E34" s="6" t="s">
        <v>1383</v>
      </c>
      <c r="F34" s="19">
        <v>30</v>
      </c>
      <c r="G34" s="24">
        <v>308.14999999999998</v>
      </c>
      <c r="H34" s="24">
        <v>0.82</v>
      </c>
      <c r="I34" s="31">
        <v>6.1619000000000002</v>
      </c>
      <c r="J34" s="35" t="s">
        <v>514</v>
      </c>
    </row>
    <row r="35" spans="1:10" x14ac:dyDescent="0.25">
      <c r="C35" s="57" t="s">
        <v>35</v>
      </c>
      <c r="D35" s="53"/>
      <c r="E35" s="6"/>
      <c r="F35" s="19"/>
      <c r="G35" s="25">
        <v>32913.53</v>
      </c>
      <c r="H35" s="25">
        <v>87.12</v>
      </c>
      <c r="I35" s="31"/>
      <c r="J35" s="35"/>
    </row>
    <row r="36" spans="1:10" x14ac:dyDescent="0.25">
      <c r="C36" s="56"/>
      <c r="D36" s="53"/>
      <c r="E36" s="6"/>
      <c r="F36" s="19"/>
      <c r="G36" s="24"/>
      <c r="H36" s="24"/>
      <c r="I36" s="31"/>
      <c r="J36" s="35"/>
    </row>
    <row r="37" spans="1:10" x14ac:dyDescent="0.25">
      <c r="C37" s="57" t="s">
        <v>7</v>
      </c>
      <c r="D37" s="53"/>
      <c r="E37" s="6"/>
      <c r="F37" s="19"/>
      <c r="G37" s="24" t="s">
        <v>2</v>
      </c>
      <c r="H37" s="24" t="s">
        <v>2</v>
      </c>
      <c r="I37" s="31"/>
      <c r="J37" s="35"/>
    </row>
    <row r="38" spans="1:10" x14ac:dyDescent="0.25">
      <c r="C38" s="56"/>
      <c r="D38" s="53"/>
      <c r="E38" s="6"/>
      <c r="F38" s="19"/>
      <c r="G38" s="24"/>
      <c r="H38" s="24"/>
      <c r="I38" s="31"/>
      <c r="J38" s="35"/>
    </row>
    <row r="39" spans="1:10" x14ac:dyDescent="0.25">
      <c r="C39" s="59" t="s">
        <v>8</v>
      </c>
      <c r="D39" s="53"/>
      <c r="E39" s="6"/>
      <c r="F39" s="19"/>
      <c r="G39" s="24"/>
      <c r="H39" s="24"/>
      <c r="I39" s="31"/>
      <c r="J39" s="35"/>
    </row>
    <row r="40" spans="1:10" x14ac:dyDescent="0.25">
      <c r="B40" s="8" t="s">
        <v>1792</v>
      </c>
      <c r="C40" s="56" t="s">
        <v>1420</v>
      </c>
      <c r="D40" s="53" t="s">
        <v>1793</v>
      </c>
      <c r="E40" s="6" t="s">
        <v>1422</v>
      </c>
      <c r="F40" s="19">
        <v>100</v>
      </c>
      <c r="G40" s="24">
        <v>1261.2</v>
      </c>
      <c r="H40" s="24">
        <v>3.34</v>
      </c>
      <c r="I40" s="31">
        <v>4.8914</v>
      </c>
      <c r="J40" s="35" t="s">
        <v>514</v>
      </c>
    </row>
    <row r="41" spans="1:10" x14ac:dyDescent="0.25">
      <c r="C41" s="57" t="s">
        <v>35</v>
      </c>
      <c r="D41" s="53"/>
      <c r="E41" s="6"/>
      <c r="F41" s="19"/>
      <c r="G41" s="25">
        <v>1261.2</v>
      </c>
      <c r="H41" s="25">
        <v>3.34</v>
      </c>
      <c r="I41" s="31"/>
      <c r="J41" s="35"/>
    </row>
    <row r="42" spans="1:10" x14ac:dyDescent="0.25">
      <c r="C42" s="56"/>
      <c r="D42" s="53"/>
      <c r="E42" s="6"/>
      <c r="F42" s="19"/>
      <c r="G42" s="24"/>
      <c r="H42" s="24"/>
      <c r="I42" s="31"/>
      <c r="J42" s="35"/>
    </row>
    <row r="43" spans="1:10" x14ac:dyDescent="0.25">
      <c r="C43" s="57" t="s">
        <v>9</v>
      </c>
      <c r="D43" s="53"/>
      <c r="E43" s="6"/>
      <c r="F43" s="19"/>
      <c r="G43" s="24" t="s">
        <v>2</v>
      </c>
      <c r="H43" s="24" t="s">
        <v>2</v>
      </c>
      <c r="I43" s="31"/>
      <c r="J43" s="35"/>
    </row>
    <row r="44" spans="1:10" x14ac:dyDescent="0.25">
      <c r="C44" s="56"/>
      <c r="D44" s="53"/>
      <c r="E44" s="6"/>
      <c r="F44" s="19"/>
      <c r="G44" s="24"/>
      <c r="H44" s="24"/>
      <c r="I44" s="31"/>
      <c r="J44" s="35"/>
    </row>
    <row r="45" spans="1:10" x14ac:dyDescent="0.25">
      <c r="C45" s="57" t="s">
        <v>10</v>
      </c>
      <c r="D45" s="53"/>
      <c r="E45" s="6"/>
      <c r="F45" s="19"/>
      <c r="G45" s="24" t="s">
        <v>2</v>
      </c>
      <c r="H45" s="24" t="s">
        <v>2</v>
      </c>
      <c r="I45" s="31"/>
      <c r="J45" s="35"/>
    </row>
    <row r="46" spans="1:10" x14ac:dyDescent="0.25">
      <c r="C46" s="56"/>
      <c r="D46" s="53"/>
      <c r="E46" s="6"/>
      <c r="F46" s="19"/>
      <c r="G46" s="24"/>
      <c r="H46" s="24"/>
      <c r="I46" s="31"/>
      <c r="J46" s="35"/>
    </row>
    <row r="47" spans="1:10" x14ac:dyDescent="0.25">
      <c r="A47" s="10"/>
      <c r="B47" s="28"/>
      <c r="C47" s="58" t="s">
        <v>11</v>
      </c>
      <c r="D47" s="53"/>
      <c r="E47" s="6"/>
      <c r="F47" s="19"/>
      <c r="G47" s="24"/>
      <c r="H47" s="24"/>
      <c r="I47" s="31"/>
      <c r="J47" s="35"/>
    </row>
    <row r="48" spans="1:10" x14ac:dyDescent="0.25">
      <c r="A48" s="28"/>
      <c r="B48" s="28"/>
      <c r="C48" s="58" t="s">
        <v>13</v>
      </c>
      <c r="D48" s="53"/>
      <c r="E48" s="6"/>
      <c r="F48" s="19"/>
      <c r="G48" s="24" t="s">
        <v>2</v>
      </c>
      <c r="H48" s="24" t="s">
        <v>2</v>
      </c>
      <c r="I48" s="31"/>
      <c r="J48" s="35"/>
    </row>
    <row r="49" spans="1:10" x14ac:dyDescent="0.25">
      <c r="A49" s="28"/>
      <c r="B49" s="28"/>
      <c r="C49" s="58"/>
      <c r="D49" s="53"/>
      <c r="E49" s="6"/>
      <c r="F49" s="19"/>
      <c r="G49" s="24"/>
      <c r="H49" s="24"/>
      <c r="I49" s="31"/>
      <c r="J49" s="35"/>
    </row>
    <row r="50" spans="1:10" x14ac:dyDescent="0.25">
      <c r="C50" s="59" t="s">
        <v>14</v>
      </c>
      <c r="D50" s="53"/>
      <c r="E50" s="6"/>
      <c r="F50" s="19"/>
      <c r="G50" s="24"/>
      <c r="H50" s="24"/>
      <c r="I50" s="31"/>
      <c r="J50" s="35"/>
    </row>
    <row r="51" spans="1:10" x14ac:dyDescent="0.25">
      <c r="B51" s="8" t="s">
        <v>2480</v>
      </c>
      <c r="C51" s="56" t="s">
        <v>872</v>
      </c>
      <c r="D51" s="53" t="s">
        <v>2481</v>
      </c>
      <c r="E51" s="6" t="s">
        <v>992</v>
      </c>
      <c r="F51" s="19">
        <v>1000</v>
      </c>
      <c r="G51" s="24">
        <v>988.25</v>
      </c>
      <c r="H51" s="24">
        <v>2.62</v>
      </c>
      <c r="I51" s="31">
        <v>4.2149999999999999</v>
      </c>
      <c r="J51" s="35" t="s">
        <v>514</v>
      </c>
    </row>
    <row r="52" spans="1:10" x14ac:dyDescent="0.25">
      <c r="B52" s="8" t="s">
        <v>2478</v>
      </c>
      <c r="C52" s="56" t="s">
        <v>818</v>
      </c>
      <c r="D52" s="53" t="s">
        <v>2479</v>
      </c>
      <c r="E52" s="6" t="s">
        <v>1000</v>
      </c>
      <c r="F52" s="19">
        <v>400</v>
      </c>
      <c r="G52" s="24">
        <v>391.5</v>
      </c>
      <c r="H52" s="24">
        <v>1.04</v>
      </c>
      <c r="I52" s="31">
        <v>3.83</v>
      </c>
      <c r="J52" s="35" t="s">
        <v>514</v>
      </c>
    </row>
    <row r="53" spans="1:10" x14ac:dyDescent="0.25">
      <c r="C53" s="57" t="s">
        <v>35</v>
      </c>
      <c r="D53" s="53"/>
      <c r="E53" s="6"/>
      <c r="F53" s="19"/>
      <c r="G53" s="25">
        <v>1379.75</v>
      </c>
      <c r="H53" s="25">
        <v>3.66</v>
      </c>
      <c r="I53" s="31"/>
      <c r="J53" s="35"/>
    </row>
    <row r="54" spans="1:10" x14ac:dyDescent="0.25">
      <c r="C54" s="56"/>
      <c r="D54" s="53"/>
      <c r="E54" s="6"/>
      <c r="F54" s="19"/>
      <c r="G54" s="24"/>
      <c r="H54" s="24"/>
      <c r="I54" s="31"/>
      <c r="J54" s="35"/>
    </row>
    <row r="55" spans="1:10" x14ac:dyDescent="0.25">
      <c r="C55" s="59" t="s">
        <v>15</v>
      </c>
      <c r="D55" s="53"/>
      <c r="E55" s="6"/>
      <c r="F55" s="19"/>
      <c r="G55" s="24"/>
      <c r="H55" s="24"/>
      <c r="I55" s="31"/>
      <c r="J55" s="35"/>
    </row>
    <row r="56" spans="1:10" x14ac:dyDescent="0.25">
      <c r="B56" s="8" t="s">
        <v>2599</v>
      </c>
      <c r="C56" s="56" t="s">
        <v>2600</v>
      </c>
      <c r="D56" s="53" t="s">
        <v>2601</v>
      </c>
      <c r="E56" s="6" t="s">
        <v>655</v>
      </c>
      <c r="F56" s="19">
        <v>800000</v>
      </c>
      <c r="G56" s="24">
        <v>772.95</v>
      </c>
      <c r="H56" s="24">
        <v>2.0499999999999998</v>
      </c>
      <c r="I56" s="31">
        <v>3.65</v>
      </c>
      <c r="J56" s="35"/>
    </row>
    <row r="57" spans="1:10" x14ac:dyDescent="0.25">
      <c r="C57" s="57" t="s">
        <v>35</v>
      </c>
      <c r="D57" s="53"/>
      <c r="E57" s="6"/>
      <c r="F57" s="19"/>
      <c r="G57" s="25">
        <v>772.95</v>
      </c>
      <c r="H57" s="25">
        <v>2.0499999999999998</v>
      </c>
      <c r="I57" s="31"/>
      <c r="J57" s="35"/>
    </row>
    <row r="58" spans="1:10" x14ac:dyDescent="0.25">
      <c r="C58" s="56"/>
      <c r="D58" s="53"/>
      <c r="E58" s="6"/>
      <c r="F58" s="19"/>
      <c r="G58" s="24"/>
      <c r="H58" s="24"/>
      <c r="I58" s="31"/>
      <c r="J58" s="35"/>
    </row>
    <row r="59" spans="1:10" x14ac:dyDescent="0.25">
      <c r="C59" s="57" t="s">
        <v>16</v>
      </c>
      <c r="D59" s="53"/>
      <c r="E59" s="6"/>
      <c r="F59" s="19"/>
      <c r="G59" s="24" t="s">
        <v>2</v>
      </c>
      <c r="H59" s="24" t="s">
        <v>2</v>
      </c>
      <c r="I59" s="31"/>
      <c r="J59" s="35"/>
    </row>
    <row r="60" spans="1:10" x14ac:dyDescent="0.25">
      <c r="C60" s="56"/>
      <c r="D60" s="53"/>
      <c r="E60" s="6"/>
      <c r="F60" s="19"/>
      <c r="G60" s="24"/>
      <c r="H60" s="24"/>
      <c r="I60" s="31"/>
      <c r="J60" s="35"/>
    </row>
    <row r="61" spans="1:10" x14ac:dyDescent="0.25">
      <c r="A61" s="10"/>
      <c r="B61" s="28"/>
      <c r="C61" s="58" t="s">
        <v>17</v>
      </c>
      <c r="D61" s="53"/>
      <c r="E61" s="6"/>
      <c r="F61" s="19"/>
      <c r="G61" s="24"/>
      <c r="H61" s="24"/>
      <c r="I61" s="31"/>
      <c r="J61" s="35"/>
    </row>
    <row r="62" spans="1:10" x14ac:dyDescent="0.25">
      <c r="A62" s="28"/>
      <c r="B62" s="28"/>
      <c r="C62" s="58" t="s">
        <v>18</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19</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20</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21</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C70" s="59" t="s">
        <v>22</v>
      </c>
      <c r="D70" s="53"/>
      <c r="E70" s="6"/>
      <c r="F70" s="19"/>
      <c r="G70" s="24"/>
      <c r="H70" s="24"/>
      <c r="I70" s="31"/>
      <c r="J70" s="35"/>
    </row>
    <row r="71" spans="1:10" x14ac:dyDescent="0.25">
      <c r="B71" s="8" t="s">
        <v>33</v>
      </c>
      <c r="C71" s="56" t="s">
        <v>34</v>
      </c>
      <c r="D71" s="53"/>
      <c r="E71" s="6"/>
      <c r="F71" s="19"/>
      <c r="G71" s="24">
        <v>287.02</v>
      </c>
      <c r="H71" s="24">
        <v>0.76</v>
      </c>
      <c r="I71" s="31"/>
      <c r="J71" s="35"/>
    </row>
    <row r="72" spans="1:10" x14ac:dyDescent="0.25">
      <c r="C72" s="57" t="s">
        <v>35</v>
      </c>
      <c r="D72" s="53"/>
      <c r="E72" s="6"/>
      <c r="F72" s="19"/>
      <c r="G72" s="25">
        <v>287.02</v>
      </c>
      <c r="H72" s="25">
        <v>0.76</v>
      </c>
      <c r="I72" s="31"/>
      <c r="J72" s="35"/>
    </row>
    <row r="73" spans="1:10" x14ac:dyDescent="0.25">
      <c r="C73" s="56"/>
      <c r="D73" s="53"/>
      <c r="E73" s="6"/>
      <c r="F73" s="19"/>
      <c r="G73" s="24"/>
      <c r="H73" s="24"/>
      <c r="I73" s="31"/>
      <c r="J73" s="35"/>
    </row>
    <row r="74" spans="1:10" x14ac:dyDescent="0.25">
      <c r="A74" s="10"/>
      <c r="B74" s="28"/>
      <c r="C74" s="58" t="s">
        <v>23</v>
      </c>
      <c r="D74" s="53"/>
      <c r="E74" s="6"/>
      <c r="F74" s="19"/>
      <c r="G74" s="24"/>
      <c r="H74" s="24"/>
      <c r="I74" s="31"/>
      <c r="J74" s="35"/>
    </row>
    <row r="75" spans="1:10" x14ac:dyDescent="0.25">
      <c r="A75" s="28"/>
      <c r="B75" s="28"/>
      <c r="C75" s="60" t="s">
        <v>3398</v>
      </c>
      <c r="D75" s="53"/>
      <c r="E75" s="6"/>
      <c r="F75" s="19"/>
      <c r="G75" s="24" t="s">
        <v>2</v>
      </c>
      <c r="H75" s="24" t="s">
        <v>2</v>
      </c>
      <c r="I75" s="31"/>
      <c r="J75" s="35"/>
    </row>
    <row r="76" spans="1:10" x14ac:dyDescent="0.25">
      <c r="B76" s="8"/>
      <c r="C76" s="56" t="s">
        <v>36</v>
      </c>
      <c r="D76" s="53"/>
      <c r="E76" s="6"/>
      <c r="F76" s="19"/>
      <c r="G76" s="24">
        <v>1162.01</v>
      </c>
      <c r="H76" s="24">
        <v>3.0700000000000003</v>
      </c>
      <c r="I76" s="31"/>
      <c r="J76" s="35"/>
    </row>
    <row r="77" spans="1:10" x14ac:dyDescent="0.25">
      <c r="C77" s="57" t="s">
        <v>35</v>
      </c>
      <c r="D77" s="53"/>
      <c r="E77" s="6"/>
      <c r="F77" s="19"/>
      <c r="G77" s="25">
        <v>1162.01</v>
      </c>
      <c r="H77" s="25">
        <v>3.0700000000000003</v>
      </c>
      <c r="I77" s="31"/>
      <c r="J77" s="35"/>
    </row>
    <row r="78" spans="1:10" x14ac:dyDescent="0.25">
      <c r="C78" s="56"/>
      <c r="D78" s="53"/>
      <c r="E78" s="6"/>
      <c r="F78" s="19"/>
      <c r="G78" s="24"/>
      <c r="H78" s="24"/>
      <c r="I78" s="31"/>
      <c r="J78" s="35"/>
    </row>
    <row r="79" spans="1:10" x14ac:dyDescent="0.25">
      <c r="C79" s="61" t="s">
        <v>37</v>
      </c>
      <c r="D79" s="54"/>
      <c r="E79" s="5"/>
      <c r="F79" s="20"/>
      <c r="G79" s="26">
        <v>37776.46</v>
      </c>
      <c r="H79" s="26">
        <f>SUMIFS(H:H,C:C,"Total")</f>
        <v>100</v>
      </c>
      <c r="I79" s="32"/>
      <c r="J79" s="36"/>
    </row>
    <row r="82" spans="3:3" x14ac:dyDescent="0.25">
      <c r="C82" s="1" t="s">
        <v>38</v>
      </c>
    </row>
    <row r="83" spans="3:3" x14ac:dyDescent="0.25">
      <c r="C83" s="2" t="s">
        <v>39</v>
      </c>
    </row>
    <row r="84" spans="3:3" x14ac:dyDescent="0.25">
      <c r="C84" s="2" t="s">
        <v>40</v>
      </c>
    </row>
    <row r="85" spans="3:3" x14ac:dyDescent="0.25">
      <c r="C85" s="2" t="s">
        <v>3430</v>
      </c>
    </row>
  </sheetData>
  <hyperlinks>
    <hyperlink ref="J2" location="'Index'!A1" display="'Index'!A1"/>
  </hyperlinks>
  <pageMargins left="0.7" right="0.7" top="0.75" bottom="0.75" header="0.3" footer="0.3"/>
  <pageSetup orientation="portrait" horizontalDpi="4294967293"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8"/>
  <dimension ref="A1:J10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944</v>
      </c>
      <c r="J2" s="37" t="s">
        <v>3307</v>
      </c>
    </row>
    <row r="3" spans="1:10" ht="16.5" x14ac:dyDescent="0.3">
      <c r="C3" s="1" t="s">
        <v>24</v>
      </c>
      <c r="D3" s="21" t="s">
        <v>2602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68000</v>
      </c>
      <c r="G10" s="24">
        <v>685.61</v>
      </c>
      <c r="H10" s="24">
        <v>1.53</v>
      </c>
      <c r="I10" s="31"/>
      <c r="J10" s="35"/>
    </row>
    <row r="11" spans="1:10" x14ac:dyDescent="0.25">
      <c r="B11" s="8" t="s">
        <v>48</v>
      </c>
      <c r="C11" s="56" t="s">
        <v>49</v>
      </c>
      <c r="D11" s="53" t="s">
        <v>50</v>
      </c>
      <c r="E11" s="6" t="s">
        <v>51</v>
      </c>
      <c r="F11" s="19">
        <v>48000</v>
      </c>
      <c r="G11" s="24">
        <v>517.73</v>
      </c>
      <c r="H11" s="24">
        <v>1.1599999999999999</v>
      </c>
      <c r="I11" s="31"/>
      <c r="J11" s="35"/>
    </row>
    <row r="12" spans="1:10" x14ac:dyDescent="0.25">
      <c r="B12" s="8" t="s">
        <v>69</v>
      </c>
      <c r="C12" s="56" t="s">
        <v>70</v>
      </c>
      <c r="D12" s="53" t="s">
        <v>71</v>
      </c>
      <c r="E12" s="6" t="s">
        <v>72</v>
      </c>
      <c r="F12" s="19">
        <v>1706</v>
      </c>
      <c r="G12" s="24">
        <v>363.99</v>
      </c>
      <c r="H12" s="24">
        <v>0.81</v>
      </c>
      <c r="I12" s="31"/>
      <c r="J12" s="35"/>
    </row>
    <row r="13" spans="1:10" x14ac:dyDescent="0.25">
      <c r="B13" s="8" t="s">
        <v>112</v>
      </c>
      <c r="C13" s="56" t="s">
        <v>113</v>
      </c>
      <c r="D13" s="53" t="s">
        <v>114</v>
      </c>
      <c r="E13" s="6" t="s">
        <v>111</v>
      </c>
      <c r="F13" s="19">
        <v>11000</v>
      </c>
      <c r="G13" s="24">
        <v>335.27</v>
      </c>
      <c r="H13" s="24">
        <v>0.75</v>
      </c>
      <c r="I13" s="31"/>
      <c r="J13" s="35"/>
    </row>
    <row r="14" spans="1:10" x14ac:dyDescent="0.25">
      <c r="B14" s="8" t="s">
        <v>56</v>
      </c>
      <c r="C14" s="56" t="s">
        <v>57</v>
      </c>
      <c r="D14" s="53" t="s">
        <v>58</v>
      </c>
      <c r="E14" s="6" t="s">
        <v>47</v>
      </c>
      <c r="F14" s="19">
        <v>13000</v>
      </c>
      <c r="G14" s="24">
        <v>324</v>
      </c>
      <c r="H14" s="24">
        <v>0.72</v>
      </c>
      <c r="I14" s="31"/>
      <c r="J14" s="35"/>
    </row>
    <row r="15" spans="1:10" x14ac:dyDescent="0.25">
      <c r="B15" s="8" t="s">
        <v>62</v>
      </c>
      <c r="C15" s="56" t="s">
        <v>63</v>
      </c>
      <c r="D15" s="53" t="s">
        <v>64</v>
      </c>
      <c r="E15" s="6" t="s">
        <v>51</v>
      </c>
      <c r="F15" s="19">
        <v>90000</v>
      </c>
      <c r="G15" s="24">
        <v>319.27999999999997</v>
      </c>
      <c r="H15" s="24">
        <v>0.71</v>
      </c>
      <c r="I15" s="31"/>
      <c r="J15" s="35"/>
    </row>
    <row r="16" spans="1:10" x14ac:dyDescent="0.25">
      <c r="B16" s="8" t="s">
        <v>59</v>
      </c>
      <c r="C16" s="56" t="s">
        <v>60</v>
      </c>
      <c r="D16" s="53" t="s">
        <v>61</v>
      </c>
      <c r="E16" s="6" t="s">
        <v>51</v>
      </c>
      <c r="F16" s="19">
        <v>25000</v>
      </c>
      <c r="G16" s="24">
        <v>317.05</v>
      </c>
      <c r="H16" s="24">
        <v>0.71</v>
      </c>
      <c r="I16" s="31"/>
      <c r="J16" s="35"/>
    </row>
    <row r="17" spans="2:10" x14ac:dyDescent="0.25">
      <c r="B17" s="8" t="s">
        <v>161</v>
      </c>
      <c r="C17" s="56" t="s">
        <v>162</v>
      </c>
      <c r="D17" s="53" t="s">
        <v>163</v>
      </c>
      <c r="E17" s="6" t="s">
        <v>94</v>
      </c>
      <c r="F17" s="19">
        <v>70000</v>
      </c>
      <c r="G17" s="24">
        <v>294.63</v>
      </c>
      <c r="H17" s="24">
        <v>0.66</v>
      </c>
      <c r="I17" s="31"/>
      <c r="J17" s="35"/>
    </row>
    <row r="18" spans="2:10" x14ac:dyDescent="0.25">
      <c r="B18" s="8" t="s">
        <v>859</v>
      </c>
      <c r="C18" s="56" t="s">
        <v>860</v>
      </c>
      <c r="D18" s="53" t="s">
        <v>861</v>
      </c>
      <c r="E18" s="6" t="s">
        <v>98</v>
      </c>
      <c r="F18" s="19">
        <v>9000</v>
      </c>
      <c r="G18" s="24">
        <v>283.26</v>
      </c>
      <c r="H18" s="24">
        <v>0.63</v>
      </c>
      <c r="I18" s="31"/>
      <c r="J18" s="35"/>
    </row>
    <row r="19" spans="2:10" x14ac:dyDescent="0.25">
      <c r="B19" s="8" t="s">
        <v>1354</v>
      </c>
      <c r="C19" s="56" t="s">
        <v>1355</v>
      </c>
      <c r="D19" s="53" t="s">
        <v>1356</v>
      </c>
      <c r="E19" s="6" t="s">
        <v>826</v>
      </c>
      <c r="F19" s="19">
        <v>125000</v>
      </c>
      <c r="G19" s="24">
        <v>275.81</v>
      </c>
      <c r="H19" s="24">
        <v>0.62</v>
      </c>
      <c r="I19" s="31"/>
      <c r="J19" s="35"/>
    </row>
    <row r="20" spans="2:10" x14ac:dyDescent="0.25">
      <c r="B20" s="8" t="s">
        <v>409</v>
      </c>
      <c r="C20" s="56" t="s">
        <v>410</v>
      </c>
      <c r="D20" s="53" t="s">
        <v>411</v>
      </c>
      <c r="E20" s="6" t="s">
        <v>98</v>
      </c>
      <c r="F20" s="19">
        <v>4000</v>
      </c>
      <c r="G20" s="24">
        <v>269.74</v>
      </c>
      <c r="H20" s="24">
        <v>0.6</v>
      </c>
      <c r="I20" s="31"/>
      <c r="J20" s="35"/>
    </row>
    <row r="21" spans="2:10" x14ac:dyDescent="0.25">
      <c r="B21" s="8" t="s">
        <v>136</v>
      </c>
      <c r="C21" s="56" t="s">
        <v>137</v>
      </c>
      <c r="D21" s="53" t="s">
        <v>138</v>
      </c>
      <c r="E21" s="6" t="s">
        <v>41</v>
      </c>
      <c r="F21" s="19">
        <v>6500</v>
      </c>
      <c r="G21" s="24">
        <v>263.22000000000003</v>
      </c>
      <c r="H21" s="24">
        <v>0.59</v>
      </c>
      <c r="I21" s="31"/>
      <c r="J21" s="35"/>
    </row>
    <row r="22" spans="2:10" x14ac:dyDescent="0.25">
      <c r="B22" s="8" t="s">
        <v>76</v>
      </c>
      <c r="C22" s="56" t="s">
        <v>77</v>
      </c>
      <c r="D22" s="53" t="s">
        <v>78</v>
      </c>
      <c r="E22" s="6" t="s">
        <v>79</v>
      </c>
      <c r="F22" s="19">
        <v>25000</v>
      </c>
      <c r="G22" s="24">
        <v>225.4</v>
      </c>
      <c r="H22" s="24">
        <v>0.5</v>
      </c>
      <c r="I22" s="31"/>
      <c r="J22" s="35"/>
    </row>
    <row r="23" spans="2:10" x14ac:dyDescent="0.25">
      <c r="B23" s="8" t="s">
        <v>73</v>
      </c>
      <c r="C23" s="56" t="s">
        <v>74</v>
      </c>
      <c r="D23" s="53" t="s">
        <v>75</v>
      </c>
      <c r="E23" s="6" t="s">
        <v>51</v>
      </c>
      <c r="F23" s="19">
        <v>46000</v>
      </c>
      <c r="G23" s="24">
        <v>195.34</v>
      </c>
      <c r="H23" s="24">
        <v>0.44</v>
      </c>
      <c r="I23" s="31"/>
      <c r="J23" s="35"/>
    </row>
    <row r="24" spans="2:10" x14ac:dyDescent="0.25">
      <c r="B24" s="8" t="s">
        <v>370</v>
      </c>
      <c r="C24" s="56" t="s">
        <v>371</v>
      </c>
      <c r="D24" s="53" t="s">
        <v>372</v>
      </c>
      <c r="E24" s="6" t="s">
        <v>41</v>
      </c>
      <c r="F24" s="19">
        <v>14000</v>
      </c>
      <c r="G24" s="24">
        <v>195.08</v>
      </c>
      <c r="H24" s="24">
        <v>0.44</v>
      </c>
      <c r="I24" s="31"/>
      <c r="J24" s="35"/>
    </row>
    <row r="25" spans="2:10" x14ac:dyDescent="0.25">
      <c r="B25" s="8" t="s">
        <v>486</v>
      </c>
      <c r="C25" s="56" t="s">
        <v>487</v>
      </c>
      <c r="D25" s="53" t="s">
        <v>488</v>
      </c>
      <c r="E25" s="6" t="s">
        <v>41</v>
      </c>
      <c r="F25" s="19">
        <v>25000</v>
      </c>
      <c r="G25" s="24">
        <v>188.38</v>
      </c>
      <c r="H25" s="24">
        <v>0.42</v>
      </c>
      <c r="I25" s="31"/>
      <c r="J25" s="35"/>
    </row>
    <row r="26" spans="2:10" x14ac:dyDescent="0.25">
      <c r="B26" s="8" t="s">
        <v>65</v>
      </c>
      <c r="C26" s="56" t="s">
        <v>66</v>
      </c>
      <c r="D26" s="53" t="s">
        <v>67</v>
      </c>
      <c r="E26" s="6" t="s">
        <v>68</v>
      </c>
      <c r="F26" s="19">
        <v>42000</v>
      </c>
      <c r="G26" s="24">
        <v>176.8</v>
      </c>
      <c r="H26" s="24">
        <v>0.39</v>
      </c>
      <c r="I26" s="31"/>
      <c r="J26" s="35"/>
    </row>
    <row r="27" spans="2:10" x14ac:dyDescent="0.25">
      <c r="B27" s="8" t="s">
        <v>164</v>
      </c>
      <c r="C27" s="56" t="s">
        <v>165</v>
      </c>
      <c r="D27" s="53" t="s">
        <v>166</v>
      </c>
      <c r="E27" s="6" t="s">
        <v>51</v>
      </c>
      <c r="F27" s="19">
        <v>80000</v>
      </c>
      <c r="G27" s="24">
        <v>148.32</v>
      </c>
      <c r="H27" s="24">
        <v>0.33</v>
      </c>
      <c r="I27" s="31"/>
      <c r="J27" s="35"/>
    </row>
    <row r="28" spans="2:10" x14ac:dyDescent="0.25">
      <c r="B28" s="8" t="s">
        <v>154</v>
      </c>
      <c r="C28" s="56" t="s">
        <v>155</v>
      </c>
      <c r="D28" s="53" t="s">
        <v>156</v>
      </c>
      <c r="E28" s="6" t="s">
        <v>157</v>
      </c>
      <c r="F28" s="19">
        <v>30000</v>
      </c>
      <c r="G28" s="24">
        <v>133.56</v>
      </c>
      <c r="H28" s="24">
        <v>0.3</v>
      </c>
      <c r="I28" s="31"/>
      <c r="J28" s="35"/>
    </row>
    <row r="29" spans="2:10" x14ac:dyDescent="0.25">
      <c r="B29" s="8" t="s">
        <v>95</v>
      </c>
      <c r="C29" s="56" t="s">
        <v>96</v>
      </c>
      <c r="D29" s="53" t="s">
        <v>97</v>
      </c>
      <c r="E29" s="6" t="s">
        <v>98</v>
      </c>
      <c r="F29" s="19">
        <v>20000</v>
      </c>
      <c r="G29" s="24">
        <v>121.58</v>
      </c>
      <c r="H29" s="24">
        <v>0.27</v>
      </c>
      <c r="I29" s="31"/>
      <c r="J29" s="35"/>
    </row>
    <row r="30" spans="2:10" x14ac:dyDescent="0.25">
      <c r="B30" s="8" t="s">
        <v>118</v>
      </c>
      <c r="C30" s="56" t="s">
        <v>119</v>
      </c>
      <c r="D30" s="53" t="s">
        <v>120</v>
      </c>
      <c r="E30" s="6" t="s">
        <v>98</v>
      </c>
      <c r="F30" s="19">
        <v>90000</v>
      </c>
      <c r="G30" s="24">
        <v>119.97</v>
      </c>
      <c r="H30" s="24">
        <v>0.27</v>
      </c>
      <c r="I30" s="31"/>
      <c r="J30" s="35"/>
    </row>
    <row r="31" spans="2:10" x14ac:dyDescent="0.25">
      <c r="B31" s="8" t="s">
        <v>167</v>
      </c>
      <c r="C31" s="56" t="s">
        <v>168</v>
      </c>
      <c r="D31" s="53" t="s">
        <v>169</v>
      </c>
      <c r="E31" s="6" t="s">
        <v>170</v>
      </c>
      <c r="F31" s="19">
        <v>60000</v>
      </c>
      <c r="G31" s="24">
        <v>105.15</v>
      </c>
      <c r="H31" s="24">
        <v>0.23</v>
      </c>
      <c r="I31" s="31"/>
      <c r="J31" s="35"/>
    </row>
    <row r="32" spans="2:10" x14ac:dyDescent="0.25">
      <c r="B32" s="8" t="s">
        <v>2256</v>
      </c>
      <c r="C32" s="56" t="s">
        <v>2257</v>
      </c>
      <c r="D32" s="53" t="s">
        <v>2258</v>
      </c>
      <c r="E32" s="6" t="s">
        <v>722</v>
      </c>
      <c r="F32" s="19">
        <v>50000</v>
      </c>
      <c r="G32" s="24">
        <v>96.85</v>
      </c>
      <c r="H32" s="24">
        <v>0.22</v>
      </c>
      <c r="I32" s="31"/>
      <c r="J32" s="35"/>
    </row>
    <row r="33" spans="1:10" x14ac:dyDescent="0.25">
      <c r="B33" s="8" t="s">
        <v>398</v>
      </c>
      <c r="C33" s="56" t="s">
        <v>399</v>
      </c>
      <c r="D33" s="53" t="s">
        <v>400</v>
      </c>
      <c r="E33" s="6" t="s">
        <v>90</v>
      </c>
      <c r="F33" s="19">
        <v>24000</v>
      </c>
      <c r="G33" s="24">
        <v>87.12</v>
      </c>
      <c r="H33" s="24">
        <v>0.19</v>
      </c>
      <c r="I33" s="31"/>
      <c r="J33" s="35"/>
    </row>
    <row r="34" spans="1:10" x14ac:dyDescent="0.25">
      <c r="B34" s="8" t="s">
        <v>139</v>
      </c>
      <c r="C34" s="56" t="s">
        <v>140</v>
      </c>
      <c r="D34" s="53" t="s">
        <v>141</v>
      </c>
      <c r="E34" s="6" t="s">
        <v>142</v>
      </c>
      <c r="F34" s="19">
        <v>6250</v>
      </c>
      <c r="G34" s="24">
        <v>78.069999999999993</v>
      </c>
      <c r="H34" s="24">
        <v>0.17</v>
      </c>
      <c r="I34" s="31"/>
      <c r="J34" s="35"/>
    </row>
    <row r="35" spans="1:10" x14ac:dyDescent="0.25">
      <c r="C35" s="57" t="s">
        <v>35</v>
      </c>
      <c r="D35" s="53"/>
      <c r="E35" s="6"/>
      <c r="F35" s="19"/>
      <c r="G35" s="25">
        <v>6121.21</v>
      </c>
      <c r="H35" s="25">
        <v>13.66</v>
      </c>
      <c r="I35" s="31"/>
      <c r="J35" s="35"/>
    </row>
    <row r="36" spans="1:10" x14ac:dyDescent="0.25">
      <c r="C36" s="56"/>
      <c r="D36" s="53"/>
      <c r="E36" s="6"/>
      <c r="F36" s="19"/>
      <c r="G36" s="24"/>
      <c r="H36" s="24"/>
      <c r="I36" s="31"/>
      <c r="J36" s="35"/>
    </row>
    <row r="37" spans="1:10" x14ac:dyDescent="0.25">
      <c r="C37" s="57" t="s">
        <v>3</v>
      </c>
      <c r="D37" s="53"/>
      <c r="E37" s="6"/>
      <c r="F37" s="19"/>
      <c r="G37" s="24" t="s">
        <v>2</v>
      </c>
      <c r="H37" s="24" t="s">
        <v>2</v>
      </c>
      <c r="I37" s="31"/>
      <c r="J37" s="35"/>
    </row>
    <row r="38" spans="1:10" x14ac:dyDescent="0.25">
      <c r="C38" s="56"/>
      <c r="D38" s="53"/>
      <c r="E38" s="6"/>
      <c r="F38" s="19"/>
      <c r="G38" s="24"/>
      <c r="H38" s="24"/>
      <c r="I38" s="31"/>
      <c r="J38" s="35"/>
    </row>
    <row r="39" spans="1:10" x14ac:dyDescent="0.25">
      <c r="C39" s="57" t="s">
        <v>4</v>
      </c>
      <c r="D39" s="53"/>
      <c r="E39" s="6"/>
      <c r="F39" s="19"/>
      <c r="G39" s="24" t="s">
        <v>2</v>
      </c>
      <c r="H39" s="24" t="s">
        <v>2</v>
      </c>
      <c r="I39" s="31"/>
      <c r="J39" s="35"/>
    </row>
    <row r="40" spans="1:10" x14ac:dyDescent="0.25">
      <c r="C40" s="56"/>
      <c r="D40" s="53"/>
      <c r="E40" s="6"/>
      <c r="F40" s="19"/>
      <c r="G40" s="24"/>
      <c r="H40" s="24"/>
      <c r="I40" s="31"/>
      <c r="J40" s="35"/>
    </row>
    <row r="41" spans="1:10" x14ac:dyDescent="0.25">
      <c r="A41" s="10"/>
      <c r="B41" s="28"/>
      <c r="C41" s="58" t="s">
        <v>5</v>
      </c>
      <c r="D41" s="53"/>
      <c r="E41" s="6"/>
      <c r="F41" s="19"/>
      <c r="G41" s="24"/>
      <c r="H41" s="24"/>
      <c r="I41" s="31"/>
      <c r="J41" s="35"/>
    </row>
    <row r="42" spans="1:10" x14ac:dyDescent="0.25">
      <c r="C42" s="59" t="s">
        <v>6</v>
      </c>
      <c r="D42" s="53"/>
      <c r="E42" s="6"/>
      <c r="F42" s="19"/>
      <c r="G42" s="24"/>
      <c r="H42" s="24"/>
      <c r="I42" s="31"/>
      <c r="J42" s="35"/>
    </row>
    <row r="43" spans="1:10" x14ac:dyDescent="0.25">
      <c r="B43" s="8" t="s">
        <v>2603</v>
      </c>
      <c r="C43" s="56" t="s">
        <v>1030</v>
      </c>
      <c r="D43" s="53" t="s">
        <v>2604</v>
      </c>
      <c r="E43" s="6" t="s">
        <v>616</v>
      </c>
      <c r="F43" s="19">
        <v>350</v>
      </c>
      <c r="G43" s="24">
        <v>4331.6899999999996</v>
      </c>
      <c r="H43" s="24">
        <v>9.67</v>
      </c>
      <c r="I43" s="31">
        <v>6.8517000000000001</v>
      </c>
      <c r="J43" s="35" t="s">
        <v>514</v>
      </c>
    </row>
    <row r="44" spans="1:10" x14ac:dyDescent="0.25">
      <c r="B44" s="8" t="s">
        <v>1319</v>
      </c>
      <c r="C44" s="56" t="s">
        <v>1320</v>
      </c>
      <c r="D44" s="53" t="s">
        <v>1321</v>
      </c>
      <c r="E44" s="6" t="s">
        <v>541</v>
      </c>
      <c r="F44" s="19">
        <v>350</v>
      </c>
      <c r="G44" s="24">
        <v>4249.2</v>
      </c>
      <c r="H44" s="24">
        <v>9.49</v>
      </c>
      <c r="I44" s="31">
        <v>6.8826999999999998</v>
      </c>
      <c r="J44" s="35" t="s">
        <v>514</v>
      </c>
    </row>
    <row r="45" spans="1:10" x14ac:dyDescent="0.25">
      <c r="B45" s="8" t="s">
        <v>2605</v>
      </c>
      <c r="C45" s="56" t="s">
        <v>2421</v>
      </c>
      <c r="D45" s="53" t="s">
        <v>2606</v>
      </c>
      <c r="E45" s="6" t="s">
        <v>534</v>
      </c>
      <c r="F45" s="19">
        <v>300</v>
      </c>
      <c r="G45" s="24">
        <v>3745.49</v>
      </c>
      <c r="H45" s="24">
        <v>8.36</v>
      </c>
      <c r="I45" s="31">
        <v>4.8304999999999998</v>
      </c>
      <c r="J45" s="35" t="s">
        <v>514</v>
      </c>
    </row>
    <row r="46" spans="1:10" x14ac:dyDescent="0.25">
      <c r="B46" s="8" t="s">
        <v>2595</v>
      </c>
      <c r="C46" s="56" t="s">
        <v>926</v>
      </c>
      <c r="D46" s="53" t="s">
        <v>2596</v>
      </c>
      <c r="E46" s="6" t="s">
        <v>928</v>
      </c>
      <c r="F46" s="19">
        <v>350</v>
      </c>
      <c r="G46" s="24">
        <v>3641.07</v>
      </c>
      <c r="H46" s="24">
        <v>8.1300000000000008</v>
      </c>
      <c r="I46" s="31">
        <v>6.1496000000000004</v>
      </c>
      <c r="J46" s="35" t="s">
        <v>514</v>
      </c>
    </row>
    <row r="47" spans="1:10" x14ac:dyDescent="0.25">
      <c r="B47" s="8" t="s">
        <v>1964</v>
      </c>
      <c r="C47" s="56" t="s">
        <v>601</v>
      </c>
      <c r="D47" s="53" t="s">
        <v>1965</v>
      </c>
      <c r="E47" s="6" t="s">
        <v>534</v>
      </c>
      <c r="F47" s="19">
        <v>350</v>
      </c>
      <c r="G47" s="24">
        <v>3603.08</v>
      </c>
      <c r="H47" s="24">
        <v>8.0399999999999991</v>
      </c>
      <c r="I47" s="31">
        <v>4.26</v>
      </c>
      <c r="J47" s="35" t="s">
        <v>514</v>
      </c>
    </row>
    <row r="48" spans="1:10" x14ac:dyDescent="0.25">
      <c r="B48" s="8" t="s">
        <v>2558</v>
      </c>
      <c r="C48" s="56" t="s">
        <v>119</v>
      </c>
      <c r="D48" s="53" t="s">
        <v>2559</v>
      </c>
      <c r="E48" s="6" t="s">
        <v>616</v>
      </c>
      <c r="F48" s="19">
        <v>350</v>
      </c>
      <c r="G48" s="24">
        <v>3513.79</v>
      </c>
      <c r="H48" s="24">
        <v>7.84</v>
      </c>
      <c r="I48" s="31">
        <v>6.7549000000000001</v>
      </c>
      <c r="J48" s="35" t="s">
        <v>514</v>
      </c>
    </row>
    <row r="49" spans="2:10" x14ac:dyDescent="0.25">
      <c r="B49" s="8" t="s">
        <v>2607</v>
      </c>
      <c r="C49" s="56" t="s">
        <v>2608</v>
      </c>
      <c r="D49" s="53" t="s">
        <v>2609</v>
      </c>
      <c r="E49" s="6" t="s">
        <v>693</v>
      </c>
      <c r="F49" s="19">
        <v>250</v>
      </c>
      <c r="G49" s="24">
        <v>3127.36</v>
      </c>
      <c r="H49" s="24">
        <v>6.98</v>
      </c>
      <c r="I49" s="31">
        <v>5.4915000000000003</v>
      </c>
      <c r="J49" s="35" t="s">
        <v>514</v>
      </c>
    </row>
    <row r="50" spans="2:10" x14ac:dyDescent="0.25">
      <c r="B50" s="8" t="s">
        <v>2610</v>
      </c>
      <c r="C50" s="56" t="s">
        <v>358</v>
      </c>
      <c r="D50" s="53" t="s">
        <v>2611</v>
      </c>
      <c r="E50" s="6" t="s">
        <v>541</v>
      </c>
      <c r="F50" s="19">
        <v>300</v>
      </c>
      <c r="G50" s="24">
        <v>2939.66</v>
      </c>
      <c r="H50" s="24">
        <v>6.56</v>
      </c>
      <c r="I50" s="31">
        <v>11.2997</v>
      </c>
      <c r="J50" s="35" t="s">
        <v>514</v>
      </c>
    </row>
    <row r="51" spans="2:10" x14ac:dyDescent="0.25">
      <c r="B51" s="8" t="s">
        <v>1400</v>
      </c>
      <c r="C51" s="56" t="s">
        <v>53</v>
      </c>
      <c r="D51" s="53" t="s">
        <v>1401</v>
      </c>
      <c r="E51" s="6" t="s">
        <v>534</v>
      </c>
      <c r="F51" s="19">
        <v>250</v>
      </c>
      <c r="G51" s="24">
        <v>2574.2600000000002</v>
      </c>
      <c r="H51" s="24">
        <v>5.75</v>
      </c>
      <c r="I51" s="31">
        <v>4.24</v>
      </c>
      <c r="J51" s="35" t="s">
        <v>514</v>
      </c>
    </row>
    <row r="52" spans="2:10" x14ac:dyDescent="0.25">
      <c r="B52" s="8" t="s">
        <v>2612</v>
      </c>
      <c r="C52" s="56" t="s">
        <v>1376</v>
      </c>
      <c r="D52" s="53" t="s">
        <v>2613</v>
      </c>
      <c r="E52" s="6" t="s">
        <v>534</v>
      </c>
      <c r="F52" s="19">
        <v>200</v>
      </c>
      <c r="G52" s="24">
        <v>2085.4899999999998</v>
      </c>
      <c r="H52" s="24">
        <v>4.66</v>
      </c>
      <c r="I52" s="31">
        <v>4.62</v>
      </c>
      <c r="J52" s="35"/>
    </row>
    <row r="53" spans="2:10" x14ac:dyDescent="0.25">
      <c r="B53" s="8" t="s">
        <v>2614</v>
      </c>
      <c r="C53" s="56" t="s">
        <v>1329</v>
      </c>
      <c r="D53" s="53" t="s">
        <v>2615</v>
      </c>
      <c r="E53" s="6" t="s">
        <v>911</v>
      </c>
      <c r="F53" s="19">
        <v>100</v>
      </c>
      <c r="G53" s="24">
        <v>1230.83</v>
      </c>
      <c r="H53" s="24">
        <v>2.75</v>
      </c>
      <c r="I53" s="31">
        <v>5.9104000000000001</v>
      </c>
      <c r="J53" s="35" t="s">
        <v>514</v>
      </c>
    </row>
    <row r="54" spans="2:10" x14ac:dyDescent="0.25">
      <c r="B54" s="8" t="s">
        <v>619</v>
      </c>
      <c r="C54" s="56" t="s">
        <v>53</v>
      </c>
      <c r="D54" s="53" t="s">
        <v>620</v>
      </c>
      <c r="E54" s="6" t="s">
        <v>534</v>
      </c>
      <c r="F54" s="19">
        <v>50</v>
      </c>
      <c r="G54" s="24">
        <v>516.74</v>
      </c>
      <c r="H54" s="24">
        <v>1.1499999999999999</v>
      </c>
      <c r="I54" s="31">
        <v>4.24</v>
      </c>
      <c r="J54" s="35" t="s">
        <v>514</v>
      </c>
    </row>
    <row r="55" spans="2:10" x14ac:dyDescent="0.25">
      <c r="B55" s="8" t="s">
        <v>2366</v>
      </c>
      <c r="C55" s="56" t="s">
        <v>1376</v>
      </c>
      <c r="D55" s="53" t="s">
        <v>2367</v>
      </c>
      <c r="E55" s="6" t="s">
        <v>534</v>
      </c>
      <c r="F55" s="19">
        <v>50</v>
      </c>
      <c r="G55" s="24">
        <v>508.87</v>
      </c>
      <c r="H55" s="24">
        <v>1.1399999999999999</v>
      </c>
      <c r="I55" s="31">
        <v>4.1151</v>
      </c>
      <c r="J55" s="35" t="s">
        <v>514</v>
      </c>
    </row>
    <row r="56" spans="2:10" x14ac:dyDescent="0.25">
      <c r="C56" s="57" t="s">
        <v>35</v>
      </c>
      <c r="D56" s="53"/>
      <c r="E56" s="6"/>
      <c r="F56" s="19"/>
      <c r="G56" s="25">
        <v>36067.53</v>
      </c>
      <c r="H56" s="25">
        <v>80.52</v>
      </c>
      <c r="I56" s="31"/>
      <c r="J56" s="35"/>
    </row>
    <row r="57" spans="2:10" x14ac:dyDescent="0.25">
      <c r="C57" s="56"/>
      <c r="D57" s="53"/>
      <c r="E57" s="6"/>
      <c r="F57" s="19"/>
      <c r="G57" s="24"/>
      <c r="H57" s="24"/>
      <c r="I57" s="31"/>
      <c r="J57" s="35"/>
    </row>
    <row r="58" spans="2:10" x14ac:dyDescent="0.25">
      <c r="C58" s="57" t="s">
        <v>7</v>
      </c>
      <c r="D58" s="53"/>
      <c r="E58" s="6"/>
      <c r="F58" s="19"/>
      <c r="G58" s="24" t="s">
        <v>2</v>
      </c>
      <c r="H58" s="24" t="s">
        <v>2</v>
      </c>
      <c r="I58" s="31"/>
      <c r="J58" s="35"/>
    </row>
    <row r="59" spans="2:10" x14ac:dyDescent="0.25">
      <c r="C59" s="56"/>
      <c r="D59" s="53"/>
      <c r="E59" s="6"/>
      <c r="F59" s="19"/>
      <c r="G59" s="24"/>
      <c r="H59" s="24"/>
      <c r="I59" s="31"/>
      <c r="J59" s="35"/>
    </row>
    <row r="60" spans="2:10" x14ac:dyDescent="0.25">
      <c r="C60" s="57" t="s">
        <v>8</v>
      </c>
      <c r="D60" s="53"/>
      <c r="E60" s="6"/>
      <c r="F60" s="19"/>
      <c r="G60" s="24" t="s">
        <v>2</v>
      </c>
      <c r="H60" s="24" t="s">
        <v>2</v>
      </c>
      <c r="I60" s="31"/>
      <c r="J60" s="35"/>
    </row>
    <row r="61" spans="2:10" x14ac:dyDescent="0.25">
      <c r="C61" s="56"/>
      <c r="D61" s="53"/>
      <c r="E61" s="6"/>
      <c r="F61" s="19"/>
      <c r="G61" s="24"/>
      <c r="H61" s="24"/>
      <c r="I61" s="31"/>
      <c r="J61" s="35"/>
    </row>
    <row r="62" spans="2:10" x14ac:dyDescent="0.25">
      <c r="C62" s="57" t="s">
        <v>9</v>
      </c>
      <c r="D62" s="53"/>
      <c r="E62" s="6"/>
      <c r="F62" s="19"/>
      <c r="G62" s="24" t="s">
        <v>2</v>
      </c>
      <c r="H62" s="24" t="s">
        <v>2</v>
      </c>
      <c r="I62" s="31"/>
      <c r="J62" s="35"/>
    </row>
    <row r="63" spans="2:10" x14ac:dyDescent="0.25">
      <c r="C63" s="56"/>
      <c r="D63" s="53"/>
      <c r="E63" s="6"/>
      <c r="F63" s="19"/>
      <c r="G63" s="24"/>
      <c r="H63" s="24"/>
      <c r="I63" s="31"/>
      <c r="J63" s="35"/>
    </row>
    <row r="64" spans="2:10" x14ac:dyDescent="0.25">
      <c r="C64" s="57" t="s">
        <v>10</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11</v>
      </c>
      <c r="D66" s="53"/>
      <c r="E66" s="6"/>
      <c r="F66" s="19"/>
      <c r="G66" s="24"/>
      <c r="H66" s="24"/>
      <c r="I66" s="31"/>
      <c r="J66" s="35"/>
    </row>
    <row r="67" spans="1:10" x14ac:dyDescent="0.25">
      <c r="A67" s="28"/>
      <c r="B67" s="28"/>
      <c r="C67" s="58" t="s">
        <v>13</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A69" s="28"/>
      <c r="B69" s="28"/>
      <c r="C69" s="58" t="s">
        <v>14</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C71" s="59" t="s">
        <v>15</v>
      </c>
      <c r="D71" s="53"/>
      <c r="E71" s="6"/>
      <c r="F71" s="19"/>
      <c r="G71" s="24"/>
      <c r="H71" s="24"/>
      <c r="I71" s="31"/>
      <c r="J71" s="35"/>
    </row>
    <row r="72" spans="1:10" x14ac:dyDescent="0.25">
      <c r="B72" s="8" t="s">
        <v>2616</v>
      </c>
      <c r="C72" s="56" t="s">
        <v>2617</v>
      </c>
      <c r="D72" s="53" t="s">
        <v>2618</v>
      </c>
      <c r="E72" s="6" t="s">
        <v>655</v>
      </c>
      <c r="F72" s="19">
        <v>602300</v>
      </c>
      <c r="G72" s="24">
        <v>574.41999999999996</v>
      </c>
      <c r="H72" s="24">
        <v>1.28</v>
      </c>
      <c r="I72" s="31">
        <v>3.9518</v>
      </c>
      <c r="J72" s="35"/>
    </row>
    <row r="73" spans="1:10" x14ac:dyDescent="0.25">
      <c r="C73" s="57" t="s">
        <v>35</v>
      </c>
      <c r="D73" s="53"/>
      <c r="E73" s="6"/>
      <c r="F73" s="19"/>
      <c r="G73" s="25">
        <v>574.41999999999996</v>
      </c>
      <c r="H73" s="25">
        <v>1.28</v>
      </c>
      <c r="I73" s="31"/>
      <c r="J73" s="35"/>
    </row>
    <row r="74" spans="1:10" x14ac:dyDescent="0.25">
      <c r="C74" s="56"/>
      <c r="D74" s="53"/>
      <c r="E74" s="6"/>
      <c r="F74" s="19"/>
      <c r="G74" s="24"/>
      <c r="H74" s="24"/>
      <c r="I74" s="31"/>
      <c r="J74" s="35"/>
    </row>
    <row r="75" spans="1:10" x14ac:dyDescent="0.25">
      <c r="C75" s="57" t="s">
        <v>16</v>
      </c>
      <c r="D75" s="53"/>
      <c r="E75" s="6"/>
      <c r="F75" s="19"/>
      <c r="G75" s="24" t="s">
        <v>2</v>
      </c>
      <c r="H75" s="24" t="s">
        <v>2</v>
      </c>
      <c r="I75" s="31"/>
      <c r="J75" s="35"/>
    </row>
    <row r="76" spans="1:10" x14ac:dyDescent="0.25">
      <c r="C76" s="56"/>
      <c r="D76" s="53"/>
      <c r="E76" s="6"/>
      <c r="F76" s="19"/>
      <c r="G76" s="24"/>
      <c r="H76" s="24"/>
      <c r="I76" s="31"/>
      <c r="J76" s="35"/>
    </row>
    <row r="77" spans="1:10" x14ac:dyDescent="0.25">
      <c r="A77" s="10"/>
      <c r="B77" s="28"/>
      <c r="C77" s="58" t="s">
        <v>17</v>
      </c>
      <c r="D77" s="53"/>
      <c r="E77" s="6"/>
      <c r="F77" s="19"/>
      <c r="G77" s="24"/>
      <c r="H77" s="24"/>
      <c r="I77" s="31"/>
      <c r="J77" s="35"/>
    </row>
    <row r="78" spans="1:10" x14ac:dyDescent="0.25">
      <c r="A78" s="28"/>
      <c r="B78" s="28"/>
      <c r="C78" s="58" t="s">
        <v>18</v>
      </c>
      <c r="D78" s="53"/>
      <c r="E78" s="6"/>
      <c r="F78" s="19"/>
      <c r="G78" s="24" t="s">
        <v>2</v>
      </c>
      <c r="H78" s="24" t="s">
        <v>2</v>
      </c>
      <c r="I78" s="31"/>
      <c r="J78" s="35"/>
    </row>
    <row r="79" spans="1:10" x14ac:dyDescent="0.25">
      <c r="A79" s="28"/>
      <c r="B79" s="28"/>
      <c r="C79" s="58"/>
      <c r="D79" s="53"/>
      <c r="E79" s="6"/>
      <c r="F79" s="19"/>
      <c r="G79" s="24"/>
      <c r="H79" s="24"/>
      <c r="I79" s="31"/>
      <c r="J79" s="35"/>
    </row>
    <row r="80" spans="1:10" x14ac:dyDescent="0.25">
      <c r="A80" s="28"/>
      <c r="B80" s="28"/>
      <c r="C80" s="58" t="s">
        <v>19</v>
      </c>
      <c r="D80" s="53"/>
      <c r="E80" s="6"/>
      <c r="F80" s="19"/>
      <c r="G80" s="24" t="s">
        <v>2</v>
      </c>
      <c r="H80" s="24" t="s">
        <v>2</v>
      </c>
      <c r="I80" s="31"/>
      <c r="J80" s="35"/>
    </row>
    <row r="81" spans="1:10" x14ac:dyDescent="0.25">
      <c r="A81" s="28"/>
      <c r="B81" s="28"/>
      <c r="C81" s="58"/>
      <c r="D81" s="53"/>
      <c r="E81" s="6"/>
      <c r="F81" s="19"/>
      <c r="G81" s="24"/>
      <c r="H81" s="24"/>
      <c r="I81" s="31"/>
      <c r="J81" s="35"/>
    </row>
    <row r="82" spans="1:10" x14ac:dyDescent="0.25">
      <c r="A82" s="28"/>
      <c r="B82" s="28"/>
      <c r="C82" s="58" t="s">
        <v>20</v>
      </c>
      <c r="D82" s="53"/>
      <c r="E82" s="6"/>
      <c r="F82" s="19"/>
      <c r="G82" s="24" t="s">
        <v>2</v>
      </c>
      <c r="H82" s="24" t="s">
        <v>2</v>
      </c>
      <c r="I82" s="31"/>
      <c r="J82" s="35"/>
    </row>
    <row r="83" spans="1:10" x14ac:dyDescent="0.25">
      <c r="A83" s="28"/>
      <c r="B83" s="28"/>
      <c r="C83" s="58"/>
      <c r="D83" s="53"/>
      <c r="E83" s="6"/>
      <c r="F83" s="19"/>
      <c r="G83" s="24"/>
      <c r="H83" s="24"/>
      <c r="I83" s="31"/>
      <c r="J83" s="35"/>
    </row>
    <row r="84" spans="1:10" x14ac:dyDescent="0.25">
      <c r="A84" s="28"/>
      <c r="B84" s="28"/>
      <c r="C84" s="58" t="s">
        <v>21</v>
      </c>
      <c r="D84" s="53"/>
      <c r="E84" s="6"/>
      <c r="F84" s="19"/>
      <c r="G84" s="24" t="s">
        <v>2</v>
      </c>
      <c r="H84" s="24" t="s">
        <v>2</v>
      </c>
      <c r="I84" s="31"/>
      <c r="J84" s="35"/>
    </row>
    <row r="85" spans="1:10" x14ac:dyDescent="0.25">
      <c r="A85" s="28"/>
      <c r="B85" s="28"/>
      <c r="C85" s="58"/>
      <c r="D85" s="53"/>
      <c r="E85" s="6"/>
      <c r="F85" s="19"/>
      <c r="G85" s="24"/>
      <c r="H85" s="24"/>
      <c r="I85" s="31"/>
      <c r="J85" s="35"/>
    </row>
    <row r="86" spans="1:10" x14ac:dyDescent="0.25">
      <c r="C86" s="59" t="s">
        <v>22</v>
      </c>
      <c r="D86" s="53"/>
      <c r="E86" s="6"/>
      <c r="F86" s="19"/>
      <c r="G86" s="24"/>
      <c r="H86" s="24"/>
      <c r="I86" s="31"/>
      <c r="J86" s="35"/>
    </row>
    <row r="87" spans="1:10" x14ac:dyDescent="0.25">
      <c r="B87" s="8" t="s">
        <v>33</v>
      </c>
      <c r="C87" s="56" t="s">
        <v>34</v>
      </c>
      <c r="D87" s="53"/>
      <c r="E87" s="6"/>
      <c r="F87" s="19"/>
      <c r="G87" s="24">
        <v>1098.3599999999999</v>
      </c>
      <c r="H87" s="24">
        <v>2.4500000000000002</v>
      </c>
      <c r="I87" s="31"/>
      <c r="J87" s="35"/>
    </row>
    <row r="88" spans="1:10" x14ac:dyDescent="0.25">
      <c r="C88" s="57" t="s">
        <v>35</v>
      </c>
      <c r="D88" s="53"/>
      <c r="E88" s="6"/>
      <c r="F88" s="19"/>
      <c r="G88" s="25">
        <v>1098.3599999999999</v>
      </c>
      <c r="H88" s="25">
        <v>2.4500000000000002</v>
      </c>
      <c r="I88" s="31"/>
      <c r="J88" s="35"/>
    </row>
    <row r="89" spans="1:10" x14ac:dyDescent="0.25">
      <c r="C89" s="56"/>
      <c r="D89" s="53"/>
      <c r="E89" s="6"/>
      <c r="F89" s="19"/>
      <c r="G89" s="24"/>
      <c r="H89" s="24"/>
      <c r="I89" s="31"/>
      <c r="J89" s="35"/>
    </row>
    <row r="90" spans="1:10" x14ac:dyDescent="0.25">
      <c r="A90" s="10"/>
      <c r="B90" s="28"/>
      <c r="C90" s="58" t="s">
        <v>23</v>
      </c>
      <c r="D90" s="53"/>
      <c r="E90" s="6"/>
      <c r="F90" s="19"/>
      <c r="G90" s="24"/>
      <c r="H90" s="24"/>
      <c r="I90" s="31"/>
      <c r="J90" s="35"/>
    </row>
    <row r="91" spans="1:10" x14ac:dyDescent="0.25">
      <c r="A91" s="28"/>
      <c r="B91" s="28"/>
      <c r="C91" s="60" t="s">
        <v>3398</v>
      </c>
      <c r="D91" s="53"/>
      <c r="E91" s="6"/>
      <c r="F91" s="19"/>
      <c r="G91" s="24" t="s">
        <v>2</v>
      </c>
      <c r="H91" s="24" t="s">
        <v>2</v>
      </c>
      <c r="I91" s="31"/>
      <c r="J91" s="35"/>
    </row>
    <row r="92" spans="1:10" x14ac:dyDescent="0.25">
      <c r="B92" s="8"/>
      <c r="C92" s="56" t="s">
        <v>36</v>
      </c>
      <c r="D92" s="53"/>
      <c r="E92" s="6"/>
      <c r="F92" s="19"/>
      <c r="G92" s="24">
        <v>931.97</v>
      </c>
      <c r="H92" s="24">
        <v>2.09</v>
      </c>
      <c r="I92" s="31"/>
      <c r="J92" s="35"/>
    </row>
    <row r="93" spans="1:10" x14ac:dyDescent="0.25">
      <c r="C93" s="57" t="s">
        <v>35</v>
      </c>
      <c r="D93" s="53"/>
      <c r="E93" s="6"/>
      <c r="F93" s="19"/>
      <c r="G93" s="25">
        <v>931.97</v>
      </c>
      <c r="H93" s="25">
        <v>2.09</v>
      </c>
      <c r="I93" s="31"/>
      <c r="J93" s="35"/>
    </row>
    <row r="94" spans="1:10" x14ac:dyDescent="0.25">
      <c r="C94" s="56"/>
      <c r="D94" s="53"/>
      <c r="E94" s="6"/>
      <c r="F94" s="19"/>
      <c r="G94" s="24"/>
      <c r="H94" s="24"/>
      <c r="I94" s="31"/>
      <c r="J94" s="35"/>
    </row>
    <row r="95" spans="1:10" x14ac:dyDescent="0.25">
      <c r="C95" s="61" t="s">
        <v>37</v>
      </c>
      <c r="D95" s="54"/>
      <c r="E95" s="5"/>
      <c r="F95" s="20"/>
      <c r="G95" s="26">
        <v>44793.49</v>
      </c>
      <c r="H95" s="26">
        <f>SUMIFS(H:H,C:C,"Total")</f>
        <v>100</v>
      </c>
      <c r="I95" s="32"/>
      <c r="J95" s="36"/>
    </row>
    <row r="98" spans="3:3" x14ac:dyDescent="0.25">
      <c r="C98" s="1" t="s">
        <v>38</v>
      </c>
    </row>
    <row r="99" spans="3:3" x14ac:dyDescent="0.25">
      <c r="C99" s="2" t="s">
        <v>39</v>
      </c>
    </row>
    <row r="100" spans="3:3" x14ac:dyDescent="0.25">
      <c r="C100" s="2" t="s">
        <v>40</v>
      </c>
    </row>
    <row r="101" spans="3:3" x14ac:dyDescent="0.25">
      <c r="C101" s="2" t="s">
        <v>3430</v>
      </c>
    </row>
  </sheetData>
  <hyperlinks>
    <hyperlink ref="J2" location="'Index'!A1" display="'Index'!A1"/>
  </hyperlinks>
  <pageMargins left="0.7" right="0.7" top="0.75" bottom="0.75" header="0.3" footer="0.3"/>
  <pageSetup orientation="portrait" horizontalDpi="4294967293"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9"/>
  <dimension ref="A1:J8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2619</v>
      </c>
      <c r="J2" s="37" t="s">
        <v>3307</v>
      </c>
    </row>
    <row r="3" spans="1:10" ht="16.5" x14ac:dyDescent="0.3">
      <c r="C3" s="1" t="s">
        <v>24</v>
      </c>
      <c r="D3" s="21" t="s">
        <v>2620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2605</v>
      </c>
      <c r="C18" s="56" t="s">
        <v>2421</v>
      </c>
      <c r="D18" s="53" t="s">
        <v>2606</v>
      </c>
      <c r="E18" s="6" t="s">
        <v>534</v>
      </c>
      <c r="F18" s="19">
        <v>100</v>
      </c>
      <c r="G18" s="24">
        <v>1248.5</v>
      </c>
      <c r="H18" s="24">
        <v>9.19</v>
      </c>
      <c r="I18" s="31">
        <v>4.8304999999999998</v>
      </c>
      <c r="J18" s="35" t="s">
        <v>514</v>
      </c>
    </row>
    <row r="19" spans="2:10" x14ac:dyDescent="0.25">
      <c r="B19" s="8" t="s">
        <v>2621</v>
      </c>
      <c r="C19" s="56" t="s">
        <v>2622</v>
      </c>
      <c r="D19" s="53" t="s">
        <v>2623</v>
      </c>
      <c r="E19" s="6" t="s">
        <v>534</v>
      </c>
      <c r="F19" s="19">
        <v>130</v>
      </c>
      <c r="G19" s="24">
        <v>1242.81</v>
      </c>
      <c r="H19" s="24">
        <v>9.15</v>
      </c>
      <c r="I19" s="31">
        <v>4.8122999999999996</v>
      </c>
      <c r="J19" s="35" t="s">
        <v>514</v>
      </c>
    </row>
    <row r="20" spans="2:10" x14ac:dyDescent="0.25">
      <c r="B20" s="8" t="s">
        <v>2562</v>
      </c>
      <c r="C20" s="56" t="s">
        <v>1752</v>
      </c>
      <c r="D20" s="53" t="s">
        <v>2563</v>
      </c>
      <c r="E20" s="6" t="s">
        <v>1314</v>
      </c>
      <c r="F20" s="19">
        <v>100</v>
      </c>
      <c r="G20" s="24">
        <v>1035.78</v>
      </c>
      <c r="H20" s="24">
        <v>7.63</v>
      </c>
      <c r="I20" s="31">
        <v>4.0350000000000001</v>
      </c>
      <c r="J20" s="35" t="s">
        <v>514</v>
      </c>
    </row>
    <row r="21" spans="2:10" x14ac:dyDescent="0.25">
      <c r="B21" s="8" t="s">
        <v>619</v>
      </c>
      <c r="C21" s="56" t="s">
        <v>53</v>
      </c>
      <c r="D21" s="53" t="s">
        <v>620</v>
      </c>
      <c r="E21" s="6" t="s">
        <v>534</v>
      </c>
      <c r="F21" s="19">
        <v>100</v>
      </c>
      <c r="G21" s="24">
        <v>1033.47</v>
      </c>
      <c r="H21" s="24">
        <v>7.61</v>
      </c>
      <c r="I21" s="31">
        <v>4.24</v>
      </c>
      <c r="J21" s="35" t="s">
        <v>514</v>
      </c>
    </row>
    <row r="22" spans="2:10" x14ac:dyDescent="0.25">
      <c r="B22" s="8" t="s">
        <v>2624</v>
      </c>
      <c r="C22" s="56" t="s">
        <v>1016</v>
      </c>
      <c r="D22" s="53" t="s">
        <v>2625</v>
      </c>
      <c r="E22" s="6" t="s">
        <v>911</v>
      </c>
      <c r="F22" s="19">
        <v>100</v>
      </c>
      <c r="G22" s="24">
        <v>1032.9100000000001</v>
      </c>
      <c r="H22" s="24">
        <v>7.6</v>
      </c>
      <c r="I22" s="31">
        <v>6.5284000000000004</v>
      </c>
      <c r="J22" s="35" t="s">
        <v>514</v>
      </c>
    </row>
    <row r="23" spans="2:10" x14ac:dyDescent="0.25">
      <c r="B23" s="8" t="s">
        <v>2626</v>
      </c>
      <c r="C23" s="56" t="s">
        <v>137</v>
      </c>
      <c r="D23" s="53" t="s">
        <v>2627</v>
      </c>
      <c r="E23" s="6" t="s">
        <v>534</v>
      </c>
      <c r="F23" s="19">
        <v>100</v>
      </c>
      <c r="G23" s="24">
        <v>1027.31</v>
      </c>
      <c r="H23" s="24">
        <v>7.56</v>
      </c>
      <c r="I23" s="31">
        <v>4.415</v>
      </c>
      <c r="J23" s="35" t="s">
        <v>514</v>
      </c>
    </row>
    <row r="24" spans="2:10" x14ac:dyDescent="0.25">
      <c r="B24" s="8" t="s">
        <v>1894</v>
      </c>
      <c r="C24" s="56" t="s">
        <v>1376</v>
      </c>
      <c r="D24" s="53" t="s">
        <v>1895</v>
      </c>
      <c r="E24" s="6" t="s">
        <v>534</v>
      </c>
      <c r="F24" s="19">
        <v>100</v>
      </c>
      <c r="G24" s="24">
        <v>1026.8</v>
      </c>
      <c r="H24" s="24">
        <v>7.56</v>
      </c>
      <c r="I24" s="31">
        <v>4.5716000000000001</v>
      </c>
      <c r="J24" s="35" t="s">
        <v>514</v>
      </c>
    </row>
    <row r="25" spans="2:10" x14ac:dyDescent="0.25">
      <c r="B25" s="8" t="s">
        <v>1917</v>
      </c>
      <c r="C25" s="56" t="s">
        <v>1918</v>
      </c>
      <c r="D25" s="53" t="s">
        <v>1919</v>
      </c>
      <c r="E25" s="6" t="s">
        <v>911</v>
      </c>
      <c r="F25" s="19">
        <v>100</v>
      </c>
      <c r="G25" s="24">
        <v>1007.9</v>
      </c>
      <c r="H25" s="24">
        <v>7.42</v>
      </c>
      <c r="I25" s="31">
        <v>6.8181000000000003</v>
      </c>
      <c r="J25" s="35" t="s">
        <v>514</v>
      </c>
    </row>
    <row r="26" spans="2:10" x14ac:dyDescent="0.25">
      <c r="B26" s="8" t="s">
        <v>2614</v>
      </c>
      <c r="C26" s="56" t="s">
        <v>1329</v>
      </c>
      <c r="D26" s="53" t="s">
        <v>2615</v>
      </c>
      <c r="E26" s="6" t="s">
        <v>911</v>
      </c>
      <c r="F26" s="19">
        <v>50</v>
      </c>
      <c r="G26" s="24">
        <v>615.41</v>
      </c>
      <c r="H26" s="24">
        <v>4.53</v>
      </c>
      <c r="I26" s="31">
        <v>5.9104000000000001</v>
      </c>
      <c r="J26" s="35" t="s">
        <v>514</v>
      </c>
    </row>
    <row r="27" spans="2:10" x14ac:dyDescent="0.25">
      <c r="B27" s="8" t="s">
        <v>2628</v>
      </c>
      <c r="C27" s="56" t="s">
        <v>854</v>
      </c>
      <c r="D27" s="53" t="s">
        <v>2629</v>
      </c>
      <c r="E27" s="6" t="s">
        <v>534</v>
      </c>
      <c r="F27" s="19">
        <v>40</v>
      </c>
      <c r="G27" s="24">
        <v>522.87</v>
      </c>
      <c r="H27" s="24">
        <v>3.85</v>
      </c>
      <c r="I27" s="31">
        <v>4.29</v>
      </c>
      <c r="J27" s="35" t="s">
        <v>514</v>
      </c>
    </row>
    <row r="28" spans="2:10" x14ac:dyDescent="0.25">
      <c r="B28" s="8" t="s">
        <v>2588</v>
      </c>
      <c r="C28" s="56" t="s">
        <v>854</v>
      </c>
      <c r="D28" s="53" t="s">
        <v>2589</v>
      </c>
      <c r="E28" s="6" t="s">
        <v>534</v>
      </c>
      <c r="F28" s="19">
        <v>50</v>
      </c>
      <c r="G28" s="24">
        <v>519.91999999999996</v>
      </c>
      <c r="H28" s="24">
        <v>3.83</v>
      </c>
      <c r="I28" s="31">
        <v>4.0449999999999999</v>
      </c>
      <c r="J28" s="35" t="s">
        <v>514</v>
      </c>
    </row>
    <row r="29" spans="2:10" x14ac:dyDescent="0.25">
      <c r="B29" s="8" t="s">
        <v>1913</v>
      </c>
      <c r="C29" s="56" t="s">
        <v>601</v>
      </c>
      <c r="D29" s="53" t="s">
        <v>1914</v>
      </c>
      <c r="E29" s="6" t="s">
        <v>534</v>
      </c>
      <c r="F29" s="19">
        <v>50</v>
      </c>
      <c r="G29" s="24">
        <v>515.02</v>
      </c>
      <c r="H29" s="24">
        <v>3.79</v>
      </c>
      <c r="I29" s="31">
        <v>4.26</v>
      </c>
      <c r="J29" s="35" t="s">
        <v>514</v>
      </c>
    </row>
    <row r="30" spans="2:10" x14ac:dyDescent="0.25">
      <c r="B30" s="8" t="s">
        <v>1964</v>
      </c>
      <c r="C30" s="56" t="s">
        <v>601</v>
      </c>
      <c r="D30" s="53" t="s">
        <v>1965</v>
      </c>
      <c r="E30" s="6" t="s">
        <v>534</v>
      </c>
      <c r="F30" s="19">
        <v>50</v>
      </c>
      <c r="G30" s="24">
        <v>514.73</v>
      </c>
      <c r="H30" s="24">
        <v>3.79</v>
      </c>
      <c r="I30" s="31">
        <v>4.26</v>
      </c>
      <c r="J30" s="35" t="s">
        <v>514</v>
      </c>
    </row>
    <row r="31" spans="2:10" x14ac:dyDescent="0.25">
      <c r="B31" s="8" t="s">
        <v>2552</v>
      </c>
      <c r="C31" s="56" t="s">
        <v>1143</v>
      </c>
      <c r="D31" s="53" t="s">
        <v>2553</v>
      </c>
      <c r="E31" s="6" t="s">
        <v>911</v>
      </c>
      <c r="F31" s="19">
        <v>50</v>
      </c>
      <c r="G31" s="24">
        <v>511.6</v>
      </c>
      <c r="H31" s="24">
        <v>3.77</v>
      </c>
      <c r="I31" s="31">
        <v>4.6247999999999996</v>
      </c>
      <c r="J31" s="35" t="s">
        <v>514</v>
      </c>
    </row>
    <row r="32" spans="2:10" x14ac:dyDescent="0.25">
      <c r="B32" s="8" t="s">
        <v>2570</v>
      </c>
      <c r="C32" s="56" t="s">
        <v>1019</v>
      </c>
      <c r="D32" s="53" t="s">
        <v>2571</v>
      </c>
      <c r="E32" s="6" t="s">
        <v>1383</v>
      </c>
      <c r="F32" s="19">
        <v>20</v>
      </c>
      <c r="G32" s="24">
        <v>205.43</v>
      </c>
      <c r="H32" s="24">
        <v>1.51</v>
      </c>
      <c r="I32" s="31">
        <v>6.1619000000000002</v>
      </c>
      <c r="J32" s="35" t="s">
        <v>514</v>
      </c>
    </row>
    <row r="33" spans="1:10" x14ac:dyDescent="0.25">
      <c r="C33" s="57" t="s">
        <v>35</v>
      </c>
      <c r="D33" s="53"/>
      <c r="E33" s="6"/>
      <c r="F33" s="19"/>
      <c r="G33" s="25">
        <v>12060.46</v>
      </c>
      <c r="H33" s="25">
        <v>88.79</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7" t="s">
        <v>10</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11</v>
      </c>
      <c r="D43" s="53"/>
      <c r="E43" s="6"/>
      <c r="F43" s="19"/>
      <c r="G43" s="24"/>
      <c r="H43" s="24"/>
      <c r="I43" s="31"/>
      <c r="J43" s="35"/>
    </row>
    <row r="44" spans="1:10" x14ac:dyDescent="0.25">
      <c r="A44" s="28"/>
      <c r="B44" s="28"/>
      <c r="C44" s="58" t="s">
        <v>13</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C46" s="59" t="s">
        <v>14</v>
      </c>
      <c r="D46" s="53"/>
      <c r="E46" s="6"/>
      <c r="F46" s="19"/>
      <c r="G46" s="24"/>
      <c r="H46" s="24"/>
      <c r="I46" s="31"/>
      <c r="J46" s="35"/>
    </row>
    <row r="47" spans="1:10" x14ac:dyDescent="0.25">
      <c r="B47" s="8" t="s">
        <v>2480</v>
      </c>
      <c r="C47" s="56" t="s">
        <v>872</v>
      </c>
      <c r="D47" s="53" t="s">
        <v>2481</v>
      </c>
      <c r="E47" s="6" t="s">
        <v>992</v>
      </c>
      <c r="F47" s="19">
        <v>500</v>
      </c>
      <c r="G47" s="24">
        <v>494.12</v>
      </c>
      <c r="H47" s="24">
        <v>3.64</v>
      </c>
      <c r="I47" s="31">
        <v>4.2149999999999999</v>
      </c>
      <c r="J47" s="35" t="s">
        <v>514</v>
      </c>
    </row>
    <row r="48" spans="1:10" x14ac:dyDescent="0.25">
      <c r="B48" s="8" t="s">
        <v>1225</v>
      </c>
      <c r="C48" s="56" t="s">
        <v>818</v>
      </c>
      <c r="D48" s="53" t="s">
        <v>1226</v>
      </c>
      <c r="E48" s="6" t="s">
        <v>1000</v>
      </c>
      <c r="F48" s="19">
        <v>200</v>
      </c>
      <c r="G48" s="24">
        <v>196.98</v>
      </c>
      <c r="H48" s="24">
        <v>1.45</v>
      </c>
      <c r="I48" s="31">
        <v>3.5150000000000001</v>
      </c>
      <c r="J48" s="35" t="s">
        <v>514</v>
      </c>
    </row>
    <row r="49" spans="1:10" x14ac:dyDescent="0.25">
      <c r="C49" s="57" t="s">
        <v>35</v>
      </c>
      <c r="D49" s="53"/>
      <c r="E49" s="6"/>
      <c r="F49" s="19"/>
      <c r="G49" s="25">
        <v>691.1</v>
      </c>
      <c r="H49" s="25">
        <v>5.09</v>
      </c>
      <c r="I49" s="31"/>
      <c r="J49" s="35"/>
    </row>
    <row r="50" spans="1:10" x14ac:dyDescent="0.25">
      <c r="C50" s="56"/>
      <c r="D50" s="53"/>
      <c r="E50" s="6"/>
      <c r="F50" s="19"/>
      <c r="G50" s="24"/>
      <c r="H50" s="24"/>
      <c r="I50" s="31"/>
      <c r="J50" s="35"/>
    </row>
    <row r="51" spans="1:10" x14ac:dyDescent="0.25">
      <c r="C51" s="59" t="s">
        <v>15</v>
      </c>
      <c r="D51" s="53"/>
      <c r="E51" s="6"/>
      <c r="F51" s="19"/>
      <c r="G51" s="24"/>
      <c r="H51" s="24"/>
      <c r="I51" s="31"/>
      <c r="J51" s="35"/>
    </row>
    <row r="52" spans="1:10" x14ac:dyDescent="0.25">
      <c r="B52" s="8" t="s">
        <v>2599</v>
      </c>
      <c r="C52" s="56" t="s">
        <v>2600</v>
      </c>
      <c r="D52" s="53" t="s">
        <v>2601</v>
      </c>
      <c r="E52" s="6" t="s">
        <v>655</v>
      </c>
      <c r="F52" s="19">
        <v>200000</v>
      </c>
      <c r="G52" s="24">
        <v>193.24</v>
      </c>
      <c r="H52" s="24">
        <v>1.42</v>
      </c>
      <c r="I52" s="31">
        <v>3.65</v>
      </c>
      <c r="J52" s="35"/>
    </row>
    <row r="53" spans="1:10" x14ac:dyDescent="0.25">
      <c r="C53" s="57" t="s">
        <v>35</v>
      </c>
      <c r="D53" s="53"/>
      <c r="E53" s="6"/>
      <c r="F53" s="19"/>
      <c r="G53" s="25">
        <v>193.24</v>
      </c>
      <c r="H53" s="25">
        <v>1.42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166.36</v>
      </c>
      <c r="H67" s="24">
        <v>1.22</v>
      </c>
      <c r="I67" s="31"/>
      <c r="J67" s="35"/>
    </row>
    <row r="68" spans="1:10" x14ac:dyDescent="0.25">
      <c r="C68" s="57" t="s">
        <v>35</v>
      </c>
      <c r="D68" s="53"/>
      <c r="E68" s="6"/>
      <c r="F68" s="19"/>
      <c r="G68" s="25">
        <v>166.36</v>
      </c>
      <c r="H68" s="25">
        <v>1.22</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470.85</v>
      </c>
      <c r="H72" s="24">
        <v>3.48</v>
      </c>
      <c r="I72" s="31"/>
      <c r="J72" s="35"/>
    </row>
    <row r="73" spans="1:10" x14ac:dyDescent="0.25">
      <c r="C73" s="57" t="s">
        <v>35</v>
      </c>
      <c r="D73" s="53"/>
      <c r="E73" s="6"/>
      <c r="F73" s="19"/>
      <c r="G73" s="25">
        <v>470.85</v>
      </c>
      <c r="H73" s="25">
        <v>3.48</v>
      </c>
      <c r="I73" s="31"/>
      <c r="J73" s="35"/>
    </row>
    <row r="74" spans="1:10" x14ac:dyDescent="0.25">
      <c r="C74" s="56"/>
      <c r="D74" s="53"/>
      <c r="E74" s="6"/>
      <c r="F74" s="19"/>
      <c r="G74" s="24"/>
      <c r="H74" s="24"/>
      <c r="I74" s="31"/>
      <c r="J74" s="35"/>
    </row>
    <row r="75" spans="1:10" x14ac:dyDescent="0.25">
      <c r="C75" s="61" t="s">
        <v>37</v>
      </c>
      <c r="D75" s="54"/>
      <c r="E75" s="5"/>
      <c r="F75" s="20"/>
      <c r="G75" s="26">
        <v>13582.01</v>
      </c>
      <c r="H75" s="26">
        <f>SUMIFS(H:H,C:C,"Total")</f>
        <v>100.00000000000001</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0"/>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2630</v>
      </c>
      <c r="J2" s="37" t="s">
        <v>3307</v>
      </c>
    </row>
    <row r="3" spans="1:10" ht="16.5" x14ac:dyDescent="0.3">
      <c r="C3" s="1" t="s">
        <v>24</v>
      </c>
      <c r="D3" s="21" t="s">
        <v>2631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2632</v>
      </c>
      <c r="C18" s="56" t="s">
        <v>2622</v>
      </c>
      <c r="D18" s="53" t="s">
        <v>2633</v>
      </c>
      <c r="E18" s="6" t="s">
        <v>534</v>
      </c>
      <c r="F18" s="19">
        <v>285</v>
      </c>
      <c r="G18" s="24">
        <v>2633.23</v>
      </c>
      <c r="H18" s="24">
        <v>10.14</v>
      </c>
      <c r="I18" s="31">
        <v>5.37</v>
      </c>
      <c r="J18" s="35" t="s">
        <v>514</v>
      </c>
    </row>
    <row r="19" spans="2:10" x14ac:dyDescent="0.25">
      <c r="B19" s="8" t="s">
        <v>2634</v>
      </c>
      <c r="C19" s="56" t="s">
        <v>1016</v>
      </c>
      <c r="D19" s="53" t="s">
        <v>2635</v>
      </c>
      <c r="E19" s="6" t="s">
        <v>911</v>
      </c>
      <c r="F19" s="19">
        <v>210</v>
      </c>
      <c r="G19" s="24">
        <v>2189.79</v>
      </c>
      <c r="H19" s="24">
        <v>8.43</v>
      </c>
      <c r="I19" s="31">
        <v>6.7832999999999997</v>
      </c>
      <c r="J19" s="35" t="s">
        <v>514</v>
      </c>
    </row>
    <row r="20" spans="2:10" x14ac:dyDescent="0.25">
      <c r="B20" s="8" t="s">
        <v>1394</v>
      </c>
      <c r="C20" s="56" t="s">
        <v>909</v>
      </c>
      <c r="D20" s="53" t="s">
        <v>1395</v>
      </c>
      <c r="E20" s="6" t="s">
        <v>534</v>
      </c>
      <c r="F20" s="19">
        <v>205</v>
      </c>
      <c r="G20" s="24">
        <v>2157.2399999999998</v>
      </c>
      <c r="H20" s="24">
        <v>8.31</v>
      </c>
      <c r="I20" s="31">
        <v>4.4400000000000004</v>
      </c>
      <c r="J20" s="35" t="s">
        <v>514</v>
      </c>
    </row>
    <row r="21" spans="2:10" x14ac:dyDescent="0.25">
      <c r="B21" s="8" t="s">
        <v>1917</v>
      </c>
      <c r="C21" s="56" t="s">
        <v>1918</v>
      </c>
      <c r="D21" s="53" t="s">
        <v>1919</v>
      </c>
      <c r="E21" s="6" t="s">
        <v>911</v>
      </c>
      <c r="F21" s="19">
        <v>210</v>
      </c>
      <c r="G21" s="24">
        <v>2116.59</v>
      </c>
      <c r="H21" s="24">
        <v>8.15</v>
      </c>
      <c r="I21" s="31">
        <v>6.8181000000000003</v>
      </c>
      <c r="J21" s="35" t="s">
        <v>514</v>
      </c>
    </row>
    <row r="22" spans="2:10" x14ac:dyDescent="0.25">
      <c r="B22" s="8" t="s">
        <v>2636</v>
      </c>
      <c r="C22" s="56" t="s">
        <v>1752</v>
      </c>
      <c r="D22" s="53" t="s">
        <v>2637</v>
      </c>
      <c r="E22" s="6" t="s">
        <v>1314</v>
      </c>
      <c r="F22" s="19">
        <v>200</v>
      </c>
      <c r="G22" s="24">
        <v>2110.35</v>
      </c>
      <c r="H22" s="24">
        <v>8.1300000000000008</v>
      </c>
      <c r="I22" s="31">
        <v>4.375</v>
      </c>
      <c r="J22" s="35" t="s">
        <v>514</v>
      </c>
    </row>
    <row r="23" spans="2:10" x14ac:dyDescent="0.25">
      <c r="B23" s="8" t="s">
        <v>1856</v>
      </c>
      <c r="C23" s="56" t="s">
        <v>1130</v>
      </c>
      <c r="D23" s="53" t="s">
        <v>1857</v>
      </c>
      <c r="E23" s="6" t="s">
        <v>911</v>
      </c>
      <c r="F23" s="19">
        <v>200</v>
      </c>
      <c r="G23" s="24">
        <v>2104.7199999999998</v>
      </c>
      <c r="H23" s="24">
        <v>8.11</v>
      </c>
      <c r="I23" s="31">
        <v>4.45</v>
      </c>
      <c r="J23" s="35" t="s">
        <v>514</v>
      </c>
    </row>
    <row r="24" spans="2:10" x14ac:dyDescent="0.25">
      <c r="B24" s="8" t="s">
        <v>1709</v>
      </c>
      <c r="C24" s="56" t="s">
        <v>1376</v>
      </c>
      <c r="D24" s="53" t="s">
        <v>1710</v>
      </c>
      <c r="E24" s="6" t="s">
        <v>534</v>
      </c>
      <c r="F24" s="19">
        <v>200</v>
      </c>
      <c r="G24" s="24">
        <v>2103.2800000000002</v>
      </c>
      <c r="H24" s="24">
        <v>8.1</v>
      </c>
      <c r="I24" s="31">
        <v>4.6303000000000001</v>
      </c>
      <c r="J24" s="35" t="s">
        <v>514</v>
      </c>
    </row>
    <row r="25" spans="2:10" x14ac:dyDescent="0.25">
      <c r="B25" s="8" t="s">
        <v>2638</v>
      </c>
      <c r="C25" s="56" t="s">
        <v>1019</v>
      </c>
      <c r="D25" s="53" t="s">
        <v>2639</v>
      </c>
      <c r="E25" s="6" t="s">
        <v>1383</v>
      </c>
      <c r="F25" s="19">
        <v>200</v>
      </c>
      <c r="G25" s="24">
        <v>2099.4699999999998</v>
      </c>
      <c r="H25" s="24">
        <v>8.09</v>
      </c>
      <c r="I25" s="31">
        <v>6.4752999999999998</v>
      </c>
      <c r="J25" s="35" t="s">
        <v>514</v>
      </c>
    </row>
    <row r="26" spans="2:10" x14ac:dyDescent="0.25">
      <c r="B26" s="8" t="s">
        <v>2640</v>
      </c>
      <c r="C26" s="56" t="s">
        <v>2641</v>
      </c>
      <c r="D26" s="53" t="s">
        <v>2642</v>
      </c>
      <c r="E26" s="6" t="s">
        <v>2643</v>
      </c>
      <c r="F26" s="19">
        <v>180</v>
      </c>
      <c r="G26" s="24">
        <v>1933.08</v>
      </c>
      <c r="H26" s="24">
        <v>7.45</v>
      </c>
      <c r="I26" s="31">
        <v>4.4598000000000004</v>
      </c>
      <c r="J26" s="35" t="s">
        <v>514</v>
      </c>
    </row>
    <row r="27" spans="2:10" x14ac:dyDescent="0.25">
      <c r="B27" s="8" t="s">
        <v>2644</v>
      </c>
      <c r="C27" s="56" t="s">
        <v>1381</v>
      </c>
      <c r="D27" s="53" t="s">
        <v>2645</v>
      </c>
      <c r="E27" s="6" t="s">
        <v>1383</v>
      </c>
      <c r="F27" s="19">
        <v>110</v>
      </c>
      <c r="G27" s="24">
        <v>1159.52</v>
      </c>
      <c r="H27" s="24">
        <v>4.47</v>
      </c>
      <c r="I27" s="31">
        <v>5.5</v>
      </c>
      <c r="J27" s="35" t="s">
        <v>514</v>
      </c>
    </row>
    <row r="28" spans="2:10" x14ac:dyDescent="0.25">
      <c r="B28" s="8" t="s">
        <v>2646</v>
      </c>
      <c r="C28" s="56" t="s">
        <v>53</v>
      </c>
      <c r="D28" s="53" t="s">
        <v>2647</v>
      </c>
      <c r="E28" s="6" t="s">
        <v>534</v>
      </c>
      <c r="F28" s="19">
        <v>100</v>
      </c>
      <c r="G28" s="24">
        <v>1050.74</v>
      </c>
      <c r="H28" s="24">
        <v>4.05</v>
      </c>
      <c r="I28" s="31">
        <v>4.53</v>
      </c>
      <c r="J28" s="35"/>
    </row>
    <row r="29" spans="2:10" x14ac:dyDescent="0.25">
      <c r="B29" s="8" t="s">
        <v>2648</v>
      </c>
      <c r="C29" s="56" t="s">
        <v>1783</v>
      </c>
      <c r="D29" s="53" t="s">
        <v>2649</v>
      </c>
      <c r="E29" s="6" t="s">
        <v>551</v>
      </c>
      <c r="F29" s="19">
        <v>50</v>
      </c>
      <c r="G29" s="24">
        <v>515.80999999999995</v>
      </c>
      <c r="H29" s="24">
        <v>1.99</v>
      </c>
      <c r="I29" s="31">
        <v>6.2390999999999996</v>
      </c>
      <c r="J29" s="35" t="s">
        <v>514</v>
      </c>
    </row>
    <row r="30" spans="2:10" x14ac:dyDescent="0.25">
      <c r="C30" s="57" t="s">
        <v>35</v>
      </c>
      <c r="D30" s="53"/>
      <c r="E30" s="6"/>
      <c r="F30" s="19"/>
      <c r="G30" s="25">
        <v>22173.82</v>
      </c>
      <c r="H30" s="25">
        <v>85.42</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7" t="s">
        <v>8</v>
      </c>
      <c r="D34" s="53"/>
      <c r="E34" s="6"/>
      <c r="F34" s="19"/>
      <c r="G34" s="24" t="s">
        <v>2</v>
      </c>
      <c r="H34" s="24" t="s">
        <v>2</v>
      </c>
      <c r="I34" s="31"/>
      <c r="J34" s="35"/>
    </row>
    <row r="35" spans="1:10" x14ac:dyDescent="0.25">
      <c r="C35" s="56"/>
      <c r="D35" s="53"/>
      <c r="E35" s="6"/>
      <c r="F35" s="19"/>
      <c r="G35" s="24"/>
      <c r="H35" s="24"/>
      <c r="I35" s="31"/>
      <c r="J35" s="35"/>
    </row>
    <row r="36" spans="1:10" x14ac:dyDescent="0.25">
      <c r="C36" s="57" t="s">
        <v>9</v>
      </c>
      <c r="D36" s="53"/>
      <c r="E36" s="6"/>
      <c r="F36" s="19"/>
      <c r="G36" s="24" t="s">
        <v>2</v>
      </c>
      <c r="H36" s="24" t="s">
        <v>2</v>
      </c>
      <c r="I36" s="31"/>
      <c r="J36" s="35"/>
    </row>
    <row r="37" spans="1:10" x14ac:dyDescent="0.25">
      <c r="C37" s="56"/>
      <c r="D37" s="53"/>
      <c r="E37" s="6"/>
      <c r="F37" s="19"/>
      <c r="G37" s="24"/>
      <c r="H37" s="24"/>
      <c r="I37" s="31"/>
      <c r="J37" s="35"/>
    </row>
    <row r="38" spans="1:10" x14ac:dyDescent="0.25">
      <c r="C38" s="57" t="s">
        <v>10</v>
      </c>
      <c r="D38" s="53"/>
      <c r="E38" s="6"/>
      <c r="F38" s="19"/>
      <c r="G38" s="24" t="s">
        <v>2</v>
      </c>
      <c r="H38" s="24" t="s">
        <v>2</v>
      </c>
      <c r="I38" s="31"/>
      <c r="J38" s="35"/>
    </row>
    <row r="39" spans="1:10" x14ac:dyDescent="0.25">
      <c r="C39" s="56"/>
      <c r="D39" s="53"/>
      <c r="E39" s="6"/>
      <c r="F39" s="19"/>
      <c r="G39" s="24"/>
      <c r="H39" s="24"/>
      <c r="I39" s="31"/>
      <c r="J39" s="35"/>
    </row>
    <row r="40" spans="1:10" x14ac:dyDescent="0.25">
      <c r="A40" s="10"/>
      <c r="B40" s="28"/>
      <c r="C40" s="58" t="s">
        <v>11</v>
      </c>
      <c r="D40" s="53"/>
      <c r="E40" s="6"/>
      <c r="F40" s="19"/>
      <c r="G40" s="24"/>
      <c r="H40" s="24"/>
      <c r="I40" s="31"/>
      <c r="J40" s="35"/>
    </row>
    <row r="41" spans="1:10" x14ac:dyDescent="0.25">
      <c r="A41" s="28"/>
      <c r="B41" s="28"/>
      <c r="C41" s="58" t="s">
        <v>13</v>
      </c>
      <c r="D41" s="53"/>
      <c r="E41" s="6"/>
      <c r="F41" s="19"/>
      <c r="G41" s="24" t="s">
        <v>2</v>
      </c>
      <c r="H41" s="24" t="s">
        <v>2</v>
      </c>
      <c r="I41" s="31"/>
      <c r="J41" s="35"/>
    </row>
    <row r="42" spans="1:10" x14ac:dyDescent="0.25">
      <c r="A42" s="28"/>
      <c r="B42" s="28"/>
      <c r="C42" s="58"/>
      <c r="D42" s="53"/>
      <c r="E42" s="6"/>
      <c r="F42" s="19"/>
      <c r="G42" s="24"/>
      <c r="H42" s="24"/>
      <c r="I42" s="31"/>
      <c r="J42" s="35"/>
    </row>
    <row r="43" spans="1:10" x14ac:dyDescent="0.25">
      <c r="C43" s="59" t="s">
        <v>14</v>
      </c>
      <c r="D43" s="53"/>
      <c r="E43" s="6"/>
      <c r="F43" s="19"/>
      <c r="G43" s="24"/>
      <c r="H43" s="24"/>
      <c r="I43" s="31"/>
      <c r="J43" s="35"/>
    </row>
    <row r="44" spans="1:10" x14ac:dyDescent="0.25">
      <c r="B44" s="8" t="s">
        <v>2480</v>
      </c>
      <c r="C44" s="56" t="s">
        <v>872</v>
      </c>
      <c r="D44" s="53" t="s">
        <v>2481</v>
      </c>
      <c r="E44" s="6" t="s">
        <v>992</v>
      </c>
      <c r="F44" s="19">
        <v>1200</v>
      </c>
      <c r="G44" s="24">
        <v>1185.9000000000001</v>
      </c>
      <c r="H44" s="24">
        <v>4.57</v>
      </c>
      <c r="I44" s="31">
        <v>4.2149999999999999</v>
      </c>
      <c r="J44" s="35" t="s">
        <v>514</v>
      </c>
    </row>
    <row r="45" spans="1:10" x14ac:dyDescent="0.25">
      <c r="B45" s="8" t="s">
        <v>1225</v>
      </c>
      <c r="C45" s="56" t="s">
        <v>818</v>
      </c>
      <c r="D45" s="53" t="s">
        <v>1226</v>
      </c>
      <c r="E45" s="6" t="s">
        <v>1000</v>
      </c>
      <c r="F45" s="19">
        <v>800</v>
      </c>
      <c r="G45" s="24">
        <v>787.94</v>
      </c>
      <c r="H45" s="24">
        <v>3.04</v>
      </c>
      <c r="I45" s="31">
        <v>3.5150000000000001</v>
      </c>
      <c r="J45" s="35" t="s">
        <v>514</v>
      </c>
    </row>
    <row r="46" spans="1:10" x14ac:dyDescent="0.25">
      <c r="B46" s="8" t="s">
        <v>2478</v>
      </c>
      <c r="C46" s="56" t="s">
        <v>818</v>
      </c>
      <c r="D46" s="53" t="s">
        <v>2479</v>
      </c>
      <c r="E46" s="6" t="s">
        <v>1000</v>
      </c>
      <c r="F46" s="19">
        <v>100</v>
      </c>
      <c r="G46" s="24">
        <v>97.87</v>
      </c>
      <c r="H46" s="24">
        <v>0.38</v>
      </c>
      <c r="I46" s="31">
        <v>3.83</v>
      </c>
      <c r="J46" s="35" t="s">
        <v>514</v>
      </c>
    </row>
    <row r="47" spans="1:10" x14ac:dyDescent="0.25">
      <c r="C47" s="57" t="s">
        <v>35</v>
      </c>
      <c r="D47" s="53"/>
      <c r="E47" s="6"/>
      <c r="F47" s="19"/>
      <c r="G47" s="25">
        <v>2071.71</v>
      </c>
      <c r="H47" s="25">
        <v>7.99</v>
      </c>
      <c r="I47" s="31"/>
      <c r="J47" s="35"/>
    </row>
    <row r="48" spans="1:10" x14ac:dyDescent="0.25">
      <c r="C48" s="56"/>
      <c r="D48" s="53"/>
      <c r="E48" s="6"/>
      <c r="F48" s="19"/>
      <c r="G48" s="24"/>
      <c r="H48" s="24"/>
      <c r="I48" s="31"/>
      <c r="J48" s="35"/>
    </row>
    <row r="49" spans="1:10" x14ac:dyDescent="0.25">
      <c r="C49" s="59" t="s">
        <v>15</v>
      </c>
      <c r="D49" s="53"/>
      <c r="E49" s="6"/>
      <c r="F49" s="19"/>
      <c r="G49" s="24"/>
      <c r="H49" s="24"/>
      <c r="I49" s="31"/>
      <c r="J49" s="35"/>
    </row>
    <row r="50" spans="1:10" x14ac:dyDescent="0.25">
      <c r="B50" s="8" t="s">
        <v>2599</v>
      </c>
      <c r="C50" s="56" t="s">
        <v>2600</v>
      </c>
      <c r="D50" s="53" t="s">
        <v>2601</v>
      </c>
      <c r="E50" s="6" t="s">
        <v>655</v>
      </c>
      <c r="F50" s="19">
        <v>50000</v>
      </c>
      <c r="G50" s="24">
        <v>48.31</v>
      </c>
      <c r="H50" s="24">
        <v>0.19</v>
      </c>
      <c r="I50" s="31">
        <v>3.65</v>
      </c>
      <c r="J50" s="35"/>
    </row>
    <row r="51" spans="1:10" x14ac:dyDescent="0.25">
      <c r="C51" s="57" t="s">
        <v>35</v>
      </c>
      <c r="D51" s="53"/>
      <c r="E51" s="6"/>
      <c r="F51" s="19"/>
      <c r="G51" s="25">
        <v>48.31</v>
      </c>
      <c r="H51" s="25">
        <v>0.19</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120.09</v>
      </c>
      <c r="H65" s="24">
        <v>0.46</v>
      </c>
      <c r="I65" s="31"/>
      <c r="J65" s="35"/>
    </row>
    <row r="66" spans="1:10" x14ac:dyDescent="0.25">
      <c r="C66" s="57" t="s">
        <v>35</v>
      </c>
      <c r="D66" s="53"/>
      <c r="E66" s="6"/>
      <c r="F66" s="19"/>
      <c r="G66" s="25">
        <v>120.09</v>
      </c>
      <c r="H66" s="25">
        <v>0.46</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1546.9</v>
      </c>
      <c r="H70" s="24">
        <v>5.94</v>
      </c>
      <c r="I70" s="31"/>
      <c r="J70" s="35"/>
    </row>
    <row r="71" spans="1:10" x14ac:dyDescent="0.25">
      <c r="C71" s="57" t="s">
        <v>35</v>
      </c>
      <c r="D71" s="53"/>
      <c r="E71" s="6"/>
      <c r="F71" s="19"/>
      <c r="G71" s="25">
        <v>1546.9</v>
      </c>
      <c r="H71" s="25">
        <v>5.94</v>
      </c>
      <c r="I71" s="31"/>
      <c r="J71" s="35"/>
    </row>
    <row r="72" spans="1:10" x14ac:dyDescent="0.25">
      <c r="C72" s="56"/>
      <c r="D72" s="53"/>
      <c r="E72" s="6"/>
      <c r="F72" s="19"/>
      <c r="G72" s="24"/>
      <c r="H72" s="24"/>
      <c r="I72" s="31"/>
      <c r="J72" s="35"/>
    </row>
    <row r="73" spans="1:10" x14ac:dyDescent="0.25">
      <c r="C73" s="61" t="s">
        <v>37</v>
      </c>
      <c r="D73" s="54"/>
      <c r="E73" s="5"/>
      <c r="F73" s="20"/>
      <c r="G73" s="26">
        <v>25960.83</v>
      </c>
      <c r="H73" s="26">
        <f>SUMIFS(H:H,C:C,"Total")</f>
        <v>99.999999999999986</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1"/>
  <dimension ref="A1:J8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2650</v>
      </c>
      <c r="J2" s="37" t="s">
        <v>3307</v>
      </c>
    </row>
    <row r="3" spans="1:10" ht="16.5" x14ac:dyDescent="0.3">
      <c r="C3" s="1" t="s">
        <v>24</v>
      </c>
      <c r="D3" s="21" t="s">
        <v>2651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2652</v>
      </c>
      <c r="C18" s="56" t="s">
        <v>92</v>
      </c>
      <c r="D18" s="53" t="s">
        <v>2653</v>
      </c>
      <c r="E18" s="6" t="s">
        <v>534</v>
      </c>
      <c r="F18" s="19">
        <v>470</v>
      </c>
      <c r="G18" s="24">
        <v>5841.42</v>
      </c>
      <c r="H18" s="24">
        <v>10.06</v>
      </c>
      <c r="I18" s="31">
        <v>5.25</v>
      </c>
      <c r="J18" s="35" t="s">
        <v>514</v>
      </c>
    </row>
    <row r="19" spans="2:10" x14ac:dyDescent="0.25">
      <c r="B19" s="8" t="s">
        <v>2605</v>
      </c>
      <c r="C19" s="56" t="s">
        <v>2421</v>
      </c>
      <c r="D19" s="53" t="s">
        <v>2606</v>
      </c>
      <c r="E19" s="6" t="s">
        <v>534</v>
      </c>
      <c r="F19" s="19">
        <v>460</v>
      </c>
      <c r="G19" s="24">
        <v>5743.08</v>
      </c>
      <c r="H19" s="24">
        <v>9.89</v>
      </c>
      <c r="I19" s="31">
        <v>4.8304999999999998</v>
      </c>
      <c r="J19" s="35" t="s">
        <v>514</v>
      </c>
    </row>
    <row r="20" spans="2:10" x14ac:dyDescent="0.25">
      <c r="B20" s="8" t="s">
        <v>2646</v>
      </c>
      <c r="C20" s="56" t="s">
        <v>53</v>
      </c>
      <c r="D20" s="53" t="s">
        <v>2647</v>
      </c>
      <c r="E20" s="6" t="s">
        <v>534</v>
      </c>
      <c r="F20" s="19">
        <v>500</v>
      </c>
      <c r="G20" s="24">
        <v>5253.69</v>
      </c>
      <c r="H20" s="24">
        <v>9.0500000000000007</v>
      </c>
      <c r="I20" s="31">
        <v>4.53</v>
      </c>
      <c r="J20" s="35"/>
    </row>
    <row r="21" spans="2:10" x14ac:dyDescent="0.25">
      <c r="B21" s="8" t="s">
        <v>1884</v>
      </c>
      <c r="C21" s="56" t="s">
        <v>1376</v>
      </c>
      <c r="D21" s="53" t="s">
        <v>1885</v>
      </c>
      <c r="E21" s="6" t="s">
        <v>534</v>
      </c>
      <c r="F21" s="19">
        <v>470</v>
      </c>
      <c r="G21" s="24">
        <v>4954.03</v>
      </c>
      <c r="H21" s="24">
        <v>8.5299999999999994</v>
      </c>
      <c r="I21" s="31">
        <v>4.6833</v>
      </c>
      <c r="J21" s="35"/>
    </row>
    <row r="22" spans="2:10" x14ac:dyDescent="0.25">
      <c r="B22" s="8" t="s">
        <v>1856</v>
      </c>
      <c r="C22" s="56" t="s">
        <v>1130</v>
      </c>
      <c r="D22" s="53" t="s">
        <v>1857</v>
      </c>
      <c r="E22" s="6" t="s">
        <v>911</v>
      </c>
      <c r="F22" s="19">
        <v>470</v>
      </c>
      <c r="G22" s="24">
        <v>4946.1000000000004</v>
      </c>
      <c r="H22" s="24">
        <v>8.52</v>
      </c>
      <c r="I22" s="31">
        <v>4.45</v>
      </c>
      <c r="J22" s="35" t="s">
        <v>514</v>
      </c>
    </row>
    <row r="23" spans="2:10" x14ac:dyDescent="0.25">
      <c r="B23" s="8" t="s">
        <v>2654</v>
      </c>
      <c r="C23" s="56" t="s">
        <v>2655</v>
      </c>
      <c r="D23" s="53" t="s">
        <v>2656</v>
      </c>
      <c r="E23" s="6" t="s">
        <v>534</v>
      </c>
      <c r="F23" s="19">
        <v>470</v>
      </c>
      <c r="G23" s="24">
        <v>4909.84</v>
      </c>
      <c r="H23" s="24">
        <v>8.4499999999999993</v>
      </c>
      <c r="I23" s="31">
        <v>4.3499999999999996</v>
      </c>
      <c r="J23" s="35"/>
    </row>
    <row r="24" spans="2:10" x14ac:dyDescent="0.25">
      <c r="B24" s="8" t="s">
        <v>2636</v>
      </c>
      <c r="C24" s="56" t="s">
        <v>1752</v>
      </c>
      <c r="D24" s="53" t="s">
        <v>2637</v>
      </c>
      <c r="E24" s="6" t="s">
        <v>1314</v>
      </c>
      <c r="F24" s="19">
        <v>460</v>
      </c>
      <c r="G24" s="24">
        <v>4853.8</v>
      </c>
      <c r="H24" s="24">
        <v>8.36</v>
      </c>
      <c r="I24" s="31">
        <v>4.375</v>
      </c>
      <c r="J24" s="35" t="s">
        <v>514</v>
      </c>
    </row>
    <row r="25" spans="2:10" x14ac:dyDescent="0.25">
      <c r="B25" s="8" t="s">
        <v>1394</v>
      </c>
      <c r="C25" s="56" t="s">
        <v>909</v>
      </c>
      <c r="D25" s="53" t="s">
        <v>1395</v>
      </c>
      <c r="E25" s="6" t="s">
        <v>534</v>
      </c>
      <c r="F25" s="19">
        <v>450</v>
      </c>
      <c r="G25" s="24">
        <v>4735.41</v>
      </c>
      <c r="H25" s="24">
        <v>8.15</v>
      </c>
      <c r="I25" s="31">
        <v>4.4400000000000004</v>
      </c>
      <c r="J25" s="35" t="s">
        <v>514</v>
      </c>
    </row>
    <row r="26" spans="2:10" x14ac:dyDescent="0.25">
      <c r="B26" s="8" t="s">
        <v>2657</v>
      </c>
      <c r="C26" s="56" t="s">
        <v>1127</v>
      </c>
      <c r="D26" s="53" t="s">
        <v>2658</v>
      </c>
      <c r="E26" s="6" t="s">
        <v>534</v>
      </c>
      <c r="F26" s="19">
        <v>250</v>
      </c>
      <c r="G26" s="24">
        <v>3105</v>
      </c>
      <c r="H26" s="24">
        <v>5.35</v>
      </c>
      <c r="I26" s="31">
        <v>4.8418999999999999</v>
      </c>
      <c r="J26" s="35" t="s">
        <v>514</v>
      </c>
    </row>
    <row r="27" spans="2:10" x14ac:dyDescent="0.25">
      <c r="B27" s="8" t="s">
        <v>2659</v>
      </c>
      <c r="C27" s="56" t="s">
        <v>601</v>
      </c>
      <c r="D27" s="53" t="s">
        <v>2660</v>
      </c>
      <c r="E27" s="6" t="s">
        <v>534</v>
      </c>
      <c r="F27" s="19">
        <v>250</v>
      </c>
      <c r="G27" s="24">
        <v>2578.8200000000002</v>
      </c>
      <c r="H27" s="24">
        <v>4.4400000000000004</v>
      </c>
      <c r="I27" s="31">
        <v>4.54</v>
      </c>
      <c r="J27" s="35" t="s">
        <v>514</v>
      </c>
    </row>
    <row r="28" spans="2:10" x14ac:dyDescent="0.25">
      <c r="B28" s="8" t="s">
        <v>2661</v>
      </c>
      <c r="C28" s="56" t="s">
        <v>1127</v>
      </c>
      <c r="D28" s="53" t="s">
        <v>2662</v>
      </c>
      <c r="E28" s="6" t="s">
        <v>534</v>
      </c>
      <c r="F28" s="19">
        <v>220</v>
      </c>
      <c r="G28" s="24">
        <v>2331.87</v>
      </c>
      <c r="H28" s="24">
        <v>4.01</v>
      </c>
      <c r="I28" s="31">
        <v>4.8899999999999997</v>
      </c>
      <c r="J28" s="35" t="s">
        <v>514</v>
      </c>
    </row>
    <row r="29" spans="2:10" x14ac:dyDescent="0.25">
      <c r="B29" s="8" t="s">
        <v>1947</v>
      </c>
      <c r="C29" s="56" t="s">
        <v>172</v>
      </c>
      <c r="D29" s="53" t="s">
        <v>1948</v>
      </c>
      <c r="E29" s="6" t="s">
        <v>534</v>
      </c>
      <c r="F29" s="19">
        <v>150</v>
      </c>
      <c r="G29" s="24">
        <v>1553.18</v>
      </c>
      <c r="H29" s="24">
        <v>2.67</v>
      </c>
      <c r="I29" s="31">
        <v>4.8455000000000004</v>
      </c>
      <c r="J29" s="35" t="s">
        <v>514</v>
      </c>
    </row>
    <row r="30" spans="2:10" x14ac:dyDescent="0.25">
      <c r="B30" s="8" t="s">
        <v>1913</v>
      </c>
      <c r="C30" s="56" t="s">
        <v>601</v>
      </c>
      <c r="D30" s="53" t="s">
        <v>1914</v>
      </c>
      <c r="E30" s="6" t="s">
        <v>534</v>
      </c>
      <c r="F30" s="19">
        <v>100</v>
      </c>
      <c r="G30" s="24">
        <v>1030.03</v>
      </c>
      <c r="H30" s="24">
        <v>1.77</v>
      </c>
      <c r="I30" s="31">
        <v>4.26</v>
      </c>
      <c r="J30" s="35" t="s">
        <v>514</v>
      </c>
    </row>
    <row r="31" spans="2:10" x14ac:dyDescent="0.25">
      <c r="B31" s="8" t="s">
        <v>2588</v>
      </c>
      <c r="C31" s="56" t="s">
        <v>854</v>
      </c>
      <c r="D31" s="53" t="s">
        <v>2589</v>
      </c>
      <c r="E31" s="6" t="s">
        <v>534</v>
      </c>
      <c r="F31" s="19">
        <v>10</v>
      </c>
      <c r="G31" s="24">
        <v>103.98</v>
      </c>
      <c r="H31" s="24">
        <v>0.18</v>
      </c>
      <c r="I31" s="31">
        <v>4.0449999999999999</v>
      </c>
      <c r="J31" s="35" t="s">
        <v>514</v>
      </c>
    </row>
    <row r="32" spans="2:10" x14ac:dyDescent="0.25">
      <c r="B32" s="8" t="s">
        <v>2562</v>
      </c>
      <c r="C32" s="56" t="s">
        <v>1752</v>
      </c>
      <c r="D32" s="53" t="s">
        <v>2563</v>
      </c>
      <c r="E32" s="6" t="s">
        <v>1314</v>
      </c>
      <c r="F32" s="19">
        <v>10</v>
      </c>
      <c r="G32" s="24">
        <v>103.58</v>
      </c>
      <c r="H32" s="24">
        <v>0.18</v>
      </c>
      <c r="I32" s="31">
        <v>4.0350000000000001</v>
      </c>
      <c r="J32" s="35" t="s">
        <v>514</v>
      </c>
    </row>
    <row r="33" spans="1:10" x14ac:dyDescent="0.25">
      <c r="C33" s="57" t="s">
        <v>35</v>
      </c>
      <c r="D33" s="53"/>
      <c r="E33" s="6"/>
      <c r="F33" s="19"/>
      <c r="G33" s="25">
        <v>52043.83</v>
      </c>
      <c r="H33" s="25">
        <v>89.61</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9" t="s">
        <v>10</v>
      </c>
      <c r="D41" s="53"/>
      <c r="E41" s="6"/>
      <c r="F41" s="19"/>
      <c r="G41" s="24"/>
      <c r="H41" s="24"/>
      <c r="I41" s="31"/>
      <c r="J41" s="35"/>
    </row>
    <row r="42" spans="1:10" x14ac:dyDescent="0.25">
      <c r="B42" s="8" t="s">
        <v>2663</v>
      </c>
      <c r="C42" s="56" t="s">
        <v>2664</v>
      </c>
      <c r="D42" s="53" t="s">
        <v>2665</v>
      </c>
      <c r="E42" s="6" t="s">
        <v>655</v>
      </c>
      <c r="F42" s="19">
        <v>100000</v>
      </c>
      <c r="G42" s="24">
        <v>105.87</v>
      </c>
      <c r="H42" s="24">
        <v>0.18</v>
      </c>
      <c r="I42" s="31">
        <v>4.3513000000000002</v>
      </c>
      <c r="J42" s="35"/>
    </row>
    <row r="43" spans="1:10" x14ac:dyDescent="0.25">
      <c r="C43" s="57" t="s">
        <v>35</v>
      </c>
      <c r="D43" s="53"/>
      <c r="E43" s="6"/>
      <c r="F43" s="19"/>
      <c r="G43" s="25">
        <v>105.87</v>
      </c>
      <c r="H43" s="25">
        <v>0.18</v>
      </c>
      <c r="I43" s="31"/>
      <c r="J43" s="35"/>
    </row>
    <row r="44" spans="1:10" x14ac:dyDescent="0.25">
      <c r="C44" s="56"/>
      <c r="D44" s="53"/>
      <c r="E44" s="6"/>
      <c r="F44" s="19"/>
      <c r="G44" s="24"/>
      <c r="H44" s="24"/>
      <c r="I44" s="31"/>
      <c r="J44" s="35"/>
    </row>
    <row r="45" spans="1:10" x14ac:dyDescent="0.25">
      <c r="A45" s="10"/>
      <c r="B45" s="28"/>
      <c r="C45" s="58" t="s">
        <v>11</v>
      </c>
      <c r="D45" s="53"/>
      <c r="E45" s="6"/>
      <c r="F45" s="19"/>
      <c r="G45" s="24"/>
      <c r="H45" s="24"/>
      <c r="I45" s="31"/>
      <c r="J45" s="35"/>
    </row>
    <row r="46" spans="1:10" x14ac:dyDescent="0.25">
      <c r="A46" s="28"/>
      <c r="B46" s="28"/>
      <c r="C46" s="58" t="s">
        <v>13</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C48" s="59" t="s">
        <v>14</v>
      </c>
      <c r="D48" s="53"/>
      <c r="E48" s="6"/>
      <c r="F48" s="19"/>
      <c r="G48" s="24"/>
      <c r="H48" s="24"/>
      <c r="I48" s="31"/>
      <c r="J48" s="35"/>
    </row>
    <row r="49" spans="1:10" x14ac:dyDescent="0.25">
      <c r="B49" s="8" t="s">
        <v>2480</v>
      </c>
      <c r="C49" s="56" t="s">
        <v>872</v>
      </c>
      <c r="D49" s="53" t="s">
        <v>2481</v>
      </c>
      <c r="E49" s="6" t="s">
        <v>992</v>
      </c>
      <c r="F49" s="19">
        <v>1500</v>
      </c>
      <c r="G49" s="24">
        <v>1482.37</v>
      </c>
      <c r="H49" s="24">
        <v>2.5499999999999998</v>
      </c>
      <c r="I49" s="31">
        <v>4.2149999999999999</v>
      </c>
      <c r="J49" s="35" t="s">
        <v>514</v>
      </c>
    </row>
    <row r="50" spans="1:10" x14ac:dyDescent="0.25">
      <c r="B50" s="8" t="s">
        <v>1225</v>
      </c>
      <c r="C50" s="56" t="s">
        <v>818</v>
      </c>
      <c r="D50" s="53" t="s">
        <v>1226</v>
      </c>
      <c r="E50" s="6" t="s">
        <v>1000</v>
      </c>
      <c r="F50" s="19">
        <v>1400</v>
      </c>
      <c r="G50" s="24">
        <v>1378.89</v>
      </c>
      <c r="H50" s="24">
        <v>2.37</v>
      </c>
      <c r="I50" s="31">
        <v>3.5150000000000001</v>
      </c>
      <c r="J50" s="35" t="s">
        <v>514</v>
      </c>
    </row>
    <row r="51" spans="1:10" x14ac:dyDescent="0.25">
      <c r="B51" s="8" t="s">
        <v>1248</v>
      </c>
      <c r="C51" s="56" t="s">
        <v>818</v>
      </c>
      <c r="D51" s="53" t="s">
        <v>1249</v>
      </c>
      <c r="E51" s="6" t="s">
        <v>1000</v>
      </c>
      <c r="F51" s="19">
        <v>600</v>
      </c>
      <c r="G51" s="24">
        <v>585.08000000000004</v>
      </c>
      <c r="H51" s="24">
        <v>1.01</v>
      </c>
      <c r="I51" s="31">
        <v>3.8298999999999999</v>
      </c>
      <c r="J51" s="35" t="s">
        <v>514</v>
      </c>
    </row>
    <row r="52" spans="1:10" x14ac:dyDescent="0.25">
      <c r="B52" s="8" t="s">
        <v>2478</v>
      </c>
      <c r="C52" s="56" t="s">
        <v>818</v>
      </c>
      <c r="D52" s="53" t="s">
        <v>2479</v>
      </c>
      <c r="E52" s="6" t="s">
        <v>1000</v>
      </c>
      <c r="F52" s="19">
        <v>500</v>
      </c>
      <c r="G52" s="24">
        <v>489.37</v>
      </c>
      <c r="H52" s="24">
        <v>0.84</v>
      </c>
      <c r="I52" s="31">
        <v>3.83</v>
      </c>
      <c r="J52" s="35" t="s">
        <v>514</v>
      </c>
    </row>
    <row r="53" spans="1:10" x14ac:dyDescent="0.25">
      <c r="C53" s="57" t="s">
        <v>35</v>
      </c>
      <c r="D53" s="53"/>
      <c r="E53" s="6"/>
      <c r="F53" s="19"/>
      <c r="G53" s="25">
        <v>3935.71</v>
      </c>
      <c r="H53" s="25">
        <v>6.77</v>
      </c>
      <c r="I53" s="31"/>
      <c r="J53" s="35"/>
    </row>
    <row r="54" spans="1:10" x14ac:dyDescent="0.25">
      <c r="C54" s="56"/>
      <c r="D54" s="53"/>
      <c r="E54" s="6"/>
      <c r="F54" s="19"/>
      <c r="G54" s="24"/>
      <c r="H54" s="24"/>
      <c r="I54" s="31"/>
      <c r="J54" s="35"/>
    </row>
    <row r="55" spans="1:10" x14ac:dyDescent="0.25">
      <c r="C55" s="57" t="s">
        <v>15</v>
      </c>
      <c r="D55" s="53"/>
      <c r="E55" s="6"/>
      <c r="F55" s="19"/>
      <c r="G55" s="24" t="s">
        <v>2</v>
      </c>
      <c r="H55" s="24" t="s">
        <v>2</v>
      </c>
      <c r="I55" s="31"/>
      <c r="J55" s="35"/>
    </row>
    <row r="56" spans="1:10" x14ac:dyDescent="0.25">
      <c r="C56" s="56"/>
      <c r="D56" s="53"/>
      <c r="E56" s="6"/>
      <c r="F56" s="19"/>
      <c r="G56" s="24"/>
      <c r="H56" s="24"/>
      <c r="I56" s="31"/>
      <c r="J56" s="35"/>
    </row>
    <row r="57" spans="1:10" x14ac:dyDescent="0.25">
      <c r="C57" s="57" t="s">
        <v>16</v>
      </c>
      <c r="D57" s="53"/>
      <c r="E57" s="6"/>
      <c r="F57" s="19"/>
      <c r="G57" s="24" t="s">
        <v>2</v>
      </c>
      <c r="H57" s="24" t="s">
        <v>2</v>
      </c>
      <c r="I57" s="31"/>
      <c r="J57" s="35"/>
    </row>
    <row r="58" spans="1:10" x14ac:dyDescent="0.25">
      <c r="C58" s="56"/>
      <c r="D58" s="53"/>
      <c r="E58" s="6"/>
      <c r="F58" s="19"/>
      <c r="G58" s="24"/>
      <c r="H58" s="24"/>
      <c r="I58" s="31"/>
      <c r="J58" s="35"/>
    </row>
    <row r="59" spans="1:10" x14ac:dyDescent="0.25">
      <c r="A59" s="10"/>
      <c r="B59" s="28"/>
      <c r="C59" s="58" t="s">
        <v>17</v>
      </c>
      <c r="D59" s="53"/>
      <c r="E59" s="6"/>
      <c r="F59" s="19"/>
      <c r="G59" s="24"/>
      <c r="H59" s="24"/>
      <c r="I59" s="31"/>
      <c r="J59" s="35"/>
    </row>
    <row r="60" spans="1:10" x14ac:dyDescent="0.25">
      <c r="A60" s="28"/>
      <c r="B60" s="28"/>
      <c r="C60" s="58" t="s">
        <v>18</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19</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20</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21</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C68" s="59" t="s">
        <v>22</v>
      </c>
      <c r="D68" s="53"/>
      <c r="E68" s="6"/>
      <c r="F68" s="19"/>
      <c r="G68" s="24"/>
      <c r="H68" s="24"/>
      <c r="I68" s="31"/>
      <c r="J68" s="35"/>
    </row>
    <row r="69" spans="1:10" x14ac:dyDescent="0.25">
      <c r="B69" s="8" t="s">
        <v>33</v>
      </c>
      <c r="C69" s="56" t="s">
        <v>34</v>
      </c>
      <c r="D69" s="53"/>
      <c r="E69" s="6"/>
      <c r="F69" s="19"/>
      <c r="G69" s="24">
        <v>384.6</v>
      </c>
      <c r="H69" s="24">
        <v>0.66</v>
      </c>
      <c r="I69" s="31"/>
      <c r="J69" s="35"/>
    </row>
    <row r="70" spans="1:10" x14ac:dyDescent="0.25">
      <c r="C70" s="57" t="s">
        <v>35</v>
      </c>
      <c r="D70" s="53"/>
      <c r="E70" s="6"/>
      <c r="F70" s="19"/>
      <c r="G70" s="25">
        <v>384.6</v>
      </c>
      <c r="H70" s="25">
        <v>0.66</v>
      </c>
      <c r="I70" s="31"/>
      <c r="J70" s="35"/>
    </row>
    <row r="71" spans="1:10" x14ac:dyDescent="0.25">
      <c r="C71" s="56"/>
      <c r="D71" s="53"/>
      <c r="E71" s="6"/>
      <c r="F71" s="19"/>
      <c r="G71" s="24"/>
      <c r="H71" s="24"/>
      <c r="I71" s="31"/>
      <c r="J71" s="35"/>
    </row>
    <row r="72" spans="1:10" x14ac:dyDescent="0.25">
      <c r="A72" s="10"/>
      <c r="B72" s="28"/>
      <c r="C72" s="58" t="s">
        <v>23</v>
      </c>
      <c r="D72" s="53"/>
      <c r="E72" s="6"/>
      <c r="F72" s="19"/>
      <c r="G72" s="24"/>
      <c r="H72" s="24"/>
      <c r="I72" s="31"/>
      <c r="J72" s="35"/>
    </row>
    <row r="73" spans="1:10" x14ac:dyDescent="0.25">
      <c r="A73" s="28"/>
      <c r="B73" s="28"/>
      <c r="C73" s="60" t="s">
        <v>3398</v>
      </c>
      <c r="D73" s="53"/>
      <c r="E73" s="6"/>
      <c r="F73" s="19"/>
      <c r="G73" s="24" t="s">
        <v>2</v>
      </c>
      <c r="H73" s="24" t="s">
        <v>2</v>
      </c>
      <c r="I73" s="31"/>
      <c r="J73" s="35"/>
    </row>
    <row r="74" spans="1:10" x14ac:dyDescent="0.25">
      <c r="B74" s="8"/>
      <c r="C74" s="56" t="s">
        <v>36</v>
      </c>
      <c r="D74" s="53"/>
      <c r="E74" s="6"/>
      <c r="F74" s="19"/>
      <c r="G74" s="24">
        <v>1609.16</v>
      </c>
      <c r="H74" s="24">
        <v>2.78</v>
      </c>
      <c r="I74" s="31"/>
      <c r="J74" s="35"/>
    </row>
    <row r="75" spans="1:10" x14ac:dyDescent="0.25">
      <c r="C75" s="57" t="s">
        <v>35</v>
      </c>
      <c r="D75" s="53"/>
      <c r="E75" s="6"/>
      <c r="F75" s="19"/>
      <c r="G75" s="25">
        <v>1609.16</v>
      </c>
      <c r="H75" s="25">
        <v>2.78</v>
      </c>
      <c r="I75" s="31"/>
      <c r="J75" s="35"/>
    </row>
    <row r="76" spans="1:10" x14ac:dyDescent="0.25">
      <c r="C76" s="56"/>
      <c r="D76" s="53"/>
      <c r="E76" s="6"/>
      <c r="F76" s="19"/>
      <c r="G76" s="24"/>
      <c r="H76" s="24"/>
      <c r="I76" s="31"/>
      <c r="J76" s="35"/>
    </row>
    <row r="77" spans="1:10" x14ac:dyDescent="0.25">
      <c r="C77" s="61" t="s">
        <v>37</v>
      </c>
      <c r="D77" s="54"/>
      <c r="E77" s="5"/>
      <c r="F77" s="20"/>
      <c r="G77" s="26">
        <v>58079.17</v>
      </c>
      <c r="H77" s="26">
        <f>SUMIFS(H:H,C:C,"Total")</f>
        <v>100</v>
      </c>
      <c r="I77" s="32"/>
      <c r="J77" s="36"/>
    </row>
    <row r="80" spans="1:10" x14ac:dyDescent="0.25">
      <c r="C80" s="1" t="s">
        <v>38</v>
      </c>
    </row>
    <row r="81" spans="3:3" x14ac:dyDescent="0.25">
      <c r="C81" s="2" t="s">
        <v>39</v>
      </c>
    </row>
    <row r="82" spans="3:3" x14ac:dyDescent="0.25">
      <c r="C82" s="2" t="s">
        <v>40</v>
      </c>
    </row>
    <row r="83" spans="3:3" x14ac:dyDescent="0.25">
      <c r="C83" s="2" t="s">
        <v>3430</v>
      </c>
    </row>
  </sheetData>
  <hyperlinks>
    <hyperlink ref="J2" location="'Index'!A1" display="'Index'!A1"/>
  </hyperlinks>
  <pageMargins left="0.7" right="0.7" top="0.75" bottom="0.75" header="0.3" footer="0.3"/>
  <pageSetup orientation="portrait" horizontalDpi="4294967293"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2"/>
  <dimension ref="A1:J8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2666</v>
      </c>
      <c r="J2" s="37" t="s">
        <v>3307</v>
      </c>
    </row>
    <row r="3" spans="1:10" ht="16.5" x14ac:dyDescent="0.3">
      <c r="C3" s="1" t="s">
        <v>24</v>
      </c>
      <c r="D3" s="21" t="s">
        <v>2667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1945</v>
      </c>
      <c r="C18" s="56" t="s">
        <v>1381</v>
      </c>
      <c r="D18" s="53" t="s">
        <v>1946</v>
      </c>
      <c r="E18" s="6" t="s">
        <v>1383</v>
      </c>
      <c r="F18" s="19">
        <v>450</v>
      </c>
      <c r="G18" s="24">
        <v>5578.27</v>
      </c>
      <c r="H18" s="24">
        <v>10.130000000000001</v>
      </c>
      <c r="I18" s="31">
        <v>5.5</v>
      </c>
      <c r="J18" s="35" t="s">
        <v>514</v>
      </c>
    </row>
    <row r="19" spans="2:10" x14ac:dyDescent="0.25">
      <c r="B19" s="8" t="s">
        <v>2636</v>
      </c>
      <c r="C19" s="56" t="s">
        <v>1752</v>
      </c>
      <c r="D19" s="53" t="s">
        <v>2637</v>
      </c>
      <c r="E19" s="6" t="s">
        <v>1314</v>
      </c>
      <c r="F19" s="19">
        <v>440</v>
      </c>
      <c r="G19" s="24">
        <v>4642.7700000000004</v>
      </c>
      <c r="H19" s="24">
        <v>8.43</v>
      </c>
      <c r="I19" s="31">
        <v>4.375</v>
      </c>
      <c r="J19" s="35" t="s">
        <v>514</v>
      </c>
    </row>
    <row r="20" spans="2:10" x14ac:dyDescent="0.25">
      <c r="B20" s="8" t="s">
        <v>2648</v>
      </c>
      <c r="C20" s="56" t="s">
        <v>1783</v>
      </c>
      <c r="D20" s="53" t="s">
        <v>2649</v>
      </c>
      <c r="E20" s="6" t="s">
        <v>551</v>
      </c>
      <c r="F20" s="19">
        <v>450</v>
      </c>
      <c r="G20" s="24">
        <v>4642.32</v>
      </c>
      <c r="H20" s="24">
        <v>8.43</v>
      </c>
      <c r="I20" s="31">
        <v>6.2390999999999996</v>
      </c>
      <c r="J20" s="35" t="s">
        <v>514</v>
      </c>
    </row>
    <row r="21" spans="2:10" x14ac:dyDescent="0.25">
      <c r="B21" s="8" t="s">
        <v>1856</v>
      </c>
      <c r="C21" s="56" t="s">
        <v>1130</v>
      </c>
      <c r="D21" s="53" t="s">
        <v>1857</v>
      </c>
      <c r="E21" s="6" t="s">
        <v>911</v>
      </c>
      <c r="F21" s="19">
        <v>440</v>
      </c>
      <c r="G21" s="24">
        <v>4630.3900000000003</v>
      </c>
      <c r="H21" s="24">
        <v>8.41</v>
      </c>
      <c r="I21" s="31">
        <v>4.45</v>
      </c>
      <c r="J21" s="35" t="s">
        <v>514</v>
      </c>
    </row>
    <row r="22" spans="2:10" x14ac:dyDescent="0.25">
      <c r="B22" s="8" t="s">
        <v>2640</v>
      </c>
      <c r="C22" s="56" t="s">
        <v>2641</v>
      </c>
      <c r="D22" s="53" t="s">
        <v>2642</v>
      </c>
      <c r="E22" s="6" t="s">
        <v>2643</v>
      </c>
      <c r="F22" s="19">
        <v>410</v>
      </c>
      <c r="G22" s="24">
        <v>4403.1400000000003</v>
      </c>
      <c r="H22" s="24">
        <v>8</v>
      </c>
      <c r="I22" s="31">
        <v>4.4598000000000004</v>
      </c>
      <c r="J22" s="35" t="s">
        <v>514</v>
      </c>
    </row>
    <row r="23" spans="2:10" x14ac:dyDescent="0.25">
      <c r="B23" s="8" t="s">
        <v>1884</v>
      </c>
      <c r="C23" s="56" t="s">
        <v>1376</v>
      </c>
      <c r="D23" s="53" t="s">
        <v>1885</v>
      </c>
      <c r="E23" s="6" t="s">
        <v>534</v>
      </c>
      <c r="F23" s="19">
        <v>400</v>
      </c>
      <c r="G23" s="24">
        <v>4216.1899999999996</v>
      </c>
      <c r="H23" s="24">
        <v>7.66</v>
      </c>
      <c r="I23" s="31">
        <v>4.6833</v>
      </c>
      <c r="J23" s="35"/>
    </row>
    <row r="24" spans="2:10" x14ac:dyDescent="0.25">
      <c r="B24" s="8" t="s">
        <v>1394</v>
      </c>
      <c r="C24" s="56" t="s">
        <v>909</v>
      </c>
      <c r="D24" s="53" t="s">
        <v>1395</v>
      </c>
      <c r="E24" s="6" t="s">
        <v>534</v>
      </c>
      <c r="F24" s="19">
        <v>400</v>
      </c>
      <c r="G24" s="24">
        <v>4209.25</v>
      </c>
      <c r="H24" s="24">
        <v>7.64</v>
      </c>
      <c r="I24" s="31">
        <v>4.4400000000000004</v>
      </c>
      <c r="J24" s="35" t="s">
        <v>514</v>
      </c>
    </row>
    <row r="25" spans="2:10" x14ac:dyDescent="0.25">
      <c r="B25" s="8" t="s">
        <v>2668</v>
      </c>
      <c r="C25" s="56" t="s">
        <v>1935</v>
      </c>
      <c r="D25" s="53" t="s">
        <v>2669</v>
      </c>
      <c r="E25" s="6" t="s">
        <v>534</v>
      </c>
      <c r="F25" s="19">
        <v>310</v>
      </c>
      <c r="G25" s="24">
        <v>2871.62</v>
      </c>
      <c r="H25" s="24">
        <v>5.22</v>
      </c>
      <c r="I25" s="31">
        <v>5.2</v>
      </c>
      <c r="J25" s="35" t="s">
        <v>514</v>
      </c>
    </row>
    <row r="26" spans="2:10" x14ac:dyDescent="0.25">
      <c r="B26" s="8" t="s">
        <v>2670</v>
      </c>
      <c r="C26" s="56" t="s">
        <v>2282</v>
      </c>
      <c r="D26" s="53" t="s">
        <v>2671</v>
      </c>
      <c r="E26" s="6" t="s">
        <v>534</v>
      </c>
      <c r="F26" s="19">
        <v>230</v>
      </c>
      <c r="G26" s="24">
        <v>2828.37</v>
      </c>
      <c r="H26" s="24">
        <v>5.14</v>
      </c>
      <c r="I26" s="31">
        <v>6.1414999999999997</v>
      </c>
      <c r="J26" s="35" t="s">
        <v>514</v>
      </c>
    </row>
    <row r="27" spans="2:10" x14ac:dyDescent="0.25">
      <c r="B27" s="8" t="s">
        <v>1328</v>
      </c>
      <c r="C27" s="56" t="s">
        <v>1329</v>
      </c>
      <c r="D27" s="53" t="s">
        <v>1330</v>
      </c>
      <c r="E27" s="6" t="s">
        <v>911</v>
      </c>
      <c r="F27" s="19">
        <v>220</v>
      </c>
      <c r="G27" s="24">
        <v>2700.77</v>
      </c>
      <c r="H27" s="24">
        <v>4.9000000000000004</v>
      </c>
      <c r="I27" s="31">
        <v>6.1849999999999996</v>
      </c>
      <c r="J27" s="35" t="s">
        <v>514</v>
      </c>
    </row>
    <row r="28" spans="2:10" x14ac:dyDescent="0.25">
      <c r="B28" s="8" t="s">
        <v>2672</v>
      </c>
      <c r="C28" s="56" t="s">
        <v>953</v>
      </c>
      <c r="D28" s="53" t="s">
        <v>2673</v>
      </c>
      <c r="E28" s="6" t="s">
        <v>534</v>
      </c>
      <c r="F28" s="19">
        <v>230</v>
      </c>
      <c r="G28" s="24">
        <v>2440.9</v>
      </c>
      <c r="H28" s="24">
        <v>4.43</v>
      </c>
      <c r="I28" s="31">
        <v>5.6322999999999999</v>
      </c>
      <c r="J28" s="35" t="s">
        <v>514</v>
      </c>
    </row>
    <row r="29" spans="2:10" x14ac:dyDescent="0.25">
      <c r="B29" s="8" t="s">
        <v>2674</v>
      </c>
      <c r="C29" s="56" t="s">
        <v>1344</v>
      </c>
      <c r="D29" s="53" t="s">
        <v>2675</v>
      </c>
      <c r="E29" s="6" t="s">
        <v>534</v>
      </c>
      <c r="F29" s="19">
        <v>250</v>
      </c>
      <c r="G29" s="24">
        <v>2319.7199999999998</v>
      </c>
      <c r="H29" s="24">
        <v>4.21</v>
      </c>
      <c r="I29" s="31">
        <v>5.1498999999999997</v>
      </c>
      <c r="J29" s="35" t="s">
        <v>514</v>
      </c>
    </row>
    <row r="30" spans="2:10" x14ac:dyDescent="0.25">
      <c r="B30" s="8" t="s">
        <v>2676</v>
      </c>
      <c r="C30" s="56" t="s">
        <v>1127</v>
      </c>
      <c r="D30" s="53" t="s">
        <v>2677</v>
      </c>
      <c r="E30" s="6" t="s">
        <v>1314</v>
      </c>
      <c r="F30" s="19">
        <v>220</v>
      </c>
      <c r="G30" s="24">
        <v>2299.81</v>
      </c>
      <c r="H30" s="24">
        <v>4.18</v>
      </c>
      <c r="I30" s="31">
        <v>4.84</v>
      </c>
      <c r="J30" s="35" t="s">
        <v>514</v>
      </c>
    </row>
    <row r="31" spans="2:10" x14ac:dyDescent="0.25">
      <c r="B31" s="8" t="s">
        <v>2654</v>
      </c>
      <c r="C31" s="56" t="s">
        <v>2655</v>
      </c>
      <c r="D31" s="53" t="s">
        <v>2656</v>
      </c>
      <c r="E31" s="6" t="s">
        <v>534</v>
      </c>
      <c r="F31" s="19">
        <v>120</v>
      </c>
      <c r="G31" s="24">
        <v>1253.58</v>
      </c>
      <c r="H31" s="24">
        <v>2.2799999999999998</v>
      </c>
      <c r="I31" s="31">
        <v>4.3499999999999996</v>
      </c>
      <c r="J31" s="35"/>
    </row>
    <row r="32" spans="2:10" x14ac:dyDescent="0.25">
      <c r="B32" s="8" t="s">
        <v>2678</v>
      </c>
      <c r="C32" s="56" t="s">
        <v>2655</v>
      </c>
      <c r="D32" s="53" t="s">
        <v>2679</v>
      </c>
      <c r="E32" s="6" t="s">
        <v>534</v>
      </c>
      <c r="F32" s="19">
        <v>80</v>
      </c>
      <c r="G32" s="24">
        <v>826.86</v>
      </c>
      <c r="H32" s="24">
        <v>1.5</v>
      </c>
      <c r="I32" s="31">
        <v>4.28</v>
      </c>
      <c r="J32" s="35" t="s">
        <v>514</v>
      </c>
    </row>
    <row r="33" spans="1:10" x14ac:dyDescent="0.25">
      <c r="C33" s="57" t="s">
        <v>35</v>
      </c>
      <c r="D33" s="53"/>
      <c r="E33" s="6"/>
      <c r="F33" s="19"/>
      <c r="G33" s="25">
        <v>49863.96</v>
      </c>
      <c r="H33" s="25">
        <v>90.56</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7" t="s">
        <v>10</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11</v>
      </c>
      <c r="D43" s="53"/>
      <c r="E43" s="6"/>
      <c r="F43" s="19"/>
      <c r="G43" s="24"/>
      <c r="H43" s="24"/>
      <c r="I43" s="31"/>
      <c r="J43" s="35"/>
    </row>
    <row r="44" spans="1:10" x14ac:dyDescent="0.25">
      <c r="A44" s="28"/>
      <c r="B44" s="28"/>
      <c r="C44" s="58" t="s">
        <v>13</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C46" s="59" t="s">
        <v>14</v>
      </c>
      <c r="D46" s="53"/>
      <c r="E46" s="6"/>
      <c r="F46" s="19"/>
      <c r="G46" s="24"/>
      <c r="H46" s="24"/>
      <c r="I46" s="31"/>
      <c r="J46" s="35"/>
    </row>
    <row r="47" spans="1:10" x14ac:dyDescent="0.25">
      <c r="B47" s="8" t="s">
        <v>1225</v>
      </c>
      <c r="C47" s="56" t="s">
        <v>818</v>
      </c>
      <c r="D47" s="53" t="s">
        <v>1226</v>
      </c>
      <c r="E47" s="6" t="s">
        <v>1000</v>
      </c>
      <c r="F47" s="19">
        <v>1400</v>
      </c>
      <c r="G47" s="24">
        <v>1378.89</v>
      </c>
      <c r="H47" s="24">
        <v>2.5</v>
      </c>
      <c r="I47" s="31">
        <v>3.5150000000000001</v>
      </c>
      <c r="J47" s="35" t="s">
        <v>514</v>
      </c>
    </row>
    <row r="48" spans="1:10" x14ac:dyDescent="0.25">
      <c r="B48" s="8" t="s">
        <v>2480</v>
      </c>
      <c r="C48" s="56" t="s">
        <v>872</v>
      </c>
      <c r="D48" s="53" t="s">
        <v>2481</v>
      </c>
      <c r="E48" s="6" t="s">
        <v>992</v>
      </c>
      <c r="F48" s="19">
        <v>900</v>
      </c>
      <c r="G48" s="24">
        <v>889.42</v>
      </c>
      <c r="H48" s="24">
        <v>1.62</v>
      </c>
      <c r="I48" s="31">
        <v>4.2149999999999999</v>
      </c>
      <c r="J48" s="35" t="s">
        <v>514</v>
      </c>
    </row>
    <row r="49" spans="1:10" x14ac:dyDescent="0.25">
      <c r="B49" s="8" t="s">
        <v>2478</v>
      </c>
      <c r="C49" s="56" t="s">
        <v>818</v>
      </c>
      <c r="D49" s="53" t="s">
        <v>2479</v>
      </c>
      <c r="E49" s="6" t="s">
        <v>1000</v>
      </c>
      <c r="F49" s="19">
        <v>400</v>
      </c>
      <c r="G49" s="24">
        <v>391.5</v>
      </c>
      <c r="H49" s="24">
        <v>0.71</v>
      </c>
      <c r="I49" s="31">
        <v>3.83</v>
      </c>
      <c r="J49" s="35" t="s">
        <v>514</v>
      </c>
    </row>
    <row r="50" spans="1:10" x14ac:dyDescent="0.25">
      <c r="B50" s="8" t="s">
        <v>1248</v>
      </c>
      <c r="C50" s="56" t="s">
        <v>818</v>
      </c>
      <c r="D50" s="53" t="s">
        <v>1249</v>
      </c>
      <c r="E50" s="6" t="s">
        <v>1000</v>
      </c>
      <c r="F50" s="19">
        <v>400</v>
      </c>
      <c r="G50" s="24">
        <v>390.05</v>
      </c>
      <c r="H50" s="24">
        <v>0.71</v>
      </c>
      <c r="I50" s="31">
        <v>3.8298999999999999</v>
      </c>
      <c r="J50" s="35" t="s">
        <v>514</v>
      </c>
    </row>
    <row r="51" spans="1:10" x14ac:dyDescent="0.25">
      <c r="C51" s="57" t="s">
        <v>35</v>
      </c>
      <c r="D51" s="53"/>
      <c r="E51" s="6"/>
      <c r="F51" s="19"/>
      <c r="G51" s="25">
        <v>3049.86</v>
      </c>
      <c r="H51" s="25">
        <v>5.54</v>
      </c>
      <c r="I51" s="31"/>
      <c r="J51" s="35"/>
    </row>
    <row r="52" spans="1:10" x14ac:dyDescent="0.25">
      <c r="C52" s="56"/>
      <c r="D52" s="53"/>
      <c r="E52" s="6"/>
      <c r="F52" s="19"/>
      <c r="G52" s="24"/>
      <c r="H52" s="24"/>
      <c r="I52" s="31"/>
      <c r="J52" s="35"/>
    </row>
    <row r="53" spans="1:10" x14ac:dyDescent="0.25">
      <c r="C53" s="57" t="s">
        <v>15</v>
      </c>
      <c r="D53" s="53"/>
      <c r="E53" s="6"/>
      <c r="F53" s="19"/>
      <c r="G53" s="24" t="s">
        <v>2</v>
      </c>
      <c r="H53" s="24" t="s">
        <v>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188.99</v>
      </c>
      <c r="H67" s="24">
        <v>0.34</v>
      </c>
      <c r="I67" s="31"/>
      <c r="J67" s="35"/>
    </row>
    <row r="68" spans="1:10" x14ac:dyDescent="0.25">
      <c r="C68" s="57" t="s">
        <v>35</v>
      </c>
      <c r="D68" s="53"/>
      <c r="E68" s="6"/>
      <c r="F68" s="19"/>
      <c r="G68" s="25">
        <v>188.99</v>
      </c>
      <c r="H68" s="25">
        <v>0.34</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1960.84</v>
      </c>
      <c r="H72" s="24">
        <v>3.56</v>
      </c>
      <c r="I72" s="31"/>
      <c r="J72" s="35"/>
    </row>
    <row r="73" spans="1:10" x14ac:dyDescent="0.25">
      <c r="C73" s="57" t="s">
        <v>35</v>
      </c>
      <c r="D73" s="53"/>
      <c r="E73" s="6"/>
      <c r="F73" s="19"/>
      <c r="G73" s="25">
        <v>1960.84</v>
      </c>
      <c r="H73" s="25">
        <v>3.56</v>
      </c>
      <c r="I73" s="31"/>
      <c r="J73" s="35"/>
    </row>
    <row r="74" spans="1:10" x14ac:dyDescent="0.25">
      <c r="C74" s="56"/>
      <c r="D74" s="53"/>
      <c r="E74" s="6"/>
      <c r="F74" s="19"/>
      <c r="G74" s="24"/>
      <c r="H74" s="24"/>
      <c r="I74" s="31"/>
      <c r="J74" s="35"/>
    </row>
    <row r="75" spans="1:10" x14ac:dyDescent="0.25">
      <c r="C75" s="61" t="s">
        <v>37</v>
      </c>
      <c r="D75" s="54"/>
      <c r="E75" s="5"/>
      <c r="F75" s="20"/>
      <c r="G75" s="26">
        <v>55063.65</v>
      </c>
      <c r="H75" s="26">
        <f>SUMIFS(H:H,C:C,"Total")</f>
        <v>100.00000000000001</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3"/>
  <dimension ref="A1:J9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2680</v>
      </c>
      <c r="J2" s="37" t="s">
        <v>3307</v>
      </c>
    </row>
    <row r="3" spans="1:10" ht="16.5" x14ac:dyDescent="0.3">
      <c r="C3" s="1" t="s">
        <v>24</v>
      </c>
      <c r="D3" s="21" t="s">
        <v>2681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44</v>
      </c>
      <c r="C10" s="56" t="s">
        <v>45</v>
      </c>
      <c r="D10" s="53" t="s">
        <v>46</v>
      </c>
      <c r="E10" s="6" t="s">
        <v>47</v>
      </c>
      <c r="F10" s="19">
        <v>12700</v>
      </c>
      <c r="G10" s="24">
        <v>128.05000000000001</v>
      </c>
      <c r="H10" s="24">
        <v>6.21</v>
      </c>
      <c r="I10" s="31"/>
      <c r="J10" s="35"/>
    </row>
    <row r="11" spans="1:10" x14ac:dyDescent="0.25">
      <c r="B11" s="8" t="s">
        <v>133</v>
      </c>
      <c r="C11" s="56" t="s">
        <v>134</v>
      </c>
      <c r="D11" s="53" t="s">
        <v>135</v>
      </c>
      <c r="E11" s="6" t="s">
        <v>47</v>
      </c>
      <c r="F11" s="19">
        <v>15729</v>
      </c>
      <c r="G11" s="24">
        <v>127.66</v>
      </c>
      <c r="H11" s="24">
        <v>6.19</v>
      </c>
      <c r="I11" s="31"/>
      <c r="J11" s="35"/>
    </row>
    <row r="12" spans="1:10" x14ac:dyDescent="0.25">
      <c r="B12" s="8" t="s">
        <v>704</v>
      </c>
      <c r="C12" s="56" t="s">
        <v>705</v>
      </c>
      <c r="D12" s="53" t="s">
        <v>706</v>
      </c>
      <c r="E12" s="6" t="s">
        <v>90</v>
      </c>
      <c r="F12" s="19">
        <v>5522</v>
      </c>
      <c r="G12" s="24">
        <v>109.69</v>
      </c>
      <c r="H12" s="24">
        <v>5.32</v>
      </c>
      <c r="I12" s="31"/>
      <c r="J12" s="35"/>
    </row>
    <row r="13" spans="1:10" x14ac:dyDescent="0.25">
      <c r="B13" s="8" t="s">
        <v>56</v>
      </c>
      <c r="C13" s="56" t="s">
        <v>57</v>
      </c>
      <c r="D13" s="53" t="s">
        <v>58</v>
      </c>
      <c r="E13" s="6" t="s">
        <v>47</v>
      </c>
      <c r="F13" s="19">
        <v>4382</v>
      </c>
      <c r="G13" s="24">
        <v>109.21</v>
      </c>
      <c r="H13" s="24">
        <v>5.29</v>
      </c>
      <c r="I13" s="31"/>
      <c r="J13" s="35"/>
    </row>
    <row r="14" spans="1:10" x14ac:dyDescent="0.25">
      <c r="B14" s="8" t="s">
        <v>409</v>
      </c>
      <c r="C14" s="56" t="s">
        <v>410</v>
      </c>
      <c r="D14" s="53" t="s">
        <v>411</v>
      </c>
      <c r="E14" s="6" t="s">
        <v>98</v>
      </c>
      <c r="F14" s="19">
        <v>1393</v>
      </c>
      <c r="G14" s="24">
        <v>93.94</v>
      </c>
      <c r="H14" s="24">
        <v>4.55</v>
      </c>
      <c r="I14" s="31"/>
      <c r="J14" s="35"/>
    </row>
    <row r="15" spans="1:10" x14ac:dyDescent="0.25">
      <c r="B15" s="8" t="s">
        <v>406</v>
      </c>
      <c r="C15" s="56" t="s">
        <v>407</v>
      </c>
      <c r="D15" s="53" t="s">
        <v>408</v>
      </c>
      <c r="E15" s="6" t="s">
        <v>90</v>
      </c>
      <c r="F15" s="19">
        <v>557</v>
      </c>
      <c r="G15" s="24">
        <v>88.67</v>
      </c>
      <c r="H15" s="24">
        <v>4.3</v>
      </c>
      <c r="I15" s="31"/>
      <c r="J15" s="35"/>
    </row>
    <row r="16" spans="1:10" x14ac:dyDescent="0.25">
      <c r="B16" s="8" t="s">
        <v>127</v>
      </c>
      <c r="C16" s="56" t="s">
        <v>128</v>
      </c>
      <c r="D16" s="53" t="s">
        <v>129</v>
      </c>
      <c r="E16" s="6" t="s">
        <v>90</v>
      </c>
      <c r="F16" s="19">
        <v>4281</v>
      </c>
      <c r="G16" s="24">
        <v>88.54</v>
      </c>
      <c r="H16" s="24">
        <v>4.29</v>
      </c>
      <c r="I16" s="31"/>
      <c r="J16" s="35"/>
    </row>
    <row r="17" spans="2:10" x14ac:dyDescent="0.25">
      <c r="B17" s="8" t="s">
        <v>859</v>
      </c>
      <c r="C17" s="56" t="s">
        <v>860</v>
      </c>
      <c r="D17" s="53" t="s">
        <v>861</v>
      </c>
      <c r="E17" s="6" t="s">
        <v>98</v>
      </c>
      <c r="F17" s="19">
        <v>2757</v>
      </c>
      <c r="G17" s="24">
        <v>86.77</v>
      </c>
      <c r="H17" s="24">
        <v>4.21</v>
      </c>
      <c r="I17" s="31"/>
      <c r="J17" s="35"/>
    </row>
    <row r="18" spans="2:10" x14ac:dyDescent="0.25">
      <c r="B18" s="8" t="s">
        <v>327</v>
      </c>
      <c r="C18" s="56" t="s">
        <v>328</v>
      </c>
      <c r="D18" s="53" t="s">
        <v>329</v>
      </c>
      <c r="E18" s="6" t="s">
        <v>47</v>
      </c>
      <c r="F18" s="19">
        <v>10822</v>
      </c>
      <c r="G18" s="24">
        <v>85.68</v>
      </c>
      <c r="H18" s="24">
        <v>4.1500000000000004</v>
      </c>
      <c r="I18" s="31"/>
      <c r="J18" s="35"/>
    </row>
    <row r="19" spans="2:10" x14ac:dyDescent="0.25">
      <c r="B19" s="8" t="s">
        <v>99</v>
      </c>
      <c r="C19" s="56" t="s">
        <v>100</v>
      </c>
      <c r="D19" s="53" t="s">
        <v>101</v>
      </c>
      <c r="E19" s="6" t="s">
        <v>90</v>
      </c>
      <c r="F19" s="19">
        <v>2209</v>
      </c>
      <c r="G19" s="24">
        <v>83.9</v>
      </c>
      <c r="H19" s="24">
        <v>4.07</v>
      </c>
      <c r="I19" s="31"/>
      <c r="J19" s="35"/>
    </row>
    <row r="20" spans="2:10" x14ac:dyDescent="0.25">
      <c r="B20" s="8" t="s">
        <v>354</v>
      </c>
      <c r="C20" s="56" t="s">
        <v>355</v>
      </c>
      <c r="D20" s="53" t="s">
        <v>356</v>
      </c>
      <c r="E20" s="6" t="s">
        <v>90</v>
      </c>
      <c r="F20" s="19">
        <v>48682</v>
      </c>
      <c r="G20" s="24">
        <v>83.59</v>
      </c>
      <c r="H20" s="24">
        <v>4.05</v>
      </c>
      <c r="I20" s="31"/>
      <c r="J20" s="35"/>
    </row>
    <row r="21" spans="2:10" x14ac:dyDescent="0.25">
      <c r="B21" s="8" t="s">
        <v>883</v>
      </c>
      <c r="C21" s="56" t="s">
        <v>884</v>
      </c>
      <c r="D21" s="53" t="s">
        <v>885</v>
      </c>
      <c r="E21" s="6" t="s">
        <v>886</v>
      </c>
      <c r="F21" s="19">
        <v>65282</v>
      </c>
      <c r="G21" s="24">
        <v>75.73</v>
      </c>
      <c r="H21" s="24">
        <v>3.67</v>
      </c>
      <c r="I21" s="31"/>
      <c r="J21" s="35"/>
    </row>
    <row r="22" spans="2:10" x14ac:dyDescent="0.25">
      <c r="B22" s="8" t="s">
        <v>87</v>
      </c>
      <c r="C22" s="56" t="s">
        <v>88</v>
      </c>
      <c r="D22" s="53" t="s">
        <v>89</v>
      </c>
      <c r="E22" s="6" t="s">
        <v>90</v>
      </c>
      <c r="F22" s="19">
        <v>5093</v>
      </c>
      <c r="G22" s="24">
        <v>73.010000000000005</v>
      </c>
      <c r="H22" s="24">
        <v>3.54</v>
      </c>
      <c r="I22" s="31"/>
      <c r="J22" s="35"/>
    </row>
    <row r="23" spans="2:10" x14ac:dyDescent="0.25">
      <c r="B23" s="8" t="s">
        <v>80</v>
      </c>
      <c r="C23" s="56" t="s">
        <v>81</v>
      </c>
      <c r="D23" s="53" t="s">
        <v>82</v>
      </c>
      <c r="E23" s="6" t="s">
        <v>83</v>
      </c>
      <c r="F23" s="19">
        <v>6069</v>
      </c>
      <c r="G23" s="24">
        <v>72.91</v>
      </c>
      <c r="H23" s="24">
        <v>3.53</v>
      </c>
      <c r="I23" s="31"/>
      <c r="J23" s="35"/>
    </row>
    <row r="24" spans="2:10" x14ac:dyDescent="0.25">
      <c r="B24" s="8" t="s">
        <v>112</v>
      </c>
      <c r="C24" s="56" t="s">
        <v>113</v>
      </c>
      <c r="D24" s="53" t="s">
        <v>114</v>
      </c>
      <c r="E24" s="6" t="s">
        <v>111</v>
      </c>
      <c r="F24" s="19">
        <v>2323</v>
      </c>
      <c r="G24" s="24">
        <v>70.8</v>
      </c>
      <c r="H24" s="24">
        <v>3.43</v>
      </c>
      <c r="I24" s="31"/>
      <c r="J24" s="35"/>
    </row>
    <row r="25" spans="2:10" x14ac:dyDescent="0.25">
      <c r="B25" s="8" t="s">
        <v>1576</v>
      </c>
      <c r="C25" s="56" t="s">
        <v>1577</v>
      </c>
      <c r="D25" s="53" t="s">
        <v>1578</v>
      </c>
      <c r="E25" s="6" t="s">
        <v>90</v>
      </c>
      <c r="F25" s="19">
        <v>13166</v>
      </c>
      <c r="G25" s="24">
        <v>67.22</v>
      </c>
      <c r="H25" s="24">
        <v>3.26</v>
      </c>
      <c r="I25" s="31"/>
      <c r="J25" s="35"/>
    </row>
    <row r="26" spans="2:10" x14ac:dyDescent="0.25">
      <c r="B26" s="8" t="s">
        <v>862</v>
      </c>
      <c r="C26" s="56" t="s">
        <v>863</v>
      </c>
      <c r="D26" s="53" t="s">
        <v>864</v>
      </c>
      <c r="E26" s="6" t="s">
        <v>98</v>
      </c>
      <c r="F26" s="19">
        <v>2257</v>
      </c>
      <c r="G26" s="24">
        <v>65.03</v>
      </c>
      <c r="H26" s="24">
        <v>3.15</v>
      </c>
      <c r="I26" s="31"/>
      <c r="J26" s="35"/>
    </row>
    <row r="27" spans="2:10" x14ac:dyDescent="0.25">
      <c r="B27" s="8" t="s">
        <v>147</v>
      </c>
      <c r="C27" s="56" t="s">
        <v>148</v>
      </c>
      <c r="D27" s="53" t="s">
        <v>149</v>
      </c>
      <c r="E27" s="6" t="s">
        <v>98</v>
      </c>
      <c r="F27" s="19">
        <v>2858</v>
      </c>
      <c r="G27" s="24">
        <v>62.96</v>
      </c>
      <c r="H27" s="24">
        <v>3.05</v>
      </c>
      <c r="I27" s="31"/>
      <c r="J27" s="35"/>
    </row>
    <row r="28" spans="2:10" x14ac:dyDescent="0.25">
      <c r="B28" s="8" t="s">
        <v>69</v>
      </c>
      <c r="C28" s="56" t="s">
        <v>70</v>
      </c>
      <c r="D28" s="53" t="s">
        <v>71</v>
      </c>
      <c r="E28" s="6" t="s">
        <v>72</v>
      </c>
      <c r="F28" s="19">
        <v>293</v>
      </c>
      <c r="G28" s="24">
        <v>62.51</v>
      </c>
      <c r="H28" s="24">
        <v>3.03</v>
      </c>
      <c r="I28" s="31"/>
      <c r="J28" s="35"/>
    </row>
    <row r="29" spans="2:10" x14ac:dyDescent="0.25">
      <c r="B29" s="8" t="s">
        <v>1579</v>
      </c>
      <c r="C29" s="56" t="s">
        <v>1580</v>
      </c>
      <c r="D29" s="53" t="s">
        <v>1581</v>
      </c>
      <c r="E29" s="6" t="s">
        <v>90</v>
      </c>
      <c r="F29" s="19">
        <v>7863</v>
      </c>
      <c r="G29" s="24">
        <v>57</v>
      </c>
      <c r="H29" s="24">
        <v>2.76</v>
      </c>
      <c r="I29" s="31"/>
      <c r="J29" s="35"/>
    </row>
    <row r="30" spans="2:10" x14ac:dyDescent="0.25">
      <c r="B30" s="8" t="s">
        <v>398</v>
      </c>
      <c r="C30" s="56" t="s">
        <v>399</v>
      </c>
      <c r="D30" s="53" t="s">
        <v>400</v>
      </c>
      <c r="E30" s="6" t="s">
        <v>90</v>
      </c>
      <c r="F30" s="19">
        <v>15595</v>
      </c>
      <c r="G30" s="24">
        <v>56.61</v>
      </c>
      <c r="H30" s="24">
        <v>2.74</v>
      </c>
      <c r="I30" s="31"/>
      <c r="J30" s="35"/>
    </row>
    <row r="31" spans="2:10" x14ac:dyDescent="0.25">
      <c r="B31" s="8" t="s">
        <v>1582</v>
      </c>
      <c r="C31" s="56" t="s">
        <v>1583</v>
      </c>
      <c r="D31" s="53" t="s">
        <v>1584</v>
      </c>
      <c r="E31" s="6" t="s">
        <v>195</v>
      </c>
      <c r="F31" s="19">
        <v>3348</v>
      </c>
      <c r="G31" s="24">
        <v>48.02</v>
      </c>
      <c r="H31" s="24">
        <v>2.33</v>
      </c>
      <c r="I31" s="31"/>
      <c r="J31" s="35"/>
    </row>
    <row r="32" spans="2:10" x14ac:dyDescent="0.25">
      <c r="B32" s="8" t="s">
        <v>1585</v>
      </c>
      <c r="C32" s="56" t="s">
        <v>1586</v>
      </c>
      <c r="D32" s="53" t="s">
        <v>1587</v>
      </c>
      <c r="E32" s="6" t="s">
        <v>83</v>
      </c>
      <c r="F32" s="19">
        <v>6947</v>
      </c>
      <c r="G32" s="24">
        <v>47.09</v>
      </c>
      <c r="H32" s="24">
        <v>2.2799999999999998</v>
      </c>
      <c r="I32" s="31"/>
      <c r="J32" s="35"/>
    </row>
    <row r="33" spans="2:10" x14ac:dyDescent="0.25">
      <c r="B33" s="8" t="s">
        <v>1592</v>
      </c>
      <c r="C33" s="56" t="s">
        <v>1593</v>
      </c>
      <c r="D33" s="53" t="s">
        <v>1594</v>
      </c>
      <c r="E33" s="6" t="s">
        <v>90</v>
      </c>
      <c r="F33" s="19">
        <v>7005</v>
      </c>
      <c r="G33" s="24">
        <v>40.89</v>
      </c>
      <c r="H33" s="24">
        <v>1.98</v>
      </c>
      <c r="I33" s="31"/>
      <c r="J33" s="35"/>
    </row>
    <row r="34" spans="2:10" x14ac:dyDescent="0.25">
      <c r="B34" s="8" t="s">
        <v>899</v>
      </c>
      <c r="C34" s="56" t="s">
        <v>900</v>
      </c>
      <c r="D34" s="53" t="s">
        <v>901</v>
      </c>
      <c r="E34" s="6" t="s">
        <v>196</v>
      </c>
      <c r="F34" s="19">
        <v>275</v>
      </c>
      <c r="G34" s="24">
        <v>37.76</v>
      </c>
      <c r="H34" s="24">
        <v>1.83</v>
      </c>
      <c r="I34" s="31"/>
      <c r="J34" s="35"/>
    </row>
    <row r="35" spans="2:10" x14ac:dyDescent="0.25">
      <c r="B35" s="8" t="s">
        <v>1601</v>
      </c>
      <c r="C35" s="56" t="s">
        <v>1602</v>
      </c>
      <c r="D35" s="53" t="s">
        <v>1603</v>
      </c>
      <c r="E35" s="6" t="s">
        <v>826</v>
      </c>
      <c r="F35" s="19">
        <v>8975</v>
      </c>
      <c r="G35" s="24">
        <v>34.72</v>
      </c>
      <c r="H35" s="24">
        <v>1.68</v>
      </c>
      <c r="I35" s="31"/>
      <c r="J35" s="35"/>
    </row>
    <row r="36" spans="2:10" x14ac:dyDescent="0.25">
      <c r="B36" s="8" t="s">
        <v>740</v>
      </c>
      <c r="C36" s="56" t="s">
        <v>741</v>
      </c>
      <c r="D36" s="53" t="s">
        <v>742</v>
      </c>
      <c r="E36" s="6" t="s">
        <v>47</v>
      </c>
      <c r="F36" s="19">
        <v>2228</v>
      </c>
      <c r="G36" s="24">
        <v>29.82</v>
      </c>
      <c r="H36" s="24">
        <v>1.45</v>
      </c>
      <c r="I36" s="31"/>
      <c r="J36" s="35"/>
    </row>
    <row r="37" spans="2:10" x14ac:dyDescent="0.25">
      <c r="B37" s="8" t="s">
        <v>1659</v>
      </c>
      <c r="C37" s="56" t="s">
        <v>1660</v>
      </c>
      <c r="D37" s="53" t="s">
        <v>1661</v>
      </c>
      <c r="E37" s="6" t="s">
        <v>722</v>
      </c>
      <c r="F37" s="19">
        <v>5721</v>
      </c>
      <c r="G37" s="24">
        <v>26.64</v>
      </c>
      <c r="H37" s="24">
        <v>1.29</v>
      </c>
      <c r="I37" s="31"/>
      <c r="J37" s="35"/>
    </row>
    <row r="38" spans="2:10" x14ac:dyDescent="0.25">
      <c r="B38" s="8" t="s">
        <v>212</v>
      </c>
      <c r="C38" s="56" t="s">
        <v>213</v>
      </c>
      <c r="D38" s="53" t="s">
        <v>214</v>
      </c>
      <c r="E38" s="6" t="s">
        <v>196</v>
      </c>
      <c r="F38" s="19">
        <v>16120</v>
      </c>
      <c r="G38" s="24">
        <v>26.58</v>
      </c>
      <c r="H38" s="24">
        <v>1.29</v>
      </c>
      <c r="I38" s="31"/>
      <c r="J38" s="35"/>
    </row>
    <row r="39" spans="2:10" x14ac:dyDescent="0.25">
      <c r="B39" s="8" t="s">
        <v>2682</v>
      </c>
      <c r="C39" s="56" t="s">
        <v>575</v>
      </c>
      <c r="D39" s="53" t="s">
        <v>2683</v>
      </c>
      <c r="E39" s="6" t="s">
        <v>94</v>
      </c>
      <c r="F39" s="19">
        <v>14011</v>
      </c>
      <c r="G39" s="24">
        <v>22.02</v>
      </c>
      <c r="H39" s="24">
        <v>1.07</v>
      </c>
      <c r="I39" s="31"/>
      <c r="J39" s="35"/>
    </row>
    <row r="40" spans="2:10" x14ac:dyDescent="0.25">
      <c r="C40" s="57" t="s">
        <v>35</v>
      </c>
      <c r="D40" s="53"/>
      <c r="E40" s="6"/>
      <c r="F40" s="19"/>
      <c r="G40" s="25">
        <v>2063.02</v>
      </c>
      <c r="H40" s="25">
        <v>99.99</v>
      </c>
      <c r="I40" s="31"/>
      <c r="J40" s="35"/>
    </row>
    <row r="41" spans="2:10" x14ac:dyDescent="0.25">
      <c r="C41" s="56"/>
      <c r="D41" s="53"/>
      <c r="E41" s="6"/>
      <c r="F41" s="19"/>
      <c r="G41" s="24"/>
      <c r="H41" s="24"/>
      <c r="I41" s="31"/>
      <c r="J41" s="35"/>
    </row>
    <row r="42" spans="2:10" x14ac:dyDescent="0.25">
      <c r="C42" s="57" t="s">
        <v>3</v>
      </c>
      <c r="D42" s="53"/>
      <c r="E42" s="6"/>
      <c r="F42" s="19"/>
      <c r="G42" s="24" t="s">
        <v>2</v>
      </c>
      <c r="H42" s="24" t="s">
        <v>2</v>
      </c>
      <c r="I42" s="31"/>
      <c r="J42" s="35"/>
    </row>
    <row r="43" spans="2:10" x14ac:dyDescent="0.25">
      <c r="C43" s="56"/>
      <c r="D43" s="53"/>
      <c r="E43" s="6"/>
      <c r="F43" s="19"/>
      <c r="G43" s="24"/>
      <c r="H43" s="24"/>
      <c r="I43" s="31"/>
      <c r="J43" s="35"/>
    </row>
    <row r="44" spans="2:10" x14ac:dyDescent="0.25">
      <c r="C44" s="57" t="s">
        <v>4</v>
      </c>
      <c r="D44" s="53"/>
      <c r="E44" s="6"/>
      <c r="F44" s="19"/>
      <c r="G44" s="24" t="s">
        <v>2</v>
      </c>
      <c r="H44" s="24" t="s">
        <v>2</v>
      </c>
      <c r="I44" s="31"/>
      <c r="J44" s="35"/>
    </row>
    <row r="45" spans="2:10" x14ac:dyDescent="0.25">
      <c r="C45" s="56"/>
      <c r="D45" s="53"/>
      <c r="E45" s="6"/>
      <c r="F45" s="19"/>
      <c r="G45" s="24"/>
      <c r="H45" s="24"/>
      <c r="I45" s="31"/>
      <c r="J45" s="35"/>
    </row>
    <row r="46" spans="2:10" x14ac:dyDescent="0.25">
      <c r="C46" s="57" t="s">
        <v>5</v>
      </c>
      <c r="D46" s="53"/>
      <c r="E46" s="6"/>
      <c r="F46" s="19"/>
      <c r="G46" s="24"/>
      <c r="H46" s="24"/>
      <c r="I46" s="31"/>
      <c r="J46" s="35"/>
    </row>
    <row r="47" spans="2:10" x14ac:dyDescent="0.25">
      <c r="C47" s="56"/>
      <c r="D47" s="53"/>
      <c r="E47" s="6"/>
      <c r="F47" s="19"/>
      <c r="G47" s="24"/>
      <c r="H47" s="24"/>
      <c r="I47" s="31"/>
      <c r="J47" s="35"/>
    </row>
    <row r="48" spans="2:10" x14ac:dyDescent="0.25">
      <c r="C48" s="57" t="s">
        <v>6</v>
      </c>
      <c r="D48" s="53"/>
      <c r="E48" s="6"/>
      <c r="F48" s="19"/>
      <c r="G48" s="24" t="s">
        <v>2</v>
      </c>
      <c r="H48" s="24" t="s">
        <v>2</v>
      </c>
      <c r="I48" s="31"/>
      <c r="J48" s="35"/>
    </row>
    <row r="49" spans="3:10" x14ac:dyDescent="0.25">
      <c r="C49" s="56"/>
      <c r="D49" s="53"/>
      <c r="E49" s="6"/>
      <c r="F49" s="19"/>
      <c r="G49" s="24"/>
      <c r="H49" s="24"/>
      <c r="I49" s="31"/>
      <c r="J49" s="35"/>
    </row>
    <row r="50" spans="3:10" x14ac:dyDescent="0.25">
      <c r="C50" s="57" t="s">
        <v>7</v>
      </c>
      <c r="D50" s="53"/>
      <c r="E50" s="6"/>
      <c r="F50" s="19"/>
      <c r="G50" s="24" t="s">
        <v>2</v>
      </c>
      <c r="H50" s="24" t="s">
        <v>2</v>
      </c>
      <c r="I50" s="31"/>
      <c r="J50" s="35"/>
    </row>
    <row r="51" spans="3:10" x14ac:dyDescent="0.25">
      <c r="C51" s="56"/>
      <c r="D51" s="53"/>
      <c r="E51" s="6"/>
      <c r="F51" s="19"/>
      <c r="G51" s="24"/>
      <c r="H51" s="24"/>
      <c r="I51" s="31"/>
      <c r="J51" s="35"/>
    </row>
    <row r="52" spans="3:10" x14ac:dyDescent="0.25">
      <c r="C52" s="57" t="s">
        <v>8</v>
      </c>
      <c r="D52" s="53"/>
      <c r="E52" s="6"/>
      <c r="F52" s="19"/>
      <c r="G52" s="24" t="s">
        <v>2</v>
      </c>
      <c r="H52" s="24" t="s">
        <v>2</v>
      </c>
      <c r="I52" s="31"/>
      <c r="J52" s="35"/>
    </row>
    <row r="53" spans="3:10" x14ac:dyDescent="0.25">
      <c r="C53" s="56"/>
      <c r="D53" s="53"/>
      <c r="E53" s="6"/>
      <c r="F53" s="19"/>
      <c r="G53" s="24"/>
      <c r="H53" s="24"/>
      <c r="I53" s="31"/>
      <c r="J53" s="35"/>
    </row>
    <row r="54" spans="3:10" x14ac:dyDescent="0.25">
      <c r="C54" s="57" t="s">
        <v>9</v>
      </c>
      <c r="D54" s="53"/>
      <c r="E54" s="6"/>
      <c r="F54" s="19"/>
      <c r="G54" s="24" t="s">
        <v>2</v>
      </c>
      <c r="H54" s="24" t="s">
        <v>2</v>
      </c>
      <c r="I54" s="31"/>
      <c r="J54" s="35"/>
    </row>
    <row r="55" spans="3:10" x14ac:dyDescent="0.25">
      <c r="C55" s="56"/>
      <c r="D55" s="53"/>
      <c r="E55" s="6"/>
      <c r="F55" s="19"/>
      <c r="G55" s="24"/>
      <c r="H55" s="24"/>
      <c r="I55" s="31"/>
      <c r="J55" s="35"/>
    </row>
    <row r="56" spans="3:10" x14ac:dyDescent="0.25">
      <c r="C56" s="57" t="s">
        <v>10</v>
      </c>
      <c r="D56" s="53"/>
      <c r="E56" s="6"/>
      <c r="F56" s="19"/>
      <c r="G56" s="24" t="s">
        <v>2</v>
      </c>
      <c r="H56" s="24" t="s">
        <v>2</v>
      </c>
      <c r="I56" s="31"/>
      <c r="J56" s="35"/>
    </row>
    <row r="57" spans="3:10" x14ac:dyDescent="0.25">
      <c r="C57" s="56"/>
      <c r="D57" s="53"/>
      <c r="E57" s="6"/>
      <c r="F57" s="19"/>
      <c r="G57" s="24"/>
      <c r="H57" s="24"/>
      <c r="I57" s="31"/>
      <c r="J57" s="35"/>
    </row>
    <row r="58" spans="3:10" x14ac:dyDescent="0.25">
      <c r="C58" s="57" t="s">
        <v>11</v>
      </c>
      <c r="D58" s="53"/>
      <c r="E58" s="6"/>
      <c r="F58" s="19"/>
      <c r="G58" s="24"/>
      <c r="H58" s="24"/>
      <c r="I58" s="31"/>
      <c r="J58" s="35"/>
    </row>
    <row r="59" spans="3:10" x14ac:dyDescent="0.25">
      <c r="C59" s="56"/>
      <c r="D59" s="53"/>
      <c r="E59" s="6"/>
      <c r="F59" s="19"/>
      <c r="G59" s="24"/>
      <c r="H59" s="24"/>
      <c r="I59" s="31"/>
      <c r="J59" s="35"/>
    </row>
    <row r="60" spans="3:10" x14ac:dyDescent="0.25">
      <c r="C60" s="57" t="s">
        <v>13</v>
      </c>
      <c r="D60" s="53"/>
      <c r="E60" s="6"/>
      <c r="F60" s="19"/>
      <c r="G60" s="24" t="s">
        <v>2</v>
      </c>
      <c r="H60" s="24" t="s">
        <v>2</v>
      </c>
      <c r="I60" s="31"/>
      <c r="J60" s="35"/>
    </row>
    <row r="61" spans="3:10" x14ac:dyDescent="0.25">
      <c r="C61" s="56"/>
      <c r="D61" s="53"/>
      <c r="E61" s="6"/>
      <c r="F61" s="19"/>
      <c r="G61" s="24"/>
      <c r="H61" s="24"/>
      <c r="I61" s="31"/>
      <c r="J61" s="35"/>
    </row>
    <row r="62" spans="3:10" x14ac:dyDescent="0.25">
      <c r="C62" s="57" t="s">
        <v>14</v>
      </c>
      <c r="D62" s="53"/>
      <c r="E62" s="6"/>
      <c r="F62" s="19"/>
      <c r="G62" s="24" t="s">
        <v>2</v>
      </c>
      <c r="H62" s="24" t="s">
        <v>2</v>
      </c>
      <c r="I62" s="31"/>
      <c r="J62" s="35"/>
    </row>
    <row r="63" spans="3:10" x14ac:dyDescent="0.25">
      <c r="C63" s="56"/>
      <c r="D63" s="53"/>
      <c r="E63" s="6"/>
      <c r="F63" s="19"/>
      <c r="G63" s="24"/>
      <c r="H63" s="24"/>
      <c r="I63" s="31"/>
      <c r="J63" s="35"/>
    </row>
    <row r="64" spans="3:10" x14ac:dyDescent="0.25">
      <c r="C64" s="57" t="s">
        <v>15</v>
      </c>
      <c r="D64" s="53"/>
      <c r="E64" s="6"/>
      <c r="F64" s="19"/>
      <c r="G64" s="24" t="s">
        <v>2</v>
      </c>
      <c r="H64" s="24" t="s">
        <v>2</v>
      </c>
      <c r="I64" s="31"/>
      <c r="J64" s="35"/>
    </row>
    <row r="65" spans="1:10" x14ac:dyDescent="0.25">
      <c r="C65" s="56"/>
      <c r="D65" s="53"/>
      <c r="E65" s="6"/>
      <c r="F65" s="19"/>
      <c r="G65" s="24"/>
      <c r="H65" s="24"/>
      <c r="I65" s="31"/>
      <c r="J65" s="35"/>
    </row>
    <row r="66" spans="1:10" x14ac:dyDescent="0.25">
      <c r="C66" s="57" t="s">
        <v>16</v>
      </c>
      <c r="D66" s="53"/>
      <c r="E66" s="6"/>
      <c r="F66" s="19"/>
      <c r="G66" s="24" t="s">
        <v>2</v>
      </c>
      <c r="H66" s="24" t="s">
        <v>2</v>
      </c>
      <c r="I66" s="31"/>
      <c r="J66" s="35"/>
    </row>
    <row r="67" spans="1:10" x14ac:dyDescent="0.25">
      <c r="C67" s="56"/>
      <c r="D67" s="53"/>
      <c r="E67" s="6"/>
      <c r="F67" s="19"/>
      <c r="G67" s="24"/>
      <c r="H67" s="24"/>
      <c r="I67" s="31"/>
      <c r="J67" s="35"/>
    </row>
    <row r="68" spans="1:10" x14ac:dyDescent="0.25">
      <c r="A68" s="10"/>
      <c r="B68" s="28"/>
      <c r="C68" s="58" t="s">
        <v>17</v>
      </c>
      <c r="D68" s="53"/>
      <c r="E68" s="6"/>
      <c r="F68" s="19"/>
      <c r="G68" s="24"/>
      <c r="H68" s="24"/>
      <c r="I68" s="31"/>
      <c r="J68" s="35"/>
    </row>
    <row r="69" spans="1:10" x14ac:dyDescent="0.25">
      <c r="A69" s="28"/>
      <c r="B69" s="28"/>
      <c r="C69" s="58" t="s">
        <v>18</v>
      </c>
      <c r="D69" s="53"/>
      <c r="E69" s="6"/>
      <c r="F69" s="19"/>
      <c r="G69" s="24" t="s">
        <v>2</v>
      </c>
      <c r="H69" s="24" t="s">
        <v>2</v>
      </c>
      <c r="I69" s="31"/>
      <c r="J69" s="35"/>
    </row>
    <row r="70" spans="1:10" x14ac:dyDescent="0.25">
      <c r="A70" s="28"/>
      <c r="B70" s="28"/>
      <c r="C70" s="58"/>
      <c r="D70" s="53"/>
      <c r="E70" s="6"/>
      <c r="F70" s="19"/>
      <c r="G70" s="24"/>
      <c r="H70" s="24"/>
      <c r="I70" s="31"/>
      <c r="J70" s="35"/>
    </row>
    <row r="71" spans="1:10" x14ac:dyDescent="0.25">
      <c r="A71" s="28"/>
      <c r="B71" s="28"/>
      <c r="C71" s="58" t="s">
        <v>19</v>
      </c>
      <c r="D71" s="53"/>
      <c r="E71" s="6"/>
      <c r="F71" s="19"/>
      <c r="G71" s="24" t="s">
        <v>2</v>
      </c>
      <c r="H71" s="24" t="s">
        <v>2</v>
      </c>
      <c r="I71" s="31"/>
      <c r="J71" s="35"/>
    </row>
    <row r="72" spans="1:10" x14ac:dyDescent="0.25">
      <c r="A72" s="28"/>
      <c r="B72" s="28"/>
      <c r="C72" s="58"/>
      <c r="D72" s="53"/>
      <c r="E72" s="6"/>
      <c r="F72" s="19"/>
      <c r="G72" s="24"/>
      <c r="H72" s="24"/>
      <c r="I72" s="31"/>
      <c r="J72" s="35"/>
    </row>
    <row r="73" spans="1:10" x14ac:dyDescent="0.25">
      <c r="A73" s="28"/>
      <c r="B73" s="28"/>
      <c r="C73" s="58" t="s">
        <v>20</v>
      </c>
      <c r="D73" s="53"/>
      <c r="E73" s="6"/>
      <c r="F73" s="19"/>
      <c r="G73" s="24" t="s">
        <v>2</v>
      </c>
      <c r="H73" s="24" t="s">
        <v>2</v>
      </c>
      <c r="I73" s="31"/>
      <c r="J73" s="35"/>
    </row>
    <row r="74" spans="1:10" x14ac:dyDescent="0.25">
      <c r="A74" s="28"/>
      <c r="B74" s="28"/>
      <c r="C74" s="58"/>
      <c r="D74" s="53"/>
      <c r="E74" s="6"/>
      <c r="F74" s="19"/>
      <c r="G74" s="24"/>
      <c r="H74" s="24"/>
      <c r="I74" s="31"/>
      <c r="J74" s="35"/>
    </row>
    <row r="75" spans="1:10" x14ac:dyDescent="0.25">
      <c r="A75" s="28"/>
      <c r="B75" s="28"/>
      <c r="C75" s="58" t="s">
        <v>21</v>
      </c>
      <c r="D75" s="53"/>
      <c r="E75" s="6"/>
      <c r="F75" s="19"/>
      <c r="G75" s="24" t="s">
        <v>2</v>
      </c>
      <c r="H75" s="24" t="s">
        <v>2</v>
      </c>
      <c r="I75" s="31"/>
      <c r="J75" s="35"/>
    </row>
    <row r="76" spans="1:10" x14ac:dyDescent="0.25">
      <c r="A76" s="28"/>
      <c r="B76" s="28"/>
      <c r="C76" s="58"/>
      <c r="D76" s="53"/>
      <c r="E76" s="6"/>
      <c r="F76" s="19"/>
      <c r="G76" s="24"/>
      <c r="H76" s="24"/>
      <c r="I76" s="31"/>
      <c r="J76" s="35"/>
    </row>
    <row r="77" spans="1:10" x14ac:dyDescent="0.25">
      <c r="C77" s="59" t="s">
        <v>22</v>
      </c>
      <c r="D77" s="53"/>
      <c r="E77" s="6"/>
      <c r="F77" s="19"/>
      <c r="G77" s="24"/>
      <c r="H77" s="24"/>
      <c r="I77" s="31"/>
      <c r="J77" s="35"/>
    </row>
    <row r="78" spans="1:10" x14ac:dyDescent="0.25">
      <c r="B78" s="8" t="s">
        <v>33</v>
      </c>
      <c r="C78" s="56" t="s">
        <v>34</v>
      </c>
      <c r="D78" s="53"/>
      <c r="E78" s="6"/>
      <c r="F78" s="19"/>
      <c r="G78" s="24">
        <v>1.05</v>
      </c>
      <c r="H78" s="24">
        <v>0.05</v>
      </c>
      <c r="I78" s="31"/>
      <c r="J78" s="35"/>
    </row>
    <row r="79" spans="1:10" x14ac:dyDescent="0.25">
      <c r="C79" s="57" t="s">
        <v>35</v>
      </c>
      <c r="D79" s="53"/>
      <c r="E79" s="6"/>
      <c r="F79" s="19"/>
      <c r="G79" s="25">
        <v>1.05</v>
      </c>
      <c r="H79" s="25">
        <v>0.05</v>
      </c>
      <c r="I79" s="31"/>
      <c r="J79" s="35"/>
    </row>
    <row r="80" spans="1:10" x14ac:dyDescent="0.25">
      <c r="C80" s="56"/>
      <c r="D80" s="53"/>
      <c r="E80" s="6"/>
      <c r="F80" s="19"/>
      <c r="G80" s="24"/>
      <c r="H80" s="24"/>
      <c r="I80" s="31"/>
      <c r="J80" s="35"/>
    </row>
    <row r="81" spans="1:10" x14ac:dyDescent="0.25">
      <c r="A81" s="10"/>
      <c r="B81" s="28"/>
      <c r="C81" s="58" t="s">
        <v>23</v>
      </c>
      <c r="D81" s="53"/>
      <c r="E81" s="6"/>
      <c r="F81" s="19"/>
      <c r="G81" s="24"/>
      <c r="H81" s="24"/>
      <c r="I81" s="31"/>
      <c r="J81" s="35"/>
    </row>
    <row r="82" spans="1:10" x14ac:dyDescent="0.25">
      <c r="A82" s="28"/>
      <c r="B82" s="28"/>
      <c r="C82" s="60" t="s">
        <v>3398</v>
      </c>
      <c r="D82" s="53"/>
      <c r="E82" s="6"/>
      <c r="F82" s="19"/>
      <c r="G82" s="24" t="s">
        <v>2</v>
      </c>
      <c r="H82" s="24" t="s">
        <v>2</v>
      </c>
      <c r="I82" s="31"/>
      <c r="J82" s="35"/>
    </row>
    <row r="83" spans="1:10" x14ac:dyDescent="0.25">
      <c r="B83" s="8"/>
      <c r="C83" s="56" t="s">
        <v>36</v>
      </c>
      <c r="D83" s="53"/>
      <c r="E83" s="6"/>
      <c r="F83" s="19"/>
      <c r="G83" s="24">
        <v>-0.75</v>
      </c>
      <c r="H83" s="24">
        <v>-0.04</v>
      </c>
      <c r="I83" s="31"/>
      <c r="J83" s="35"/>
    </row>
    <row r="84" spans="1:10" x14ac:dyDescent="0.25">
      <c r="C84" s="57" t="s">
        <v>35</v>
      </c>
      <c r="D84" s="53"/>
      <c r="E84" s="6"/>
      <c r="F84" s="19"/>
      <c r="G84" s="25">
        <v>-0.75</v>
      </c>
      <c r="H84" s="25">
        <v>-0.04</v>
      </c>
      <c r="I84" s="31"/>
      <c r="J84" s="35"/>
    </row>
    <row r="85" spans="1:10" x14ac:dyDescent="0.25">
      <c r="C85" s="56"/>
      <c r="D85" s="53"/>
      <c r="E85" s="6"/>
      <c r="F85" s="19"/>
      <c r="G85" s="24"/>
      <c r="H85" s="24"/>
      <c r="I85" s="31"/>
      <c r="J85" s="35"/>
    </row>
    <row r="86" spans="1:10" x14ac:dyDescent="0.25">
      <c r="C86" s="61" t="s">
        <v>37</v>
      </c>
      <c r="D86" s="54"/>
      <c r="E86" s="5"/>
      <c r="F86" s="20"/>
      <c r="G86" s="26">
        <v>2063.3200000000002</v>
      </c>
      <c r="H86" s="26">
        <f>SUMIFS(H:H,C:C,"Total")</f>
        <v>99.999999999999986</v>
      </c>
      <c r="I86" s="32"/>
      <c r="J86" s="36"/>
    </row>
    <row r="89" spans="1:10" x14ac:dyDescent="0.25">
      <c r="C89" s="1" t="s">
        <v>38</v>
      </c>
    </row>
    <row r="90" spans="1:10" x14ac:dyDescent="0.25">
      <c r="C90" s="2" t="s">
        <v>39</v>
      </c>
    </row>
    <row r="91" spans="1:10" x14ac:dyDescent="0.25">
      <c r="C91" s="2" t="s">
        <v>40</v>
      </c>
    </row>
    <row r="92" spans="1:10" x14ac:dyDescent="0.25">
      <c r="C92" s="2" t="s">
        <v>3430</v>
      </c>
    </row>
  </sheetData>
  <hyperlinks>
    <hyperlink ref="J2" location="'Index'!A1" display="'Index'!A1"/>
  </hyperlinks>
  <pageMargins left="0.7" right="0.7" top="0.75" bottom="0.75" header="0.3" footer="0.3"/>
  <pageSetup orientation="portrait" horizontalDpi="4294967293"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4"/>
  <dimension ref="A1:J8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2684</v>
      </c>
      <c r="J2" s="37" t="s">
        <v>3307</v>
      </c>
    </row>
    <row r="3" spans="1:10" ht="16.5" x14ac:dyDescent="0.3">
      <c r="C3" s="1" t="s">
        <v>24</v>
      </c>
      <c r="D3" s="21" t="s">
        <v>2685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2670</v>
      </c>
      <c r="C18" s="56" t="s">
        <v>2282</v>
      </c>
      <c r="D18" s="53" t="s">
        <v>2671</v>
      </c>
      <c r="E18" s="6" t="s">
        <v>534</v>
      </c>
      <c r="F18" s="19">
        <v>500</v>
      </c>
      <c r="G18" s="24">
        <v>6148.63</v>
      </c>
      <c r="H18" s="24">
        <v>9.73</v>
      </c>
      <c r="I18" s="31">
        <v>6.1414999999999997</v>
      </c>
      <c r="J18" s="35" t="s">
        <v>514</v>
      </c>
    </row>
    <row r="19" spans="2:10" x14ac:dyDescent="0.25">
      <c r="B19" s="8" t="s">
        <v>2636</v>
      </c>
      <c r="C19" s="56" t="s">
        <v>1752</v>
      </c>
      <c r="D19" s="53" t="s">
        <v>2637</v>
      </c>
      <c r="E19" s="6" t="s">
        <v>1314</v>
      </c>
      <c r="F19" s="19">
        <v>502</v>
      </c>
      <c r="G19" s="24">
        <v>5296.97</v>
      </c>
      <c r="H19" s="24">
        <v>8.3800000000000008</v>
      </c>
      <c r="I19" s="31">
        <v>4.375</v>
      </c>
      <c r="J19" s="35" t="s">
        <v>514</v>
      </c>
    </row>
    <row r="20" spans="2:10" x14ac:dyDescent="0.25">
      <c r="B20" s="8" t="s">
        <v>2686</v>
      </c>
      <c r="C20" s="56" t="s">
        <v>1130</v>
      </c>
      <c r="D20" s="53" t="s">
        <v>2687</v>
      </c>
      <c r="E20" s="6" t="s">
        <v>911</v>
      </c>
      <c r="F20" s="19">
        <v>500</v>
      </c>
      <c r="G20" s="24">
        <v>5270.96</v>
      </c>
      <c r="H20" s="24">
        <v>8.34</v>
      </c>
      <c r="I20" s="31">
        <v>4.6449999999999996</v>
      </c>
      <c r="J20" s="35" t="s">
        <v>514</v>
      </c>
    </row>
    <row r="21" spans="2:10" x14ac:dyDescent="0.25">
      <c r="B21" s="8" t="s">
        <v>2648</v>
      </c>
      <c r="C21" s="56" t="s">
        <v>1783</v>
      </c>
      <c r="D21" s="53" t="s">
        <v>2649</v>
      </c>
      <c r="E21" s="6" t="s">
        <v>551</v>
      </c>
      <c r="F21" s="19">
        <v>500</v>
      </c>
      <c r="G21" s="24">
        <v>5158.13</v>
      </c>
      <c r="H21" s="24">
        <v>8.16</v>
      </c>
      <c r="I21" s="31">
        <v>6.2390999999999996</v>
      </c>
      <c r="J21" s="35" t="s">
        <v>514</v>
      </c>
    </row>
    <row r="22" spans="2:10" x14ac:dyDescent="0.25">
      <c r="B22" s="8" t="s">
        <v>1394</v>
      </c>
      <c r="C22" s="56" t="s">
        <v>909</v>
      </c>
      <c r="D22" s="53" t="s">
        <v>1395</v>
      </c>
      <c r="E22" s="6" t="s">
        <v>534</v>
      </c>
      <c r="F22" s="19">
        <v>485</v>
      </c>
      <c r="G22" s="24">
        <v>5103.72</v>
      </c>
      <c r="H22" s="24">
        <v>8.08</v>
      </c>
      <c r="I22" s="31">
        <v>4.4400000000000004</v>
      </c>
      <c r="J22" s="35" t="s">
        <v>514</v>
      </c>
    </row>
    <row r="23" spans="2:10" x14ac:dyDescent="0.25">
      <c r="B23" s="8" t="s">
        <v>1703</v>
      </c>
      <c r="C23" s="56" t="s">
        <v>601</v>
      </c>
      <c r="D23" s="53" t="s">
        <v>1704</v>
      </c>
      <c r="E23" s="6" t="s">
        <v>534</v>
      </c>
      <c r="F23" s="19">
        <v>420</v>
      </c>
      <c r="G23" s="24">
        <v>4313.6400000000003</v>
      </c>
      <c r="H23" s="24">
        <v>6.83</v>
      </c>
      <c r="I23" s="31">
        <v>4.25</v>
      </c>
      <c r="J23" s="35" t="s">
        <v>514</v>
      </c>
    </row>
    <row r="24" spans="2:10" x14ac:dyDescent="0.25">
      <c r="B24" s="8" t="s">
        <v>2668</v>
      </c>
      <c r="C24" s="56" t="s">
        <v>1935</v>
      </c>
      <c r="D24" s="53" t="s">
        <v>2669</v>
      </c>
      <c r="E24" s="6" t="s">
        <v>534</v>
      </c>
      <c r="F24" s="19">
        <v>380</v>
      </c>
      <c r="G24" s="24">
        <v>3520.05</v>
      </c>
      <c r="H24" s="24">
        <v>5.57</v>
      </c>
      <c r="I24" s="31">
        <v>5.2</v>
      </c>
      <c r="J24" s="35" t="s">
        <v>514</v>
      </c>
    </row>
    <row r="25" spans="2:10" x14ac:dyDescent="0.25">
      <c r="B25" s="8" t="s">
        <v>1328</v>
      </c>
      <c r="C25" s="56" t="s">
        <v>1329</v>
      </c>
      <c r="D25" s="53" t="s">
        <v>1330</v>
      </c>
      <c r="E25" s="6" t="s">
        <v>911</v>
      </c>
      <c r="F25" s="19">
        <v>260</v>
      </c>
      <c r="G25" s="24">
        <v>3191.82</v>
      </c>
      <c r="H25" s="24">
        <v>5.05</v>
      </c>
      <c r="I25" s="31">
        <v>6.1849999999999996</v>
      </c>
      <c r="J25" s="35" t="s">
        <v>514</v>
      </c>
    </row>
    <row r="26" spans="2:10" x14ac:dyDescent="0.25">
      <c r="B26" s="8" t="s">
        <v>2672</v>
      </c>
      <c r="C26" s="56" t="s">
        <v>953</v>
      </c>
      <c r="D26" s="53" t="s">
        <v>2673</v>
      </c>
      <c r="E26" s="6" t="s">
        <v>534</v>
      </c>
      <c r="F26" s="19">
        <v>260</v>
      </c>
      <c r="G26" s="24">
        <v>2759.27</v>
      </c>
      <c r="H26" s="24">
        <v>4.37</v>
      </c>
      <c r="I26" s="31">
        <v>5.6322999999999999</v>
      </c>
      <c r="J26" s="35" t="s">
        <v>514</v>
      </c>
    </row>
    <row r="27" spans="2:10" x14ac:dyDescent="0.25">
      <c r="B27" s="8" t="s">
        <v>2676</v>
      </c>
      <c r="C27" s="56" t="s">
        <v>1127</v>
      </c>
      <c r="D27" s="53" t="s">
        <v>2677</v>
      </c>
      <c r="E27" s="6" t="s">
        <v>1314</v>
      </c>
      <c r="F27" s="19">
        <v>250</v>
      </c>
      <c r="G27" s="24">
        <v>2613.42</v>
      </c>
      <c r="H27" s="24">
        <v>4.1399999999999997</v>
      </c>
      <c r="I27" s="31">
        <v>4.84</v>
      </c>
      <c r="J27" s="35" t="s">
        <v>514</v>
      </c>
    </row>
    <row r="28" spans="2:10" x14ac:dyDescent="0.25">
      <c r="B28" s="8" t="s">
        <v>2674</v>
      </c>
      <c r="C28" s="56" t="s">
        <v>1344</v>
      </c>
      <c r="D28" s="53" t="s">
        <v>2675</v>
      </c>
      <c r="E28" s="6" t="s">
        <v>534</v>
      </c>
      <c r="F28" s="19">
        <v>250</v>
      </c>
      <c r="G28" s="24">
        <v>2319.7199999999998</v>
      </c>
      <c r="H28" s="24">
        <v>3.67</v>
      </c>
      <c r="I28" s="31">
        <v>5.1498999999999997</v>
      </c>
      <c r="J28" s="35" t="s">
        <v>514</v>
      </c>
    </row>
    <row r="29" spans="2:10" x14ac:dyDescent="0.25">
      <c r="B29" s="8" t="s">
        <v>2688</v>
      </c>
      <c r="C29" s="56" t="s">
        <v>1376</v>
      </c>
      <c r="D29" s="53" t="s">
        <v>2689</v>
      </c>
      <c r="E29" s="6" t="s">
        <v>1383</v>
      </c>
      <c r="F29" s="19">
        <v>200</v>
      </c>
      <c r="G29" s="24">
        <v>2098.56</v>
      </c>
      <c r="H29" s="24">
        <v>3.32</v>
      </c>
      <c r="I29" s="31">
        <v>4.6303000000000001</v>
      </c>
      <c r="J29" s="35" t="s">
        <v>514</v>
      </c>
    </row>
    <row r="30" spans="2:10" x14ac:dyDescent="0.25">
      <c r="B30" s="8" t="s">
        <v>2690</v>
      </c>
      <c r="C30" s="56" t="s">
        <v>1376</v>
      </c>
      <c r="D30" s="53" t="s">
        <v>2691</v>
      </c>
      <c r="E30" s="6" t="s">
        <v>534</v>
      </c>
      <c r="F30" s="19">
        <v>200</v>
      </c>
      <c r="G30" s="24">
        <v>2074.7399999999998</v>
      </c>
      <c r="H30" s="24">
        <v>3.28</v>
      </c>
      <c r="I30" s="31">
        <v>4.6303000000000001</v>
      </c>
      <c r="J30" s="35" t="s">
        <v>514</v>
      </c>
    </row>
    <row r="31" spans="2:10" x14ac:dyDescent="0.25">
      <c r="B31" s="8" t="s">
        <v>1945</v>
      </c>
      <c r="C31" s="56" t="s">
        <v>1381</v>
      </c>
      <c r="D31" s="53" t="s">
        <v>1946</v>
      </c>
      <c r="E31" s="6" t="s">
        <v>1383</v>
      </c>
      <c r="F31" s="19">
        <v>150</v>
      </c>
      <c r="G31" s="24">
        <v>1859.42</v>
      </c>
      <c r="H31" s="24">
        <v>2.94</v>
      </c>
      <c r="I31" s="31">
        <v>5.5</v>
      </c>
      <c r="J31" s="35" t="s">
        <v>514</v>
      </c>
    </row>
    <row r="32" spans="2:10" x14ac:dyDescent="0.25">
      <c r="B32" s="8" t="s">
        <v>2692</v>
      </c>
      <c r="C32" s="56" t="s">
        <v>2421</v>
      </c>
      <c r="D32" s="53" t="s">
        <v>2693</v>
      </c>
      <c r="E32" s="6" t="s">
        <v>534</v>
      </c>
      <c r="F32" s="19">
        <v>140</v>
      </c>
      <c r="G32" s="24">
        <v>1739.77</v>
      </c>
      <c r="H32" s="24">
        <v>2.75</v>
      </c>
      <c r="I32" s="31">
        <v>5.23</v>
      </c>
      <c r="J32" s="35" t="s">
        <v>514</v>
      </c>
    </row>
    <row r="33" spans="1:10" x14ac:dyDescent="0.25">
      <c r="B33" s="8" t="s">
        <v>2640</v>
      </c>
      <c r="C33" s="56" t="s">
        <v>2641</v>
      </c>
      <c r="D33" s="53" t="s">
        <v>2642</v>
      </c>
      <c r="E33" s="6" t="s">
        <v>2643</v>
      </c>
      <c r="F33" s="19">
        <v>106</v>
      </c>
      <c r="G33" s="24">
        <v>1138.3699999999999</v>
      </c>
      <c r="H33" s="24">
        <v>1.8</v>
      </c>
      <c r="I33" s="31">
        <v>4.4598000000000004</v>
      </c>
      <c r="J33" s="35" t="s">
        <v>514</v>
      </c>
    </row>
    <row r="34" spans="1:10" x14ac:dyDescent="0.25">
      <c r="B34" s="8" t="s">
        <v>1709</v>
      </c>
      <c r="C34" s="56" t="s">
        <v>1376</v>
      </c>
      <c r="D34" s="53" t="s">
        <v>1710</v>
      </c>
      <c r="E34" s="6" t="s">
        <v>534</v>
      </c>
      <c r="F34" s="19">
        <v>100</v>
      </c>
      <c r="G34" s="24">
        <v>1051.6400000000001</v>
      </c>
      <c r="H34" s="24">
        <v>1.66</v>
      </c>
      <c r="I34" s="31">
        <v>4.6303000000000001</v>
      </c>
      <c r="J34" s="35" t="s">
        <v>514</v>
      </c>
    </row>
    <row r="35" spans="1:10" x14ac:dyDescent="0.25">
      <c r="B35" s="8" t="s">
        <v>2678</v>
      </c>
      <c r="C35" s="56" t="s">
        <v>2655</v>
      </c>
      <c r="D35" s="53" t="s">
        <v>2679</v>
      </c>
      <c r="E35" s="6" t="s">
        <v>534</v>
      </c>
      <c r="F35" s="19">
        <v>100</v>
      </c>
      <c r="G35" s="24">
        <v>1033.58</v>
      </c>
      <c r="H35" s="24">
        <v>1.64</v>
      </c>
      <c r="I35" s="31">
        <v>4.28</v>
      </c>
      <c r="J35" s="35" t="s">
        <v>514</v>
      </c>
    </row>
    <row r="36" spans="1:10" x14ac:dyDescent="0.25">
      <c r="B36" s="8" t="s">
        <v>1400</v>
      </c>
      <c r="C36" s="56" t="s">
        <v>53</v>
      </c>
      <c r="D36" s="53" t="s">
        <v>1401</v>
      </c>
      <c r="E36" s="6" t="s">
        <v>534</v>
      </c>
      <c r="F36" s="19">
        <v>80</v>
      </c>
      <c r="G36" s="24">
        <v>823.76</v>
      </c>
      <c r="H36" s="24">
        <v>1.3</v>
      </c>
      <c r="I36" s="31">
        <v>4.24</v>
      </c>
      <c r="J36" s="35" t="s">
        <v>514</v>
      </c>
    </row>
    <row r="37" spans="1:10" x14ac:dyDescent="0.25">
      <c r="B37" s="8" t="s">
        <v>1776</v>
      </c>
      <c r="C37" s="56" t="s">
        <v>77</v>
      </c>
      <c r="D37" s="53" t="s">
        <v>1777</v>
      </c>
      <c r="E37" s="6" t="s">
        <v>534</v>
      </c>
      <c r="F37" s="19">
        <v>60</v>
      </c>
      <c r="G37" s="24">
        <v>627.67999999999995</v>
      </c>
      <c r="H37" s="24">
        <v>0.99</v>
      </c>
      <c r="I37" s="31">
        <v>4.6749999999999998</v>
      </c>
      <c r="J37" s="35" t="s">
        <v>514</v>
      </c>
    </row>
    <row r="38" spans="1:10" x14ac:dyDescent="0.25">
      <c r="C38" s="57" t="s">
        <v>35</v>
      </c>
      <c r="D38" s="53"/>
      <c r="E38" s="6"/>
      <c r="F38" s="19"/>
      <c r="G38" s="25">
        <v>58143.85</v>
      </c>
      <c r="H38" s="25">
        <v>92</v>
      </c>
      <c r="I38" s="31"/>
      <c r="J38" s="35"/>
    </row>
    <row r="39" spans="1:10" x14ac:dyDescent="0.25">
      <c r="C39" s="56"/>
      <c r="D39" s="53"/>
      <c r="E39" s="6"/>
      <c r="F39" s="19"/>
      <c r="G39" s="24"/>
      <c r="H39" s="24"/>
      <c r="I39" s="31"/>
      <c r="J39" s="35"/>
    </row>
    <row r="40" spans="1:10" x14ac:dyDescent="0.25">
      <c r="C40" s="57" t="s">
        <v>7</v>
      </c>
      <c r="D40" s="53"/>
      <c r="E40" s="6"/>
      <c r="F40" s="19"/>
      <c r="G40" s="24" t="s">
        <v>2</v>
      </c>
      <c r="H40" s="24" t="s">
        <v>2</v>
      </c>
      <c r="I40" s="31"/>
      <c r="J40" s="35"/>
    </row>
    <row r="41" spans="1:10" x14ac:dyDescent="0.25">
      <c r="C41" s="56"/>
      <c r="D41" s="53"/>
      <c r="E41" s="6"/>
      <c r="F41" s="19"/>
      <c r="G41" s="24"/>
      <c r="H41" s="24"/>
      <c r="I41" s="31"/>
      <c r="J41" s="35"/>
    </row>
    <row r="42" spans="1:10" x14ac:dyDescent="0.25">
      <c r="C42" s="57" t="s">
        <v>8</v>
      </c>
      <c r="D42" s="53"/>
      <c r="E42" s="6"/>
      <c r="F42" s="19"/>
      <c r="G42" s="24" t="s">
        <v>2</v>
      </c>
      <c r="H42" s="24" t="s">
        <v>2</v>
      </c>
      <c r="I42" s="31"/>
      <c r="J42" s="35"/>
    </row>
    <row r="43" spans="1:10" x14ac:dyDescent="0.25">
      <c r="C43" s="56"/>
      <c r="D43" s="53"/>
      <c r="E43" s="6"/>
      <c r="F43" s="19"/>
      <c r="G43" s="24"/>
      <c r="H43" s="24"/>
      <c r="I43" s="31"/>
      <c r="J43" s="35"/>
    </row>
    <row r="44" spans="1:10" x14ac:dyDescent="0.25">
      <c r="C44" s="57" t="s">
        <v>9</v>
      </c>
      <c r="D44" s="53"/>
      <c r="E44" s="6"/>
      <c r="F44" s="19"/>
      <c r="G44" s="24" t="s">
        <v>2</v>
      </c>
      <c r="H44" s="24" t="s">
        <v>2</v>
      </c>
      <c r="I44" s="31"/>
      <c r="J44" s="35"/>
    </row>
    <row r="45" spans="1:10" x14ac:dyDescent="0.25">
      <c r="C45" s="56"/>
      <c r="D45" s="53"/>
      <c r="E45" s="6"/>
      <c r="F45" s="19"/>
      <c r="G45" s="24"/>
      <c r="H45" s="24"/>
      <c r="I45" s="31"/>
      <c r="J45" s="35"/>
    </row>
    <row r="46" spans="1:10" x14ac:dyDescent="0.25">
      <c r="C46" s="57" t="s">
        <v>10</v>
      </c>
      <c r="D46" s="53"/>
      <c r="E46" s="6"/>
      <c r="F46" s="19"/>
      <c r="G46" s="24" t="s">
        <v>2</v>
      </c>
      <c r="H46" s="24" t="s">
        <v>2</v>
      </c>
      <c r="I46" s="31"/>
      <c r="J46" s="35"/>
    </row>
    <row r="47" spans="1:10" x14ac:dyDescent="0.25">
      <c r="C47" s="56"/>
      <c r="D47" s="53"/>
      <c r="E47" s="6"/>
      <c r="F47" s="19"/>
      <c r="G47" s="24"/>
      <c r="H47" s="24"/>
      <c r="I47" s="31"/>
      <c r="J47" s="35"/>
    </row>
    <row r="48" spans="1:10" x14ac:dyDescent="0.25">
      <c r="A48" s="10"/>
      <c r="B48" s="28"/>
      <c r="C48" s="58" t="s">
        <v>11</v>
      </c>
      <c r="D48" s="53"/>
      <c r="E48" s="6"/>
      <c r="F48" s="19"/>
      <c r="G48" s="24"/>
      <c r="H48" s="24"/>
      <c r="I48" s="31"/>
      <c r="J48" s="35"/>
    </row>
    <row r="49" spans="1:10" x14ac:dyDescent="0.25">
      <c r="A49" s="28"/>
      <c r="B49" s="28"/>
      <c r="C49" s="58" t="s">
        <v>13</v>
      </c>
      <c r="D49" s="53"/>
      <c r="E49" s="6"/>
      <c r="F49" s="19"/>
      <c r="G49" s="24" t="s">
        <v>2</v>
      </c>
      <c r="H49" s="24" t="s">
        <v>2</v>
      </c>
      <c r="I49" s="31"/>
      <c r="J49" s="35"/>
    </row>
    <row r="50" spans="1:10" x14ac:dyDescent="0.25">
      <c r="A50" s="28"/>
      <c r="B50" s="28"/>
      <c r="C50" s="58"/>
      <c r="D50" s="53"/>
      <c r="E50" s="6"/>
      <c r="F50" s="19"/>
      <c r="G50" s="24"/>
      <c r="H50" s="24"/>
      <c r="I50" s="31"/>
      <c r="J50" s="35"/>
    </row>
    <row r="51" spans="1:10" x14ac:dyDescent="0.25">
      <c r="C51" s="59" t="s">
        <v>14</v>
      </c>
      <c r="D51" s="53"/>
      <c r="E51" s="6"/>
      <c r="F51" s="19"/>
      <c r="G51" s="24"/>
      <c r="H51" s="24"/>
      <c r="I51" s="31"/>
      <c r="J51" s="35"/>
    </row>
    <row r="52" spans="1:10" x14ac:dyDescent="0.25">
      <c r="B52" s="8" t="s">
        <v>2480</v>
      </c>
      <c r="C52" s="56" t="s">
        <v>872</v>
      </c>
      <c r="D52" s="53" t="s">
        <v>2481</v>
      </c>
      <c r="E52" s="6" t="s">
        <v>992</v>
      </c>
      <c r="F52" s="19">
        <v>1200</v>
      </c>
      <c r="G52" s="24">
        <v>1185.9000000000001</v>
      </c>
      <c r="H52" s="24">
        <v>1.88</v>
      </c>
      <c r="I52" s="31">
        <v>4.2149999999999999</v>
      </c>
      <c r="J52" s="35" t="s">
        <v>514</v>
      </c>
    </row>
    <row r="53" spans="1:10" x14ac:dyDescent="0.25">
      <c r="B53" s="8" t="s">
        <v>1225</v>
      </c>
      <c r="C53" s="56" t="s">
        <v>818</v>
      </c>
      <c r="D53" s="53" t="s">
        <v>1226</v>
      </c>
      <c r="E53" s="6" t="s">
        <v>1000</v>
      </c>
      <c r="F53" s="19">
        <v>1000</v>
      </c>
      <c r="G53" s="24">
        <v>984.92</v>
      </c>
      <c r="H53" s="24">
        <v>1.56</v>
      </c>
      <c r="I53" s="31">
        <v>3.5150000000000001</v>
      </c>
      <c r="J53" s="35" t="s">
        <v>514</v>
      </c>
    </row>
    <row r="54" spans="1:10" x14ac:dyDescent="0.25">
      <c r="B54" s="8" t="s">
        <v>1232</v>
      </c>
      <c r="C54" s="56" t="s">
        <v>818</v>
      </c>
      <c r="D54" s="53" t="s">
        <v>1233</v>
      </c>
      <c r="E54" s="6" t="s">
        <v>1000</v>
      </c>
      <c r="F54" s="19">
        <v>200</v>
      </c>
      <c r="G54" s="24">
        <v>194.61</v>
      </c>
      <c r="H54" s="24">
        <v>0.31</v>
      </c>
      <c r="I54" s="31">
        <v>3.83</v>
      </c>
      <c r="J54" s="35" t="s">
        <v>514</v>
      </c>
    </row>
    <row r="55" spans="1:10" x14ac:dyDescent="0.25">
      <c r="C55" s="57" t="s">
        <v>35</v>
      </c>
      <c r="D55" s="53"/>
      <c r="E55" s="6"/>
      <c r="F55" s="19"/>
      <c r="G55" s="25">
        <v>2365.4299999999998</v>
      </c>
      <c r="H55" s="25">
        <v>3.75</v>
      </c>
      <c r="I55" s="31"/>
      <c r="J55" s="35"/>
    </row>
    <row r="56" spans="1:10" x14ac:dyDescent="0.25">
      <c r="C56" s="56"/>
      <c r="D56" s="53"/>
      <c r="E56" s="6"/>
      <c r="F56" s="19"/>
      <c r="G56" s="24"/>
      <c r="H56" s="24"/>
      <c r="I56" s="31"/>
      <c r="J56" s="35"/>
    </row>
    <row r="57" spans="1:10" x14ac:dyDescent="0.25">
      <c r="C57" s="59" t="s">
        <v>15</v>
      </c>
      <c r="D57" s="53"/>
      <c r="E57" s="6"/>
      <c r="F57" s="19"/>
      <c r="G57" s="24"/>
      <c r="H57" s="24"/>
      <c r="I57" s="31"/>
      <c r="J57" s="35"/>
    </row>
    <row r="58" spans="1:10" x14ac:dyDescent="0.25">
      <c r="B58" s="8" t="s">
        <v>2599</v>
      </c>
      <c r="C58" s="56" t="s">
        <v>2600</v>
      </c>
      <c r="D58" s="53" t="s">
        <v>2601</v>
      </c>
      <c r="E58" s="6" t="s">
        <v>655</v>
      </c>
      <c r="F58" s="19">
        <v>400000</v>
      </c>
      <c r="G58" s="24">
        <v>386.47</v>
      </c>
      <c r="H58" s="24">
        <v>0.61</v>
      </c>
      <c r="I58" s="31">
        <v>3.65</v>
      </c>
      <c r="J58" s="35"/>
    </row>
    <row r="59" spans="1:10" x14ac:dyDescent="0.25">
      <c r="C59" s="57" t="s">
        <v>35</v>
      </c>
      <c r="D59" s="53"/>
      <c r="E59" s="6"/>
      <c r="F59" s="19"/>
      <c r="G59" s="25">
        <v>386.47</v>
      </c>
      <c r="H59" s="25">
        <v>0.61</v>
      </c>
      <c r="I59" s="31"/>
      <c r="J59" s="35"/>
    </row>
    <row r="60" spans="1:10" x14ac:dyDescent="0.25">
      <c r="C60" s="56"/>
      <c r="D60" s="53"/>
      <c r="E60" s="6"/>
      <c r="F60" s="19"/>
      <c r="G60" s="24"/>
      <c r="H60" s="24"/>
      <c r="I60" s="31"/>
      <c r="J60" s="35"/>
    </row>
    <row r="61" spans="1:10" x14ac:dyDescent="0.25">
      <c r="C61" s="57" t="s">
        <v>16</v>
      </c>
      <c r="D61" s="53"/>
      <c r="E61" s="6"/>
      <c r="F61" s="19"/>
      <c r="G61" s="24" t="s">
        <v>2</v>
      </c>
      <c r="H61" s="24" t="s">
        <v>2</v>
      </c>
      <c r="I61" s="31"/>
      <c r="J61" s="35"/>
    </row>
    <row r="62" spans="1:10" x14ac:dyDescent="0.25">
      <c r="C62" s="56"/>
      <c r="D62" s="53"/>
      <c r="E62" s="6"/>
      <c r="F62" s="19"/>
      <c r="G62" s="24"/>
      <c r="H62" s="24"/>
      <c r="I62" s="31"/>
      <c r="J62" s="35"/>
    </row>
    <row r="63" spans="1:10" x14ac:dyDescent="0.25">
      <c r="A63" s="10"/>
      <c r="B63" s="28"/>
      <c r="C63" s="58" t="s">
        <v>17</v>
      </c>
      <c r="D63" s="53"/>
      <c r="E63" s="6"/>
      <c r="F63" s="19"/>
      <c r="G63" s="24"/>
      <c r="H63" s="24"/>
      <c r="I63" s="31"/>
      <c r="J63" s="35"/>
    </row>
    <row r="64" spans="1:10" x14ac:dyDescent="0.25">
      <c r="A64" s="28"/>
      <c r="B64" s="28"/>
      <c r="C64" s="58" t="s">
        <v>18</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19</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20</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A70" s="28"/>
      <c r="B70" s="28"/>
      <c r="C70" s="58" t="s">
        <v>21</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C72" s="59" t="s">
        <v>22</v>
      </c>
      <c r="D72" s="53"/>
      <c r="E72" s="6"/>
      <c r="F72" s="19"/>
      <c r="G72" s="24"/>
      <c r="H72" s="24"/>
      <c r="I72" s="31"/>
      <c r="J72" s="35"/>
    </row>
    <row r="73" spans="1:10" x14ac:dyDescent="0.25">
      <c r="B73" s="8" t="s">
        <v>33</v>
      </c>
      <c r="C73" s="56" t="s">
        <v>34</v>
      </c>
      <c r="D73" s="53"/>
      <c r="E73" s="6"/>
      <c r="F73" s="19"/>
      <c r="G73" s="24">
        <v>39.950000000000003</v>
      </c>
      <c r="H73" s="24">
        <v>0.06</v>
      </c>
      <c r="I73" s="31"/>
      <c r="J73" s="35"/>
    </row>
    <row r="74" spans="1:10" x14ac:dyDescent="0.25">
      <c r="C74" s="57" t="s">
        <v>35</v>
      </c>
      <c r="D74" s="53"/>
      <c r="E74" s="6"/>
      <c r="F74" s="19"/>
      <c r="G74" s="25">
        <v>39.950000000000003</v>
      </c>
      <c r="H74" s="25">
        <v>0.06</v>
      </c>
      <c r="I74" s="31"/>
      <c r="J74" s="35"/>
    </row>
    <row r="75" spans="1:10" x14ac:dyDescent="0.25">
      <c r="C75" s="56"/>
      <c r="D75" s="53"/>
      <c r="E75" s="6"/>
      <c r="F75" s="19"/>
      <c r="G75" s="24"/>
      <c r="H75" s="24"/>
      <c r="I75" s="31"/>
      <c r="J75" s="35"/>
    </row>
    <row r="76" spans="1:10" x14ac:dyDescent="0.25">
      <c r="A76" s="10"/>
      <c r="B76" s="28"/>
      <c r="C76" s="58" t="s">
        <v>23</v>
      </c>
      <c r="D76" s="53"/>
      <c r="E76" s="6"/>
      <c r="F76" s="19"/>
      <c r="G76" s="24"/>
      <c r="H76" s="24"/>
      <c r="I76" s="31"/>
      <c r="J76" s="35"/>
    </row>
    <row r="77" spans="1:10" x14ac:dyDescent="0.25">
      <c r="A77" s="28"/>
      <c r="B77" s="28"/>
      <c r="C77" s="60" t="s">
        <v>3398</v>
      </c>
      <c r="D77" s="53"/>
      <c r="E77" s="6"/>
      <c r="F77" s="19"/>
      <c r="G77" s="24" t="s">
        <v>2</v>
      </c>
      <c r="H77" s="24" t="s">
        <v>2</v>
      </c>
      <c r="I77" s="31"/>
      <c r="J77" s="35"/>
    </row>
    <row r="78" spans="1:10" x14ac:dyDescent="0.25">
      <c r="B78" s="8"/>
      <c r="C78" s="56" t="s">
        <v>36</v>
      </c>
      <c r="D78" s="53"/>
      <c r="E78" s="6"/>
      <c r="F78" s="19"/>
      <c r="G78" s="24">
        <v>2255.4899999999998</v>
      </c>
      <c r="H78" s="24">
        <v>3.5799999999999996</v>
      </c>
      <c r="I78" s="31"/>
      <c r="J78" s="35"/>
    </row>
    <row r="79" spans="1:10" x14ac:dyDescent="0.25">
      <c r="C79" s="57" t="s">
        <v>35</v>
      </c>
      <c r="D79" s="53"/>
      <c r="E79" s="6"/>
      <c r="F79" s="19"/>
      <c r="G79" s="25">
        <v>2255.4899999999998</v>
      </c>
      <c r="H79" s="25">
        <v>3.5799999999999996</v>
      </c>
      <c r="I79" s="31"/>
      <c r="J79" s="35"/>
    </row>
    <row r="80" spans="1:10" x14ac:dyDescent="0.25">
      <c r="C80" s="56"/>
      <c r="D80" s="53"/>
      <c r="E80" s="6"/>
      <c r="F80" s="19"/>
      <c r="G80" s="24"/>
      <c r="H80" s="24"/>
      <c r="I80" s="31"/>
      <c r="J80" s="35"/>
    </row>
    <row r="81" spans="3:10" x14ac:dyDescent="0.25">
      <c r="C81" s="61" t="s">
        <v>37</v>
      </c>
      <c r="D81" s="54"/>
      <c r="E81" s="5"/>
      <c r="F81" s="20"/>
      <c r="G81" s="26">
        <v>63191.19</v>
      </c>
      <c r="H81" s="26">
        <f>SUMIFS(H:H,C:C,"Total")</f>
        <v>100</v>
      </c>
      <c r="I81" s="32"/>
      <c r="J81" s="36"/>
    </row>
    <row r="84" spans="3:10" x14ac:dyDescent="0.25">
      <c r="C84" s="1" t="s">
        <v>38</v>
      </c>
    </row>
    <row r="85" spans="3:10" x14ac:dyDescent="0.25">
      <c r="C85" s="2" t="s">
        <v>39</v>
      </c>
    </row>
    <row r="86" spans="3:10" x14ac:dyDescent="0.25">
      <c r="C86" s="2" t="s">
        <v>40</v>
      </c>
    </row>
    <row r="87" spans="3:10" x14ac:dyDescent="0.25">
      <c r="C87" s="2" t="s">
        <v>3430</v>
      </c>
    </row>
  </sheetData>
  <hyperlinks>
    <hyperlink ref="J2" location="'Index'!A1" display="'Index'!A1"/>
  </hyperlinks>
  <pageMargins left="0.7" right="0.7" top="0.75" bottom="0.75" header="0.3" footer="0.3"/>
  <pageSetup orientation="portrait" horizontalDpi="4294967293"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5"/>
  <dimension ref="A1:J8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2694</v>
      </c>
      <c r="J2" s="37" t="s">
        <v>3307</v>
      </c>
    </row>
    <row r="3" spans="1:10" ht="16.5" x14ac:dyDescent="0.3">
      <c r="C3" s="1" t="s">
        <v>24</v>
      </c>
      <c r="D3" s="21" t="s">
        <v>2695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2696</v>
      </c>
      <c r="C18" s="56" t="s">
        <v>2282</v>
      </c>
      <c r="D18" s="53" t="s">
        <v>2697</v>
      </c>
      <c r="E18" s="6" t="s">
        <v>534</v>
      </c>
      <c r="F18" s="19">
        <v>320</v>
      </c>
      <c r="G18" s="24">
        <v>3989.4</v>
      </c>
      <c r="H18" s="24">
        <v>10.050000000000001</v>
      </c>
      <c r="I18" s="31">
        <v>6.1665000000000001</v>
      </c>
      <c r="J18" s="35" t="s">
        <v>514</v>
      </c>
    </row>
    <row r="19" spans="2:10" x14ac:dyDescent="0.25">
      <c r="B19" s="8" t="s">
        <v>2692</v>
      </c>
      <c r="C19" s="56" t="s">
        <v>2421</v>
      </c>
      <c r="D19" s="53" t="s">
        <v>2693</v>
      </c>
      <c r="E19" s="6" t="s">
        <v>534</v>
      </c>
      <c r="F19" s="19">
        <v>300</v>
      </c>
      <c r="G19" s="24">
        <v>3728.08</v>
      </c>
      <c r="H19" s="24">
        <v>9.4</v>
      </c>
      <c r="I19" s="31">
        <v>5.23</v>
      </c>
      <c r="J19" s="35" t="s">
        <v>514</v>
      </c>
    </row>
    <row r="20" spans="2:10" x14ac:dyDescent="0.25">
      <c r="B20" s="8" t="s">
        <v>2672</v>
      </c>
      <c r="C20" s="56" t="s">
        <v>953</v>
      </c>
      <c r="D20" s="53" t="s">
        <v>2673</v>
      </c>
      <c r="E20" s="6" t="s">
        <v>534</v>
      </c>
      <c r="F20" s="19">
        <v>320</v>
      </c>
      <c r="G20" s="24">
        <v>3396.03</v>
      </c>
      <c r="H20" s="24">
        <v>8.56</v>
      </c>
      <c r="I20" s="31">
        <v>5.6322999999999999</v>
      </c>
      <c r="J20" s="35" t="s">
        <v>514</v>
      </c>
    </row>
    <row r="21" spans="2:10" x14ac:dyDescent="0.25">
      <c r="B21" s="8" t="s">
        <v>1394</v>
      </c>
      <c r="C21" s="56" t="s">
        <v>909</v>
      </c>
      <c r="D21" s="53" t="s">
        <v>1395</v>
      </c>
      <c r="E21" s="6" t="s">
        <v>534</v>
      </c>
      <c r="F21" s="19">
        <v>320</v>
      </c>
      <c r="G21" s="24">
        <v>3367.4</v>
      </c>
      <c r="H21" s="24">
        <v>8.49</v>
      </c>
      <c r="I21" s="31">
        <v>4.4400000000000004</v>
      </c>
      <c r="J21" s="35" t="s">
        <v>514</v>
      </c>
    </row>
    <row r="22" spans="2:10" x14ac:dyDescent="0.25">
      <c r="B22" s="8" t="s">
        <v>2636</v>
      </c>
      <c r="C22" s="56" t="s">
        <v>1752</v>
      </c>
      <c r="D22" s="53" t="s">
        <v>2637</v>
      </c>
      <c r="E22" s="6" t="s">
        <v>1314</v>
      </c>
      <c r="F22" s="19">
        <v>300</v>
      </c>
      <c r="G22" s="24">
        <v>3165.52</v>
      </c>
      <c r="H22" s="24">
        <v>7.98</v>
      </c>
      <c r="I22" s="31">
        <v>4.375</v>
      </c>
      <c r="J22" s="35" t="s">
        <v>514</v>
      </c>
    </row>
    <row r="23" spans="2:10" x14ac:dyDescent="0.25">
      <c r="B23" s="8" t="s">
        <v>2640</v>
      </c>
      <c r="C23" s="56" t="s">
        <v>2641</v>
      </c>
      <c r="D23" s="53" t="s">
        <v>2642</v>
      </c>
      <c r="E23" s="6" t="s">
        <v>2643</v>
      </c>
      <c r="F23" s="19">
        <v>290</v>
      </c>
      <c r="G23" s="24">
        <v>3114.41</v>
      </c>
      <c r="H23" s="24">
        <v>7.85</v>
      </c>
      <c r="I23" s="31">
        <v>4.4598000000000004</v>
      </c>
      <c r="J23" s="35" t="s">
        <v>514</v>
      </c>
    </row>
    <row r="24" spans="2:10" x14ac:dyDescent="0.25">
      <c r="B24" s="8" t="s">
        <v>2698</v>
      </c>
      <c r="C24" s="56" t="s">
        <v>1130</v>
      </c>
      <c r="D24" s="53" t="s">
        <v>2699</v>
      </c>
      <c r="E24" s="6" t="s">
        <v>911</v>
      </c>
      <c r="F24" s="19">
        <v>280</v>
      </c>
      <c r="G24" s="24">
        <v>2945.66</v>
      </c>
      <c r="H24" s="24">
        <v>7.42</v>
      </c>
      <c r="I24" s="31">
        <v>4.6448999999999998</v>
      </c>
      <c r="J24" s="35" t="s">
        <v>514</v>
      </c>
    </row>
    <row r="25" spans="2:10" x14ac:dyDescent="0.25">
      <c r="B25" s="8" t="s">
        <v>1884</v>
      </c>
      <c r="C25" s="56" t="s">
        <v>1376</v>
      </c>
      <c r="D25" s="53" t="s">
        <v>1885</v>
      </c>
      <c r="E25" s="6" t="s">
        <v>534</v>
      </c>
      <c r="F25" s="19">
        <v>200</v>
      </c>
      <c r="G25" s="24">
        <v>2108.1</v>
      </c>
      <c r="H25" s="24">
        <v>5.31</v>
      </c>
      <c r="I25" s="31">
        <v>4.6833</v>
      </c>
      <c r="J25" s="35"/>
    </row>
    <row r="26" spans="2:10" x14ac:dyDescent="0.25">
      <c r="B26" s="8" t="s">
        <v>1328</v>
      </c>
      <c r="C26" s="56" t="s">
        <v>1329</v>
      </c>
      <c r="D26" s="53" t="s">
        <v>1330</v>
      </c>
      <c r="E26" s="6" t="s">
        <v>911</v>
      </c>
      <c r="F26" s="19">
        <v>150</v>
      </c>
      <c r="G26" s="24">
        <v>1841.43</v>
      </c>
      <c r="H26" s="24">
        <v>4.6399999999999997</v>
      </c>
      <c r="I26" s="31">
        <v>6.1849999999999996</v>
      </c>
      <c r="J26" s="35" t="s">
        <v>514</v>
      </c>
    </row>
    <row r="27" spans="2:10" x14ac:dyDescent="0.25">
      <c r="B27" s="8" t="s">
        <v>1400</v>
      </c>
      <c r="C27" s="56" t="s">
        <v>53</v>
      </c>
      <c r="D27" s="53" t="s">
        <v>1401</v>
      </c>
      <c r="E27" s="6" t="s">
        <v>534</v>
      </c>
      <c r="F27" s="19">
        <v>170</v>
      </c>
      <c r="G27" s="24">
        <v>1750.5</v>
      </c>
      <c r="H27" s="24">
        <v>4.41</v>
      </c>
      <c r="I27" s="31">
        <v>4.24</v>
      </c>
      <c r="J27" s="35" t="s">
        <v>514</v>
      </c>
    </row>
    <row r="28" spans="2:10" x14ac:dyDescent="0.25">
      <c r="B28" s="8" t="s">
        <v>2668</v>
      </c>
      <c r="C28" s="56" t="s">
        <v>1935</v>
      </c>
      <c r="D28" s="53" t="s">
        <v>2669</v>
      </c>
      <c r="E28" s="6" t="s">
        <v>534</v>
      </c>
      <c r="F28" s="19">
        <v>150</v>
      </c>
      <c r="G28" s="24">
        <v>1389.5</v>
      </c>
      <c r="H28" s="24">
        <v>3.5</v>
      </c>
      <c r="I28" s="31">
        <v>5.2</v>
      </c>
      <c r="J28" s="35" t="s">
        <v>514</v>
      </c>
    </row>
    <row r="29" spans="2:10" x14ac:dyDescent="0.25">
      <c r="B29" s="8" t="s">
        <v>1913</v>
      </c>
      <c r="C29" s="56" t="s">
        <v>601</v>
      </c>
      <c r="D29" s="53" t="s">
        <v>1914</v>
      </c>
      <c r="E29" s="6" t="s">
        <v>534</v>
      </c>
      <c r="F29" s="19">
        <v>100</v>
      </c>
      <c r="G29" s="24">
        <v>1030.03</v>
      </c>
      <c r="H29" s="24">
        <v>2.6</v>
      </c>
      <c r="I29" s="31">
        <v>4.26</v>
      </c>
      <c r="J29" s="35" t="s">
        <v>514</v>
      </c>
    </row>
    <row r="30" spans="2:10" x14ac:dyDescent="0.25">
      <c r="B30" s="8" t="s">
        <v>2674</v>
      </c>
      <c r="C30" s="56" t="s">
        <v>1344</v>
      </c>
      <c r="D30" s="53" t="s">
        <v>2675</v>
      </c>
      <c r="E30" s="6" t="s">
        <v>534</v>
      </c>
      <c r="F30" s="19">
        <v>67</v>
      </c>
      <c r="G30" s="24">
        <v>621.69000000000005</v>
      </c>
      <c r="H30" s="24">
        <v>1.57</v>
      </c>
      <c r="I30" s="31">
        <v>5.1498999999999997</v>
      </c>
      <c r="J30" s="35" t="s">
        <v>514</v>
      </c>
    </row>
    <row r="31" spans="2:10" x14ac:dyDescent="0.25">
      <c r="B31" s="8" t="s">
        <v>2700</v>
      </c>
      <c r="C31" s="56" t="s">
        <v>601</v>
      </c>
      <c r="D31" s="53" t="s">
        <v>2701</v>
      </c>
      <c r="E31" s="6" t="s">
        <v>534</v>
      </c>
      <c r="F31" s="19">
        <v>50</v>
      </c>
      <c r="G31" s="24">
        <v>533.89</v>
      </c>
      <c r="H31" s="24">
        <v>1.35</v>
      </c>
      <c r="I31" s="31">
        <v>4.7649999999999997</v>
      </c>
      <c r="J31" s="35" t="s">
        <v>514</v>
      </c>
    </row>
    <row r="32" spans="2:10" x14ac:dyDescent="0.25">
      <c r="B32" s="8" t="s">
        <v>2686</v>
      </c>
      <c r="C32" s="56" t="s">
        <v>1130</v>
      </c>
      <c r="D32" s="53" t="s">
        <v>2687</v>
      </c>
      <c r="E32" s="6" t="s">
        <v>911</v>
      </c>
      <c r="F32" s="19">
        <v>50</v>
      </c>
      <c r="G32" s="24">
        <v>527.1</v>
      </c>
      <c r="H32" s="24">
        <v>1.33</v>
      </c>
      <c r="I32" s="31">
        <v>4.6449999999999996</v>
      </c>
      <c r="J32" s="35" t="s">
        <v>514</v>
      </c>
    </row>
    <row r="33" spans="2:10" x14ac:dyDescent="0.25">
      <c r="B33" s="8" t="s">
        <v>1709</v>
      </c>
      <c r="C33" s="56" t="s">
        <v>1376</v>
      </c>
      <c r="D33" s="53" t="s">
        <v>1710</v>
      </c>
      <c r="E33" s="6" t="s">
        <v>534</v>
      </c>
      <c r="F33" s="19">
        <v>50</v>
      </c>
      <c r="G33" s="24">
        <v>525.82000000000005</v>
      </c>
      <c r="H33" s="24">
        <v>1.33</v>
      </c>
      <c r="I33" s="31">
        <v>4.6303000000000001</v>
      </c>
      <c r="J33" s="35" t="s">
        <v>514</v>
      </c>
    </row>
    <row r="34" spans="2:10" x14ac:dyDescent="0.25">
      <c r="B34" s="8" t="s">
        <v>2654</v>
      </c>
      <c r="C34" s="56" t="s">
        <v>2655</v>
      </c>
      <c r="D34" s="53" t="s">
        <v>2656</v>
      </c>
      <c r="E34" s="6" t="s">
        <v>534</v>
      </c>
      <c r="F34" s="19">
        <v>50</v>
      </c>
      <c r="G34" s="24">
        <v>522.32000000000005</v>
      </c>
      <c r="H34" s="24">
        <v>1.32</v>
      </c>
      <c r="I34" s="31">
        <v>4.3499999999999996</v>
      </c>
      <c r="J34" s="35"/>
    </row>
    <row r="35" spans="2:10" x14ac:dyDescent="0.25">
      <c r="B35" s="8" t="s">
        <v>1703</v>
      </c>
      <c r="C35" s="56" t="s">
        <v>601</v>
      </c>
      <c r="D35" s="53" t="s">
        <v>1704</v>
      </c>
      <c r="E35" s="6" t="s">
        <v>534</v>
      </c>
      <c r="F35" s="19">
        <v>50</v>
      </c>
      <c r="G35" s="24">
        <v>513.53</v>
      </c>
      <c r="H35" s="24">
        <v>1.29</v>
      </c>
      <c r="I35" s="31">
        <v>4.25</v>
      </c>
      <c r="J35" s="35" t="s">
        <v>514</v>
      </c>
    </row>
    <row r="36" spans="2:10" x14ac:dyDescent="0.25">
      <c r="B36" s="8" t="s">
        <v>2702</v>
      </c>
      <c r="C36" s="56" t="s">
        <v>1143</v>
      </c>
      <c r="D36" s="53" t="s">
        <v>2703</v>
      </c>
      <c r="E36" s="6" t="s">
        <v>911</v>
      </c>
      <c r="F36" s="19">
        <v>20</v>
      </c>
      <c r="G36" s="24">
        <v>213.74</v>
      </c>
      <c r="H36" s="24">
        <v>0.54</v>
      </c>
      <c r="I36" s="31">
        <v>5.5651999999999999</v>
      </c>
      <c r="J36" s="35" t="s">
        <v>514</v>
      </c>
    </row>
    <row r="37" spans="2:10" x14ac:dyDescent="0.25">
      <c r="B37" s="8" t="s">
        <v>1776</v>
      </c>
      <c r="C37" s="56" t="s">
        <v>77</v>
      </c>
      <c r="D37" s="53" t="s">
        <v>1777</v>
      </c>
      <c r="E37" s="6" t="s">
        <v>534</v>
      </c>
      <c r="F37" s="19">
        <v>10</v>
      </c>
      <c r="G37" s="24">
        <v>104.61</v>
      </c>
      <c r="H37" s="24">
        <v>0.26</v>
      </c>
      <c r="I37" s="31">
        <v>4.6749999999999998</v>
      </c>
      <c r="J37" s="35" t="s">
        <v>514</v>
      </c>
    </row>
    <row r="38" spans="2:10" x14ac:dyDescent="0.25">
      <c r="B38" s="8" t="s">
        <v>2678</v>
      </c>
      <c r="C38" s="56" t="s">
        <v>2655</v>
      </c>
      <c r="D38" s="53" t="s">
        <v>2679</v>
      </c>
      <c r="E38" s="6" t="s">
        <v>534</v>
      </c>
      <c r="F38" s="19">
        <v>10</v>
      </c>
      <c r="G38" s="24">
        <v>103.36</v>
      </c>
      <c r="H38" s="24">
        <v>0.26</v>
      </c>
      <c r="I38" s="31">
        <v>4.28</v>
      </c>
      <c r="J38" s="35" t="s">
        <v>514</v>
      </c>
    </row>
    <row r="39" spans="2:10" x14ac:dyDescent="0.25">
      <c r="C39" s="57" t="s">
        <v>35</v>
      </c>
      <c r="D39" s="53"/>
      <c r="E39" s="6"/>
      <c r="F39" s="19"/>
      <c r="G39" s="25">
        <v>35492.120000000003</v>
      </c>
      <c r="H39" s="25">
        <v>89.46</v>
      </c>
      <c r="I39" s="31"/>
      <c r="J39" s="35"/>
    </row>
    <row r="40" spans="2:10" x14ac:dyDescent="0.25">
      <c r="C40" s="56"/>
      <c r="D40" s="53"/>
      <c r="E40" s="6"/>
      <c r="F40" s="19"/>
      <c r="G40" s="24"/>
      <c r="H40" s="24"/>
      <c r="I40" s="31"/>
      <c r="J40" s="35"/>
    </row>
    <row r="41" spans="2:10" x14ac:dyDescent="0.25">
      <c r="C41" s="57" t="s">
        <v>7</v>
      </c>
      <c r="D41" s="53"/>
      <c r="E41" s="6"/>
      <c r="F41" s="19"/>
      <c r="G41" s="24" t="s">
        <v>2</v>
      </c>
      <c r="H41" s="24" t="s">
        <v>2</v>
      </c>
      <c r="I41" s="31"/>
      <c r="J41" s="35"/>
    </row>
    <row r="42" spans="2:10" x14ac:dyDescent="0.25">
      <c r="C42" s="56"/>
      <c r="D42" s="53"/>
      <c r="E42" s="6"/>
      <c r="F42" s="19"/>
      <c r="G42" s="24"/>
      <c r="H42" s="24"/>
      <c r="I42" s="31"/>
      <c r="J42" s="35"/>
    </row>
    <row r="43" spans="2:10" x14ac:dyDescent="0.25">
      <c r="C43" s="57" t="s">
        <v>8</v>
      </c>
      <c r="D43" s="53"/>
      <c r="E43" s="6"/>
      <c r="F43" s="19"/>
      <c r="G43" s="24" t="s">
        <v>2</v>
      </c>
      <c r="H43" s="24" t="s">
        <v>2</v>
      </c>
      <c r="I43" s="31"/>
      <c r="J43" s="35"/>
    </row>
    <row r="44" spans="2:10" x14ac:dyDescent="0.25">
      <c r="C44" s="56"/>
      <c r="D44" s="53"/>
      <c r="E44" s="6"/>
      <c r="F44" s="19"/>
      <c r="G44" s="24"/>
      <c r="H44" s="24"/>
      <c r="I44" s="31"/>
      <c r="J44" s="35"/>
    </row>
    <row r="45" spans="2:10" x14ac:dyDescent="0.25">
      <c r="C45" s="57" t="s">
        <v>9</v>
      </c>
      <c r="D45" s="53"/>
      <c r="E45" s="6"/>
      <c r="F45" s="19"/>
      <c r="G45" s="24" t="s">
        <v>2</v>
      </c>
      <c r="H45" s="24" t="s">
        <v>2</v>
      </c>
      <c r="I45" s="31"/>
      <c r="J45" s="35"/>
    </row>
    <row r="46" spans="2:10" x14ac:dyDescent="0.25">
      <c r="C46" s="56"/>
      <c r="D46" s="53"/>
      <c r="E46" s="6"/>
      <c r="F46" s="19"/>
      <c r="G46" s="24"/>
      <c r="H46" s="24"/>
      <c r="I46" s="31"/>
      <c r="J46" s="35"/>
    </row>
    <row r="47" spans="2:10" x14ac:dyDescent="0.25">
      <c r="C47" s="57" t="s">
        <v>10</v>
      </c>
      <c r="D47" s="53"/>
      <c r="E47" s="6"/>
      <c r="F47" s="19"/>
      <c r="G47" s="24" t="s">
        <v>2</v>
      </c>
      <c r="H47" s="24" t="s">
        <v>2</v>
      </c>
      <c r="I47" s="31"/>
      <c r="J47" s="35"/>
    </row>
    <row r="48" spans="2:10" x14ac:dyDescent="0.25">
      <c r="C48" s="56"/>
      <c r="D48" s="53"/>
      <c r="E48" s="6"/>
      <c r="F48" s="19"/>
      <c r="G48" s="24"/>
      <c r="H48" s="24"/>
      <c r="I48" s="31"/>
      <c r="J48" s="35"/>
    </row>
    <row r="49" spans="1:10" x14ac:dyDescent="0.25">
      <c r="A49" s="10"/>
      <c r="B49" s="28"/>
      <c r="C49" s="58" t="s">
        <v>11</v>
      </c>
      <c r="D49" s="53"/>
      <c r="E49" s="6"/>
      <c r="F49" s="19"/>
      <c r="G49" s="24"/>
      <c r="H49" s="24"/>
      <c r="I49" s="31"/>
      <c r="J49" s="35"/>
    </row>
    <row r="50" spans="1:10" x14ac:dyDescent="0.25">
      <c r="A50" s="28"/>
      <c r="B50" s="28"/>
      <c r="C50" s="58" t="s">
        <v>13</v>
      </c>
      <c r="D50" s="53"/>
      <c r="E50" s="6"/>
      <c r="F50" s="19"/>
      <c r="G50" s="24" t="s">
        <v>2</v>
      </c>
      <c r="H50" s="24" t="s">
        <v>2</v>
      </c>
      <c r="I50" s="31"/>
      <c r="J50" s="35"/>
    </row>
    <row r="51" spans="1:10" x14ac:dyDescent="0.25">
      <c r="A51" s="28"/>
      <c r="B51" s="28"/>
      <c r="C51" s="58"/>
      <c r="D51" s="53"/>
      <c r="E51" s="6"/>
      <c r="F51" s="19"/>
      <c r="G51" s="24"/>
      <c r="H51" s="24"/>
      <c r="I51" s="31"/>
      <c r="J51" s="35"/>
    </row>
    <row r="52" spans="1:10" x14ac:dyDescent="0.25">
      <c r="C52" s="59" t="s">
        <v>14</v>
      </c>
      <c r="D52" s="53"/>
      <c r="E52" s="6"/>
      <c r="F52" s="19"/>
      <c r="G52" s="24"/>
      <c r="H52" s="24"/>
      <c r="I52" s="31"/>
      <c r="J52" s="35"/>
    </row>
    <row r="53" spans="1:10" x14ac:dyDescent="0.25">
      <c r="B53" s="8" t="s">
        <v>1225</v>
      </c>
      <c r="C53" s="56" t="s">
        <v>818</v>
      </c>
      <c r="D53" s="53" t="s">
        <v>1226</v>
      </c>
      <c r="E53" s="6" t="s">
        <v>1000</v>
      </c>
      <c r="F53" s="19">
        <v>1000</v>
      </c>
      <c r="G53" s="24">
        <v>984.92</v>
      </c>
      <c r="H53" s="24">
        <v>2.48</v>
      </c>
      <c r="I53" s="31">
        <v>3.5150000000000001</v>
      </c>
      <c r="J53" s="35" t="s">
        <v>514</v>
      </c>
    </row>
    <row r="54" spans="1:10" x14ac:dyDescent="0.25">
      <c r="B54" s="8" t="s">
        <v>2480</v>
      </c>
      <c r="C54" s="56" t="s">
        <v>872</v>
      </c>
      <c r="D54" s="53" t="s">
        <v>2481</v>
      </c>
      <c r="E54" s="6" t="s">
        <v>992</v>
      </c>
      <c r="F54" s="19">
        <v>900</v>
      </c>
      <c r="G54" s="24">
        <v>889.42</v>
      </c>
      <c r="H54" s="24">
        <v>2.2400000000000002</v>
      </c>
      <c r="I54" s="31">
        <v>4.2149999999999999</v>
      </c>
      <c r="J54" s="35" t="s">
        <v>514</v>
      </c>
    </row>
    <row r="55" spans="1:10" x14ac:dyDescent="0.25">
      <c r="B55" s="8" t="s">
        <v>2478</v>
      </c>
      <c r="C55" s="56" t="s">
        <v>818</v>
      </c>
      <c r="D55" s="53" t="s">
        <v>2479</v>
      </c>
      <c r="E55" s="6" t="s">
        <v>1000</v>
      </c>
      <c r="F55" s="19">
        <v>300</v>
      </c>
      <c r="G55" s="24">
        <v>293.62</v>
      </c>
      <c r="H55" s="24">
        <v>0.74</v>
      </c>
      <c r="I55" s="31">
        <v>3.83</v>
      </c>
      <c r="J55" s="35" t="s">
        <v>514</v>
      </c>
    </row>
    <row r="56" spans="1:10" x14ac:dyDescent="0.25">
      <c r="B56" s="8" t="s">
        <v>1232</v>
      </c>
      <c r="C56" s="56" t="s">
        <v>818</v>
      </c>
      <c r="D56" s="53" t="s">
        <v>1233</v>
      </c>
      <c r="E56" s="6" t="s">
        <v>1000</v>
      </c>
      <c r="F56" s="19">
        <v>200</v>
      </c>
      <c r="G56" s="24">
        <v>194.61</v>
      </c>
      <c r="H56" s="24">
        <v>0.49</v>
      </c>
      <c r="I56" s="31">
        <v>3.83</v>
      </c>
      <c r="J56" s="35" t="s">
        <v>514</v>
      </c>
    </row>
    <row r="57" spans="1:10" x14ac:dyDescent="0.25">
      <c r="C57" s="57" t="s">
        <v>35</v>
      </c>
      <c r="D57" s="53"/>
      <c r="E57" s="6"/>
      <c r="F57" s="19"/>
      <c r="G57" s="25">
        <v>2362.5700000000002</v>
      </c>
      <c r="H57" s="25">
        <v>5.95</v>
      </c>
      <c r="I57" s="31"/>
      <c r="J57" s="35"/>
    </row>
    <row r="58" spans="1:10" x14ac:dyDescent="0.25">
      <c r="C58" s="56"/>
      <c r="D58" s="53"/>
      <c r="E58" s="6"/>
      <c r="F58" s="19"/>
      <c r="G58" s="24"/>
      <c r="H58" s="24"/>
      <c r="I58" s="31"/>
      <c r="J58" s="35"/>
    </row>
    <row r="59" spans="1:10" x14ac:dyDescent="0.25">
      <c r="C59" s="59" t="s">
        <v>15</v>
      </c>
      <c r="D59" s="53"/>
      <c r="E59" s="6"/>
      <c r="F59" s="19"/>
      <c r="G59" s="24"/>
      <c r="H59" s="24"/>
      <c r="I59" s="31"/>
      <c r="J59" s="35"/>
    </row>
    <row r="60" spans="1:10" x14ac:dyDescent="0.25">
      <c r="B60" s="8" t="s">
        <v>2599</v>
      </c>
      <c r="C60" s="56" t="s">
        <v>2600</v>
      </c>
      <c r="D60" s="53" t="s">
        <v>2601</v>
      </c>
      <c r="E60" s="6" t="s">
        <v>655</v>
      </c>
      <c r="F60" s="19">
        <v>150000</v>
      </c>
      <c r="G60" s="24">
        <v>144.93</v>
      </c>
      <c r="H60" s="24">
        <v>0.37</v>
      </c>
      <c r="I60" s="31">
        <v>3.65</v>
      </c>
      <c r="J60" s="35"/>
    </row>
    <row r="61" spans="1:10" x14ac:dyDescent="0.25">
      <c r="C61" s="57" t="s">
        <v>35</v>
      </c>
      <c r="D61" s="53"/>
      <c r="E61" s="6"/>
      <c r="F61" s="19"/>
      <c r="G61" s="25">
        <v>144.93</v>
      </c>
      <c r="H61" s="25">
        <v>0.37</v>
      </c>
      <c r="I61" s="31"/>
      <c r="J61" s="35"/>
    </row>
    <row r="62" spans="1:10" x14ac:dyDescent="0.25">
      <c r="C62" s="56"/>
      <c r="D62" s="53"/>
      <c r="E62" s="6"/>
      <c r="F62" s="19"/>
      <c r="G62" s="24"/>
      <c r="H62" s="24"/>
      <c r="I62" s="31"/>
      <c r="J62" s="35"/>
    </row>
    <row r="63" spans="1:10" x14ac:dyDescent="0.25">
      <c r="C63" s="57" t="s">
        <v>16</v>
      </c>
      <c r="D63" s="53"/>
      <c r="E63" s="6"/>
      <c r="F63" s="19"/>
      <c r="G63" s="24" t="s">
        <v>2</v>
      </c>
      <c r="H63" s="24" t="s">
        <v>2</v>
      </c>
      <c r="I63" s="31"/>
      <c r="J63" s="35"/>
    </row>
    <row r="64" spans="1:10" x14ac:dyDescent="0.25">
      <c r="C64" s="56"/>
      <c r="D64" s="53"/>
      <c r="E64" s="6"/>
      <c r="F64" s="19"/>
      <c r="G64" s="24"/>
      <c r="H64" s="24"/>
      <c r="I64" s="31"/>
      <c r="J64" s="35"/>
    </row>
    <row r="65" spans="1:10" x14ac:dyDescent="0.25">
      <c r="A65" s="10"/>
      <c r="B65" s="28"/>
      <c r="C65" s="58" t="s">
        <v>17</v>
      </c>
      <c r="D65" s="53"/>
      <c r="E65" s="6"/>
      <c r="F65" s="19"/>
      <c r="G65" s="24"/>
      <c r="H65" s="24"/>
      <c r="I65" s="31"/>
      <c r="J65" s="35"/>
    </row>
    <row r="66" spans="1:10" x14ac:dyDescent="0.25">
      <c r="A66" s="28"/>
      <c r="B66" s="28"/>
      <c r="C66" s="58" t="s">
        <v>18</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19</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A70" s="28"/>
      <c r="B70" s="28"/>
      <c r="C70" s="58" t="s">
        <v>20</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21</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C74" s="59" t="s">
        <v>22</v>
      </c>
      <c r="D74" s="53"/>
      <c r="E74" s="6"/>
      <c r="F74" s="19"/>
      <c r="G74" s="24"/>
      <c r="H74" s="24"/>
      <c r="I74" s="31"/>
      <c r="J74" s="35"/>
    </row>
    <row r="75" spans="1:10" x14ac:dyDescent="0.25">
      <c r="B75" s="8" t="s">
        <v>33</v>
      </c>
      <c r="C75" s="56" t="s">
        <v>34</v>
      </c>
      <c r="D75" s="53"/>
      <c r="E75" s="6"/>
      <c r="F75" s="19"/>
      <c r="G75" s="24">
        <v>240.09</v>
      </c>
      <c r="H75" s="24">
        <v>0.61</v>
      </c>
      <c r="I75" s="31"/>
      <c r="J75" s="35"/>
    </row>
    <row r="76" spans="1:10" x14ac:dyDescent="0.25">
      <c r="C76" s="57" t="s">
        <v>35</v>
      </c>
      <c r="D76" s="53"/>
      <c r="E76" s="6"/>
      <c r="F76" s="19"/>
      <c r="G76" s="25">
        <v>240.09</v>
      </c>
      <c r="H76" s="25">
        <v>0.61</v>
      </c>
      <c r="I76" s="31"/>
      <c r="J76" s="35"/>
    </row>
    <row r="77" spans="1:10" x14ac:dyDescent="0.25">
      <c r="C77" s="56"/>
      <c r="D77" s="53"/>
      <c r="E77" s="6"/>
      <c r="F77" s="19"/>
      <c r="G77" s="24"/>
      <c r="H77" s="24"/>
      <c r="I77" s="31"/>
      <c r="J77" s="35"/>
    </row>
    <row r="78" spans="1:10" x14ac:dyDescent="0.25">
      <c r="A78" s="10"/>
      <c r="B78" s="28"/>
      <c r="C78" s="58" t="s">
        <v>23</v>
      </c>
      <c r="D78" s="53"/>
      <c r="E78" s="6"/>
      <c r="F78" s="19"/>
      <c r="G78" s="24"/>
      <c r="H78" s="24"/>
      <c r="I78" s="31"/>
      <c r="J78" s="35"/>
    </row>
    <row r="79" spans="1:10" x14ac:dyDescent="0.25">
      <c r="A79" s="28"/>
      <c r="B79" s="28"/>
      <c r="C79" s="60" t="s">
        <v>3398</v>
      </c>
      <c r="D79" s="53"/>
      <c r="E79" s="6"/>
      <c r="F79" s="19"/>
      <c r="G79" s="24" t="s">
        <v>2</v>
      </c>
      <c r="H79" s="24" t="s">
        <v>2</v>
      </c>
      <c r="I79" s="31"/>
      <c r="J79" s="35"/>
    </row>
    <row r="80" spans="1:10" x14ac:dyDescent="0.25">
      <c r="B80" s="8"/>
      <c r="C80" s="56" t="s">
        <v>36</v>
      </c>
      <c r="D80" s="53"/>
      <c r="E80" s="6"/>
      <c r="F80" s="19"/>
      <c r="G80" s="24">
        <v>1437.12</v>
      </c>
      <c r="H80" s="24">
        <v>3.6100000000000003</v>
      </c>
      <c r="I80" s="31"/>
      <c r="J80" s="35"/>
    </row>
    <row r="81" spans="3:10" x14ac:dyDescent="0.25">
      <c r="C81" s="57" t="s">
        <v>35</v>
      </c>
      <c r="D81" s="53"/>
      <c r="E81" s="6"/>
      <c r="F81" s="19"/>
      <c r="G81" s="25">
        <v>1437.12</v>
      </c>
      <c r="H81" s="25">
        <v>3.6100000000000003</v>
      </c>
      <c r="I81" s="31"/>
      <c r="J81" s="35"/>
    </row>
    <row r="82" spans="3:10" x14ac:dyDescent="0.25">
      <c r="C82" s="56"/>
      <c r="D82" s="53"/>
      <c r="E82" s="6"/>
      <c r="F82" s="19"/>
      <c r="G82" s="24"/>
      <c r="H82" s="24"/>
      <c r="I82" s="31"/>
      <c r="J82" s="35"/>
    </row>
    <row r="83" spans="3:10" x14ac:dyDescent="0.25">
      <c r="C83" s="61" t="s">
        <v>37</v>
      </c>
      <c r="D83" s="54"/>
      <c r="E83" s="5"/>
      <c r="F83" s="20"/>
      <c r="G83" s="26">
        <v>39676.83</v>
      </c>
      <c r="H83" s="26">
        <f>SUMIFS(H:H,C:C,"Total")</f>
        <v>100</v>
      </c>
      <c r="I83" s="32"/>
      <c r="J83" s="36"/>
    </row>
    <row r="86" spans="3:10" x14ac:dyDescent="0.25">
      <c r="C86" s="1" t="s">
        <v>38</v>
      </c>
    </row>
    <row r="87" spans="3:10" x14ac:dyDescent="0.25">
      <c r="C87" s="2" t="s">
        <v>39</v>
      </c>
    </row>
    <row r="88" spans="3:10" x14ac:dyDescent="0.25">
      <c r="C88" s="2" t="s">
        <v>40</v>
      </c>
    </row>
    <row r="89" spans="3:10" x14ac:dyDescent="0.25">
      <c r="C89" s="2" t="s">
        <v>3430</v>
      </c>
    </row>
  </sheetData>
  <hyperlinks>
    <hyperlink ref="J2" location="'Index'!A1" display="'Index'!A1"/>
  </hyperlinks>
  <pageMargins left="0.7" right="0.7" top="0.75" bottom="0.75" header="0.3" footer="0.3"/>
  <pageSetup orientation="portrait" horizontalDpi="4294967293"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6"/>
  <dimension ref="A1:J8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2704</v>
      </c>
      <c r="J2" s="37" t="s">
        <v>3307</v>
      </c>
    </row>
    <row r="3" spans="1:10" ht="16.5" x14ac:dyDescent="0.3">
      <c r="C3" s="1" t="s">
        <v>24</v>
      </c>
      <c r="D3" s="21" t="s">
        <v>2705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2696</v>
      </c>
      <c r="C18" s="56" t="s">
        <v>2282</v>
      </c>
      <c r="D18" s="53" t="s">
        <v>2697</v>
      </c>
      <c r="E18" s="6" t="s">
        <v>534</v>
      </c>
      <c r="F18" s="19">
        <v>100</v>
      </c>
      <c r="G18" s="24">
        <v>1246.69</v>
      </c>
      <c r="H18" s="24">
        <v>9.36</v>
      </c>
      <c r="I18" s="31">
        <v>6.1665000000000001</v>
      </c>
      <c r="J18" s="35" t="s">
        <v>514</v>
      </c>
    </row>
    <row r="19" spans="2:10" x14ac:dyDescent="0.25">
      <c r="B19" s="8" t="s">
        <v>2668</v>
      </c>
      <c r="C19" s="56" t="s">
        <v>1935</v>
      </c>
      <c r="D19" s="53" t="s">
        <v>2669</v>
      </c>
      <c r="E19" s="6" t="s">
        <v>534</v>
      </c>
      <c r="F19" s="19">
        <v>126</v>
      </c>
      <c r="G19" s="24">
        <v>1167.18</v>
      </c>
      <c r="H19" s="24">
        <v>8.76</v>
      </c>
      <c r="I19" s="31">
        <v>5.2</v>
      </c>
      <c r="J19" s="35" t="s">
        <v>514</v>
      </c>
    </row>
    <row r="20" spans="2:10" x14ac:dyDescent="0.25">
      <c r="B20" s="8" t="s">
        <v>2698</v>
      </c>
      <c r="C20" s="56" t="s">
        <v>1130</v>
      </c>
      <c r="D20" s="53" t="s">
        <v>2699</v>
      </c>
      <c r="E20" s="6" t="s">
        <v>911</v>
      </c>
      <c r="F20" s="19">
        <v>110</v>
      </c>
      <c r="G20" s="24">
        <v>1157.22</v>
      </c>
      <c r="H20" s="24">
        <v>8.69</v>
      </c>
      <c r="I20" s="31">
        <v>4.6448999999999998</v>
      </c>
      <c r="J20" s="35" t="s">
        <v>514</v>
      </c>
    </row>
    <row r="21" spans="2:10" x14ac:dyDescent="0.25">
      <c r="B21" s="8" t="s">
        <v>2640</v>
      </c>
      <c r="C21" s="56" t="s">
        <v>2641</v>
      </c>
      <c r="D21" s="53" t="s">
        <v>2642</v>
      </c>
      <c r="E21" s="6" t="s">
        <v>2643</v>
      </c>
      <c r="F21" s="19">
        <v>100</v>
      </c>
      <c r="G21" s="24">
        <v>1073.94</v>
      </c>
      <c r="H21" s="24">
        <v>8.06</v>
      </c>
      <c r="I21" s="31">
        <v>4.4598000000000004</v>
      </c>
      <c r="J21" s="35" t="s">
        <v>514</v>
      </c>
    </row>
    <row r="22" spans="2:10" x14ac:dyDescent="0.25">
      <c r="B22" s="8" t="s">
        <v>2672</v>
      </c>
      <c r="C22" s="56" t="s">
        <v>953</v>
      </c>
      <c r="D22" s="53" t="s">
        <v>2673</v>
      </c>
      <c r="E22" s="6" t="s">
        <v>534</v>
      </c>
      <c r="F22" s="19">
        <v>100</v>
      </c>
      <c r="G22" s="24">
        <v>1061.26</v>
      </c>
      <c r="H22" s="24">
        <v>7.97</v>
      </c>
      <c r="I22" s="31">
        <v>5.6322999999999999</v>
      </c>
      <c r="J22" s="35" t="s">
        <v>514</v>
      </c>
    </row>
    <row r="23" spans="2:10" x14ac:dyDescent="0.25">
      <c r="B23" s="8" t="s">
        <v>2636</v>
      </c>
      <c r="C23" s="56" t="s">
        <v>1752</v>
      </c>
      <c r="D23" s="53" t="s">
        <v>2637</v>
      </c>
      <c r="E23" s="6" t="s">
        <v>1314</v>
      </c>
      <c r="F23" s="19">
        <v>100</v>
      </c>
      <c r="G23" s="24">
        <v>1055.17</v>
      </c>
      <c r="H23" s="24">
        <v>7.92</v>
      </c>
      <c r="I23" s="31">
        <v>4.375</v>
      </c>
      <c r="J23" s="35" t="s">
        <v>514</v>
      </c>
    </row>
    <row r="24" spans="2:10" x14ac:dyDescent="0.25">
      <c r="B24" s="8" t="s">
        <v>1394</v>
      </c>
      <c r="C24" s="56" t="s">
        <v>909</v>
      </c>
      <c r="D24" s="53" t="s">
        <v>1395</v>
      </c>
      <c r="E24" s="6" t="s">
        <v>534</v>
      </c>
      <c r="F24" s="19">
        <v>100</v>
      </c>
      <c r="G24" s="24">
        <v>1052.31</v>
      </c>
      <c r="H24" s="24">
        <v>7.9</v>
      </c>
      <c r="I24" s="31">
        <v>4.4400000000000004</v>
      </c>
      <c r="J24" s="35" t="s">
        <v>514</v>
      </c>
    </row>
    <row r="25" spans="2:10" x14ac:dyDescent="0.25">
      <c r="B25" s="8" t="s">
        <v>2654</v>
      </c>
      <c r="C25" s="56" t="s">
        <v>2655</v>
      </c>
      <c r="D25" s="53" t="s">
        <v>2656</v>
      </c>
      <c r="E25" s="6" t="s">
        <v>534</v>
      </c>
      <c r="F25" s="19">
        <v>100</v>
      </c>
      <c r="G25" s="24">
        <v>1044.6500000000001</v>
      </c>
      <c r="H25" s="24">
        <v>7.84</v>
      </c>
      <c r="I25" s="31">
        <v>4.3499999999999996</v>
      </c>
      <c r="J25" s="35"/>
    </row>
    <row r="26" spans="2:10" x14ac:dyDescent="0.25">
      <c r="B26" s="8" t="s">
        <v>1328</v>
      </c>
      <c r="C26" s="56" t="s">
        <v>1329</v>
      </c>
      <c r="D26" s="53" t="s">
        <v>1330</v>
      </c>
      <c r="E26" s="6" t="s">
        <v>911</v>
      </c>
      <c r="F26" s="19">
        <v>50</v>
      </c>
      <c r="G26" s="24">
        <v>613.80999999999995</v>
      </c>
      <c r="H26" s="24">
        <v>4.6100000000000003</v>
      </c>
      <c r="I26" s="31">
        <v>6.1849999999999996</v>
      </c>
      <c r="J26" s="35" t="s">
        <v>514</v>
      </c>
    </row>
    <row r="27" spans="2:10" x14ac:dyDescent="0.25">
      <c r="B27" s="8" t="s">
        <v>1884</v>
      </c>
      <c r="C27" s="56" t="s">
        <v>1376</v>
      </c>
      <c r="D27" s="53" t="s">
        <v>1885</v>
      </c>
      <c r="E27" s="6" t="s">
        <v>534</v>
      </c>
      <c r="F27" s="19">
        <v>50</v>
      </c>
      <c r="G27" s="24">
        <v>527.02</v>
      </c>
      <c r="H27" s="24">
        <v>3.96</v>
      </c>
      <c r="I27" s="31">
        <v>4.6833</v>
      </c>
      <c r="J27" s="35"/>
    </row>
    <row r="28" spans="2:10" x14ac:dyDescent="0.25">
      <c r="B28" s="8" t="s">
        <v>2688</v>
      </c>
      <c r="C28" s="56" t="s">
        <v>1376</v>
      </c>
      <c r="D28" s="53" t="s">
        <v>2689</v>
      </c>
      <c r="E28" s="6" t="s">
        <v>1383</v>
      </c>
      <c r="F28" s="19">
        <v>50</v>
      </c>
      <c r="G28" s="24">
        <v>524.64</v>
      </c>
      <c r="H28" s="24">
        <v>3.94</v>
      </c>
      <c r="I28" s="31">
        <v>4.6303000000000001</v>
      </c>
      <c r="J28" s="35" t="s">
        <v>514</v>
      </c>
    </row>
    <row r="29" spans="2:10" x14ac:dyDescent="0.25">
      <c r="B29" s="8" t="s">
        <v>2706</v>
      </c>
      <c r="C29" s="56" t="s">
        <v>854</v>
      </c>
      <c r="D29" s="53" t="s">
        <v>2707</v>
      </c>
      <c r="E29" s="6" t="s">
        <v>534</v>
      </c>
      <c r="F29" s="19">
        <v>50</v>
      </c>
      <c r="G29" s="24">
        <v>523.92999999999995</v>
      </c>
      <c r="H29" s="24">
        <v>3.93</v>
      </c>
      <c r="I29" s="31">
        <v>4.33</v>
      </c>
      <c r="J29" s="35" t="s">
        <v>514</v>
      </c>
    </row>
    <row r="30" spans="2:10" x14ac:dyDescent="0.25">
      <c r="B30" s="8" t="s">
        <v>2676</v>
      </c>
      <c r="C30" s="56" t="s">
        <v>1127</v>
      </c>
      <c r="D30" s="53" t="s">
        <v>2677</v>
      </c>
      <c r="E30" s="6" t="s">
        <v>1314</v>
      </c>
      <c r="F30" s="19">
        <v>50</v>
      </c>
      <c r="G30" s="24">
        <v>522.67999999999995</v>
      </c>
      <c r="H30" s="24">
        <v>3.93</v>
      </c>
      <c r="I30" s="31">
        <v>4.84</v>
      </c>
      <c r="J30" s="35" t="s">
        <v>514</v>
      </c>
    </row>
    <row r="31" spans="2:10" x14ac:dyDescent="0.25">
      <c r="B31" s="8" t="s">
        <v>2692</v>
      </c>
      <c r="C31" s="56" t="s">
        <v>2421</v>
      </c>
      <c r="D31" s="53" t="s">
        <v>2693</v>
      </c>
      <c r="E31" s="6" t="s">
        <v>534</v>
      </c>
      <c r="F31" s="19">
        <v>20</v>
      </c>
      <c r="G31" s="24">
        <v>248.54</v>
      </c>
      <c r="H31" s="24">
        <v>1.87</v>
      </c>
      <c r="I31" s="31">
        <v>5.23</v>
      </c>
      <c r="J31" s="35" t="s">
        <v>514</v>
      </c>
    </row>
    <row r="32" spans="2:10" x14ac:dyDescent="0.25">
      <c r="B32" s="8" t="s">
        <v>1776</v>
      </c>
      <c r="C32" s="56" t="s">
        <v>77</v>
      </c>
      <c r="D32" s="53" t="s">
        <v>1777</v>
      </c>
      <c r="E32" s="6" t="s">
        <v>534</v>
      </c>
      <c r="F32" s="19">
        <v>10</v>
      </c>
      <c r="G32" s="24">
        <v>104.61</v>
      </c>
      <c r="H32" s="24">
        <v>0.79</v>
      </c>
      <c r="I32" s="31">
        <v>4.6749999999999998</v>
      </c>
      <c r="J32" s="35" t="s">
        <v>514</v>
      </c>
    </row>
    <row r="33" spans="1:10" x14ac:dyDescent="0.25">
      <c r="C33" s="57" t="s">
        <v>35</v>
      </c>
      <c r="D33" s="53"/>
      <c r="E33" s="6"/>
      <c r="F33" s="19"/>
      <c r="G33" s="25">
        <v>11923.65</v>
      </c>
      <c r="H33" s="25">
        <v>89.53</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7" t="s">
        <v>10</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11</v>
      </c>
      <c r="D43" s="53"/>
      <c r="E43" s="6"/>
      <c r="F43" s="19"/>
      <c r="G43" s="24"/>
      <c r="H43" s="24"/>
      <c r="I43" s="31"/>
      <c r="J43" s="35"/>
    </row>
    <row r="44" spans="1:10" x14ac:dyDescent="0.25">
      <c r="A44" s="28"/>
      <c r="B44" s="28"/>
      <c r="C44" s="58" t="s">
        <v>13</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C46" s="59" t="s">
        <v>14</v>
      </c>
      <c r="D46" s="53"/>
      <c r="E46" s="6"/>
      <c r="F46" s="19"/>
      <c r="G46" s="24"/>
      <c r="H46" s="24"/>
      <c r="I46" s="31"/>
      <c r="J46" s="35"/>
    </row>
    <row r="47" spans="1:10" x14ac:dyDescent="0.25">
      <c r="B47" s="8" t="s">
        <v>1225</v>
      </c>
      <c r="C47" s="56" t="s">
        <v>818</v>
      </c>
      <c r="D47" s="53" t="s">
        <v>1226</v>
      </c>
      <c r="E47" s="6" t="s">
        <v>1000</v>
      </c>
      <c r="F47" s="19">
        <v>400</v>
      </c>
      <c r="G47" s="24">
        <v>393.97</v>
      </c>
      <c r="H47" s="24">
        <v>2.96</v>
      </c>
      <c r="I47" s="31">
        <v>3.5150000000000001</v>
      </c>
      <c r="J47" s="35" t="s">
        <v>514</v>
      </c>
    </row>
    <row r="48" spans="1:10" x14ac:dyDescent="0.25">
      <c r="B48" s="8" t="s">
        <v>2480</v>
      </c>
      <c r="C48" s="56" t="s">
        <v>872</v>
      </c>
      <c r="D48" s="53" t="s">
        <v>2481</v>
      </c>
      <c r="E48" s="6" t="s">
        <v>992</v>
      </c>
      <c r="F48" s="19">
        <v>200</v>
      </c>
      <c r="G48" s="24">
        <v>197.65</v>
      </c>
      <c r="H48" s="24">
        <v>1.48</v>
      </c>
      <c r="I48" s="31">
        <v>4.2149999999999999</v>
      </c>
      <c r="J48" s="35" t="s">
        <v>514</v>
      </c>
    </row>
    <row r="49" spans="1:10" x14ac:dyDescent="0.25">
      <c r="B49" s="8" t="s">
        <v>1250</v>
      </c>
      <c r="C49" s="56" t="s">
        <v>909</v>
      </c>
      <c r="D49" s="53" t="s">
        <v>1251</v>
      </c>
      <c r="E49" s="6" t="s">
        <v>992</v>
      </c>
      <c r="F49" s="19">
        <v>100</v>
      </c>
      <c r="G49" s="24">
        <v>98.93</v>
      </c>
      <c r="H49" s="24">
        <v>0.74</v>
      </c>
      <c r="I49" s="31">
        <v>3.5150999999999999</v>
      </c>
      <c r="J49" s="35" t="s">
        <v>514</v>
      </c>
    </row>
    <row r="50" spans="1:10" x14ac:dyDescent="0.25">
      <c r="B50" s="8" t="s">
        <v>1232</v>
      </c>
      <c r="C50" s="56" t="s">
        <v>818</v>
      </c>
      <c r="D50" s="53" t="s">
        <v>1233</v>
      </c>
      <c r="E50" s="6" t="s">
        <v>1000</v>
      </c>
      <c r="F50" s="19">
        <v>100</v>
      </c>
      <c r="G50" s="24">
        <v>97.3</v>
      </c>
      <c r="H50" s="24">
        <v>0.73</v>
      </c>
      <c r="I50" s="31">
        <v>3.83</v>
      </c>
      <c r="J50" s="35" t="s">
        <v>514</v>
      </c>
    </row>
    <row r="51" spans="1:10" x14ac:dyDescent="0.25">
      <c r="C51" s="57" t="s">
        <v>35</v>
      </c>
      <c r="D51" s="53"/>
      <c r="E51" s="6"/>
      <c r="F51" s="19"/>
      <c r="G51" s="25">
        <v>787.85</v>
      </c>
      <c r="H51" s="25">
        <v>5.91</v>
      </c>
      <c r="I51" s="31"/>
      <c r="J51" s="35"/>
    </row>
    <row r="52" spans="1:10" x14ac:dyDescent="0.25">
      <c r="C52" s="56"/>
      <c r="D52" s="53"/>
      <c r="E52" s="6"/>
      <c r="F52" s="19"/>
      <c r="G52" s="24"/>
      <c r="H52" s="24"/>
      <c r="I52" s="31"/>
      <c r="J52" s="35"/>
    </row>
    <row r="53" spans="1:10" x14ac:dyDescent="0.25">
      <c r="C53" s="57" t="s">
        <v>15</v>
      </c>
      <c r="D53" s="53"/>
      <c r="E53" s="6"/>
      <c r="F53" s="19"/>
      <c r="G53" s="24" t="s">
        <v>2</v>
      </c>
      <c r="H53" s="24" t="s">
        <v>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74.430000000000007</v>
      </c>
      <c r="H67" s="24">
        <v>0.56000000000000005</v>
      </c>
      <c r="I67" s="31"/>
      <c r="J67" s="35"/>
    </row>
    <row r="68" spans="1:10" x14ac:dyDescent="0.25">
      <c r="C68" s="57" t="s">
        <v>35</v>
      </c>
      <c r="D68" s="53"/>
      <c r="E68" s="6"/>
      <c r="F68" s="19"/>
      <c r="G68" s="25">
        <v>74.430000000000007</v>
      </c>
      <c r="H68" s="25">
        <v>0.56000000000000005</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530.66</v>
      </c>
      <c r="H72" s="24">
        <v>4</v>
      </c>
      <c r="I72" s="31"/>
      <c r="J72" s="35"/>
    </row>
    <row r="73" spans="1:10" x14ac:dyDescent="0.25">
      <c r="C73" s="57" t="s">
        <v>35</v>
      </c>
      <c r="D73" s="53"/>
      <c r="E73" s="6"/>
      <c r="F73" s="19"/>
      <c r="G73" s="25">
        <v>530.66</v>
      </c>
      <c r="H73" s="25">
        <v>4</v>
      </c>
      <c r="I73" s="31"/>
      <c r="J73" s="35"/>
    </row>
    <row r="74" spans="1:10" x14ac:dyDescent="0.25">
      <c r="C74" s="56"/>
      <c r="D74" s="53"/>
      <c r="E74" s="6"/>
      <c r="F74" s="19"/>
      <c r="G74" s="24"/>
      <c r="H74" s="24"/>
      <c r="I74" s="31"/>
      <c r="J74" s="35"/>
    </row>
    <row r="75" spans="1:10" x14ac:dyDescent="0.25">
      <c r="C75" s="61" t="s">
        <v>37</v>
      </c>
      <c r="D75" s="54"/>
      <c r="E75" s="5"/>
      <c r="F75" s="20"/>
      <c r="G75" s="26">
        <v>13316.59</v>
      </c>
      <c r="H75" s="26">
        <f>SUMIFS(H:H,C:C,"Total")</f>
        <v>100</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7"/>
  <dimension ref="A1:J8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2235</v>
      </c>
      <c r="J2" s="37" t="s">
        <v>3307</v>
      </c>
    </row>
    <row r="3" spans="1:10" ht="16.5" x14ac:dyDescent="0.3">
      <c r="C3" s="1" t="s">
        <v>24</v>
      </c>
      <c r="D3" s="21" t="s">
        <v>2708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2709</v>
      </c>
      <c r="C18" s="56" t="s">
        <v>2316</v>
      </c>
      <c r="D18" s="53" t="s">
        <v>2710</v>
      </c>
      <c r="E18" s="6" t="s">
        <v>534</v>
      </c>
      <c r="F18" s="19">
        <v>200</v>
      </c>
      <c r="G18" s="24">
        <v>2494.7399999999998</v>
      </c>
      <c r="H18" s="24">
        <v>9.92</v>
      </c>
      <c r="I18" s="31">
        <v>5.4550000000000001</v>
      </c>
      <c r="J18" s="35" t="s">
        <v>514</v>
      </c>
    </row>
    <row r="19" spans="2:10" x14ac:dyDescent="0.25">
      <c r="B19" s="8" t="s">
        <v>2702</v>
      </c>
      <c r="C19" s="56" t="s">
        <v>1143</v>
      </c>
      <c r="D19" s="53" t="s">
        <v>2703</v>
      </c>
      <c r="E19" s="6" t="s">
        <v>911</v>
      </c>
      <c r="F19" s="19">
        <v>200</v>
      </c>
      <c r="G19" s="24">
        <v>2137.39</v>
      </c>
      <c r="H19" s="24">
        <v>8.5</v>
      </c>
      <c r="I19" s="31">
        <v>5.5651999999999999</v>
      </c>
      <c r="J19" s="35" t="s">
        <v>514</v>
      </c>
    </row>
    <row r="20" spans="2:10" x14ac:dyDescent="0.25">
      <c r="B20" s="8" t="s">
        <v>2636</v>
      </c>
      <c r="C20" s="56" t="s">
        <v>1752</v>
      </c>
      <c r="D20" s="53" t="s">
        <v>2637</v>
      </c>
      <c r="E20" s="6" t="s">
        <v>1314</v>
      </c>
      <c r="F20" s="19">
        <v>200</v>
      </c>
      <c r="G20" s="24">
        <v>2110.35</v>
      </c>
      <c r="H20" s="24">
        <v>8.39</v>
      </c>
      <c r="I20" s="31">
        <v>4.375</v>
      </c>
      <c r="J20" s="35" t="s">
        <v>514</v>
      </c>
    </row>
    <row r="21" spans="2:10" x14ac:dyDescent="0.25">
      <c r="B21" s="8" t="s">
        <v>1884</v>
      </c>
      <c r="C21" s="56" t="s">
        <v>1376</v>
      </c>
      <c r="D21" s="53" t="s">
        <v>1885</v>
      </c>
      <c r="E21" s="6" t="s">
        <v>534</v>
      </c>
      <c r="F21" s="19">
        <v>200</v>
      </c>
      <c r="G21" s="24">
        <v>2108.1</v>
      </c>
      <c r="H21" s="24">
        <v>8.3800000000000008</v>
      </c>
      <c r="I21" s="31">
        <v>4.6833</v>
      </c>
      <c r="J21" s="35"/>
    </row>
    <row r="22" spans="2:10" x14ac:dyDescent="0.25">
      <c r="B22" s="8" t="s">
        <v>1394</v>
      </c>
      <c r="C22" s="56" t="s">
        <v>909</v>
      </c>
      <c r="D22" s="53" t="s">
        <v>1395</v>
      </c>
      <c r="E22" s="6" t="s">
        <v>534</v>
      </c>
      <c r="F22" s="19">
        <v>200</v>
      </c>
      <c r="G22" s="24">
        <v>2104.63</v>
      </c>
      <c r="H22" s="24">
        <v>8.3699999999999992</v>
      </c>
      <c r="I22" s="31">
        <v>4.4400000000000004</v>
      </c>
      <c r="J22" s="35" t="s">
        <v>514</v>
      </c>
    </row>
    <row r="23" spans="2:10" x14ac:dyDescent="0.25">
      <c r="B23" s="8" t="s">
        <v>2698</v>
      </c>
      <c r="C23" s="56" t="s">
        <v>1130</v>
      </c>
      <c r="D23" s="53" t="s">
        <v>2699</v>
      </c>
      <c r="E23" s="6" t="s">
        <v>911</v>
      </c>
      <c r="F23" s="19">
        <v>200</v>
      </c>
      <c r="G23" s="24">
        <v>2104.04</v>
      </c>
      <c r="H23" s="24">
        <v>8.3699999999999992</v>
      </c>
      <c r="I23" s="31">
        <v>4.6448999999999998</v>
      </c>
      <c r="J23" s="35" t="s">
        <v>514</v>
      </c>
    </row>
    <row r="24" spans="2:10" x14ac:dyDescent="0.25">
      <c r="B24" s="8" t="s">
        <v>1913</v>
      </c>
      <c r="C24" s="56" t="s">
        <v>601</v>
      </c>
      <c r="D24" s="53" t="s">
        <v>1914</v>
      </c>
      <c r="E24" s="6" t="s">
        <v>534</v>
      </c>
      <c r="F24" s="19">
        <v>200</v>
      </c>
      <c r="G24" s="24">
        <v>2060.06</v>
      </c>
      <c r="H24" s="24">
        <v>8.19</v>
      </c>
      <c r="I24" s="31">
        <v>4.26</v>
      </c>
      <c r="J24" s="35" t="s">
        <v>514</v>
      </c>
    </row>
    <row r="25" spans="2:10" x14ac:dyDescent="0.25">
      <c r="B25" s="8" t="s">
        <v>2640</v>
      </c>
      <c r="C25" s="56" t="s">
        <v>2641</v>
      </c>
      <c r="D25" s="53" t="s">
        <v>2642</v>
      </c>
      <c r="E25" s="6" t="s">
        <v>2643</v>
      </c>
      <c r="F25" s="19">
        <v>180</v>
      </c>
      <c r="G25" s="24">
        <v>1933.08</v>
      </c>
      <c r="H25" s="24">
        <v>7.69</v>
      </c>
      <c r="I25" s="31">
        <v>4.4598000000000004</v>
      </c>
      <c r="J25" s="35" t="s">
        <v>514</v>
      </c>
    </row>
    <row r="26" spans="2:10" x14ac:dyDescent="0.25">
      <c r="B26" s="8" t="s">
        <v>2668</v>
      </c>
      <c r="C26" s="56" t="s">
        <v>1935</v>
      </c>
      <c r="D26" s="53" t="s">
        <v>2669</v>
      </c>
      <c r="E26" s="6" t="s">
        <v>534</v>
      </c>
      <c r="F26" s="19">
        <v>177</v>
      </c>
      <c r="G26" s="24">
        <v>1639.6</v>
      </c>
      <c r="H26" s="24">
        <v>6.52</v>
      </c>
      <c r="I26" s="31">
        <v>5.2</v>
      </c>
      <c r="J26" s="35" t="s">
        <v>514</v>
      </c>
    </row>
    <row r="27" spans="2:10" x14ac:dyDescent="0.25">
      <c r="B27" s="8" t="s">
        <v>1328</v>
      </c>
      <c r="C27" s="56" t="s">
        <v>1329</v>
      </c>
      <c r="D27" s="53" t="s">
        <v>1330</v>
      </c>
      <c r="E27" s="6" t="s">
        <v>911</v>
      </c>
      <c r="F27" s="19">
        <v>100</v>
      </c>
      <c r="G27" s="24">
        <v>1227.6199999999999</v>
      </c>
      <c r="H27" s="24">
        <v>4.88</v>
      </c>
      <c r="I27" s="31">
        <v>6.1849999999999996</v>
      </c>
      <c r="J27" s="35" t="s">
        <v>514</v>
      </c>
    </row>
    <row r="28" spans="2:10" x14ac:dyDescent="0.25">
      <c r="B28" s="8" t="s">
        <v>2676</v>
      </c>
      <c r="C28" s="56" t="s">
        <v>1127</v>
      </c>
      <c r="D28" s="53" t="s">
        <v>2677</v>
      </c>
      <c r="E28" s="6" t="s">
        <v>1314</v>
      </c>
      <c r="F28" s="19">
        <v>100</v>
      </c>
      <c r="G28" s="24">
        <v>1045.3699999999999</v>
      </c>
      <c r="H28" s="24">
        <v>4.16</v>
      </c>
      <c r="I28" s="31">
        <v>4.84</v>
      </c>
      <c r="J28" s="35" t="s">
        <v>514</v>
      </c>
    </row>
    <row r="29" spans="2:10" x14ac:dyDescent="0.25">
      <c r="B29" s="8" t="s">
        <v>2674</v>
      </c>
      <c r="C29" s="56" t="s">
        <v>1344</v>
      </c>
      <c r="D29" s="53" t="s">
        <v>2675</v>
      </c>
      <c r="E29" s="6" t="s">
        <v>534</v>
      </c>
      <c r="F29" s="19">
        <v>67</v>
      </c>
      <c r="G29" s="24">
        <v>621.69000000000005</v>
      </c>
      <c r="H29" s="24">
        <v>2.4700000000000002</v>
      </c>
      <c r="I29" s="31">
        <v>5.1498999999999997</v>
      </c>
      <c r="J29" s="35" t="s">
        <v>514</v>
      </c>
    </row>
    <row r="30" spans="2:10" x14ac:dyDescent="0.25">
      <c r="B30" s="8" t="s">
        <v>2654</v>
      </c>
      <c r="C30" s="56" t="s">
        <v>2655</v>
      </c>
      <c r="D30" s="53" t="s">
        <v>2656</v>
      </c>
      <c r="E30" s="6" t="s">
        <v>534</v>
      </c>
      <c r="F30" s="19">
        <v>50</v>
      </c>
      <c r="G30" s="24">
        <v>522.32000000000005</v>
      </c>
      <c r="H30" s="24">
        <v>2.08</v>
      </c>
      <c r="I30" s="31">
        <v>4.3499999999999996</v>
      </c>
      <c r="J30" s="35"/>
    </row>
    <row r="31" spans="2:10" x14ac:dyDescent="0.25">
      <c r="B31" s="8" t="s">
        <v>1776</v>
      </c>
      <c r="C31" s="56" t="s">
        <v>77</v>
      </c>
      <c r="D31" s="53" t="s">
        <v>1777</v>
      </c>
      <c r="E31" s="6" t="s">
        <v>534</v>
      </c>
      <c r="F31" s="19">
        <v>20</v>
      </c>
      <c r="G31" s="24">
        <v>209.23</v>
      </c>
      <c r="H31" s="24">
        <v>0.83</v>
      </c>
      <c r="I31" s="31">
        <v>4.6749999999999998</v>
      </c>
      <c r="J31" s="35" t="s">
        <v>514</v>
      </c>
    </row>
    <row r="32" spans="2:10" x14ac:dyDescent="0.25">
      <c r="B32" s="8" t="s">
        <v>2711</v>
      </c>
      <c r="C32" s="56" t="s">
        <v>2712</v>
      </c>
      <c r="D32" s="53" t="s">
        <v>2713</v>
      </c>
      <c r="E32" s="6" t="s">
        <v>911</v>
      </c>
      <c r="F32" s="19">
        <v>10</v>
      </c>
      <c r="G32" s="24">
        <v>124.37</v>
      </c>
      <c r="H32" s="24">
        <v>0.49</v>
      </c>
      <c r="I32" s="31">
        <v>6.4748999999999999</v>
      </c>
      <c r="J32" s="35" t="s">
        <v>514</v>
      </c>
    </row>
    <row r="33" spans="1:10" x14ac:dyDescent="0.25">
      <c r="B33" s="8" t="s">
        <v>2678</v>
      </c>
      <c r="C33" s="56" t="s">
        <v>2655</v>
      </c>
      <c r="D33" s="53" t="s">
        <v>2679</v>
      </c>
      <c r="E33" s="6" t="s">
        <v>534</v>
      </c>
      <c r="F33" s="19">
        <v>10</v>
      </c>
      <c r="G33" s="24">
        <v>103.36</v>
      </c>
      <c r="H33" s="24">
        <v>0.41</v>
      </c>
      <c r="I33" s="31">
        <v>4.28</v>
      </c>
      <c r="J33" s="35" t="s">
        <v>514</v>
      </c>
    </row>
    <row r="34" spans="1:10" x14ac:dyDescent="0.25">
      <c r="C34" s="57" t="s">
        <v>35</v>
      </c>
      <c r="D34" s="53"/>
      <c r="E34" s="6"/>
      <c r="F34" s="19"/>
      <c r="G34" s="25">
        <v>22545.95</v>
      </c>
      <c r="H34" s="25">
        <v>89.65</v>
      </c>
      <c r="I34" s="31"/>
      <c r="J34" s="35"/>
    </row>
    <row r="35" spans="1:10" x14ac:dyDescent="0.25">
      <c r="C35" s="56"/>
      <c r="D35" s="53"/>
      <c r="E35" s="6"/>
      <c r="F35" s="19"/>
      <c r="G35" s="24"/>
      <c r="H35" s="24"/>
      <c r="I35" s="31"/>
      <c r="J35" s="35"/>
    </row>
    <row r="36" spans="1:10" x14ac:dyDescent="0.25">
      <c r="C36" s="57" t="s">
        <v>7</v>
      </c>
      <c r="D36" s="53"/>
      <c r="E36" s="6"/>
      <c r="F36" s="19"/>
      <c r="G36" s="24" t="s">
        <v>2</v>
      </c>
      <c r="H36" s="24" t="s">
        <v>2</v>
      </c>
      <c r="I36" s="31"/>
      <c r="J36" s="35"/>
    </row>
    <row r="37" spans="1:10" x14ac:dyDescent="0.25">
      <c r="C37" s="56"/>
      <c r="D37" s="53"/>
      <c r="E37" s="6"/>
      <c r="F37" s="19"/>
      <c r="G37" s="24"/>
      <c r="H37" s="24"/>
      <c r="I37" s="31"/>
      <c r="J37" s="35"/>
    </row>
    <row r="38" spans="1:10" x14ac:dyDescent="0.25">
      <c r="C38" s="57" t="s">
        <v>8</v>
      </c>
      <c r="D38" s="53"/>
      <c r="E38" s="6"/>
      <c r="F38" s="19"/>
      <c r="G38" s="24" t="s">
        <v>2</v>
      </c>
      <c r="H38" s="24" t="s">
        <v>2</v>
      </c>
      <c r="I38" s="31"/>
      <c r="J38" s="35"/>
    </row>
    <row r="39" spans="1:10" x14ac:dyDescent="0.25">
      <c r="C39" s="56"/>
      <c r="D39" s="53"/>
      <c r="E39" s="6"/>
      <c r="F39" s="19"/>
      <c r="G39" s="24"/>
      <c r="H39" s="24"/>
      <c r="I39" s="31"/>
      <c r="J39" s="35"/>
    </row>
    <row r="40" spans="1:10" x14ac:dyDescent="0.25">
      <c r="C40" s="57" t="s">
        <v>9</v>
      </c>
      <c r="D40" s="53"/>
      <c r="E40" s="6"/>
      <c r="F40" s="19"/>
      <c r="G40" s="24" t="s">
        <v>2</v>
      </c>
      <c r="H40" s="24" t="s">
        <v>2</v>
      </c>
      <c r="I40" s="31"/>
      <c r="J40" s="35"/>
    </row>
    <row r="41" spans="1:10" x14ac:dyDescent="0.25">
      <c r="C41" s="56"/>
      <c r="D41" s="53"/>
      <c r="E41" s="6"/>
      <c r="F41" s="19"/>
      <c r="G41" s="24"/>
      <c r="H41" s="24"/>
      <c r="I41" s="31"/>
      <c r="J41" s="35"/>
    </row>
    <row r="42" spans="1:10" x14ac:dyDescent="0.25">
      <c r="C42" s="57" t="s">
        <v>10</v>
      </c>
      <c r="D42" s="53"/>
      <c r="E42" s="6"/>
      <c r="F42" s="19"/>
      <c r="G42" s="24" t="s">
        <v>2</v>
      </c>
      <c r="H42" s="24" t="s">
        <v>2</v>
      </c>
      <c r="I42" s="31"/>
      <c r="J42" s="35"/>
    </row>
    <row r="43" spans="1:10" x14ac:dyDescent="0.25">
      <c r="C43" s="56"/>
      <c r="D43" s="53"/>
      <c r="E43" s="6"/>
      <c r="F43" s="19"/>
      <c r="G43" s="24"/>
      <c r="H43" s="24"/>
      <c r="I43" s="31"/>
      <c r="J43" s="35"/>
    </row>
    <row r="44" spans="1:10" x14ac:dyDescent="0.25">
      <c r="A44" s="10"/>
      <c r="B44" s="28"/>
      <c r="C44" s="58" t="s">
        <v>11</v>
      </c>
      <c r="D44" s="53"/>
      <c r="E44" s="6"/>
      <c r="F44" s="19"/>
      <c r="G44" s="24"/>
      <c r="H44" s="24"/>
      <c r="I44" s="31"/>
      <c r="J44" s="35"/>
    </row>
    <row r="45" spans="1:10" x14ac:dyDescent="0.25">
      <c r="A45" s="28"/>
      <c r="B45" s="28"/>
      <c r="C45" s="58" t="s">
        <v>13</v>
      </c>
      <c r="D45" s="53"/>
      <c r="E45" s="6"/>
      <c r="F45" s="19"/>
      <c r="G45" s="24" t="s">
        <v>2</v>
      </c>
      <c r="H45" s="24" t="s">
        <v>2</v>
      </c>
      <c r="I45" s="31"/>
      <c r="J45" s="35"/>
    </row>
    <row r="46" spans="1:10" x14ac:dyDescent="0.25">
      <c r="A46" s="28"/>
      <c r="B46" s="28"/>
      <c r="C46" s="58"/>
      <c r="D46" s="53"/>
      <c r="E46" s="6"/>
      <c r="F46" s="19"/>
      <c r="G46" s="24"/>
      <c r="H46" s="24"/>
      <c r="I46" s="31"/>
      <c r="J46" s="35"/>
    </row>
    <row r="47" spans="1:10" x14ac:dyDescent="0.25">
      <c r="C47" s="59" t="s">
        <v>14</v>
      </c>
      <c r="D47" s="53"/>
      <c r="E47" s="6"/>
      <c r="F47" s="19"/>
      <c r="G47" s="24"/>
      <c r="H47" s="24"/>
      <c r="I47" s="31"/>
      <c r="J47" s="35"/>
    </row>
    <row r="48" spans="1:10" x14ac:dyDescent="0.25">
      <c r="B48" s="8" t="s">
        <v>2480</v>
      </c>
      <c r="C48" s="56" t="s">
        <v>872</v>
      </c>
      <c r="D48" s="53" t="s">
        <v>2481</v>
      </c>
      <c r="E48" s="6" t="s">
        <v>992</v>
      </c>
      <c r="F48" s="19">
        <v>700</v>
      </c>
      <c r="G48" s="24">
        <v>691.77</v>
      </c>
      <c r="H48" s="24">
        <v>2.75</v>
      </c>
      <c r="I48" s="31">
        <v>4.2149999999999999</v>
      </c>
      <c r="J48" s="35" t="s">
        <v>514</v>
      </c>
    </row>
    <row r="49" spans="1:10" x14ac:dyDescent="0.25">
      <c r="B49" s="8" t="s">
        <v>1225</v>
      </c>
      <c r="C49" s="56" t="s">
        <v>818</v>
      </c>
      <c r="D49" s="53" t="s">
        <v>1226</v>
      </c>
      <c r="E49" s="6" t="s">
        <v>1000</v>
      </c>
      <c r="F49" s="19">
        <v>600</v>
      </c>
      <c r="G49" s="24">
        <v>590.95000000000005</v>
      </c>
      <c r="H49" s="24">
        <v>2.35</v>
      </c>
      <c r="I49" s="31">
        <v>3.5150000000000001</v>
      </c>
      <c r="J49" s="35" t="s">
        <v>514</v>
      </c>
    </row>
    <row r="50" spans="1:10" x14ac:dyDescent="0.25">
      <c r="B50" s="8" t="s">
        <v>1232</v>
      </c>
      <c r="C50" s="56" t="s">
        <v>818</v>
      </c>
      <c r="D50" s="53" t="s">
        <v>1233</v>
      </c>
      <c r="E50" s="6" t="s">
        <v>1000</v>
      </c>
      <c r="F50" s="19">
        <v>100</v>
      </c>
      <c r="G50" s="24">
        <v>97.3</v>
      </c>
      <c r="H50" s="24">
        <v>0.39</v>
      </c>
      <c r="I50" s="31">
        <v>3.83</v>
      </c>
      <c r="J50" s="35" t="s">
        <v>514</v>
      </c>
    </row>
    <row r="51" spans="1:10" x14ac:dyDescent="0.25">
      <c r="C51" s="57" t="s">
        <v>35</v>
      </c>
      <c r="D51" s="53"/>
      <c r="E51" s="6"/>
      <c r="F51" s="19"/>
      <c r="G51" s="25">
        <v>1380.02</v>
      </c>
      <c r="H51" s="25">
        <v>5.49</v>
      </c>
      <c r="I51" s="31"/>
      <c r="J51" s="35"/>
    </row>
    <row r="52" spans="1:10" x14ac:dyDescent="0.25">
      <c r="C52" s="56"/>
      <c r="D52" s="53"/>
      <c r="E52" s="6"/>
      <c r="F52" s="19"/>
      <c r="G52" s="24"/>
      <c r="H52" s="24"/>
      <c r="I52" s="31"/>
      <c r="J52" s="35"/>
    </row>
    <row r="53" spans="1:10" x14ac:dyDescent="0.25">
      <c r="C53" s="57" t="s">
        <v>15</v>
      </c>
      <c r="D53" s="53"/>
      <c r="E53" s="6"/>
      <c r="F53" s="19"/>
      <c r="G53" s="24" t="s">
        <v>2</v>
      </c>
      <c r="H53" s="24" t="s">
        <v>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283.77999999999997</v>
      </c>
      <c r="H67" s="24">
        <v>1.1299999999999999</v>
      </c>
      <c r="I67" s="31"/>
      <c r="J67" s="35"/>
    </row>
    <row r="68" spans="1:10" x14ac:dyDescent="0.25">
      <c r="C68" s="57" t="s">
        <v>35</v>
      </c>
      <c r="D68" s="53"/>
      <c r="E68" s="6"/>
      <c r="F68" s="19"/>
      <c r="G68" s="25">
        <v>283.77999999999997</v>
      </c>
      <c r="H68" s="25">
        <v>1.1299999999999999</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938.16</v>
      </c>
      <c r="H72" s="24">
        <v>3.73</v>
      </c>
      <c r="I72" s="31"/>
      <c r="J72" s="35"/>
    </row>
    <row r="73" spans="1:10" x14ac:dyDescent="0.25">
      <c r="C73" s="57" t="s">
        <v>35</v>
      </c>
      <c r="D73" s="53"/>
      <c r="E73" s="6"/>
      <c r="F73" s="19"/>
      <c r="G73" s="25">
        <v>938.16</v>
      </c>
      <c r="H73" s="25">
        <v>3.73</v>
      </c>
      <c r="I73" s="31"/>
      <c r="J73" s="35"/>
    </row>
    <row r="74" spans="1:10" x14ac:dyDescent="0.25">
      <c r="C74" s="56"/>
      <c r="D74" s="53"/>
      <c r="E74" s="6"/>
      <c r="F74" s="19"/>
      <c r="G74" s="24"/>
      <c r="H74" s="24"/>
      <c r="I74" s="31"/>
      <c r="J74" s="35"/>
    </row>
    <row r="75" spans="1:10" x14ac:dyDescent="0.25">
      <c r="C75" s="61" t="s">
        <v>37</v>
      </c>
      <c r="D75" s="54"/>
      <c r="E75" s="5"/>
      <c r="F75" s="20"/>
      <c r="G75" s="26">
        <v>25147.91</v>
      </c>
      <c r="H75" s="26">
        <f>SUMIFS(H:H,C:C,"Total")</f>
        <v>100</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8"/>
  <dimension ref="A1:J8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2714</v>
      </c>
      <c r="J2" s="37" t="s">
        <v>3307</v>
      </c>
    </row>
    <row r="3" spans="1:10" ht="16.5" x14ac:dyDescent="0.3">
      <c r="C3" s="1" t="s">
        <v>24</v>
      </c>
      <c r="D3" s="21" t="s">
        <v>2715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2692</v>
      </c>
      <c r="C18" s="56" t="s">
        <v>2421</v>
      </c>
      <c r="D18" s="53" t="s">
        <v>2693</v>
      </c>
      <c r="E18" s="6" t="s">
        <v>534</v>
      </c>
      <c r="F18" s="19">
        <v>410</v>
      </c>
      <c r="G18" s="24">
        <v>5095.04</v>
      </c>
      <c r="H18" s="24">
        <v>10.039999999999999</v>
      </c>
      <c r="I18" s="31">
        <v>5.23</v>
      </c>
      <c r="J18" s="35" t="s">
        <v>514</v>
      </c>
    </row>
    <row r="19" spans="2:10" x14ac:dyDescent="0.25">
      <c r="B19" s="8" t="s">
        <v>2716</v>
      </c>
      <c r="C19" s="56" t="s">
        <v>1127</v>
      </c>
      <c r="D19" s="53" t="s">
        <v>2717</v>
      </c>
      <c r="E19" s="6" t="s">
        <v>534</v>
      </c>
      <c r="F19" s="19">
        <v>420</v>
      </c>
      <c r="G19" s="24">
        <v>5073.21</v>
      </c>
      <c r="H19" s="24">
        <v>9.99</v>
      </c>
      <c r="I19" s="31">
        <v>5.0199999999999996</v>
      </c>
      <c r="J19" s="35" t="s">
        <v>514</v>
      </c>
    </row>
    <row r="20" spans="2:10" x14ac:dyDescent="0.25">
      <c r="B20" s="8" t="s">
        <v>2709</v>
      </c>
      <c r="C20" s="56" t="s">
        <v>2316</v>
      </c>
      <c r="D20" s="53" t="s">
        <v>2710</v>
      </c>
      <c r="E20" s="6" t="s">
        <v>534</v>
      </c>
      <c r="F20" s="19">
        <v>400</v>
      </c>
      <c r="G20" s="24">
        <v>4989.47</v>
      </c>
      <c r="H20" s="24">
        <v>9.83</v>
      </c>
      <c r="I20" s="31">
        <v>5.4550000000000001</v>
      </c>
      <c r="J20" s="35" t="s">
        <v>514</v>
      </c>
    </row>
    <row r="21" spans="2:10" x14ac:dyDescent="0.25">
      <c r="B21" s="8" t="s">
        <v>2636</v>
      </c>
      <c r="C21" s="56" t="s">
        <v>1752</v>
      </c>
      <c r="D21" s="53" t="s">
        <v>2637</v>
      </c>
      <c r="E21" s="6" t="s">
        <v>1314</v>
      </c>
      <c r="F21" s="19">
        <v>400</v>
      </c>
      <c r="G21" s="24">
        <v>4220.7</v>
      </c>
      <c r="H21" s="24">
        <v>8.31</v>
      </c>
      <c r="I21" s="31">
        <v>4.375</v>
      </c>
      <c r="J21" s="35" t="s">
        <v>514</v>
      </c>
    </row>
    <row r="22" spans="2:10" x14ac:dyDescent="0.25">
      <c r="B22" s="8" t="s">
        <v>1394</v>
      </c>
      <c r="C22" s="56" t="s">
        <v>909</v>
      </c>
      <c r="D22" s="53" t="s">
        <v>1395</v>
      </c>
      <c r="E22" s="6" t="s">
        <v>534</v>
      </c>
      <c r="F22" s="19">
        <v>400</v>
      </c>
      <c r="G22" s="24">
        <v>4209.25</v>
      </c>
      <c r="H22" s="24">
        <v>8.2899999999999991</v>
      </c>
      <c r="I22" s="31">
        <v>4.4400000000000004</v>
      </c>
      <c r="J22" s="35" t="s">
        <v>514</v>
      </c>
    </row>
    <row r="23" spans="2:10" x14ac:dyDescent="0.25">
      <c r="B23" s="8" t="s">
        <v>2654</v>
      </c>
      <c r="C23" s="56" t="s">
        <v>2655</v>
      </c>
      <c r="D23" s="53" t="s">
        <v>2656</v>
      </c>
      <c r="E23" s="6" t="s">
        <v>534</v>
      </c>
      <c r="F23" s="19">
        <v>390</v>
      </c>
      <c r="G23" s="24">
        <v>4074.12</v>
      </c>
      <c r="H23" s="24">
        <v>8.02</v>
      </c>
      <c r="I23" s="31">
        <v>4.3499999999999996</v>
      </c>
      <c r="J23" s="35"/>
    </row>
    <row r="24" spans="2:10" x14ac:dyDescent="0.25">
      <c r="B24" s="8" t="s">
        <v>2652</v>
      </c>
      <c r="C24" s="56" t="s">
        <v>92</v>
      </c>
      <c r="D24" s="53" t="s">
        <v>2653</v>
      </c>
      <c r="E24" s="6" t="s">
        <v>534</v>
      </c>
      <c r="F24" s="19">
        <v>200</v>
      </c>
      <c r="G24" s="24">
        <v>2485.71</v>
      </c>
      <c r="H24" s="24">
        <v>4.9000000000000004</v>
      </c>
      <c r="I24" s="31">
        <v>5.25</v>
      </c>
      <c r="J24" s="35" t="s">
        <v>514</v>
      </c>
    </row>
    <row r="25" spans="2:10" x14ac:dyDescent="0.25">
      <c r="B25" s="8" t="s">
        <v>1699</v>
      </c>
      <c r="C25" s="56" t="s">
        <v>854</v>
      </c>
      <c r="D25" s="53" t="s">
        <v>1700</v>
      </c>
      <c r="E25" s="6" t="s">
        <v>534</v>
      </c>
      <c r="F25" s="19">
        <v>200</v>
      </c>
      <c r="G25" s="24">
        <v>2067.3200000000002</v>
      </c>
      <c r="H25" s="24">
        <v>4.07</v>
      </c>
      <c r="I25" s="31">
        <v>4.29</v>
      </c>
      <c r="J25" s="35" t="s">
        <v>514</v>
      </c>
    </row>
    <row r="26" spans="2:10" x14ac:dyDescent="0.25">
      <c r="B26" s="8" t="s">
        <v>2718</v>
      </c>
      <c r="C26" s="56" t="s">
        <v>854</v>
      </c>
      <c r="D26" s="53" t="s">
        <v>2719</v>
      </c>
      <c r="E26" s="6" t="s">
        <v>534</v>
      </c>
      <c r="F26" s="19">
        <v>120</v>
      </c>
      <c r="G26" s="24">
        <v>1587.15</v>
      </c>
      <c r="H26" s="24">
        <v>3.13</v>
      </c>
      <c r="I26" s="31">
        <v>4.29</v>
      </c>
      <c r="J26" s="35" t="s">
        <v>514</v>
      </c>
    </row>
    <row r="27" spans="2:10" x14ac:dyDescent="0.25">
      <c r="B27" s="8" t="s">
        <v>2720</v>
      </c>
      <c r="C27" s="56" t="s">
        <v>1230</v>
      </c>
      <c r="D27" s="53" t="s">
        <v>2721</v>
      </c>
      <c r="E27" s="6" t="s">
        <v>534</v>
      </c>
      <c r="F27" s="19">
        <v>50</v>
      </c>
      <c r="G27" s="24">
        <v>536.16999999999996</v>
      </c>
      <c r="H27" s="24">
        <v>1.06</v>
      </c>
      <c r="I27" s="31">
        <v>4.5048000000000004</v>
      </c>
      <c r="J27" s="35" t="s">
        <v>514</v>
      </c>
    </row>
    <row r="28" spans="2:10" x14ac:dyDescent="0.25">
      <c r="B28" s="8" t="s">
        <v>2722</v>
      </c>
      <c r="C28" s="56" t="s">
        <v>854</v>
      </c>
      <c r="D28" s="53" t="s">
        <v>2723</v>
      </c>
      <c r="E28" s="6" t="s">
        <v>534</v>
      </c>
      <c r="F28" s="19">
        <v>50</v>
      </c>
      <c r="G28" s="24">
        <v>531.04999999999995</v>
      </c>
      <c r="H28" s="24">
        <v>1.05</v>
      </c>
      <c r="I28" s="31">
        <v>4.3949999999999996</v>
      </c>
      <c r="J28" s="35" t="s">
        <v>514</v>
      </c>
    </row>
    <row r="29" spans="2:10" x14ac:dyDescent="0.25">
      <c r="C29" s="57" t="s">
        <v>35</v>
      </c>
      <c r="D29" s="53"/>
      <c r="E29" s="6"/>
      <c r="F29" s="19"/>
      <c r="G29" s="25">
        <v>34869.19</v>
      </c>
      <c r="H29" s="25">
        <v>68.69</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2724</v>
      </c>
      <c r="C38" s="56" t="s">
        <v>2725</v>
      </c>
      <c r="D38" s="53" t="s">
        <v>2726</v>
      </c>
      <c r="E38" s="6" t="s">
        <v>655</v>
      </c>
      <c r="F38" s="19">
        <v>5000000</v>
      </c>
      <c r="G38" s="24">
        <v>5281.43</v>
      </c>
      <c r="H38" s="24">
        <v>10.4</v>
      </c>
      <c r="I38" s="31">
        <v>4.3529999999999998</v>
      </c>
      <c r="J38" s="35"/>
    </row>
    <row r="39" spans="1:10" x14ac:dyDescent="0.25">
      <c r="B39" s="8" t="s">
        <v>2727</v>
      </c>
      <c r="C39" s="56" t="s">
        <v>2728</v>
      </c>
      <c r="D39" s="53" t="s">
        <v>2729</v>
      </c>
      <c r="E39" s="6" t="s">
        <v>655</v>
      </c>
      <c r="F39" s="19">
        <v>1000000</v>
      </c>
      <c r="G39" s="24">
        <v>1064.4000000000001</v>
      </c>
      <c r="H39" s="24">
        <v>2.1</v>
      </c>
      <c r="I39" s="31">
        <v>4.3638000000000003</v>
      </c>
      <c r="J39" s="35"/>
    </row>
    <row r="40" spans="1:10" x14ac:dyDescent="0.25">
      <c r="B40" s="8" t="s">
        <v>2730</v>
      </c>
      <c r="C40" s="56" t="s">
        <v>2731</v>
      </c>
      <c r="D40" s="53" t="s">
        <v>2732</v>
      </c>
      <c r="E40" s="6" t="s">
        <v>655</v>
      </c>
      <c r="F40" s="19">
        <v>1000000</v>
      </c>
      <c r="G40" s="24">
        <v>1051.3599999999999</v>
      </c>
      <c r="H40" s="24">
        <v>2.0699999999999998</v>
      </c>
      <c r="I40" s="31">
        <v>4.6954000000000002</v>
      </c>
      <c r="J40" s="35"/>
    </row>
    <row r="41" spans="1:10" x14ac:dyDescent="0.25">
      <c r="B41" s="8" t="s">
        <v>2733</v>
      </c>
      <c r="C41" s="56" t="s">
        <v>2734</v>
      </c>
      <c r="D41" s="53" t="s">
        <v>2735</v>
      </c>
      <c r="E41" s="6" t="s">
        <v>655</v>
      </c>
      <c r="F41" s="19">
        <v>500000</v>
      </c>
      <c r="G41" s="24">
        <v>534.78</v>
      </c>
      <c r="H41" s="24">
        <v>1.05</v>
      </c>
      <c r="I41" s="31">
        <v>4.3788</v>
      </c>
      <c r="J41" s="35"/>
    </row>
    <row r="42" spans="1:10" x14ac:dyDescent="0.25">
      <c r="B42" s="8" t="s">
        <v>2736</v>
      </c>
      <c r="C42" s="56" t="s">
        <v>2737</v>
      </c>
      <c r="D42" s="53" t="s">
        <v>2738</v>
      </c>
      <c r="E42" s="6" t="s">
        <v>655</v>
      </c>
      <c r="F42" s="19">
        <v>500000</v>
      </c>
      <c r="G42" s="24">
        <v>533.66999999999996</v>
      </c>
      <c r="H42" s="24">
        <v>1.05</v>
      </c>
      <c r="I42" s="31">
        <v>4.6913</v>
      </c>
      <c r="J42" s="35"/>
    </row>
    <row r="43" spans="1:10" x14ac:dyDescent="0.25">
      <c r="B43" s="8" t="s">
        <v>2739</v>
      </c>
      <c r="C43" s="56" t="s">
        <v>2740</v>
      </c>
      <c r="D43" s="53" t="s">
        <v>2741</v>
      </c>
      <c r="E43" s="6" t="s">
        <v>655</v>
      </c>
      <c r="F43" s="19">
        <v>500000</v>
      </c>
      <c r="G43" s="24">
        <v>531.30999999999995</v>
      </c>
      <c r="H43" s="24">
        <v>1.05</v>
      </c>
      <c r="I43" s="31">
        <v>4.3613</v>
      </c>
      <c r="J43" s="35"/>
    </row>
    <row r="44" spans="1:10" x14ac:dyDescent="0.25">
      <c r="B44" s="8" t="s">
        <v>2742</v>
      </c>
      <c r="C44" s="56" t="s">
        <v>2743</v>
      </c>
      <c r="D44" s="53" t="s">
        <v>2744</v>
      </c>
      <c r="E44" s="6" t="s">
        <v>655</v>
      </c>
      <c r="F44" s="19">
        <v>500000</v>
      </c>
      <c r="G44" s="24">
        <v>529.26</v>
      </c>
      <c r="H44" s="24">
        <v>1.04</v>
      </c>
      <c r="I44" s="31">
        <v>4.3548999999999998</v>
      </c>
      <c r="J44" s="35"/>
    </row>
    <row r="45" spans="1:10" x14ac:dyDescent="0.25">
      <c r="B45" s="8" t="s">
        <v>2745</v>
      </c>
      <c r="C45" s="56" t="s">
        <v>2746</v>
      </c>
      <c r="D45" s="53" t="s">
        <v>2747</v>
      </c>
      <c r="E45" s="6" t="s">
        <v>655</v>
      </c>
      <c r="F45" s="19">
        <v>400000</v>
      </c>
      <c r="G45" s="24">
        <v>422.03</v>
      </c>
      <c r="H45" s="24">
        <v>0.83</v>
      </c>
      <c r="I45" s="31">
        <v>4.6928999999999998</v>
      </c>
      <c r="J45" s="35"/>
    </row>
    <row r="46" spans="1:10" x14ac:dyDescent="0.25">
      <c r="C46" s="57" t="s">
        <v>35</v>
      </c>
      <c r="D46" s="53"/>
      <c r="E46" s="6"/>
      <c r="F46" s="19"/>
      <c r="G46" s="25">
        <v>9948.24</v>
      </c>
      <c r="H46" s="25">
        <v>19.59</v>
      </c>
      <c r="I46" s="31"/>
      <c r="J46" s="35"/>
    </row>
    <row r="47" spans="1:10" x14ac:dyDescent="0.25">
      <c r="C47" s="56"/>
      <c r="D47" s="53"/>
      <c r="E47" s="6"/>
      <c r="F47" s="19"/>
      <c r="G47" s="24"/>
      <c r="H47" s="24"/>
      <c r="I47" s="31"/>
      <c r="J47" s="35"/>
    </row>
    <row r="48" spans="1:10" x14ac:dyDescent="0.25">
      <c r="A48" s="10"/>
      <c r="B48" s="28"/>
      <c r="C48" s="58" t="s">
        <v>11</v>
      </c>
      <c r="D48" s="53"/>
      <c r="E48" s="6"/>
      <c r="F48" s="19"/>
      <c r="G48" s="24"/>
      <c r="H48" s="24"/>
      <c r="I48" s="31"/>
      <c r="J48" s="35"/>
    </row>
    <row r="49" spans="1:10" x14ac:dyDescent="0.25">
      <c r="A49" s="28"/>
      <c r="B49" s="28"/>
      <c r="C49" s="58" t="s">
        <v>13</v>
      </c>
      <c r="D49" s="53"/>
      <c r="E49" s="6"/>
      <c r="F49" s="19"/>
      <c r="G49" s="24" t="s">
        <v>2</v>
      </c>
      <c r="H49" s="24" t="s">
        <v>2</v>
      </c>
      <c r="I49" s="31"/>
      <c r="J49" s="35"/>
    </row>
    <row r="50" spans="1:10" x14ac:dyDescent="0.25">
      <c r="A50" s="28"/>
      <c r="B50" s="28"/>
      <c r="C50" s="58"/>
      <c r="D50" s="53"/>
      <c r="E50" s="6"/>
      <c r="F50" s="19"/>
      <c r="G50" s="24"/>
      <c r="H50" s="24"/>
      <c r="I50" s="31"/>
      <c r="J50" s="35"/>
    </row>
    <row r="51" spans="1:10" x14ac:dyDescent="0.25">
      <c r="C51" s="59" t="s">
        <v>14</v>
      </c>
      <c r="D51" s="53"/>
      <c r="E51" s="6"/>
      <c r="F51" s="19"/>
      <c r="G51" s="24"/>
      <c r="H51" s="24"/>
      <c r="I51" s="31"/>
      <c r="J51" s="35"/>
    </row>
    <row r="52" spans="1:10" x14ac:dyDescent="0.25">
      <c r="B52" s="8" t="s">
        <v>1248</v>
      </c>
      <c r="C52" s="56" t="s">
        <v>818</v>
      </c>
      <c r="D52" s="53" t="s">
        <v>1249</v>
      </c>
      <c r="E52" s="6" t="s">
        <v>1000</v>
      </c>
      <c r="F52" s="19">
        <v>2400</v>
      </c>
      <c r="G52" s="24">
        <v>2340.33</v>
      </c>
      <c r="H52" s="24">
        <v>4.6100000000000003</v>
      </c>
      <c r="I52" s="31">
        <v>3.8298999999999999</v>
      </c>
      <c r="J52" s="35" t="s">
        <v>514</v>
      </c>
    </row>
    <row r="53" spans="1:10" x14ac:dyDescent="0.25">
      <c r="B53" s="8" t="s">
        <v>2480</v>
      </c>
      <c r="C53" s="56" t="s">
        <v>872</v>
      </c>
      <c r="D53" s="53" t="s">
        <v>2481</v>
      </c>
      <c r="E53" s="6" t="s">
        <v>992</v>
      </c>
      <c r="F53" s="19">
        <v>1600</v>
      </c>
      <c r="G53" s="24">
        <v>1581.19</v>
      </c>
      <c r="H53" s="24">
        <v>3.11</v>
      </c>
      <c r="I53" s="31">
        <v>4.2149999999999999</v>
      </c>
      <c r="J53" s="35" t="s">
        <v>514</v>
      </c>
    </row>
    <row r="54" spans="1:10" x14ac:dyDescent="0.25">
      <c r="B54" s="8" t="s">
        <v>2478</v>
      </c>
      <c r="C54" s="56" t="s">
        <v>818</v>
      </c>
      <c r="D54" s="53" t="s">
        <v>2479</v>
      </c>
      <c r="E54" s="6" t="s">
        <v>1000</v>
      </c>
      <c r="F54" s="19">
        <v>400</v>
      </c>
      <c r="G54" s="24">
        <v>391.5</v>
      </c>
      <c r="H54" s="24">
        <v>0.77</v>
      </c>
      <c r="I54" s="31">
        <v>3.83</v>
      </c>
      <c r="J54" s="35" t="s">
        <v>514</v>
      </c>
    </row>
    <row r="55" spans="1:10" x14ac:dyDescent="0.25">
      <c r="B55" s="8" t="s">
        <v>1225</v>
      </c>
      <c r="C55" s="56" t="s">
        <v>818</v>
      </c>
      <c r="D55" s="53" t="s">
        <v>1226</v>
      </c>
      <c r="E55" s="6" t="s">
        <v>1000</v>
      </c>
      <c r="F55" s="19">
        <v>100</v>
      </c>
      <c r="G55" s="24">
        <v>98.49</v>
      </c>
      <c r="H55" s="24">
        <v>0.19</v>
      </c>
      <c r="I55" s="31">
        <v>3.5150000000000001</v>
      </c>
      <c r="J55" s="35" t="s">
        <v>514</v>
      </c>
    </row>
    <row r="56" spans="1:10" x14ac:dyDescent="0.25">
      <c r="B56" s="8" t="s">
        <v>2338</v>
      </c>
      <c r="C56" s="56" t="s">
        <v>2339</v>
      </c>
      <c r="D56" s="53" t="s">
        <v>2340</v>
      </c>
      <c r="E56" s="6" t="s">
        <v>992</v>
      </c>
      <c r="F56" s="19">
        <v>100</v>
      </c>
      <c r="G56" s="24">
        <v>97.78</v>
      </c>
      <c r="H56" s="24">
        <v>0.19</v>
      </c>
      <c r="I56" s="31">
        <v>5.65</v>
      </c>
      <c r="J56" s="35" t="s">
        <v>514</v>
      </c>
    </row>
    <row r="57" spans="1:10" x14ac:dyDescent="0.25">
      <c r="C57" s="57" t="s">
        <v>35</v>
      </c>
      <c r="D57" s="53"/>
      <c r="E57" s="6"/>
      <c r="F57" s="19"/>
      <c r="G57" s="25">
        <v>4509.29</v>
      </c>
      <c r="H57" s="25">
        <v>8.8699999999999992</v>
      </c>
      <c r="I57" s="31"/>
      <c r="J57" s="35"/>
    </row>
    <row r="58" spans="1:10" x14ac:dyDescent="0.25">
      <c r="C58" s="56"/>
      <c r="D58" s="53"/>
      <c r="E58" s="6"/>
      <c r="F58" s="19"/>
      <c r="G58" s="24"/>
      <c r="H58" s="24"/>
      <c r="I58" s="31"/>
      <c r="J58" s="35"/>
    </row>
    <row r="59" spans="1:10" x14ac:dyDescent="0.25">
      <c r="C59" s="59" t="s">
        <v>15</v>
      </c>
      <c r="D59" s="53"/>
      <c r="E59" s="6"/>
      <c r="F59" s="19"/>
      <c r="G59" s="24"/>
      <c r="H59" s="24"/>
      <c r="I59" s="31"/>
      <c r="J59" s="35"/>
    </row>
    <row r="60" spans="1:10" x14ac:dyDescent="0.25">
      <c r="B60" s="8" t="s">
        <v>2599</v>
      </c>
      <c r="C60" s="56" t="s">
        <v>2600</v>
      </c>
      <c r="D60" s="53" t="s">
        <v>2601</v>
      </c>
      <c r="E60" s="6" t="s">
        <v>655</v>
      </c>
      <c r="F60" s="19">
        <v>300000</v>
      </c>
      <c r="G60" s="24">
        <v>289.86</v>
      </c>
      <c r="H60" s="24">
        <v>0.56999999999999995</v>
      </c>
      <c r="I60" s="31">
        <v>3.65</v>
      </c>
      <c r="J60" s="35"/>
    </row>
    <row r="61" spans="1:10" x14ac:dyDescent="0.25">
      <c r="C61" s="57" t="s">
        <v>35</v>
      </c>
      <c r="D61" s="53"/>
      <c r="E61" s="6"/>
      <c r="F61" s="19"/>
      <c r="G61" s="25">
        <v>289.86</v>
      </c>
      <c r="H61" s="25">
        <v>0.56999999999999995</v>
      </c>
      <c r="I61" s="31"/>
      <c r="J61" s="35"/>
    </row>
    <row r="62" spans="1:10" x14ac:dyDescent="0.25">
      <c r="C62" s="56"/>
      <c r="D62" s="53"/>
      <c r="E62" s="6"/>
      <c r="F62" s="19"/>
      <c r="G62" s="24"/>
      <c r="H62" s="24"/>
      <c r="I62" s="31"/>
      <c r="J62" s="35"/>
    </row>
    <row r="63" spans="1:10" x14ac:dyDescent="0.25">
      <c r="C63" s="57" t="s">
        <v>16</v>
      </c>
      <c r="D63" s="53"/>
      <c r="E63" s="6"/>
      <c r="F63" s="19"/>
      <c r="G63" s="24" t="s">
        <v>2</v>
      </c>
      <c r="H63" s="24" t="s">
        <v>2</v>
      </c>
      <c r="I63" s="31"/>
      <c r="J63" s="35"/>
    </row>
    <row r="64" spans="1:10" x14ac:dyDescent="0.25">
      <c r="C64" s="56"/>
      <c r="D64" s="53"/>
      <c r="E64" s="6"/>
      <c r="F64" s="19"/>
      <c r="G64" s="24"/>
      <c r="H64" s="24"/>
      <c r="I64" s="31"/>
      <c r="J64" s="35"/>
    </row>
    <row r="65" spans="1:10" x14ac:dyDescent="0.25">
      <c r="A65" s="10"/>
      <c r="B65" s="28"/>
      <c r="C65" s="58" t="s">
        <v>17</v>
      </c>
      <c r="D65" s="53"/>
      <c r="E65" s="6"/>
      <c r="F65" s="19"/>
      <c r="G65" s="24"/>
      <c r="H65" s="24"/>
      <c r="I65" s="31"/>
      <c r="J65" s="35"/>
    </row>
    <row r="66" spans="1:10" x14ac:dyDescent="0.25">
      <c r="A66" s="28"/>
      <c r="B66" s="28"/>
      <c r="C66" s="58" t="s">
        <v>18</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19</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A70" s="28"/>
      <c r="B70" s="28"/>
      <c r="C70" s="58" t="s">
        <v>20</v>
      </c>
      <c r="D70" s="53"/>
      <c r="E70" s="6"/>
      <c r="F70" s="19"/>
      <c r="G70" s="24" t="s">
        <v>2</v>
      </c>
      <c r="H70" s="24" t="s">
        <v>2</v>
      </c>
      <c r="I70" s="31"/>
      <c r="J70" s="35"/>
    </row>
    <row r="71" spans="1:10" x14ac:dyDescent="0.25">
      <c r="A71" s="28"/>
      <c r="B71" s="28"/>
      <c r="C71" s="58"/>
      <c r="D71" s="53"/>
      <c r="E71" s="6"/>
      <c r="F71" s="19"/>
      <c r="G71" s="24"/>
      <c r="H71" s="24"/>
      <c r="I71" s="31"/>
      <c r="J71" s="35"/>
    </row>
    <row r="72" spans="1:10" x14ac:dyDescent="0.25">
      <c r="A72" s="28"/>
      <c r="B72" s="28"/>
      <c r="C72" s="58" t="s">
        <v>21</v>
      </c>
      <c r="D72" s="53"/>
      <c r="E72" s="6"/>
      <c r="F72" s="19"/>
      <c r="G72" s="24" t="s">
        <v>2</v>
      </c>
      <c r="H72" s="24" t="s">
        <v>2</v>
      </c>
      <c r="I72" s="31"/>
      <c r="J72" s="35"/>
    </row>
    <row r="73" spans="1:10" x14ac:dyDescent="0.25">
      <c r="A73" s="28"/>
      <c r="B73" s="28"/>
      <c r="C73" s="58"/>
      <c r="D73" s="53"/>
      <c r="E73" s="6"/>
      <c r="F73" s="19"/>
      <c r="G73" s="24"/>
      <c r="H73" s="24"/>
      <c r="I73" s="31"/>
      <c r="J73" s="35"/>
    </row>
    <row r="74" spans="1:10" x14ac:dyDescent="0.25">
      <c r="C74" s="59" t="s">
        <v>22</v>
      </c>
      <c r="D74" s="53"/>
      <c r="E74" s="6"/>
      <c r="F74" s="19"/>
      <c r="G74" s="24"/>
      <c r="H74" s="24"/>
      <c r="I74" s="31"/>
      <c r="J74" s="35"/>
    </row>
    <row r="75" spans="1:10" x14ac:dyDescent="0.25">
      <c r="B75" s="8" t="s">
        <v>33</v>
      </c>
      <c r="C75" s="56" t="s">
        <v>34</v>
      </c>
      <c r="D75" s="53"/>
      <c r="E75" s="6"/>
      <c r="F75" s="19"/>
      <c r="G75" s="24">
        <v>188.56</v>
      </c>
      <c r="H75" s="24">
        <v>0.37</v>
      </c>
      <c r="I75" s="31"/>
      <c r="J75" s="35"/>
    </row>
    <row r="76" spans="1:10" x14ac:dyDescent="0.25">
      <c r="C76" s="57" t="s">
        <v>35</v>
      </c>
      <c r="D76" s="53"/>
      <c r="E76" s="6"/>
      <c r="F76" s="19"/>
      <c r="G76" s="25">
        <v>188.56</v>
      </c>
      <c r="H76" s="25">
        <v>0.37</v>
      </c>
      <c r="I76" s="31"/>
      <c r="J76" s="35"/>
    </row>
    <row r="77" spans="1:10" x14ac:dyDescent="0.25">
      <c r="C77" s="56"/>
      <c r="D77" s="53"/>
      <c r="E77" s="6"/>
      <c r="F77" s="19"/>
      <c r="G77" s="24"/>
      <c r="H77" s="24"/>
      <c r="I77" s="31"/>
      <c r="J77" s="35"/>
    </row>
    <row r="78" spans="1:10" x14ac:dyDescent="0.25">
      <c r="A78" s="10"/>
      <c r="B78" s="28"/>
      <c r="C78" s="58" t="s">
        <v>23</v>
      </c>
      <c r="D78" s="53"/>
      <c r="E78" s="6"/>
      <c r="F78" s="19"/>
      <c r="G78" s="24"/>
      <c r="H78" s="24"/>
      <c r="I78" s="31"/>
      <c r="J78" s="35"/>
    </row>
    <row r="79" spans="1:10" x14ac:dyDescent="0.25">
      <c r="A79" s="28"/>
      <c r="B79" s="28"/>
      <c r="C79" s="60" t="s">
        <v>3398</v>
      </c>
      <c r="D79" s="53"/>
      <c r="E79" s="6"/>
      <c r="F79" s="19"/>
      <c r="G79" s="24" t="s">
        <v>2</v>
      </c>
      <c r="H79" s="24" t="s">
        <v>2</v>
      </c>
      <c r="I79" s="31"/>
      <c r="J79" s="35"/>
    </row>
    <row r="80" spans="1:10" x14ac:dyDescent="0.25">
      <c r="B80" s="8"/>
      <c r="C80" s="56" t="s">
        <v>36</v>
      </c>
      <c r="D80" s="53"/>
      <c r="E80" s="6"/>
      <c r="F80" s="19"/>
      <c r="G80" s="24">
        <v>966.97</v>
      </c>
      <c r="H80" s="24">
        <v>1.91</v>
      </c>
      <c r="I80" s="31"/>
      <c r="J80" s="35"/>
    </row>
    <row r="81" spans="3:10" x14ac:dyDescent="0.25">
      <c r="C81" s="57" t="s">
        <v>35</v>
      </c>
      <c r="D81" s="53"/>
      <c r="E81" s="6"/>
      <c r="F81" s="19"/>
      <c r="G81" s="25">
        <v>966.97</v>
      </c>
      <c r="H81" s="25">
        <v>1.91</v>
      </c>
      <c r="I81" s="31"/>
      <c r="J81" s="35"/>
    </row>
    <row r="82" spans="3:10" x14ac:dyDescent="0.25">
      <c r="C82" s="56"/>
      <c r="D82" s="53"/>
      <c r="E82" s="6"/>
      <c r="F82" s="19"/>
      <c r="G82" s="24"/>
      <c r="H82" s="24"/>
      <c r="I82" s="31"/>
      <c r="J82" s="35"/>
    </row>
    <row r="83" spans="3:10" x14ac:dyDescent="0.25">
      <c r="C83" s="61" t="s">
        <v>37</v>
      </c>
      <c r="D83" s="54"/>
      <c r="E83" s="5"/>
      <c r="F83" s="20"/>
      <c r="G83" s="26">
        <v>50772.11</v>
      </c>
      <c r="H83" s="26">
        <f>SUMIFS(H:H,C:C,"Total")</f>
        <v>100</v>
      </c>
      <c r="I83" s="32"/>
      <c r="J83" s="36"/>
    </row>
    <row r="86" spans="3:10" x14ac:dyDescent="0.25">
      <c r="C86" s="1" t="s">
        <v>38</v>
      </c>
    </row>
    <row r="87" spans="3:10" x14ac:dyDescent="0.25">
      <c r="C87" s="2" t="s">
        <v>39</v>
      </c>
    </row>
    <row r="88" spans="3:10" x14ac:dyDescent="0.25">
      <c r="C88" s="2" t="s">
        <v>40</v>
      </c>
    </row>
    <row r="89" spans="3:10" x14ac:dyDescent="0.25">
      <c r="C89" s="2" t="s">
        <v>3430</v>
      </c>
    </row>
  </sheetData>
  <hyperlinks>
    <hyperlink ref="J2" location="'Index'!A1" display="'Index'!A1"/>
  </hyperlinks>
  <pageMargins left="0.7" right="0.7" top="0.75" bottom="0.75" header="0.3" footer="0.3"/>
  <pageSetup orientation="portrait" horizontalDpi="4294967293"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9"/>
  <dimension ref="A1:J211"/>
  <sheetViews>
    <sheetView showGridLines="0" zoomScale="90" zoomScaleNormal="90" workbookViewId="0">
      <pane ySplit="6" topLeftCell="A7" activePane="bottomLeft" state="frozen"/>
      <selection pane="bottomLeft" activeCell="D19" sqref="D19"/>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2748</v>
      </c>
      <c r="J2" s="37" t="s">
        <v>3307</v>
      </c>
    </row>
    <row r="3" spans="1:10" ht="16.5" x14ac:dyDescent="0.3">
      <c r="C3" s="1" t="s">
        <v>24</v>
      </c>
      <c r="D3" s="21" t="s">
        <v>2749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1748</v>
      </c>
      <c r="C18" s="56" t="s">
        <v>1749</v>
      </c>
      <c r="D18" s="53" t="s">
        <v>1750</v>
      </c>
      <c r="E18" s="6" t="s">
        <v>911</v>
      </c>
      <c r="F18" s="19">
        <v>8500</v>
      </c>
      <c r="G18" s="24">
        <v>88329.96</v>
      </c>
      <c r="H18" s="24">
        <v>3.49</v>
      </c>
      <c r="I18" s="31">
        <v>5.1607000000000003</v>
      </c>
      <c r="J18" s="35" t="s">
        <v>514</v>
      </c>
    </row>
    <row r="19" spans="2:10" x14ac:dyDescent="0.25">
      <c r="B19" s="8" t="s">
        <v>935</v>
      </c>
      <c r="C19" s="56" t="s">
        <v>3425</v>
      </c>
      <c r="D19" s="53" t="s">
        <v>936</v>
      </c>
      <c r="E19" s="6" t="s">
        <v>534</v>
      </c>
      <c r="F19" s="19">
        <v>7000</v>
      </c>
      <c r="G19" s="24">
        <v>69969.97</v>
      </c>
      <c r="H19" s="24">
        <v>2.76</v>
      </c>
      <c r="I19" s="31">
        <v>6.2492999999999999</v>
      </c>
      <c r="J19" s="35"/>
    </row>
    <row r="20" spans="2:10" x14ac:dyDescent="0.25">
      <c r="B20" s="8" t="s">
        <v>905</v>
      </c>
      <c r="C20" s="56" t="s">
        <v>906</v>
      </c>
      <c r="D20" s="53" t="s">
        <v>907</v>
      </c>
      <c r="E20" s="6" t="s">
        <v>534</v>
      </c>
      <c r="F20" s="19">
        <v>4951</v>
      </c>
      <c r="G20" s="24">
        <v>53188.79</v>
      </c>
      <c r="H20" s="24">
        <v>2.1</v>
      </c>
      <c r="I20" s="31">
        <v>5.7142999999999997</v>
      </c>
      <c r="J20" s="35" t="s">
        <v>514</v>
      </c>
    </row>
    <row r="21" spans="2:10" x14ac:dyDescent="0.25">
      <c r="B21" s="8" t="s">
        <v>2091</v>
      </c>
      <c r="C21" s="56" t="s">
        <v>380</v>
      </c>
      <c r="D21" s="53" t="s">
        <v>2092</v>
      </c>
      <c r="E21" s="6" t="s">
        <v>534</v>
      </c>
      <c r="F21" s="19">
        <v>5100</v>
      </c>
      <c r="G21" s="24">
        <v>52113.69</v>
      </c>
      <c r="H21" s="24">
        <v>2.06</v>
      </c>
      <c r="I21" s="31">
        <v>5.8049999999999997</v>
      </c>
      <c r="J21" s="35" t="s">
        <v>514</v>
      </c>
    </row>
    <row r="22" spans="2:10" x14ac:dyDescent="0.25">
      <c r="B22" s="8" t="s">
        <v>2750</v>
      </c>
      <c r="C22" s="56" t="s">
        <v>601</v>
      </c>
      <c r="D22" s="53" t="s">
        <v>2751</v>
      </c>
      <c r="E22" s="6" t="s">
        <v>534</v>
      </c>
      <c r="F22" s="19">
        <v>5000</v>
      </c>
      <c r="G22" s="24">
        <v>49960.3</v>
      </c>
      <c r="H22" s="24">
        <v>1.97</v>
      </c>
      <c r="I22" s="31">
        <v>5.4950000000000001</v>
      </c>
      <c r="J22" s="35" t="s">
        <v>514</v>
      </c>
    </row>
    <row r="23" spans="2:10" x14ac:dyDescent="0.25">
      <c r="B23" s="8" t="s">
        <v>1717</v>
      </c>
      <c r="C23" s="56" t="s">
        <v>909</v>
      </c>
      <c r="D23" s="53" t="s">
        <v>1718</v>
      </c>
      <c r="E23" s="6" t="s">
        <v>911</v>
      </c>
      <c r="F23" s="19">
        <v>4700</v>
      </c>
      <c r="G23" s="24">
        <v>48476.04</v>
      </c>
      <c r="H23" s="24">
        <v>1.91</v>
      </c>
      <c r="I23" s="31">
        <v>5.17</v>
      </c>
      <c r="J23" s="35" t="s">
        <v>514</v>
      </c>
    </row>
    <row r="24" spans="2:10" x14ac:dyDescent="0.25">
      <c r="B24" s="8" t="s">
        <v>1307</v>
      </c>
      <c r="C24" s="56" t="s">
        <v>53</v>
      </c>
      <c r="D24" s="53" t="s">
        <v>1308</v>
      </c>
      <c r="E24" s="6" t="s">
        <v>534</v>
      </c>
      <c r="F24" s="19">
        <v>4550</v>
      </c>
      <c r="G24" s="24">
        <v>47302.71</v>
      </c>
      <c r="H24" s="24">
        <v>1.87</v>
      </c>
      <c r="I24" s="31">
        <v>5.1798999999999999</v>
      </c>
      <c r="J24" s="35" t="s">
        <v>514</v>
      </c>
    </row>
    <row r="25" spans="2:10" x14ac:dyDescent="0.25">
      <c r="B25" s="8" t="s">
        <v>908</v>
      </c>
      <c r="C25" s="56" t="s">
        <v>909</v>
      </c>
      <c r="D25" s="53" t="s">
        <v>910</v>
      </c>
      <c r="E25" s="6" t="s">
        <v>911</v>
      </c>
      <c r="F25" s="19">
        <v>3900</v>
      </c>
      <c r="G25" s="24">
        <v>41046.25</v>
      </c>
      <c r="H25" s="24">
        <v>1.62</v>
      </c>
      <c r="I25" s="31">
        <v>6.7750000000000004</v>
      </c>
      <c r="J25" s="35" t="s">
        <v>514</v>
      </c>
    </row>
    <row r="26" spans="2:10" x14ac:dyDescent="0.25">
      <c r="B26" s="8" t="s">
        <v>2752</v>
      </c>
      <c r="C26" s="56" t="s">
        <v>380</v>
      </c>
      <c r="D26" s="53" t="s">
        <v>2753</v>
      </c>
      <c r="E26" s="6" t="s">
        <v>534</v>
      </c>
      <c r="F26" s="19">
        <v>4048</v>
      </c>
      <c r="G26" s="24">
        <v>39845.480000000003</v>
      </c>
      <c r="H26" s="24">
        <v>1.57</v>
      </c>
      <c r="I26" s="31">
        <v>5.8049999999999997</v>
      </c>
      <c r="J26" s="35" t="s">
        <v>514</v>
      </c>
    </row>
    <row r="27" spans="2:10" x14ac:dyDescent="0.25">
      <c r="B27" s="8" t="s">
        <v>2754</v>
      </c>
      <c r="C27" s="56" t="s">
        <v>53</v>
      </c>
      <c r="D27" s="53" t="s">
        <v>2755</v>
      </c>
      <c r="E27" s="6" t="s">
        <v>534</v>
      </c>
      <c r="F27" s="19">
        <v>3350</v>
      </c>
      <c r="G27" s="24">
        <v>37237.160000000003</v>
      </c>
      <c r="H27" s="24">
        <v>1.47</v>
      </c>
      <c r="I27" s="31">
        <v>5.8045</v>
      </c>
      <c r="J27" s="35" t="s">
        <v>514</v>
      </c>
    </row>
    <row r="28" spans="2:10" x14ac:dyDescent="0.25">
      <c r="B28" s="8" t="s">
        <v>1725</v>
      </c>
      <c r="C28" s="56" t="s">
        <v>806</v>
      </c>
      <c r="D28" s="53" t="s">
        <v>1726</v>
      </c>
      <c r="E28" s="6" t="s">
        <v>534</v>
      </c>
      <c r="F28" s="19">
        <v>3560</v>
      </c>
      <c r="G28" s="24">
        <v>37085.160000000003</v>
      </c>
      <c r="H28" s="24">
        <v>1.47</v>
      </c>
      <c r="I28" s="31">
        <v>4.75</v>
      </c>
      <c r="J28" s="35" t="s">
        <v>514</v>
      </c>
    </row>
    <row r="29" spans="2:10" x14ac:dyDescent="0.25">
      <c r="B29" s="8" t="s">
        <v>1854</v>
      </c>
      <c r="C29" s="56" t="s">
        <v>96</v>
      </c>
      <c r="D29" s="53" t="s">
        <v>1855</v>
      </c>
      <c r="E29" s="6" t="s">
        <v>534</v>
      </c>
      <c r="F29" s="19">
        <v>3500</v>
      </c>
      <c r="G29" s="24">
        <v>35766.36</v>
      </c>
      <c r="H29" s="24">
        <v>1.41</v>
      </c>
      <c r="I29" s="31">
        <v>5.28</v>
      </c>
      <c r="J29" s="35" t="s">
        <v>514</v>
      </c>
    </row>
    <row r="30" spans="2:10" x14ac:dyDescent="0.25">
      <c r="B30" s="8" t="s">
        <v>2756</v>
      </c>
      <c r="C30" s="56" t="s">
        <v>2073</v>
      </c>
      <c r="D30" s="53" t="s">
        <v>2757</v>
      </c>
      <c r="E30" s="6" t="s">
        <v>534</v>
      </c>
      <c r="F30" s="19">
        <v>3500</v>
      </c>
      <c r="G30" s="24">
        <v>35651.32</v>
      </c>
      <c r="H30" s="24">
        <v>1.41</v>
      </c>
      <c r="I30" s="31">
        <v>5.0106000000000002</v>
      </c>
      <c r="J30" s="35" t="s">
        <v>514</v>
      </c>
    </row>
    <row r="31" spans="2:10" x14ac:dyDescent="0.25">
      <c r="B31" s="8" t="s">
        <v>2758</v>
      </c>
      <c r="C31" s="56" t="s">
        <v>77</v>
      </c>
      <c r="D31" s="53" t="s">
        <v>2759</v>
      </c>
      <c r="E31" s="6" t="s">
        <v>534</v>
      </c>
      <c r="F31" s="19">
        <v>3265</v>
      </c>
      <c r="G31" s="24">
        <v>34182.75</v>
      </c>
      <c r="H31" s="24">
        <v>1.35</v>
      </c>
      <c r="I31" s="31">
        <v>5.2249999999999996</v>
      </c>
      <c r="J31" s="35" t="s">
        <v>514</v>
      </c>
    </row>
    <row r="32" spans="2:10" x14ac:dyDescent="0.25">
      <c r="B32" s="8" t="s">
        <v>2072</v>
      </c>
      <c r="C32" s="56" t="s">
        <v>2073</v>
      </c>
      <c r="D32" s="53" t="s">
        <v>2074</v>
      </c>
      <c r="E32" s="6" t="s">
        <v>534</v>
      </c>
      <c r="F32" s="19">
        <v>3000</v>
      </c>
      <c r="G32" s="24">
        <v>30236.46</v>
      </c>
      <c r="H32" s="24">
        <v>1.19</v>
      </c>
      <c r="I32" s="31">
        <v>5.0199999999999996</v>
      </c>
      <c r="J32" s="35" t="s">
        <v>514</v>
      </c>
    </row>
    <row r="33" spans="2:10" x14ac:dyDescent="0.25">
      <c r="B33" s="8" t="s">
        <v>952</v>
      </c>
      <c r="C33" s="56" t="s">
        <v>953</v>
      </c>
      <c r="D33" s="53" t="s">
        <v>954</v>
      </c>
      <c r="E33" s="6" t="s">
        <v>534</v>
      </c>
      <c r="F33" s="19">
        <v>2798207</v>
      </c>
      <c r="G33" s="24">
        <v>29157.26</v>
      </c>
      <c r="H33" s="24">
        <v>1.1499999999999999</v>
      </c>
      <c r="I33" s="31">
        <v>6.0549999999999997</v>
      </c>
      <c r="J33" s="35" t="s">
        <v>514</v>
      </c>
    </row>
    <row r="34" spans="2:10" x14ac:dyDescent="0.25">
      <c r="B34" s="8" t="s">
        <v>2139</v>
      </c>
      <c r="C34" s="56" t="s">
        <v>1738</v>
      </c>
      <c r="D34" s="53" t="s">
        <v>2140</v>
      </c>
      <c r="E34" s="6" t="s">
        <v>534</v>
      </c>
      <c r="F34" s="19">
        <v>2650</v>
      </c>
      <c r="G34" s="24">
        <v>27507.74</v>
      </c>
      <c r="H34" s="24">
        <v>1.0900000000000001</v>
      </c>
      <c r="I34" s="31">
        <v>4.97</v>
      </c>
      <c r="J34" s="35" t="s">
        <v>514</v>
      </c>
    </row>
    <row r="35" spans="2:10" x14ac:dyDescent="0.25">
      <c r="B35" s="8" t="s">
        <v>2088</v>
      </c>
      <c r="C35" s="56" t="s">
        <v>2089</v>
      </c>
      <c r="D35" s="53" t="s">
        <v>2090</v>
      </c>
      <c r="E35" s="6" t="s">
        <v>1383</v>
      </c>
      <c r="F35" s="19">
        <v>2500</v>
      </c>
      <c r="G35" s="24">
        <v>26039.13</v>
      </c>
      <c r="H35" s="24">
        <v>1.03</v>
      </c>
      <c r="I35" s="31">
        <v>6.2850000000000001</v>
      </c>
      <c r="J35" s="35" t="s">
        <v>514</v>
      </c>
    </row>
    <row r="36" spans="2:10" x14ac:dyDescent="0.25">
      <c r="B36" s="8" t="s">
        <v>1845</v>
      </c>
      <c r="C36" s="56" t="s">
        <v>53</v>
      </c>
      <c r="D36" s="53" t="s">
        <v>1846</v>
      </c>
      <c r="E36" s="6" t="s">
        <v>534</v>
      </c>
      <c r="F36" s="19">
        <v>2400</v>
      </c>
      <c r="G36" s="24">
        <v>25112.09</v>
      </c>
      <c r="H36" s="24">
        <v>0.99</v>
      </c>
      <c r="I36" s="31">
        <v>6.19</v>
      </c>
      <c r="J36" s="35" t="s">
        <v>514</v>
      </c>
    </row>
    <row r="37" spans="2:10" x14ac:dyDescent="0.25">
      <c r="B37" s="8" t="s">
        <v>2760</v>
      </c>
      <c r="C37" s="56" t="s">
        <v>125</v>
      </c>
      <c r="D37" s="53" t="s">
        <v>2761</v>
      </c>
      <c r="E37" s="6" t="s">
        <v>534</v>
      </c>
      <c r="F37" s="19">
        <v>2450</v>
      </c>
      <c r="G37" s="24">
        <v>24454.68</v>
      </c>
      <c r="H37" s="24">
        <v>0.97</v>
      </c>
      <c r="I37" s="31">
        <v>5.4649999999999999</v>
      </c>
      <c r="J37" s="35" t="s">
        <v>514</v>
      </c>
    </row>
    <row r="38" spans="2:10" x14ac:dyDescent="0.25">
      <c r="B38" s="8" t="s">
        <v>2762</v>
      </c>
      <c r="C38" s="56" t="s">
        <v>1848</v>
      </c>
      <c r="D38" s="53" t="s">
        <v>2763</v>
      </c>
      <c r="E38" s="6" t="s">
        <v>551</v>
      </c>
      <c r="F38" s="19">
        <v>2290</v>
      </c>
      <c r="G38" s="24">
        <v>23692.39</v>
      </c>
      <c r="H38" s="24">
        <v>0.94</v>
      </c>
      <c r="I38" s="31">
        <v>5</v>
      </c>
      <c r="J38" s="35" t="s">
        <v>514</v>
      </c>
    </row>
    <row r="39" spans="2:10" x14ac:dyDescent="0.25">
      <c r="B39" s="8" t="s">
        <v>535</v>
      </c>
      <c r="C39" s="56" t="s">
        <v>536</v>
      </c>
      <c r="D39" s="53" t="s">
        <v>537</v>
      </c>
      <c r="E39" s="6" t="s">
        <v>534</v>
      </c>
      <c r="F39" s="19">
        <v>2250</v>
      </c>
      <c r="G39" s="24">
        <v>23533.61</v>
      </c>
      <c r="H39" s="24">
        <v>0.93</v>
      </c>
      <c r="I39" s="31">
        <v>6.2572999999999999</v>
      </c>
      <c r="J39" s="35" t="s">
        <v>514</v>
      </c>
    </row>
    <row r="40" spans="2:10" x14ac:dyDescent="0.25">
      <c r="B40" s="8" t="s">
        <v>1305</v>
      </c>
      <c r="C40" s="56" t="s">
        <v>53</v>
      </c>
      <c r="D40" s="53" t="s">
        <v>1306</v>
      </c>
      <c r="E40" s="6" t="s">
        <v>534</v>
      </c>
      <c r="F40" s="19">
        <v>2000</v>
      </c>
      <c r="G40" s="24">
        <v>20928.939999999999</v>
      </c>
      <c r="H40" s="24">
        <v>0.83</v>
      </c>
      <c r="I40" s="31">
        <v>5.3049999999999997</v>
      </c>
      <c r="J40" s="35" t="s">
        <v>514</v>
      </c>
    </row>
    <row r="41" spans="2:10" x14ac:dyDescent="0.25">
      <c r="B41" s="8" t="s">
        <v>1776</v>
      </c>
      <c r="C41" s="56" t="s">
        <v>77</v>
      </c>
      <c r="D41" s="53" t="s">
        <v>1777</v>
      </c>
      <c r="E41" s="6" t="s">
        <v>534</v>
      </c>
      <c r="F41" s="19">
        <v>2000</v>
      </c>
      <c r="G41" s="24">
        <v>20922.82</v>
      </c>
      <c r="H41" s="24">
        <v>0.83</v>
      </c>
      <c r="I41" s="31">
        <v>4.6749999999999998</v>
      </c>
      <c r="J41" s="35" t="s">
        <v>514</v>
      </c>
    </row>
    <row r="42" spans="2:10" x14ac:dyDescent="0.25">
      <c r="B42" s="8" t="s">
        <v>2764</v>
      </c>
      <c r="C42" s="56" t="s">
        <v>125</v>
      </c>
      <c r="D42" s="53" t="s">
        <v>2765</v>
      </c>
      <c r="E42" s="6" t="s">
        <v>534</v>
      </c>
      <c r="F42" s="19">
        <v>2000</v>
      </c>
      <c r="G42" s="24">
        <v>20585.5</v>
      </c>
      <c r="H42" s="24">
        <v>0.81</v>
      </c>
      <c r="I42" s="31">
        <v>4.5</v>
      </c>
      <c r="J42" s="35" t="s">
        <v>514</v>
      </c>
    </row>
    <row r="43" spans="2:10" x14ac:dyDescent="0.25">
      <c r="B43" s="8" t="s">
        <v>1880</v>
      </c>
      <c r="C43" s="56" t="s">
        <v>601</v>
      </c>
      <c r="D43" s="53" t="s">
        <v>1881</v>
      </c>
      <c r="E43" s="6" t="s">
        <v>534</v>
      </c>
      <c r="F43" s="19">
        <v>1800</v>
      </c>
      <c r="G43" s="24">
        <v>19096.38</v>
      </c>
      <c r="H43" s="24">
        <v>0.75</v>
      </c>
      <c r="I43" s="31">
        <v>4.9400000000000004</v>
      </c>
      <c r="J43" s="35" t="s">
        <v>514</v>
      </c>
    </row>
    <row r="44" spans="2:10" x14ac:dyDescent="0.25">
      <c r="B44" s="8" t="s">
        <v>2766</v>
      </c>
      <c r="C44" s="56" t="s">
        <v>1752</v>
      </c>
      <c r="D44" s="53" t="s">
        <v>2767</v>
      </c>
      <c r="E44" s="6" t="s">
        <v>911</v>
      </c>
      <c r="F44" s="19">
        <v>1800</v>
      </c>
      <c r="G44" s="24">
        <v>18923.310000000001</v>
      </c>
      <c r="H44" s="24">
        <v>0.75</v>
      </c>
      <c r="I44" s="31">
        <v>4.46</v>
      </c>
      <c r="J44" s="35" t="s">
        <v>514</v>
      </c>
    </row>
    <row r="45" spans="2:10" x14ac:dyDescent="0.25">
      <c r="B45" s="8" t="s">
        <v>1876</v>
      </c>
      <c r="C45" s="56" t="s">
        <v>601</v>
      </c>
      <c r="D45" s="53" t="s">
        <v>1877</v>
      </c>
      <c r="E45" s="6" t="s">
        <v>534</v>
      </c>
      <c r="F45" s="19">
        <v>1750</v>
      </c>
      <c r="G45" s="24">
        <v>18221.61</v>
      </c>
      <c r="H45" s="24">
        <v>0.72</v>
      </c>
      <c r="I45" s="31">
        <v>6.25</v>
      </c>
      <c r="J45" s="35"/>
    </row>
    <row r="46" spans="2:10" x14ac:dyDescent="0.25">
      <c r="B46" s="8" t="s">
        <v>2121</v>
      </c>
      <c r="C46" s="56" t="s">
        <v>1376</v>
      </c>
      <c r="D46" s="53" t="s">
        <v>2122</v>
      </c>
      <c r="E46" s="6" t="s">
        <v>534</v>
      </c>
      <c r="F46" s="19">
        <v>1750</v>
      </c>
      <c r="G46" s="24">
        <v>18185.98</v>
      </c>
      <c r="H46" s="24">
        <v>0.72</v>
      </c>
      <c r="I46" s="31">
        <v>6.29</v>
      </c>
      <c r="J46" s="35"/>
    </row>
    <row r="47" spans="2:10" x14ac:dyDescent="0.25">
      <c r="B47" s="8" t="s">
        <v>2768</v>
      </c>
      <c r="C47" s="56" t="s">
        <v>96</v>
      </c>
      <c r="D47" s="53" t="s">
        <v>2769</v>
      </c>
      <c r="E47" s="6" t="s">
        <v>1383</v>
      </c>
      <c r="F47" s="19">
        <v>1750</v>
      </c>
      <c r="G47" s="24">
        <v>18106.43</v>
      </c>
      <c r="H47" s="24">
        <v>0.72</v>
      </c>
      <c r="I47" s="31">
        <v>5.28</v>
      </c>
      <c r="J47" s="35" t="s">
        <v>514</v>
      </c>
    </row>
    <row r="48" spans="2:10" x14ac:dyDescent="0.25">
      <c r="B48" s="8" t="s">
        <v>1713</v>
      </c>
      <c r="C48" s="56" t="s">
        <v>601</v>
      </c>
      <c r="D48" s="53" t="s">
        <v>1714</v>
      </c>
      <c r="E48" s="6" t="s">
        <v>534</v>
      </c>
      <c r="F48" s="19">
        <v>1720</v>
      </c>
      <c r="G48" s="24">
        <v>18042.04</v>
      </c>
      <c r="H48" s="24">
        <v>0.71</v>
      </c>
      <c r="I48" s="31">
        <v>4.6100000000000003</v>
      </c>
      <c r="J48" s="35" t="s">
        <v>514</v>
      </c>
    </row>
    <row r="49" spans="2:10" x14ac:dyDescent="0.25">
      <c r="B49" s="8" t="s">
        <v>1402</v>
      </c>
      <c r="C49" s="56" t="s">
        <v>125</v>
      </c>
      <c r="D49" s="53" t="s">
        <v>1403</v>
      </c>
      <c r="E49" s="6" t="s">
        <v>534</v>
      </c>
      <c r="F49" s="19">
        <v>1750</v>
      </c>
      <c r="G49" s="24">
        <v>17974.62</v>
      </c>
      <c r="H49" s="24">
        <v>0.71</v>
      </c>
      <c r="I49" s="31">
        <v>4.5</v>
      </c>
      <c r="J49" s="35"/>
    </row>
    <row r="50" spans="2:10" x14ac:dyDescent="0.25">
      <c r="B50" s="8" t="s">
        <v>1711</v>
      </c>
      <c r="C50" s="56" t="s">
        <v>1376</v>
      </c>
      <c r="D50" s="53" t="s">
        <v>1712</v>
      </c>
      <c r="E50" s="6" t="s">
        <v>534</v>
      </c>
      <c r="F50" s="19">
        <v>1700</v>
      </c>
      <c r="G50" s="24">
        <v>17854.59</v>
      </c>
      <c r="H50" s="24">
        <v>0.71</v>
      </c>
      <c r="I50" s="31">
        <v>4.6303000000000001</v>
      </c>
      <c r="J50" s="35" t="s">
        <v>514</v>
      </c>
    </row>
    <row r="51" spans="2:10" x14ac:dyDescent="0.25">
      <c r="B51" s="8" t="s">
        <v>2770</v>
      </c>
      <c r="C51" s="56" t="s">
        <v>2073</v>
      </c>
      <c r="D51" s="53" t="s">
        <v>2771</v>
      </c>
      <c r="E51" s="6" t="s">
        <v>534</v>
      </c>
      <c r="F51" s="19">
        <v>1600</v>
      </c>
      <c r="G51" s="24">
        <v>16699.939999999999</v>
      </c>
      <c r="H51" s="24">
        <v>0.66</v>
      </c>
      <c r="I51" s="31">
        <v>5.6950000000000003</v>
      </c>
      <c r="J51" s="35" t="s">
        <v>514</v>
      </c>
    </row>
    <row r="52" spans="2:10" x14ac:dyDescent="0.25">
      <c r="B52" s="8" t="s">
        <v>2772</v>
      </c>
      <c r="C52" s="56" t="s">
        <v>857</v>
      </c>
      <c r="D52" s="53" t="s">
        <v>2773</v>
      </c>
      <c r="E52" s="6" t="s">
        <v>534</v>
      </c>
      <c r="F52" s="19">
        <v>1500</v>
      </c>
      <c r="G52" s="24">
        <v>15812</v>
      </c>
      <c r="H52" s="24">
        <v>0.62</v>
      </c>
      <c r="I52" s="31">
        <v>4.3</v>
      </c>
      <c r="J52" s="35"/>
    </row>
    <row r="53" spans="2:10" x14ac:dyDescent="0.25">
      <c r="B53" s="8" t="s">
        <v>2774</v>
      </c>
      <c r="C53" s="56" t="s">
        <v>1738</v>
      </c>
      <c r="D53" s="53" t="s">
        <v>2775</v>
      </c>
      <c r="E53" s="6" t="s">
        <v>534</v>
      </c>
      <c r="F53" s="19">
        <v>1500</v>
      </c>
      <c r="G53" s="24">
        <v>15427.89</v>
      </c>
      <c r="H53" s="24">
        <v>0.61</v>
      </c>
      <c r="I53" s="31">
        <v>4.97</v>
      </c>
      <c r="J53" s="35" t="s">
        <v>514</v>
      </c>
    </row>
    <row r="54" spans="2:10" x14ac:dyDescent="0.25">
      <c r="B54" s="8" t="s">
        <v>2157</v>
      </c>
      <c r="C54" s="56" t="s">
        <v>601</v>
      </c>
      <c r="D54" s="53" t="s">
        <v>2158</v>
      </c>
      <c r="E54" s="6" t="s">
        <v>534</v>
      </c>
      <c r="F54" s="19">
        <v>1475</v>
      </c>
      <c r="G54" s="24">
        <v>15242.83</v>
      </c>
      <c r="H54" s="24">
        <v>0.6</v>
      </c>
      <c r="I54" s="31">
        <v>5.52</v>
      </c>
      <c r="J54" s="35"/>
    </row>
    <row r="55" spans="2:10" x14ac:dyDescent="0.25">
      <c r="B55" s="8" t="s">
        <v>1864</v>
      </c>
      <c r="C55" s="56" t="s">
        <v>125</v>
      </c>
      <c r="D55" s="53" t="s">
        <v>1865</v>
      </c>
      <c r="E55" s="6" t="s">
        <v>534</v>
      </c>
      <c r="F55" s="19">
        <v>1445</v>
      </c>
      <c r="G55" s="24">
        <v>15204.16</v>
      </c>
      <c r="H55" s="24">
        <v>0.6</v>
      </c>
      <c r="I55" s="31">
        <v>4.76</v>
      </c>
      <c r="J55" s="35"/>
    </row>
    <row r="56" spans="2:10" x14ac:dyDescent="0.25">
      <c r="B56" s="8" t="s">
        <v>1317</v>
      </c>
      <c r="C56" s="56" t="s">
        <v>806</v>
      </c>
      <c r="D56" s="53" t="s">
        <v>1318</v>
      </c>
      <c r="E56" s="6" t="s">
        <v>534</v>
      </c>
      <c r="F56" s="19">
        <v>1350</v>
      </c>
      <c r="G56" s="24">
        <v>14169.53</v>
      </c>
      <c r="H56" s="24">
        <v>0.56000000000000005</v>
      </c>
      <c r="I56" s="31">
        <v>5.5345000000000004</v>
      </c>
      <c r="J56" s="35" t="s">
        <v>514</v>
      </c>
    </row>
    <row r="57" spans="2:10" x14ac:dyDescent="0.25">
      <c r="B57" s="8" t="s">
        <v>2776</v>
      </c>
      <c r="C57" s="56" t="s">
        <v>1130</v>
      </c>
      <c r="D57" s="53" t="s">
        <v>2777</v>
      </c>
      <c r="E57" s="6" t="s">
        <v>911</v>
      </c>
      <c r="F57" s="19">
        <v>1350</v>
      </c>
      <c r="G57" s="24">
        <v>14144.36</v>
      </c>
      <c r="H57" s="24">
        <v>0.56000000000000005</v>
      </c>
      <c r="I57" s="31">
        <v>4.6449999999999996</v>
      </c>
      <c r="J57" s="35" t="s">
        <v>514</v>
      </c>
    </row>
    <row r="58" spans="2:10" x14ac:dyDescent="0.25">
      <c r="B58" s="8" t="s">
        <v>2159</v>
      </c>
      <c r="C58" s="56" t="s">
        <v>1738</v>
      </c>
      <c r="D58" s="53" t="s">
        <v>2160</v>
      </c>
      <c r="E58" s="6" t="s">
        <v>534</v>
      </c>
      <c r="F58" s="19">
        <v>1350</v>
      </c>
      <c r="G58" s="24">
        <v>13792.79</v>
      </c>
      <c r="H58" s="24">
        <v>0.54</v>
      </c>
      <c r="I58" s="31">
        <v>6.7649999999999997</v>
      </c>
      <c r="J58" s="35" t="s">
        <v>514</v>
      </c>
    </row>
    <row r="59" spans="2:10" x14ac:dyDescent="0.25">
      <c r="B59" s="8" t="s">
        <v>2778</v>
      </c>
      <c r="C59" s="56" t="s">
        <v>125</v>
      </c>
      <c r="D59" s="53" t="s">
        <v>2779</v>
      </c>
      <c r="E59" s="6" t="s">
        <v>534</v>
      </c>
      <c r="F59" s="19">
        <v>1250</v>
      </c>
      <c r="G59" s="24">
        <v>13115.43</v>
      </c>
      <c r="H59" s="24">
        <v>0.52</v>
      </c>
      <c r="I59" s="31">
        <v>4.9649000000000001</v>
      </c>
      <c r="J59" s="35" t="s">
        <v>514</v>
      </c>
    </row>
    <row r="60" spans="2:10" x14ac:dyDescent="0.25">
      <c r="B60" s="8" t="s">
        <v>2780</v>
      </c>
      <c r="C60" s="56" t="s">
        <v>536</v>
      </c>
      <c r="D60" s="53" t="s">
        <v>2781</v>
      </c>
      <c r="E60" s="6" t="s">
        <v>534</v>
      </c>
      <c r="F60" s="19">
        <v>1250</v>
      </c>
      <c r="G60" s="24">
        <v>12962.54</v>
      </c>
      <c r="H60" s="24">
        <v>0.51</v>
      </c>
      <c r="I60" s="31">
        <v>6.6224999999999996</v>
      </c>
      <c r="J60" s="35" t="s">
        <v>514</v>
      </c>
    </row>
    <row r="61" spans="2:10" x14ac:dyDescent="0.25">
      <c r="B61" s="8" t="s">
        <v>2782</v>
      </c>
      <c r="C61" s="56" t="s">
        <v>1376</v>
      </c>
      <c r="D61" s="53" t="s">
        <v>2783</v>
      </c>
      <c r="E61" s="6" t="s">
        <v>534</v>
      </c>
      <c r="F61" s="19">
        <v>1200</v>
      </c>
      <c r="G61" s="24">
        <v>12523.5</v>
      </c>
      <c r="H61" s="24">
        <v>0.49</v>
      </c>
      <c r="I61" s="31">
        <v>5.12</v>
      </c>
      <c r="J61" s="35" t="s">
        <v>514</v>
      </c>
    </row>
    <row r="62" spans="2:10" x14ac:dyDescent="0.25">
      <c r="B62" s="8" t="s">
        <v>2636</v>
      </c>
      <c r="C62" s="56" t="s">
        <v>1752</v>
      </c>
      <c r="D62" s="53" t="s">
        <v>2637</v>
      </c>
      <c r="E62" s="6" t="s">
        <v>1314</v>
      </c>
      <c r="F62" s="19">
        <v>1150</v>
      </c>
      <c r="G62" s="24">
        <v>12134.5</v>
      </c>
      <c r="H62" s="24">
        <v>0.48</v>
      </c>
      <c r="I62" s="31">
        <v>4.375</v>
      </c>
      <c r="J62" s="35" t="s">
        <v>514</v>
      </c>
    </row>
    <row r="63" spans="2:10" x14ac:dyDescent="0.25">
      <c r="B63" s="8" t="s">
        <v>1744</v>
      </c>
      <c r="C63" s="56" t="s">
        <v>77</v>
      </c>
      <c r="D63" s="53" t="s">
        <v>1745</v>
      </c>
      <c r="E63" s="6" t="s">
        <v>534</v>
      </c>
      <c r="F63" s="19">
        <v>1130</v>
      </c>
      <c r="G63" s="24">
        <v>11878.37</v>
      </c>
      <c r="H63" s="24">
        <v>0.47</v>
      </c>
      <c r="I63" s="31">
        <v>4.6749999999999998</v>
      </c>
      <c r="J63" s="35" t="s">
        <v>514</v>
      </c>
    </row>
    <row r="64" spans="2:10" x14ac:dyDescent="0.25">
      <c r="B64" s="8" t="s">
        <v>2784</v>
      </c>
      <c r="C64" s="56" t="s">
        <v>1752</v>
      </c>
      <c r="D64" s="53" t="s">
        <v>2785</v>
      </c>
      <c r="E64" s="6" t="s">
        <v>1314</v>
      </c>
      <c r="F64" s="19">
        <v>1020</v>
      </c>
      <c r="G64" s="24">
        <v>10668.73</v>
      </c>
      <c r="H64" s="24">
        <v>0.42</v>
      </c>
      <c r="I64" s="31">
        <v>4.6050000000000004</v>
      </c>
      <c r="J64" s="35" t="s">
        <v>514</v>
      </c>
    </row>
    <row r="65" spans="2:10" x14ac:dyDescent="0.25">
      <c r="B65" s="8" t="s">
        <v>2786</v>
      </c>
      <c r="C65" s="56" t="s">
        <v>125</v>
      </c>
      <c r="D65" s="53" t="s">
        <v>2787</v>
      </c>
      <c r="E65" s="6" t="s">
        <v>534</v>
      </c>
      <c r="F65" s="19">
        <v>1000</v>
      </c>
      <c r="G65" s="24">
        <v>10645.95</v>
      </c>
      <c r="H65" s="24">
        <v>0.42</v>
      </c>
      <c r="I65" s="31">
        <v>6.0144000000000002</v>
      </c>
      <c r="J65" s="35" t="s">
        <v>514</v>
      </c>
    </row>
    <row r="66" spans="2:10" x14ac:dyDescent="0.25">
      <c r="B66" s="8" t="s">
        <v>2788</v>
      </c>
      <c r="C66" s="56" t="s">
        <v>601</v>
      </c>
      <c r="D66" s="53" t="s">
        <v>2789</v>
      </c>
      <c r="E66" s="6" t="s">
        <v>534</v>
      </c>
      <c r="F66" s="19">
        <v>1000</v>
      </c>
      <c r="G66" s="24">
        <v>10529.28</v>
      </c>
      <c r="H66" s="24">
        <v>0.42</v>
      </c>
      <c r="I66" s="31">
        <v>4.7649999999999997</v>
      </c>
      <c r="J66" s="35" t="s">
        <v>514</v>
      </c>
    </row>
    <row r="67" spans="2:10" x14ac:dyDescent="0.25">
      <c r="B67" s="8" t="s">
        <v>2790</v>
      </c>
      <c r="C67" s="56" t="s">
        <v>536</v>
      </c>
      <c r="D67" s="53" t="s">
        <v>2791</v>
      </c>
      <c r="E67" s="6" t="s">
        <v>534</v>
      </c>
      <c r="F67" s="19">
        <v>1000</v>
      </c>
      <c r="G67" s="24">
        <v>10409.879999999999</v>
      </c>
      <c r="H67" s="24">
        <v>0.41</v>
      </c>
      <c r="I67" s="31">
        <v>6.6725000000000003</v>
      </c>
      <c r="J67" s="35" t="s">
        <v>514</v>
      </c>
    </row>
    <row r="68" spans="2:10" x14ac:dyDescent="0.25">
      <c r="B68" s="8" t="s">
        <v>2792</v>
      </c>
      <c r="C68" s="56" t="s">
        <v>53</v>
      </c>
      <c r="D68" s="53" t="s">
        <v>2793</v>
      </c>
      <c r="E68" s="6" t="s">
        <v>534</v>
      </c>
      <c r="F68" s="19">
        <v>1000</v>
      </c>
      <c r="G68" s="24">
        <v>10392.200000000001</v>
      </c>
      <c r="H68" s="24">
        <v>0.41</v>
      </c>
      <c r="I68" s="31">
        <v>5.2850000000000001</v>
      </c>
      <c r="J68" s="35" t="s">
        <v>514</v>
      </c>
    </row>
    <row r="69" spans="2:10" x14ac:dyDescent="0.25">
      <c r="B69" s="8" t="s">
        <v>2794</v>
      </c>
      <c r="C69" s="56" t="s">
        <v>601</v>
      </c>
      <c r="D69" s="53" t="s">
        <v>2795</v>
      </c>
      <c r="E69" s="6" t="s">
        <v>534</v>
      </c>
      <c r="F69" s="19">
        <v>1000</v>
      </c>
      <c r="G69" s="24">
        <v>10355.85</v>
      </c>
      <c r="H69" s="24">
        <v>0.41</v>
      </c>
      <c r="I69" s="31">
        <v>5.4950000000000001</v>
      </c>
      <c r="J69" s="35" t="s">
        <v>514</v>
      </c>
    </row>
    <row r="70" spans="2:10" x14ac:dyDescent="0.25">
      <c r="B70" s="8" t="s">
        <v>1762</v>
      </c>
      <c r="C70" s="56" t="s">
        <v>1127</v>
      </c>
      <c r="D70" s="53" t="s">
        <v>1763</v>
      </c>
      <c r="E70" s="6" t="s">
        <v>534</v>
      </c>
      <c r="F70" s="19">
        <v>1000</v>
      </c>
      <c r="G70" s="24">
        <v>10352.799999999999</v>
      </c>
      <c r="H70" s="24">
        <v>0.41</v>
      </c>
      <c r="I70" s="31">
        <v>4.415</v>
      </c>
      <c r="J70" s="35" t="s">
        <v>514</v>
      </c>
    </row>
    <row r="71" spans="2:10" x14ac:dyDescent="0.25">
      <c r="B71" s="8" t="s">
        <v>1780</v>
      </c>
      <c r="C71" s="56" t="s">
        <v>125</v>
      </c>
      <c r="D71" s="53" t="s">
        <v>1781</v>
      </c>
      <c r="E71" s="6" t="s">
        <v>534</v>
      </c>
      <c r="F71" s="19">
        <v>1000</v>
      </c>
      <c r="G71" s="24">
        <v>10340.61</v>
      </c>
      <c r="H71" s="24">
        <v>0.41</v>
      </c>
      <c r="I71" s="31">
        <v>5.4</v>
      </c>
      <c r="J71" s="35"/>
    </row>
    <row r="72" spans="2:10" x14ac:dyDescent="0.25">
      <c r="B72" s="8" t="s">
        <v>1699</v>
      </c>
      <c r="C72" s="56" t="s">
        <v>854</v>
      </c>
      <c r="D72" s="53" t="s">
        <v>1700</v>
      </c>
      <c r="E72" s="6" t="s">
        <v>534</v>
      </c>
      <c r="F72" s="19">
        <v>1000</v>
      </c>
      <c r="G72" s="24">
        <v>10336.6</v>
      </c>
      <c r="H72" s="24">
        <v>0.41</v>
      </c>
      <c r="I72" s="31">
        <v>4.29</v>
      </c>
      <c r="J72" s="35" t="s">
        <v>514</v>
      </c>
    </row>
    <row r="73" spans="2:10" x14ac:dyDescent="0.25">
      <c r="B73" s="8" t="s">
        <v>945</v>
      </c>
      <c r="C73" s="56" t="s">
        <v>930</v>
      </c>
      <c r="D73" s="53" t="s">
        <v>946</v>
      </c>
      <c r="E73" s="6" t="s">
        <v>534</v>
      </c>
      <c r="F73" s="19">
        <v>1000</v>
      </c>
      <c r="G73" s="24">
        <v>10201.99</v>
      </c>
      <c r="H73" s="24">
        <v>0.4</v>
      </c>
      <c r="I73" s="31">
        <v>8.0324000000000009</v>
      </c>
      <c r="J73" s="35" t="s">
        <v>514</v>
      </c>
    </row>
    <row r="74" spans="2:10" x14ac:dyDescent="0.25">
      <c r="B74" s="8" t="s">
        <v>942</v>
      </c>
      <c r="C74" s="56" t="s">
        <v>125</v>
      </c>
      <c r="D74" s="53" t="s">
        <v>943</v>
      </c>
      <c r="E74" s="6" t="s">
        <v>534</v>
      </c>
      <c r="F74" s="19">
        <v>1000</v>
      </c>
      <c r="G74" s="24">
        <v>10007.799999999999</v>
      </c>
      <c r="H74" s="24">
        <v>0.4</v>
      </c>
      <c r="I74" s="31">
        <v>6.4109999999999996</v>
      </c>
      <c r="J74" s="35"/>
    </row>
    <row r="75" spans="2:10" x14ac:dyDescent="0.25">
      <c r="B75" s="8" t="s">
        <v>1900</v>
      </c>
      <c r="C75" s="56" t="s">
        <v>909</v>
      </c>
      <c r="D75" s="53" t="s">
        <v>1901</v>
      </c>
      <c r="E75" s="6" t="s">
        <v>534</v>
      </c>
      <c r="F75" s="19">
        <v>950</v>
      </c>
      <c r="G75" s="24">
        <v>9913.64</v>
      </c>
      <c r="H75" s="24">
        <v>0.39</v>
      </c>
      <c r="I75" s="31">
        <v>4.66</v>
      </c>
      <c r="J75" s="35" t="s">
        <v>514</v>
      </c>
    </row>
    <row r="76" spans="2:10" x14ac:dyDescent="0.25">
      <c r="B76" s="8" t="s">
        <v>2654</v>
      </c>
      <c r="C76" s="56" t="s">
        <v>2655</v>
      </c>
      <c r="D76" s="53" t="s">
        <v>2656</v>
      </c>
      <c r="E76" s="6" t="s">
        <v>534</v>
      </c>
      <c r="F76" s="19">
        <v>900</v>
      </c>
      <c r="G76" s="24">
        <v>9401.81</v>
      </c>
      <c r="H76" s="24">
        <v>0.37</v>
      </c>
      <c r="I76" s="31">
        <v>4.3499999999999996</v>
      </c>
      <c r="J76" s="35"/>
    </row>
    <row r="77" spans="2:10" x14ac:dyDescent="0.25">
      <c r="B77" s="8" t="s">
        <v>2127</v>
      </c>
      <c r="C77" s="56" t="s">
        <v>909</v>
      </c>
      <c r="D77" s="53" t="s">
        <v>2128</v>
      </c>
      <c r="E77" s="6" t="s">
        <v>911</v>
      </c>
      <c r="F77" s="19">
        <v>840</v>
      </c>
      <c r="G77" s="24">
        <v>8666.5499999999993</v>
      </c>
      <c r="H77" s="24">
        <v>0.34</v>
      </c>
      <c r="I77" s="31">
        <v>5.12</v>
      </c>
      <c r="J77" s="35"/>
    </row>
    <row r="78" spans="2:10" x14ac:dyDescent="0.25">
      <c r="B78" s="8" t="s">
        <v>1907</v>
      </c>
      <c r="C78" s="56" t="s">
        <v>1130</v>
      </c>
      <c r="D78" s="53" t="s">
        <v>1908</v>
      </c>
      <c r="E78" s="6" t="s">
        <v>911</v>
      </c>
      <c r="F78" s="19">
        <v>750</v>
      </c>
      <c r="G78" s="24">
        <v>7847.75</v>
      </c>
      <c r="H78" s="24">
        <v>0.31</v>
      </c>
      <c r="I78" s="31">
        <v>4.8</v>
      </c>
      <c r="J78" s="35" t="s">
        <v>514</v>
      </c>
    </row>
    <row r="79" spans="2:10" x14ac:dyDescent="0.25">
      <c r="B79" s="8" t="s">
        <v>2101</v>
      </c>
      <c r="C79" s="56" t="s">
        <v>1376</v>
      </c>
      <c r="D79" s="53" t="s">
        <v>2102</v>
      </c>
      <c r="E79" s="6" t="s">
        <v>534</v>
      </c>
      <c r="F79" s="19">
        <v>750</v>
      </c>
      <c r="G79" s="24">
        <v>7726.17</v>
      </c>
      <c r="H79" s="24">
        <v>0.31</v>
      </c>
      <c r="I79" s="31">
        <v>5.6</v>
      </c>
      <c r="J79" s="35" t="s">
        <v>514</v>
      </c>
    </row>
    <row r="80" spans="2:10" x14ac:dyDescent="0.25">
      <c r="B80" s="8" t="s">
        <v>2796</v>
      </c>
      <c r="C80" s="56" t="s">
        <v>909</v>
      </c>
      <c r="D80" s="53" t="s">
        <v>2797</v>
      </c>
      <c r="E80" s="6" t="s">
        <v>911</v>
      </c>
      <c r="F80" s="19">
        <v>750</v>
      </c>
      <c r="G80" s="24">
        <v>7724.09</v>
      </c>
      <c r="H80" s="24">
        <v>0.31</v>
      </c>
      <c r="I80" s="31">
        <v>6.7750000000000004</v>
      </c>
      <c r="J80" s="35" t="s">
        <v>514</v>
      </c>
    </row>
    <row r="81" spans="2:10" x14ac:dyDescent="0.25">
      <c r="B81" s="8" t="s">
        <v>1870</v>
      </c>
      <c r="C81" s="56" t="s">
        <v>1376</v>
      </c>
      <c r="D81" s="53" t="s">
        <v>1871</v>
      </c>
      <c r="E81" s="6" t="s">
        <v>534</v>
      </c>
      <c r="F81" s="19">
        <v>750</v>
      </c>
      <c r="G81" s="24">
        <v>7722.4</v>
      </c>
      <c r="H81" s="24">
        <v>0.31</v>
      </c>
      <c r="I81" s="31">
        <v>5.6</v>
      </c>
      <c r="J81" s="35" t="s">
        <v>514</v>
      </c>
    </row>
    <row r="82" spans="2:10" x14ac:dyDescent="0.25">
      <c r="B82" s="8" t="s">
        <v>2798</v>
      </c>
      <c r="C82" s="56" t="s">
        <v>1376</v>
      </c>
      <c r="D82" s="53" t="s">
        <v>2799</v>
      </c>
      <c r="E82" s="6" t="s">
        <v>534</v>
      </c>
      <c r="F82" s="19">
        <v>750</v>
      </c>
      <c r="G82" s="24">
        <v>7614.97</v>
      </c>
      <c r="H82" s="24">
        <v>0.3</v>
      </c>
      <c r="I82" s="31">
        <v>6.46</v>
      </c>
      <c r="J82" s="35" t="s">
        <v>514</v>
      </c>
    </row>
    <row r="83" spans="2:10" x14ac:dyDescent="0.25">
      <c r="B83" s="8" t="s">
        <v>2800</v>
      </c>
      <c r="C83" s="56" t="s">
        <v>77</v>
      </c>
      <c r="D83" s="53" t="s">
        <v>2801</v>
      </c>
      <c r="E83" s="6" t="s">
        <v>534</v>
      </c>
      <c r="F83" s="19">
        <v>600</v>
      </c>
      <c r="G83" s="24">
        <v>6374.85</v>
      </c>
      <c r="H83" s="24">
        <v>0.25</v>
      </c>
      <c r="I83" s="31">
        <v>6.0799000000000003</v>
      </c>
      <c r="J83" s="35" t="s">
        <v>514</v>
      </c>
    </row>
    <row r="84" spans="2:10" x14ac:dyDescent="0.25">
      <c r="B84" s="8" t="s">
        <v>2802</v>
      </c>
      <c r="C84" s="56" t="s">
        <v>1376</v>
      </c>
      <c r="D84" s="53" t="s">
        <v>2803</v>
      </c>
      <c r="E84" s="6" t="s">
        <v>534</v>
      </c>
      <c r="F84" s="19">
        <v>600</v>
      </c>
      <c r="G84" s="24">
        <v>6278.86</v>
      </c>
      <c r="H84" s="24">
        <v>0.25</v>
      </c>
      <c r="I84" s="31">
        <v>6.0945</v>
      </c>
      <c r="J84" s="35" t="s">
        <v>514</v>
      </c>
    </row>
    <row r="85" spans="2:10" x14ac:dyDescent="0.25">
      <c r="B85" s="8" t="s">
        <v>2113</v>
      </c>
      <c r="C85" s="56" t="s">
        <v>1738</v>
      </c>
      <c r="D85" s="53" t="s">
        <v>2114</v>
      </c>
      <c r="E85" s="6" t="s">
        <v>534</v>
      </c>
      <c r="F85" s="19">
        <v>550</v>
      </c>
      <c r="G85" s="24">
        <v>6007.84</v>
      </c>
      <c r="H85" s="24">
        <v>0.24</v>
      </c>
      <c r="I85" s="31">
        <v>5.2350000000000003</v>
      </c>
      <c r="J85" s="35" t="s">
        <v>514</v>
      </c>
    </row>
    <row r="86" spans="2:10" x14ac:dyDescent="0.25">
      <c r="B86" s="8" t="s">
        <v>2115</v>
      </c>
      <c r="C86" s="56" t="s">
        <v>909</v>
      </c>
      <c r="D86" s="53" t="s">
        <v>2116</v>
      </c>
      <c r="E86" s="6" t="s">
        <v>534</v>
      </c>
      <c r="F86" s="19">
        <v>500</v>
      </c>
      <c r="G86" s="24">
        <v>5384.14</v>
      </c>
      <c r="H86" s="24">
        <v>0.21</v>
      </c>
      <c r="I86" s="31">
        <v>5.31</v>
      </c>
      <c r="J86" s="35" t="s">
        <v>514</v>
      </c>
    </row>
    <row r="87" spans="2:10" x14ac:dyDescent="0.25">
      <c r="B87" s="8" t="s">
        <v>2804</v>
      </c>
      <c r="C87" s="56" t="s">
        <v>1376</v>
      </c>
      <c r="D87" s="53" t="s">
        <v>2805</v>
      </c>
      <c r="E87" s="6" t="s">
        <v>534</v>
      </c>
      <c r="F87" s="19">
        <v>500</v>
      </c>
      <c r="G87" s="24">
        <v>5367.07</v>
      </c>
      <c r="H87" s="24">
        <v>0.21</v>
      </c>
      <c r="I87" s="31">
        <v>5.6</v>
      </c>
      <c r="J87" s="35" t="s">
        <v>514</v>
      </c>
    </row>
    <row r="88" spans="2:10" x14ac:dyDescent="0.25">
      <c r="B88" s="8" t="s">
        <v>2806</v>
      </c>
      <c r="C88" s="56" t="s">
        <v>1376</v>
      </c>
      <c r="D88" s="53" t="s">
        <v>2807</v>
      </c>
      <c r="E88" s="6" t="s">
        <v>534</v>
      </c>
      <c r="F88" s="19">
        <v>500</v>
      </c>
      <c r="G88" s="24">
        <v>5278</v>
      </c>
      <c r="H88" s="24">
        <v>0.21</v>
      </c>
      <c r="I88" s="31">
        <v>5.43</v>
      </c>
      <c r="J88" s="35" t="s">
        <v>514</v>
      </c>
    </row>
    <row r="89" spans="2:10" x14ac:dyDescent="0.25">
      <c r="B89" s="8" t="s">
        <v>2808</v>
      </c>
      <c r="C89" s="56" t="s">
        <v>1738</v>
      </c>
      <c r="D89" s="53" t="s">
        <v>2809</v>
      </c>
      <c r="E89" s="6" t="s">
        <v>534</v>
      </c>
      <c r="F89" s="19">
        <v>500</v>
      </c>
      <c r="G89" s="24">
        <v>5232.28</v>
      </c>
      <c r="H89" s="24">
        <v>0.21</v>
      </c>
      <c r="I89" s="31">
        <v>5.7887000000000004</v>
      </c>
      <c r="J89" s="35" t="s">
        <v>514</v>
      </c>
    </row>
    <row r="90" spans="2:10" x14ac:dyDescent="0.25">
      <c r="B90" s="8" t="s">
        <v>2810</v>
      </c>
      <c r="C90" s="56" t="s">
        <v>53</v>
      </c>
      <c r="D90" s="53" t="s">
        <v>2811</v>
      </c>
      <c r="E90" s="6" t="s">
        <v>534</v>
      </c>
      <c r="F90" s="19">
        <v>500</v>
      </c>
      <c r="G90" s="24">
        <v>5220.0600000000004</v>
      </c>
      <c r="H90" s="24">
        <v>0.21</v>
      </c>
      <c r="I90" s="31">
        <v>5.2850000000000001</v>
      </c>
      <c r="J90" s="35" t="s">
        <v>514</v>
      </c>
    </row>
    <row r="91" spans="2:10" x14ac:dyDescent="0.25">
      <c r="B91" s="8" t="s">
        <v>2812</v>
      </c>
      <c r="C91" s="56" t="s">
        <v>125</v>
      </c>
      <c r="D91" s="53" t="s">
        <v>2813</v>
      </c>
      <c r="E91" s="6" t="s">
        <v>534</v>
      </c>
      <c r="F91" s="19">
        <v>500</v>
      </c>
      <c r="G91" s="24">
        <v>5097.91</v>
      </c>
      <c r="H91" s="24">
        <v>0.2</v>
      </c>
      <c r="I91" s="31">
        <v>4.5</v>
      </c>
      <c r="J91" s="35" t="s">
        <v>514</v>
      </c>
    </row>
    <row r="92" spans="2:10" x14ac:dyDescent="0.25">
      <c r="B92" s="8" t="s">
        <v>2814</v>
      </c>
      <c r="C92" s="56" t="s">
        <v>1230</v>
      </c>
      <c r="D92" s="53" t="s">
        <v>2815</v>
      </c>
      <c r="E92" s="6" t="s">
        <v>534</v>
      </c>
      <c r="F92" s="19">
        <v>450</v>
      </c>
      <c r="G92" s="24">
        <v>4933.87</v>
      </c>
      <c r="H92" s="24">
        <v>0.19</v>
      </c>
      <c r="I92" s="31">
        <v>5.8647</v>
      </c>
      <c r="J92" s="35" t="s">
        <v>514</v>
      </c>
    </row>
    <row r="93" spans="2:10" x14ac:dyDescent="0.25">
      <c r="B93" s="8" t="s">
        <v>2816</v>
      </c>
      <c r="C93" s="56" t="s">
        <v>909</v>
      </c>
      <c r="D93" s="53" t="s">
        <v>2817</v>
      </c>
      <c r="E93" s="6" t="s">
        <v>534</v>
      </c>
      <c r="F93" s="19">
        <v>450</v>
      </c>
      <c r="G93" s="24">
        <v>4718.18</v>
      </c>
      <c r="H93" s="24">
        <v>0.19</v>
      </c>
      <c r="I93" s="31">
        <v>4.55</v>
      </c>
      <c r="J93" s="35" t="s">
        <v>514</v>
      </c>
    </row>
    <row r="94" spans="2:10" x14ac:dyDescent="0.25">
      <c r="B94" s="8" t="s">
        <v>2818</v>
      </c>
      <c r="C94" s="56" t="s">
        <v>894</v>
      </c>
      <c r="D94" s="53" t="s">
        <v>2819</v>
      </c>
      <c r="E94" s="6" t="s">
        <v>1383</v>
      </c>
      <c r="F94" s="19">
        <v>2250</v>
      </c>
      <c r="G94" s="24">
        <v>4672.62</v>
      </c>
      <c r="H94" s="24">
        <v>0.18</v>
      </c>
      <c r="I94" s="31">
        <v>6.2549000000000001</v>
      </c>
      <c r="J94" s="35" t="s">
        <v>514</v>
      </c>
    </row>
    <row r="95" spans="2:10" x14ac:dyDescent="0.25">
      <c r="B95" s="8" t="s">
        <v>2820</v>
      </c>
      <c r="C95" s="56" t="s">
        <v>894</v>
      </c>
      <c r="D95" s="53" t="s">
        <v>2821</v>
      </c>
      <c r="E95" s="6" t="s">
        <v>1383</v>
      </c>
      <c r="F95" s="19">
        <v>2000</v>
      </c>
      <c r="G95" s="24">
        <v>4141.6400000000003</v>
      </c>
      <c r="H95" s="24">
        <v>0.16</v>
      </c>
      <c r="I95" s="31">
        <v>6.0946999999999996</v>
      </c>
      <c r="J95" s="35" t="s">
        <v>514</v>
      </c>
    </row>
    <row r="96" spans="2:10" x14ac:dyDescent="0.25">
      <c r="B96" s="8" t="s">
        <v>1884</v>
      </c>
      <c r="C96" s="56" t="s">
        <v>1376</v>
      </c>
      <c r="D96" s="53" t="s">
        <v>1885</v>
      </c>
      <c r="E96" s="6" t="s">
        <v>534</v>
      </c>
      <c r="F96" s="19">
        <v>350</v>
      </c>
      <c r="G96" s="24">
        <v>3689.17</v>
      </c>
      <c r="H96" s="24">
        <v>0.15</v>
      </c>
      <c r="I96" s="31">
        <v>4.6833</v>
      </c>
      <c r="J96" s="35"/>
    </row>
    <row r="97" spans="2:10" x14ac:dyDescent="0.25">
      <c r="B97" s="8" t="s">
        <v>2698</v>
      </c>
      <c r="C97" s="56" t="s">
        <v>1130</v>
      </c>
      <c r="D97" s="53" t="s">
        <v>2699</v>
      </c>
      <c r="E97" s="6" t="s">
        <v>911</v>
      </c>
      <c r="F97" s="19">
        <v>350</v>
      </c>
      <c r="G97" s="24">
        <v>3682.08</v>
      </c>
      <c r="H97" s="24">
        <v>0.15</v>
      </c>
      <c r="I97" s="31">
        <v>4.6448999999999998</v>
      </c>
      <c r="J97" s="35" t="s">
        <v>514</v>
      </c>
    </row>
    <row r="98" spans="2:10" x14ac:dyDescent="0.25">
      <c r="B98" s="8" t="s">
        <v>2706</v>
      </c>
      <c r="C98" s="56" t="s">
        <v>854</v>
      </c>
      <c r="D98" s="53" t="s">
        <v>2707</v>
      </c>
      <c r="E98" s="6" t="s">
        <v>534</v>
      </c>
      <c r="F98" s="19">
        <v>350</v>
      </c>
      <c r="G98" s="24">
        <v>3667.52</v>
      </c>
      <c r="H98" s="24">
        <v>0.14000000000000001</v>
      </c>
      <c r="I98" s="31">
        <v>4.33</v>
      </c>
      <c r="J98" s="35" t="s">
        <v>514</v>
      </c>
    </row>
    <row r="99" spans="2:10" x14ac:dyDescent="0.25">
      <c r="B99" s="8" t="s">
        <v>1394</v>
      </c>
      <c r="C99" s="56" t="s">
        <v>909</v>
      </c>
      <c r="D99" s="53" t="s">
        <v>1395</v>
      </c>
      <c r="E99" s="6" t="s">
        <v>534</v>
      </c>
      <c r="F99" s="19">
        <v>347</v>
      </c>
      <c r="G99" s="24">
        <v>3651.53</v>
      </c>
      <c r="H99" s="24">
        <v>0.14000000000000001</v>
      </c>
      <c r="I99" s="31">
        <v>4.4400000000000004</v>
      </c>
      <c r="J99" s="35" t="s">
        <v>514</v>
      </c>
    </row>
    <row r="100" spans="2:10" x14ac:dyDescent="0.25">
      <c r="B100" s="8" t="s">
        <v>2822</v>
      </c>
      <c r="C100" s="56" t="s">
        <v>1230</v>
      </c>
      <c r="D100" s="53" t="s">
        <v>2823</v>
      </c>
      <c r="E100" s="6" t="s">
        <v>534</v>
      </c>
      <c r="F100" s="19">
        <v>350</v>
      </c>
      <c r="G100" s="24">
        <v>3636.54</v>
      </c>
      <c r="H100" s="24">
        <v>0.14000000000000001</v>
      </c>
      <c r="I100" s="31">
        <v>6.47</v>
      </c>
      <c r="J100" s="35" t="s">
        <v>514</v>
      </c>
    </row>
    <row r="101" spans="2:10" x14ac:dyDescent="0.25">
      <c r="B101" s="8" t="s">
        <v>2155</v>
      </c>
      <c r="C101" s="56" t="s">
        <v>854</v>
      </c>
      <c r="D101" s="53" t="s">
        <v>2156</v>
      </c>
      <c r="E101" s="6" t="s">
        <v>534</v>
      </c>
      <c r="F101" s="19">
        <v>350</v>
      </c>
      <c r="G101" s="24">
        <v>3627.3</v>
      </c>
      <c r="H101" s="24">
        <v>0.14000000000000001</v>
      </c>
      <c r="I101" s="31">
        <v>6.52</v>
      </c>
      <c r="J101" s="35" t="s">
        <v>514</v>
      </c>
    </row>
    <row r="102" spans="2:10" x14ac:dyDescent="0.25">
      <c r="B102" s="8" t="s">
        <v>2716</v>
      </c>
      <c r="C102" s="56" t="s">
        <v>1127</v>
      </c>
      <c r="D102" s="53" t="s">
        <v>2717</v>
      </c>
      <c r="E102" s="6" t="s">
        <v>534</v>
      </c>
      <c r="F102" s="19">
        <v>300</v>
      </c>
      <c r="G102" s="24">
        <v>3623.72</v>
      </c>
      <c r="H102" s="24">
        <v>0.14000000000000001</v>
      </c>
      <c r="I102" s="31">
        <v>5.0199999999999996</v>
      </c>
      <c r="J102" s="35" t="s">
        <v>514</v>
      </c>
    </row>
    <row r="103" spans="2:10" x14ac:dyDescent="0.25">
      <c r="B103" s="8" t="s">
        <v>2077</v>
      </c>
      <c r="C103" s="56" t="s">
        <v>854</v>
      </c>
      <c r="D103" s="53" t="s">
        <v>2078</v>
      </c>
      <c r="E103" s="6" t="s">
        <v>534</v>
      </c>
      <c r="F103" s="19">
        <v>300</v>
      </c>
      <c r="G103" s="24">
        <v>3122.66</v>
      </c>
      <c r="H103" s="24">
        <v>0.12</v>
      </c>
      <c r="I103" s="31">
        <v>6.52</v>
      </c>
      <c r="J103" s="35" t="s">
        <v>514</v>
      </c>
    </row>
    <row r="104" spans="2:10" x14ac:dyDescent="0.25">
      <c r="B104" s="8" t="s">
        <v>1958</v>
      </c>
      <c r="C104" s="56" t="s">
        <v>601</v>
      </c>
      <c r="D104" s="53" t="s">
        <v>1959</v>
      </c>
      <c r="E104" s="6" t="s">
        <v>534</v>
      </c>
      <c r="F104" s="19">
        <v>300</v>
      </c>
      <c r="G104" s="24">
        <v>3118.78</v>
      </c>
      <c r="H104" s="24">
        <v>0.12</v>
      </c>
      <c r="I104" s="31">
        <v>4.7649999999999997</v>
      </c>
      <c r="J104" s="35" t="s">
        <v>514</v>
      </c>
    </row>
    <row r="105" spans="2:10" x14ac:dyDescent="0.25">
      <c r="B105" s="8" t="s">
        <v>2824</v>
      </c>
      <c r="C105" s="56" t="s">
        <v>2825</v>
      </c>
      <c r="D105" s="53" t="s">
        <v>2826</v>
      </c>
      <c r="E105" s="6" t="s">
        <v>534</v>
      </c>
      <c r="F105" s="19">
        <v>300</v>
      </c>
      <c r="G105" s="24">
        <v>3102.85</v>
      </c>
      <c r="H105" s="24">
        <v>0.12</v>
      </c>
      <c r="I105" s="31">
        <v>5.3586</v>
      </c>
      <c r="J105" s="35" t="s">
        <v>514</v>
      </c>
    </row>
    <row r="106" spans="2:10" x14ac:dyDescent="0.25">
      <c r="B106" s="8" t="s">
        <v>1960</v>
      </c>
      <c r="C106" s="56" t="s">
        <v>601</v>
      </c>
      <c r="D106" s="53" t="s">
        <v>1961</v>
      </c>
      <c r="E106" s="6" t="s">
        <v>534</v>
      </c>
      <c r="F106" s="19">
        <v>250</v>
      </c>
      <c r="G106" s="24">
        <v>2716.43</v>
      </c>
      <c r="H106" s="24">
        <v>0.11</v>
      </c>
      <c r="I106" s="31">
        <v>6.25</v>
      </c>
      <c r="J106" s="35" t="s">
        <v>514</v>
      </c>
    </row>
    <row r="107" spans="2:10" x14ac:dyDescent="0.25">
      <c r="B107" s="8" t="s">
        <v>2827</v>
      </c>
      <c r="C107" s="56" t="s">
        <v>1230</v>
      </c>
      <c r="D107" s="53" t="s">
        <v>2828</v>
      </c>
      <c r="E107" s="6" t="s">
        <v>534</v>
      </c>
      <c r="F107" s="19">
        <v>250</v>
      </c>
      <c r="G107" s="24">
        <v>2693.58</v>
      </c>
      <c r="H107" s="24">
        <v>0.11</v>
      </c>
      <c r="I107" s="31">
        <v>4.7649999999999997</v>
      </c>
      <c r="J107" s="35" t="s">
        <v>514</v>
      </c>
    </row>
    <row r="108" spans="2:10" x14ac:dyDescent="0.25">
      <c r="B108" s="8" t="s">
        <v>2829</v>
      </c>
      <c r="C108" s="56" t="s">
        <v>2655</v>
      </c>
      <c r="D108" s="53" t="s">
        <v>2830</v>
      </c>
      <c r="E108" s="6" t="s">
        <v>534</v>
      </c>
      <c r="F108" s="19">
        <v>250</v>
      </c>
      <c r="G108" s="24">
        <v>2618.5500000000002</v>
      </c>
      <c r="H108" s="24">
        <v>0.1</v>
      </c>
      <c r="I108" s="31">
        <v>4.6749000000000001</v>
      </c>
      <c r="J108" s="35" t="s">
        <v>514</v>
      </c>
    </row>
    <row r="109" spans="2:10" x14ac:dyDescent="0.25">
      <c r="B109" s="8" t="s">
        <v>2831</v>
      </c>
      <c r="C109" s="56" t="s">
        <v>1130</v>
      </c>
      <c r="D109" s="53" t="s">
        <v>2832</v>
      </c>
      <c r="E109" s="6" t="s">
        <v>911</v>
      </c>
      <c r="F109" s="19">
        <v>250</v>
      </c>
      <c r="G109" s="24">
        <v>2617.25</v>
      </c>
      <c r="H109" s="24">
        <v>0.1</v>
      </c>
      <c r="I109" s="31">
        <v>4.8</v>
      </c>
      <c r="J109" s="35" t="s">
        <v>514</v>
      </c>
    </row>
    <row r="110" spans="2:10" x14ac:dyDescent="0.25">
      <c r="B110" s="8" t="s">
        <v>2833</v>
      </c>
      <c r="C110" s="56" t="s">
        <v>894</v>
      </c>
      <c r="D110" s="53" t="s">
        <v>2834</v>
      </c>
      <c r="E110" s="6" t="s">
        <v>911</v>
      </c>
      <c r="F110" s="19">
        <v>2360</v>
      </c>
      <c r="G110" s="24">
        <v>2608.15</v>
      </c>
      <c r="H110" s="24">
        <v>0.1</v>
      </c>
      <c r="I110" s="31">
        <v>5.2697000000000003</v>
      </c>
      <c r="J110" s="35" t="s">
        <v>514</v>
      </c>
    </row>
    <row r="111" spans="2:10" x14ac:dyDescent="0.25">
      <c r="B111" s="8" t="s">
        <v>2835</v>
      </c>
      <c r="C111" s="56" t="s">
        <v>125</v>
      </c>
      <c r="D111" s="53" t="s">
        <v>2836</v>
      </c>
      <c r="E111" s="6" t="s">
        <v>534</v>
      </c>
      <c r="F111" s="19">
        <v>250</v>
      </c>
      <c r="G111" s="24">
        <v>2604.0500000000002</v>
      </c>
      <c r="H111" s="24">
        <v>0.1</v>
      </c>
      <c r="I111" s="31">
        <v>5.0250000000000004</v>
      </c>
      <c r="J111" s="35" t="s">
        <v>514</v>
      </c>
    </row>
    <row r="112" spans="2:10" x14ac:dyDescent="0.25">
      <c r="B112" s="8" t="s">
        <v>2837</v>
      </c>
      <c r="C112" s="56" t="s">
        <v>1752</v>
      </c>
      <c r="D112" s="53" t="s">
        <v>2838</v>
      </c>
      <c r="E112" s="6" t="s">
        <v>1314</v>
      </c>
      <c r="F112" s="19">
        <v>250</v>
      </c>
      <c r="G112" s="24">
        <v>2603.09</v>
      </c>
      <c r="H112" s="24">
        <v>0.1</v>
      </c>
      <c r="I112" s="31">
        <v>4.6050000000000004</v>
      </c>
      <c r="J112" s="35" t="s">
        <v>514</v>
      </c>
    </row>
    <row r="113" spans="2:10" x14ac:dyDescent="0.25">
      <c r="B113" s="8" t="s">
        <v>2174</v>
      </c>
      <c r="C113" s="56" t="s">
        <v>909</v>
      </c>
      <c r="D113" s="53" t="s">
        <v>2175</v>
      </c>
      <c r="E113" s="6" t="s">
        <v>534</v>
      </c>
      <c r="F113" s="19">
        <v>250</v>
      </c>
      <c r="G113" s="24">
        <v>2595.4299999999998</v>
      </c>
      <c r="H113" s="24">
        <v>0.1</v>
      </c>
      <c r="I113" s="31">
        <v>4.75</v>
      </c>
      <c r="J113" s="35" t="s">
        <v>514</v>
      </c>
    </row>
    <row r="114" spans="2:10" x14ac:dyDescent="0.25">
      <c r="B114" s="8" t="s">
        <v>2153</v>
      </c>
      <c r="C114" s="56" t="s">
        <v>1376</v>
      </c>
      <c r="D114" s="53" t="s">
        <v>2154</v>
      </c>
      <c r="E114" s="6" t="s">
        <v>534</v>
      </c>
      <c r="F114" s="19">
        <v>250</v>
      </c>
      <c r="G114" s="24">
        <v>2592.54</v>
      </c>
      <c r="H114" s="24">
        <v>0.1</v>
      </c>
      <c r="I114" s="31">
        <v>4.97</v>
      </c>
      <c r="J114" s="35" t="s">
        <v>514</v>
      </c>
    </row>
    <row r="115" spans="2:10" x14ac:dyDescent="0.25">
      <c r="B115" s="8" t="s">
        <v>2476</v>
      </c>
      <c r="C115" s="56" t="s">
        <v>1738</v>
      </c>
      <c r="D115" s="53" t="s">
        <v>2477</v>
      </c>
      <c r="E115" s="6" t="s">
        <v>534</v>
      </c>
      <c r="F115" s="19">
        <v>250</v>
      </c>
      <c r="G115" s="24">
        <v>2592.39</v>
      </c>
      <c r="H115" s="24">
        <v>0.1</v>
      </c>
      <c r="I115" s="31">
        <v>3.9350000000000001</v>
      </c>
      <c r="J115" s="35" t="s">
        <v>514</v>
      </c>
    </row>
    <row r="116" spans="2:10" x14ac:dyDescent="0.25">
      <c r="B116" s="8" t="s">
        <v>2839</v>
      </c>
      <c r="C116" s="56" t="s">
        <v>2073</v>
      </c>
      <c r="D116" s="53" t="s">
        <v>2840</v>
      </c>
      <c r="E116" s="6" t="s">
        <v>534</v>
      </c>
      <c r="F116" s="19">
        <v>250</v>
      </c>
      <c r="G116" s="24">
        <v>2588.8000000000002</v>
      </c>
      <c r="H116" s="24">
        <v>0.1</v>
      </c>
      <c r="I116" s="31">
        <v>5.0106999999999999</v>
      </c>
      <c r="J116" s="35" t="s">
        <v>514</v>
      </c>
    </row>
    <row r="117" spans="2:10" x14ac:dyDescent="0.25">
      <c r="B117" s="8" t="s">
        <v>1896</v>
      </c>
      <c r="C117" s="56" t="s">
        <v>930</v>
      </c>
      <c r="D117" s="53" t="s">
        <v>1897</v>
      </c>
      <c r="E117" s="6" t="s">
        <v>534</v>
      </c>
      <c r="F117" s="19">
        <v>250</v>
      </c>
      <c r="G117" s="24">
        <v>2542.08</v>
      </c>
      <c r="H117" s="24">
        <v>0.1</v>
      </c>
      <c r="I117" s="31">
        <v>8.2074999999999996</v>
      </c>
      <c r="J117" s="35" t="s">
        <v>514</v>
      </c>
    </row>
    <row r="118" spans="2:10" x14ac:dyDescent="0.25">
      <c r="B118" s="8" t="s">
        <v>2841</v>
      </c>
      <c r="C118" s="56" t="s">
        <v>1130</v>
      </c>
      <c r="D118" s="53" t="s">
        <v>2842</v>
      </c>
      <c r="E118" s="6" t="s">
        <v>911</v>
      </c>
      <c r="F118" s="19">
        <v>230</v>
      </c>
      <c r="G118" s="24">
        <v>2394.8200000000002</v>
      </c>
      <c r="H118" s="24">
        <v>0.09</v>
      </c>
      <c r="I118" s="31">
        <v>4.88</v>
      </c>
      <c r="J118" s="35" t="s">
        <v>514</v>
      </c>
    </row>
    <row r="119" spans="2:10" x14ac:dyDescent="0.25">
      <c r="B119" s="8" t="s">
        <v>1872</v>
      </c>
      <c r="C119" s="56" t="s">
        <v>1376</v>
      </c>
      <c r="D119" s="53" t="s">
        <v>1873</v>
      </c>
      <c r="E119" s="6" t="s">
        <v>534</v>
      </c>
      <c r="F119" s="19">
        <v>210</v>
      </c>
      <c r="G119" s="24">
        <v>2247.9699999999998</v>
      </c>
      <c r="H119" s="24">
        <v>0.09</v>
      </c>
      <c r="I119" s="31">
        <v>4.91</v>
      </c>
      <c r="J119" s="35" t="s">
        <v>514</v>
      </c>
    </row>
    <row r="120" spans="2:10" x14ac:dyDescent="0.25">
      <c r="B120" s="8" t="s">
        <v>2133</v>
      </c>
      <c r="C120" s="56" t="s">
        <v>1230</v>
      </c>
      <c r="D120" s="53" t="s">
        <v>2134</v>
      </c>
      <c r="E120" s="6" t="s">
        <v>534</v>
      </c>
      <c r="F120" s="19">
        <v>200</v>
      </c>
      <c r="G120" s="24">
        <v>2184.33</v>
      </c>
      <c r="H120" s="24">
        <v>0.09</v>
      </c>
      <c r="I120" s="31">
        <v>5.8647</v>
      </c>
      <c r="J120" s="35" t="s">
        <v>514</v>
      </c>
    </row>
    <row r="121" spans="2:10" x14ac:dyDescent="0.25">
      <c r="B121" s="8" t="s">
        <v>2843</v>
      </c>
      <c r="C121" s="56" t="s">
        <v>1738</v>
      </c>
      <c r="D121" s="53" t="s">
        <v>2844</v>
      </c>
      <c r="E121" s="6" t="s">
        <v>534</v>
      </c>
      <c r="F121" s="19">
        <v>200</v>
      </c>
      <c r="G121" s="24">
        <v>2108.2600000000002</v>
      </c>
      <c r="H121" s="24">
        <v>0.08</v>
      </c>
      <c r="I121" s="31">
        <v>6.7649999999999997</v>
      </c>
      <c r="J121" s="35" t="s">
        <v>514</v>
      </c>
    </row>
    <row r="122" spans="2:10" x14ac:dyDescent="0.25">
      <c r="B122" s="8" t="s">
        <v>2845</v>
      </c>
      <c r="C122" s="56" t="s">
        <v>1230</v>
      </c>
      <c r="D122" s="53" t="s">
        <v>2846</v>
      </c>
      <c r="E122" s="6" t="s">
        <v>534</v>
      </c>
      <c r="F122" s="19">
        <v>150</v>
      </c>
      <c r="G122" s="24">
        <v>1651.03</v>
      </c>
      <c r="H122" s="24">
        <v>7.0000000000000007E-2</v>
      </c>
      <c r="I122" s="31">
        <v>5.8647</v>
      </c>
      <c r="J122" s="35" t="s">
        <v>514</v>
      </c>
    </row>
    <row r="123" spans="2:10" x14ac:dyDescent="0.25">
      <c r="B123" s="8" t="s">
        <v>2722</v>
      </c>
      <c r="C123" s="56" t="s">
        <v>854</v>
      </c>
      <c r="D123" s="53" t="s">
        <v>2723</v>
      </c>
      <c r="E123" s="6" t="s">
        <v>534</v>
      </c>
      <c r="F123" s="19">
        <v>150</v>
      </c>
      <c r="G123" s="24">
        <v>1593.14</v>
      </c>
      <c r="H123" s="24">
        <v>0.06</v>
      </c>
      <c r="I123" s="31">
        <v>4.3949999999999996</v>
      </c>
      <c r="J123" s="35" t="s">
        <v>514</v>
      </c>
    </row>
    <row r="124" spans="2:10" x14ac:dyDescent="0.25">
      <c r="B124" s="8" t="s">
        <v>2676</v>
      </c>
      <c r="C124" s="56" t="s">
        <v>1127</v>
      </c>
      <c r="D124" s="53" t="s">
        <v>2677</v>
      </c>
      <c r="E124" s="6" t="s">
        <v>1314</v>
      </c>
      <c r="F124" s="19">
        <v>150</v>
      </c>
      <c r="G124" s="24">
        <v>1568.05</v>
      </c>
      <c r="H124" s="24">
        <v>0.06</v>
      </c>
      <c r="I124" s="31">
        <v>4.84</v>
      </c>
      <c r="J124" s="35" t="s">
        <v>514</v>
      </c>
    </row>
    <row r="125" spans="2:10" x14ac:dyDescent="0.25">
      <c r="B125" s="8" t="s">
        <v>1778</v>
      </c>
      <c r="C125" s="56" t="s">
        <v>854</v>
      </c>
      <c r="D125" s="53" t="s">
        <v>1779</v>
      </c>
      <c r="E125" s="6" t="s">
        <v>534</v>
      </c>
      <c r="F125" s="19">
        <v>100</v>
      </c>
      <c r="G125" s="24">
        <v>1126.21</v>
      </c>
      <c r="H125" s="24">
        <v>0.04</v>
      </c>
      <c r="I125" s="31">
        <v>5.3757999999999999</v>
      </c>
      <c r="J125" s="35" t="s">
        <v>514</v>
      </c>
    </row>
    <row r="126" spans="2:10" x14ac:dyDescent="0.25">
      <c r="B126" s="8" t="s">
        <v>2847</v>
      </c>
      <c r="C126" s="56" t="s">
        <v>854</v>
      </c>
      <c r="D126" s="53" t="s">
        <v>2848</v>
      </c>
      <c r="E126" s="6" t="s">
        <v>534</v>
      </c>
      <c r="F126" s="19">
        <v>80</v>
      </c>
      <c r="G126" s="24">
        <v>1123.3699999999999</v>
      </c>
      <c r="H126" s="24">
        <v>0.04</v>
      </c>
      <c r="I126" s="31">
        <v>5.3757999999999999</v>
      </c>
      <c r="J126" s="35" t="s">
        <v>514</v>
      </c>
    </row>
    <row r="127" spans="2:10" x14ac:dyDescent="0.25">
      <c r="B127" s="8" t="s">
        <v>2849</v>
      </c>
      <c r="C127" s="56" t="s">
        <v>1230</v>
      </c>
      <c r="D127" s="53" t="s">
        <v>2850</v>
      </c>
      <c r="E127" s="6" t="s">
        <v>534</v>
      </c>
      <c r="F127" s="19">
        <v>100</v>
      </c>
      <c r="G127" s="24">
        <v>1114.0899999999999</v>
      </c>
      <c r="H127" s="24">
        <v>0.04</v>
      </c>
      <c r="I127" s="31">
        <v>5.8647</v>
      </c>
      <c r="J127" s="35" t="s">
        <v>514</v>
      </c>
    </row>
    <row r="128" spans="2:10" x14ac:dyDescent="0.25">
      <c r="B128" s="8" t="s">
        <v>2111</v>
      </c>
      <c r="C128" s="56" t="s">
        <v>1230</v>
      </c>
      <c r="D128" s="53" t="s">
        <v>2112</v>
      </c>
      <c r="E128" s="6" t="s">
        <v>534</v>
      </c>
      <c r="F128" s="19">
        <v>100</v>
      </c>
      <c r="G128" s="24">
        <v>1102.28</v>
      </c>
      <c r="H128" s="24">
        <v>0.04</v>
      </c>
      <c r="I128" s="31">
        <v>5.8647</v>
      </c>
      <c r="J128" s="35" t="s">
        <v>514</v>
      </c>
    </row>
    <row r="129" spans="2:10" x14ac:dyDescent="0.25">
      <c r="B129" s="8" t="s">
        <v>2851</v>
      </c>
      <c r="C129" s="56" t="s">
        <v>854</v>
      </c>
      <c r="D129" s="53" t="s">
        <v>2852</v>
      </c>
      <c r="E129" s="6" t="s">
        <v>534</v>
      </c>
      <c r="F129" s="19">
        <v>80</v>
      </c>
      <c r="G129" s="24">
        <v>1080.08</v>
      </c>
      <c r="H129" s="24">
        <v>0.04</v>
      </c>
      <c r="I129" s="31">
        <v>4.3949999999999996</v>
      </c>
      <c r="J129" s="35" t="s">
        <v>514</v>
      </c>
    </row>
    <row r="130" spans="2:10" x14ac:dyDescent="0.25">
      <c r="B130" s="8" t="s">
        <v>1707</v>
      </c>
      <c r="C130" s="56" t="s">
        <v>53</v>
      </c>
      <c r="D130" s="53" t="s">
        <v>1708</v>
      </c>
      <c r="E130" s="6" t="s">
        <v>534</v>
      </c>
      <c r="F130" s="19">
        <v>100</v>
      </c>
      <c r="G130" s="24">
        <v>1062.3599999999999</v>
      </c>
      <c r="H130" s="24">
        <v>0.04</v>
      </c>
      <c r="I130" s="31">
        <v>5.2850000000000001</v>
      </c>
      <c r="J130" s="35" t="s">
        <v>514</v>
      </c>
    </row>
    <row r="131" spans="2:10" x14ac:dyDescent="0.25">
      <c r="B131" s="8" t="s">
        <v>2853</v>
      </c>
      <c r="C131" s="56" t="s">
        <v>894</v>
      </c>
      <c r="D131" s="53" t="s">
        <v>2854</v>
      </c>
      <c r="E131" s="6" t="s">
        <v>911</v>
      </c>
      <c r="F131" s="19">
        <v>500</v>
      </c>
      <c r="G131" s="24">
        <v>528.44000000000005</v>
      </c>
      <c r="H131" s="24">
        <v>0.02</v>
      </c>
      <c r="I131" s="31">
        <v>4.4246999999999996</v>
      </c>
      <c r="J131" s="35" t="s">
        <v>514</v>
      </c>
    </row>
    <row r="132" spans="2:10" x14ac:dyDescent="0.25">
      <c r="B132" s="8" t="s">
        <v>2855</v>
      </c>
      <c r="C132" s="56" t="s">
        <v>1127</v>
      </c>
      <c r="D132" s="53" t="s">
        <v>2856</v>
      </c>
      <c r="E132" s="6" t="s">
        <v>534</v>
      </c>
      <c r="F132" s="19">
        <v>20</v>
      </c>
      <c r="G132" s="24">
        <v>210.1</v>
      </c>
      <c r="H132" s="24">
        <v>0.01</v>
      </c>
      <c r="I132" s="31">
        <v>5.0999999999999996</v>
      </c>
      <c r="J132" s="35"/>
    </row>
    <row r="133" spans="2:10" x14ac:dyDescent="0.25">
      <c r="B133" s="8" t="s">
        <v>2857</v>
      </c>
      <c r="C133" s="56" t="s">
        <v>1127</v>
      </c>
      <c r="D133" s="53" t="s">
        <v>2858</v>
      </c>
      <c r="E133" s="6" t="s">
        <v>534</v>
      </c>
      <c r="F133" s="19">
        <v>10</v>
      </c>
      <c r="G133" s="24">
        <v>104.06</v>
      </c>
      <c r="H133" s="24" t="s">
        <v>3399</v>
      </c>
      <c r="I133" s="31">
        <v>5.5460000000000003</v>
      </c>
      <c r="J133" s="35" t="s">
        <v>514</v>
      </c>
    </row>
    <row r="134" spans="2:10" x14ac:dyDescent="0.25">
      <c r="C134" s="57" t="s">
        <v>35</v>
      </c>
      <c r="D134" s="53"/>
      <c r="E134" s="6"/>
      <c r="F134" s="19"/>
      <c r="G134" s="25">
        <v>1608898.83</v>
      </c>
      <c r="H134" s="25">
        <v>63.49</v>
      </c>
      <c r="I134" s="31"/>
      <c r="J134" s="35"/>
    </row>
    <row r="135" spans="2:10" x14ac:dyDescent="0.25">
      <c r="C135" s="56"/>
      <c r="D135" s="53"/>
      <c r="E135" s="6"/>
      <c r="F135" s="19"/>
      <c r="G135" s="24"/>
      <c r="H135" s="24"/>
      <c r="I135" s="31"/>
      <c r="J135" s="35"/>
    </row>
    <row r="136" spans="2:10" x14ac:dyDescent="0.25">
      <c r="C136" s="59" t="s">
        <v>7</v>
      </c>
      <c r="D136" s="53"/>
      <c r="E136" s="6"/>
      <c r="F136" s="19"/>
      <c r="G136" s="24"/>
      <c r="H136" s="24"/>
      <c r="I136" s="31"/>
      <c r="J136" s="35"/>
    </row>
    <row r="137" spans="2:10" x14ac:dyDescent="0.25">
      <c r="B137" s="8" t="s">
        <v>1782</v>
      </c>
      <c r="C137" s="56" t="s">
        <v>1783</v>
      </c>
      <c r="D137" s="53" t="s">
        <v>1784</v>
      </c>
      <c r="E137" s="6" t="s">
        <v>551</v>
      </c>
      <c r="F137" s="19">
        <v>100</v>
      </c>
      <c r="G137" s="24">
        <v>10022.209999999999</v>
      </c>
      <c r="H137" s="24">
        <v>0.4</v>
      </c>
      <c r="I137" s="31">
        <v>7.0080999999999998</v>
      </c>
      <c r="J137" s="35" t="s">
        <v>514</v>
      </c>
    </row>
    <row r="138" spans="2:10" x14ac:dyDescent="0.25">
      <c r="C138" s="57" t="s">
        <v>35</v>
      </c>
      <c r="D138" s="53"/>
      <c r="E138" s="6"/>
      <c r="F138" s="19"/>
      <c r="G138" s="25">
        <v>10022.209999999999</v>
      </c>
      <c r="H138" s="25">
        <v>0.4</v>
      </c>
      <c r="I138" s="31"/>
      <c r="J138" s="35"/>
    </row>
    <row r="139" spans="2:10" x14ac:dyDescent="0.25">
      <c r="C139" s="56"/>
      <c r="D139" s="53"/>
      <c r="E139" s="6"/>
      <c r="F139" s="19"/>
      <c r="G139" s="24"/>
      <c r="H139" s="24"/>
      <c r="I139" s="31"/>
      <c r="J139" s="35"/>
    </row>
    <row r="140" spans="2:10" x14ac:dyDescent="0.25">
      <c r="C140" s="59" t="s">
        <v>8</v>
      </c>
      <c r="D140" s="53"/>
      <c r="E140" s="6"/>
      <c r="F140" s="19"/>
      <c r="G140" s="24"/>
      <c r="H140" s="24"/>
      <c r="I140" s="31"/>
      <c r="J140" s="35"/>
    </row>
    <row r="141" spans="2:10" x14ac:dyDescent="0.25">
      <c r="B141" s="8" t="s">
        <v>1419</v>
      </c>
      <c r="C141" s="56" t="s">
        <v>1420</v>
      </c>
      <c r="D141" s="53" t="s">
        <v>1421</v>
      </c>
      <c r="E141" s="6" t="s">
        <v>1422</v>
      </c>
      <c r="F141" s="19">
        <v>973</v>
      </c>
      <c r="G141" s="24">
        <v>12131.5</v>
      </c>
      <c r="H141" s="24">
        <v>0.48</v>
      </c>
      <c r="I141" s="31">
        <v>4.5183999999999997</v>
      </c>
      <c r="J141" s="35" t="s">
        <v>514</v>
      </c>
    </row>
    <row r="142" spans="2:10" x14ac:dyDescent="0.25">
      <c r="B142" s="8" t="s">
        <v>1794</v>
      </c>
      <c r="C142" s="56" t="s">
        <v>1424</v>
      </c>
      <c r="D142" s="53" t="s">
        <v>1795</v>
      </c>
      <c r="E142" s="6" t="s">
        <v>1422</v>
      </c>
      <c r="F142" s="19">
        <v>764</v>
      </c>
      <c r="G142" s="24">
        <v>9344.42</v>
      </c>
      <c r="H142" s="24">
        <v>0.37</v>
      </c>
      <c r="I142" s="31">
        <v>4.8571999999999997</v>
      </c>
      <c r="J142" s="35" t="s">
        <v>514</v>
      </c>
    </row>
    <row r="143" spans="2:10" x14ac:dyDescent="0.25">
      <c r="B143" s="8" t="s">
        <v>1792</v>
      </c>
      <c r="C143" s="56" t="s">
        <v>1420</v>
      </c>
      <c r="D143" s="53" t="s">
        <v>1793</v>
      </c>
      <c r="E143" s="6" t="s">
        <v>1422</v>
      </c>
      <c r="F143" s="19">
        <v>480</v>
      </c>
      <c r="G143" s="24">
        <v>6053.74</v>
      </c>
      <c r="H143" s="24">
        <v>0.24</v>
      </c>
      <c r="I143" s="31">
        <v>4.8914</v>
      </c>
      <c r="J143" s="35" t="s">
        <v>514</v>
      </c>
    </row>
    <row r="144" spans="2:10" x14ac:dyDescent="0.25">
      <c r="B144" s="8" t="s">
        <v>1426</v>
      </c>
      <c r="C144" s="56" t="s">
        <v>1427</v>
      </c>
      <c r="D144" s="53" t="s">
        <v>1428</v>
      </c>
      <c r="E144" s="6" t="s">
        <v>1422</v>
      </c>
      <c r="F144" s="19">
        <v>379</v>
      </c>
      <c r="G144" s="24">
        <v>4640.83</v>
      </c>
      <c r="H144" s="24">
        <v>0.18</v>
      </c>
      <c r="I144" s="31">
        <v>3.9510000000000001</v>
      </c>
      <c r="J144" s="35" t="s">
        <v>514</v>
      </c>
    </row>
    <row r="145" spans="2:10" x14ac:dyDescent="0.25">
      <c r="B145" s="8" t="s">
        <v>1433</v>
      </c>
      <c r="C145" s="56" t="s">
        <v>1424</v>
      </c>
      <c r="D145" s="53" t="s">
        <v>1434</v>
      </c>
      <c r="E145" s="6" t="s">
        <v>1422</v>
      </c>
      <c r="F145" s="19">
        <v>196</v>
      </c>
      <c r="G145" s="24">
        <v>2367.7800000000002</v>
      </c>
      <c r="H145" s="24">
        <v>0.09</v>
      </c>
      <c r="I145" s="31">
        <v>4.4913999999999996</v>
      </c>
      <c r="J145" s="35" t="s">
        <v>514</v>
      </c>
    </row>
    <row r="146" spans="2:10" x14ac:dyDescent="0.25">
      <c r="B146" s="8" t="s">
        <v>1423</v>
      </c>
      <c r="C146" s="56" t="s">
        <v>1424</v>
      </c>
      <c r="D146" s="53" t="s">
        <v>1425</v>
      </c>
      <c r="E146" s="6" t="s">
        <v>1422</v>
      </c>
      <c r="F146" s="19">
        <v>141</v>
      </c>
      <c r="G146" s="24">
        <v>1685.49</v>
      </c>
      <c r="H146" s="24">
        <v>7.0000000000000007E-2</v>
      </c>
      <c r="I146" s="31">
        <v>3.8492999999999999</v>
      </c>
      <c r="J146" s="35" t="s">
        <v>514</v>
      </c>
    </row>
    <row r="147" spans="2:10" x14ac:dyDescent="0.25">
      <c r="C147" s="57" t="s">
        <v>35</v>
      </c>
      <c r="D147" s="53"/>
      <c r="E147" s="6"/>
      <c r="F147" s="19"/>
      <c r="G147" s="25">
        <v>36223.760000000002</v>
      </c>
      <c r="H147" s="25">
        <v>1.43</v>
      </c>
      <c r="I147" s="31"/>
      <c r="J147" s="35"/>
    </row>
    <row r="148" spans="2:10" x14ac:dyDescent="0.25">
      <c r="C148" s="56"/>
      <c r="D148" s="53"/>
      <c r="E148" s="6"/>
      <c r="F148" s="19"/>
      <c r="G148" s="24"/>
      <c r="H148" s="24"/>
      <c r="I148" s="31"/>
      <c r="J148" s="35"/>
    </row>
    <row r="149" spans="2:10" x14ac:dyDescent="0.25">
      <c r="C149" s="59" t="s">
        <v>9</v>
      </c>
      <c r="D149" s="53"/>
      <c r="E149" s="6"/>
      <c r="F149" s="19"/>
      <c r="G149" s="24"/>
      <c r="H149" s="24"/>
      <c r="I149" s="31"/>
      <c r="J149" s="35"/>
    </row>
    <row r="150" spans="2:10" x14ac:dyDescent="0.25">
      <c r="B150" s="8" t="s">
        <v>964</v>
      </c>
      <c r="C150" s="56" t="s">
        <v>965</v>
      </c>
      <c r="D150" s="53" t="s">
        <v>966</v>
      </c>
      <c r="E150" s="6" t="s">
        <v>655</v>
      </c>
      <c r="F150" s="19">
        <v>210000000</v>
      </c>
      <c r="G150" s="24">
        <v>225430.17</v>
      </c>
      <c r="H150" s="24">
        <v>8.91</v>
      </c>
      <c r="I150" s="31">
        <v>5.6993</v>
      </c>
      <c r="J150" s="35"/>
    </row>
    <row r="151" spans="2:10" x14ac:dyDescent="0.25">
      <c r="B151" s="8" t="s">
        <v>967</v>
      </c>
      <c r="C151" s="56" t="s">
        <v>968</v>
      </c>
      <c r="D151" s="53" t="s">
        <v>969</v>
      </c>
      <c r="E151" s="6" t="s">
        <v>655</v>
      </c>
      <c r="F151" s="19">
        <v>143000000</v>
      </c>
      <c r="G151" s="24">
        <v>141979.54999999999</v>
      </c>
      <c r="H151" s="24">
        <v>5.61</v>
      </c>
      <c r="I151" s="31">
        <v>5.3917000000000002</v>
      </c>
      <c r="J151" s="35"/>
    </row>
    <row r="152" spans="2:10" x14ac:dyDescent="0.25">
      <c r="B152" s="8" t="s">
        <v>1346</v>
      </c>
      <c r="C152" s="56" t="s">
        <v>1347</v>
      </c>
      <c r="D152" s="53" t="s">
        <v>1348</v>
      </c>
      <c r="E152" s="6" t="s">
        <v>655</v>
      </c>
      <c r="F152" s="19">
        <v>117000000</v>
      </c>
      <c r="G152" s="24">
        <v>126983.96</v>
      </c>
      <c r="H152" s="24">
        <v>5.0199999999999996</v>
      </c>
      <c r="I152" s="31">
        <v>5.6924999999999999</v>
      </c>
      <c r="J152" s="35"/>
    </row>
    <row r="153" spans="2:10" x14ac:dyDescent="0.25">
      <c r="B153" s="8" t="s">
        <v>662</v>
      </c>
      <c r="C153" s="56" t="s">
        <v>663</v>
      </c>
      <c r="D153" s="53" t="s">
        <v>664</v>
      </c>
      <c r="E153" s="6" t="s">
        <v>655</v>
      </c>
      <c r="F153" s="19">
        <v>52000000</v>
      </c>
      <c r="G153" s="24">
        <v>51183.86</v>
      </c>
      <c r="H153" s="24">
        <v>2.02</v>
      </c>
      <c r="I153" s="31">
        <v>6.0063000000000004</v>
      </c>
      <c r="J153" s="35"/>
    </row>
    <row r="154" spans="2:10" x14ac:dyDescent="0.25">
      <c r="B154" s="8" t="s">
        <v>2859</v>
      </c>
      <c r="C154" s="56" t="s">
        <v>2860</v>
      </c>
      <c r="D154" s="53" t="s">
        <v>2861</v>
      </c>
      <c r="E154" s="6" t="s">
        <v>655</v>
      </c>
      <c r="F154" s="19">
        <v>45000000</v>
      </c>
      <c r="G154" s="24">
        <v>48620.93</v>
      </c>
      <c r="H154" s="24">
        <v>1.92</v>
      </c>
      <c r="I154" s="31">
        <v>4.9316000000000004</v>
      </c>
      <c r="J154" s="35"/>
    </row>
    <row r="155" spans="2:10" x14ac:dyDescent="0.25">
      <c r="B155" s="8" t="s">
        <v>970</v>
      </c>
      <c r="C155" s="56" t="s">
        <v>971</v>
      </c>
      <c r="D155" s="53" t="s">
        <v>972</v>
      </c>
      <c r="E155" s="6" t="s">
        <v>655</v>
      </c>
      <c r="F155" s="19">
        <v>35000000</v>
      </c>
      <c r="G155" s="24">
        <v>36154.089999999997</v>
      </c>
      <c r="H155" s="24">
        <v>1.43</v>
      </c>
      <c r="I155" s="31">
        <v>5.2718999999999996</v>
      </c>
      <c r="J155" s="35"/>
    </row>
    <row r="156" spans="2:10" x14ac:dyDescent="0.25">
      <c r="B156" s="8" t="s">
        <v>659</v>
      </c>
      <c r="C156" s="56" t="s">
        <v>660</v>
      </c>
      <c r="D156" s="53" t="s">
        <v>661</v>
      </c>
      <c r="E156" s="6" t="s">
        <v>655</v>
      </c>
      <c r="F156" s="19">
        <v>20000000</v>
      </c>
      <c r="G156" s="24">
        <v>21237.34</v>
      </c>
      <c r="H156" s="24">
        <v>0.84</v>
      </c>
      <c r="I156" s="31">
        <v>6.1013000000000002</v>
      </c>
      <c r="J156" s="35"/>
    </row>
    <row r="157" spans="2:10" x14ac:dyDescent="0.25">
      <c r="B157" s="8" t="s">
        <v>961</v>
      </c>
      <c r="C157" s="56" t="s">
        <v>962</v>
      </c>
      <c r="D157" s="53" t="s">
        <v>963</v>
      </c>
      <c r="E157" s="6" t="s">
        <v>655</v>
      </c>
      <c r="F157" s="19">
        <v>15000000</v>
      </c>
      <c r="G157" s="24">
        <v>16667.990000000002</v>
      </c>
      <c r="H157" s="24">
        <v>0.66</v>
      </c>
      <c r="I157" s="31">
        <v>5.9604999999999997</v>
      </c>
      <c r="J157" s="35"/>
    </row>
    <row r="158" spans="2:10" x14ac:dyDescent="0.25">
      <c r="B158" s="8" t="s">
        <v>2862</v>
      </c>
      <c r="C158" s="56" t="s">
        <v>2863</v>
      </c>
      <c r="D158" s="53" t="s">
        <v>2864</v>
      </c>
      <c r="E158" s="6" t="s">
        <v>655</v>
      </c>
      <c r="F158" s="19">
        <v>200</v>
      </c>
      <c r="G158" s="24">
        <v>0.2</v>
      </c>
      <c r="H158" s="24" t="s">
        <v>3399</v>
      </c>
      <c r="I158" s="31">
        <v>6.5048000000000004</v>
      </c>
      <c r="J158" s="35"/>
    </row>
    <row r="159" spans="2:10" x14ac:dyDescent="0.25">
      <c r="C159" s="57" t="s">
        <v>35</v>
      </c>
      <c r="D159" s="53"/>
      <c r="E159" s="6"/>
      <c r="F159" s="19"/>
      <c r="G159" s="25">
        <v>668258.09</v>
      </c>
      <c r="H159" s="25">
        <v>26.41</v>
      </c>
      <c r="I159" s="31"/>
      <c r="J159" s="35"/>
    </row>
    <row r="160" spans="2:10" x14ac:dyDescent="0.25">
      <c r="C160" s="56"/>
      <c r="D160" s="53"/>
      <c r="E160" s="6"/>
      <c r="F160" s="19"/>
      <c r="G160" s="24"/>
      <c r="H160" s="24"/>
      <c r="I160" s="31"/>
      <c r="J160" s="35"/>
    </row>
    <row r="161" spans="1:10" x14ac:dyDescent="0.25">
      <c r="C161" s="59" t="s">
        <v>10</v>
      </c>
      <c r="D161" s="53"/>
      <c r="E161" s="6"/>
      <c r="F161" s="19"/>
      <c r="G161" s="24"/>
      <c r="H161" s="24"/>
      <c r="I161" s="31"/>
      <c r="J161" s="35"/>
    </row>
    <row r="162" spans="1:10" x14ac:dyDescent="0.25">
      <c r="B162" s="8" t="s">
        <v>2190</v>
      </c>
      <c r="C162" s="56" t="s">
        <v>2191</v>
      </c>
      <c r="D162" s="53" t="s">
        <v>2192</v>
      </c>
      <c r="E162" s="6" t="s">
        <v>655</v>
      </c>
      <c r="F162" s="19">
        <v>30000000</v>
      </c>
      <c r="G162" s="24">
        <v>30970.5</v>
      </c>
      <c r="H162" s="24">
        <v>1.22</v>
      </c>
      <c r="I162" s="31">
        <v>5.8094000000000001</v>
      </c>
      <c r="J162" s="35"/>
    </row>
    <row r="163" spans="1:10" x14ac:dyDescent="0.25">
      <c r="B163" s="8" t="s">
        <v>2865</v>
      </c>
      <c r="C163" s="56" t="s">
        <v>2866</v>
      </c>
      <c r="D163" s="53" t="s">
        <v>2867</v>
      </c>
      <c r="E163" s="6" t="s">
        <v>655</v>
      </c>
      <c r="F163" s="19">
        <v>7500000</v>
      </c>
      <c r="G163" s="24">
        <v>8076.69</v>
      </c>
      <c r="H163" s="24">
        <v>0.32</v>
      </c>
      <c r="I163" s="31">
        <v>6.0206</v>
      </c>
      <c r="J163" s="35"/>
    </row>
    <row r="164" spans="1:10" x14ac:dyDescent="0.25">
      <c r="B164" s="8" t="s">
        <v>2868</v>
      </c>
      <c r="C164" s="56" t="s">
        <v>2869</v>
      </c>
      <c r="D164" s="53" t="s">
        <v>2870</v>
      </c>
      <c r="E164" s="6" t="s">
        <v>655</v>
      </c>
      <c r="F164" s="19">
        <v>6000000</v>
      </c>
      <c r="G164" s="24">
        <v>6158.73</v>
      </c>
      <c r="H164" s="24">
        <v>0.24</v>
      </c>
      <c r="I164" s="31">
        <v>6.4869000000000003</v>
      </c>
      <c r="J164" s="35"/>
    </row>
    <row r="165" spans="1:10" x14ac:dyDescent="0.25">
      <c r="B165" s="8" t="s">
        <v>2871</v>
      </c>
      <c r="C165" s="56" t="s">
        <v>2872</v>
      </c>
      <c r="D165" s="53" t="s">
        <v>2873</v>
      </c>
      <c r="E165" s="6" t="s">
        <v>655</v>
      </c>
      <c r="F165" s="19">
        <v>5000000</v>
      </c>
      <c r="G165" s="24">
        <v>5390.6</v>
      </c>
      <c r="H165" s="24">
        <v>0.21</v>
      </c>
      <c r="I165" s="31">
        <v>6.0305999999999997</v>
      </c>
      <c r="J165" s="35"/>
    </row>
    <row r="166" spans="1:10" x14ac:dyDescent="0.25">
      <c r="B166" s="8" t="s">
        <v>2874</v>
      </c>
      <c r="C166" s="56" t="s">
        <v>2875</v>
      </c>
      <c r="D166" s="53" t="s">
        <v>2876</v>
      </c>
      <c r="E166" s="6" t="s">
        <v>655</v>
      </c>
      <c r="F166" s="19">
        <v>3500000</v>
      </c>
      <c r="G166" s="24">
        <v>3508.24</v>
      </c>
      <c r="H166" s="24">
        <v>0.14000000000000001</v>
      </c>
      <c r="I166" s="31">
        <v>6.1086</v>
      </c>
      <c r="J166" s="35"/>
    </row>
    <row r="167" spans="1:10" x14ac:dyDescent="0.25">
      <c r="B167" s="8" t="s">
        <v>2877</v>
      </c>
      <c r="C167" s="56" t="s">
        <v>2878</v>
      </c>
      <c r="D167" s="53" t="s">
        <v>2879</v>
      </c>
      <c r="E167" s="6" t="s">
        <v>655</v>
      </c>
      <c r="F167" s="19">
        <v>2632000</v>
      </c>
      <c r="G167" s="24">
        <v>2769.8</v>
      </c>
      <c r="H167" s="24">
        <v>0.11</v>
      </c>
      <c r="I167" s="31">
        <v>5.0594000000000001</v>
      </c>
      <c r="J167" s="35"/>
    </row>
    <row r="168" spans="1:10" x14ac:dyDescent="0.25">
      <c r="B168" s="8" t="s">
        <v>2880</v>
      </c>
      <c r="C168" s="56" t="s">
        <v>2881</v>
      </c>
      <c r="D168" s="53" t="s">
        <v>2882</v>
      </c>
      <c r="E168" s="6" t="s">
        <v>655</v>
      </c>
      <c r="F168" s="19">
        <v>2500000</v>
      </c>
      <c r="G168" s="24">
        <v>2720.56</v>
      </c>
      <c r="H168" s="24">
        <v>0.11</v>
      </c>
      <c r="I168" s="31">
        <v>6.1467999999999998</v>
      </c>
      <c r="J168" s="35"/>
    </row>
    <row r="169" spans="1:10" x14ac:dyDescent="0.25">
      <c r="B169" s="8" t="s">
        <v>2196</v>
      </c>
      <c r="C169" s="56" t="s">
        <v>2197</v>
      </c>
      <c r="D169" s="53" t="s">
        <v>2198</v>
      </c>
      <c r="E169" s="6" t="s">
        <v>655</v>
      </c>
      <c r="F169" s="19">
        <v>2500000</v>
      </c>
      <c r="G169" s="24">
        <v>2719.19</v>
      </c>
      <c r="H169" s="24">
        <v>0.11</v>
      </c>
      <c r="I169" s="31">
        <v>6.4444999999999997</v>
      </c>
      <c r="J169" s="35"/>
    </row>
    <row r="170" spans="1:10" x14ac:dyDescent="0.25">
      <c r="B170" s="8" t="s">
        <v>2883</v>
      </c>
      <c r="C170" s="56" t="s">
        <v>2884</v>
      </c>
      <c r="D170" s="53" t="s">
        <v>2885</v>
      </c>
      <c r="E170" s="6" t="s">
        <v>655</v>
      </c>
      <c r="F170" s="19">
        <v>2500000</v>
      </c>
      <c r="G170" s="24">
        <v>2695.92</v>
      </c>
      <c r="H170" s="24">
        <v>0.11</v>
      </c>
      <c r="I170" s="31">
        <v>6.0338000000000003</v>
      </c>
      <c r="J170" s="35"/>
    </row>
    <row r="171" spans="1:10" x14ac:dyDescent="0.25">
      <c r="B171" s="8" t="s">
        <v>2886</v>
      </c>
      <c r="C171" s="56" t="s">
        <v>2887</v>
      </c>
      <c r="D171" s="53" t="s">
        <v>2888</v>
      </c>
      <c r="E171" s="6" t="s">
        <v>655</v>
      </c>
      <c r="F171" s="19">
        <v>2000000</v>
      </c>
      <c r="G171" s="24">
        <v>2154.0700000000002</v>
      </c>
      <c r="H171" s="24">
        <v>0.09</v>
      </c>
      <c r="I171" s="31">
        <v>6.0221</v>
      </c>
      <c r="J171" s="35"/>
    </row>
    <row r="172" spans="1:10" x14ac:dyDescent="0.25">
      <c r="C172" s="57" t="s">
        <v>35</v>
      </c>
      <c r="D172" s="53"/>
      <c r="E172" s="6"/>
      <c r="F172" s="19"/>
      <c r="G172" s="25">
        <v>67164.3</v>
      </c>
      <c r="H172" s="25">
        <v>2.66</v>
      </c>
      <c r="I172" s="31"/>
      <c r="J172" s="35"/>
    </row>
    <row r="173" spans="1:10" x14ac:dyDescent="0.25">
      <c r="C173" s="56"/>
      <c r="D173" s="53"/>
      <c r="E173" s="6"/>
      <c r="F173" s="19"/>
      <c r="G173" s="24"/>
      <c r="H173" s="24"/>
      <c r="I173" s="31"/>
      <c r="J173" s="35"/>
    </row>
    <row r="174" spans="1:10" x14ac:dyDescent="0.25">
      <c r="A174" s="10"/>
      <c r="B174" s="28"/>
      <c r="C174" s="58" t="s">
        <v>11</v>
      </c>
      <c r="D174" s="53"/>
      <c r="E174" s="6"/>
      <c r="F174" s="19"/>
      <c r="G174" s="24"/>
      <c r="H174" s="24"/>
      <c r="I174" s="31"/>
      <c r="J174" s="35"/>
    </row>
    <row r="175" spans="1:10" x14ac:dyDescent="0.25">
      <c r="A175" s="28"/>
      <c r="B175" s="28"/>
      <c r="C175" s="58" t="s">
        <v>13</v>
      </c>
      <c r="D175" s="53"/>
      <c r="E175" s="6"/>
      <c r="F175" s="19"/>
      <c r="G175" s="24" t="s">
        <v>2</v>
      </c>
      <c r="H175" s="24" t="s">
        <v>2</v>
      </c>
      <c r="I175" s="31"/>
      <c r="J175" s="35"/>
    </row>
    <row r="176" spans="1:10" x14ac:dyDescent="0.25">
      <c r="A176" s="28"/>
      <c r="B176" s="28"/>
      <c r="C176" s="58"/>
      <c r="D176" s="53"/>
      <c r="E176" s="6"/>
      <c r="F176" s="19"/>
      <c r="G176" s="24"/>
      <c r="H176" s="24"/>
      <c r="I176" s="31"/>
      <c r="J176" s="35"/>
    </row>
    <row r="177" spans="1:10" x14ac:dyDescent="0.25">
      <c r="A177" s="28"/>
      <c r="B177" s="28"/>
      <c r="C177" s="58" t="s">
        <v>14</v>
      </c>
      <c r="D177" s="53"/>
      <c r="E177" s="6"/>
      <c r="F177" s="19"/>
      <c r="G177" s="24" t="s">
        <v>2</v>
      </c>
      <c r="H177" s="24" t="s">
        <v>2</v>
      </c>
      <c r="I177" s="31"/>
      <c r="J177" s="35"/>
    </row>
    <row r="178" spans="1:10" x14ac:dyDescent="0.25">
      <c r="A178" s="28"/>
      <c r="B178" s="28"/>
      <c r="C178" s="58"/>
      <c r="D178" s="53"/>
      <c r="E178" s="6"/>
      <c r="F178" s="19"/>
      <c r="G178" s="24"/>
      <c r="H178" s="24"/>
      <c r="I178" s="31"/>
      <c r="J178" s="35"/>
    </row>
    <row r="179" spans="1:10" x14ac:dyDescent="0.25">
      <c r="C179" s="59" t="s">
        <v>15</v>
      </c>
      <c r="D179" s="53"/>
      <c r="E179" s="6"/>
      <c r="F179" s="19"/>
      <c r="G179" s="24"/>
      <c r="H179" s="24"/>
      <c r="I179" s="31"/>
      <c r="J179" s="35"/>
    </row>
    <row r="180" spans="1:10" x14ac:dyDescent="0.25">
      <c r="B180" s="8" t="s">
        <v>2889</v>
      </c>
      <c r="C180" s="56" t="s">
        <v>2890</v>
      </c>
      <c r="D180" s="53" t="s">
        <v>2891</v>
      </c>
      <c r="E180" s="6" t="s">
        <v>655</v>
      </c>
      <c r="F180" s="19">
        <v>4500000</v>
      </c>
      <c r="G180" s="24">
        <v>3595.55</v>
      </c>
      <c r="H180" s="24">
        <v>0.14000000000000001</v>
      </c>
      <c r="I180" s="31">
        <v>5.3999499999999996</v>
      </c>
      <c r="J180" s="35"/>
    </row>
    <row r="181" spans="1:10" x14ac:dyDescent="0.25">
      <c r="B181" s="8" t="s">
        <v>2892</v>
      </c>
      <c r="C181" s="56" t="s">
        <v>2893</v>
      </c>
      <c r="D181" s="53" t="s">
        <v>2894</v>
      </c>
      <c r="E181" s="6" t="s">
        <v>655</v>
      </c>
      <c r="F181" s="19">
        <v>275000</v>
      </c>
      <c r="G181" s="24">
        <v>248.81</v>
      </c>
      <c r="H181" s="24">
        <v>0.01</v>
      </c>
      <c r="I181" s="31">
        <v>4.5771499999999996</v>
      </c>
      <c r="J181" s="35"/>
    </row>
    <row r="182" spans="1:10" x14ac:dyDescent="0.25">
      <c r="B182" s="8" t="s">
        <v>2895</v>
      </c>
      <c r="C182" s="56" t="s">
        <v>2896</v>
      </c>
      <c r="D182" s="53" t="s">
        <v>2897</v>
      </c>
      <c r="E182" s="6" t="s">
        <v>655</v>
      </c>
      <c r="F182" s="19">
        <v>101800</v>
      </c>
      <c r="G182" s="24">
        <v>92.13</v>
      </c>
      <c r="H182" s="24" t="s">
        <v>3399</v>
      </c>
      <c r="I182" s="31">
        <v>4.5756500000000004</v>
      </c>
      <c r="J182" s="35"/>
    </row>
    <row r="183" spans="1:10" x14ac:dyDescent="0.25">
      <c r="C183" s="57" t="s">
        <v>35</v>
      </c>
      <c r="D183" s="53"/>
      <c r="E183" s="6"/>
      <c r="F183" s="19"/>
      <c r="G183" s="25">
        <v>3936.49</v>
      </c>
      <c r="H183" s="25">
        <v>0.15</v>
      </c>
      <c r="I183" s="31"/>
      <c r="J183" s="35"/>
    </row>
    <row r="184" spans="1:10" x14ac:dyDescent="0.25">
      <c r="C184" s="56"/>
      <c r="D184" s="53"/>
      <c r="E184" s="6"/>
      <c r="F184" s="19"/>
      <c r="G184" s="24"/>
      <c r="H184" s="24"/>
      <c r="I184" s="31"/>
      <c r="J184" s="35"/>
    </row>
    <row r="185" spans="1:10" x14ac:dyDescent="0.25">
      <c r="C185" s="57" t="s">
        <v>16</v>
      </c>
      <c r="D185" s="53"/>
      <c r="E185" s="6"/>
      <c r="F185" s="19"/>
      <c r="G185" s="24" t="s">
        <v>2</v>
      </c>
      <c r="H185" s="24" t="s">
        <v>2</v>
      </c>
      <c r="I185" s="31"/>
      <c r="J185" s="35"/>
    </row>
    <row r="186" spans="1:10" x14ac:dyDescent="0.25">
      <c r="C186" s="56"/>
      <c r="D186" s="53"/>
      <c r="E186" s="6"/>
      <c r="F186" s="19"/>
      <c r="G186" s="24"/>
      <c r="H186" s="24"/>
      <c r="I186" s="31"/>
      <c r="J186" s="35"/>
    </row>
    <row r="187" spans="1:10" x14ac:dyDescent="0.25">
      <c r="A187" s="10"/>
      <c r="B187" s="28"/>
      <c r="C187" s="58" t="s">
        <v>17</v>
      </c>
      <c r="D187" s="53"/>
      <c r="E187" s="6"/>
      <c r="F187" s="19"/>
      <c r="G187" s="24"/>
      <c r="H187" s="24"/>
      <c r="I187" s="31"/>
      <c r="J187" s="35"/>
    </row>
    <row r="188" spans="1:10" x14ac:dyDescent="0.25">
      <c r="A188" s="28"/>
      <c r="B188" s="28"/>
      <c r="C188" s="58" t="s">
        <v>18</v>
      </c>
      <c r="D188" s="53"/>
      <c r="E188" s="6"/>
      <c r="F188" s="19"/>
      <c r="G188" s="24" t="s">
        <v>2</v>
      </c>
      <c r="H188" s="24" t="s">
        <v>2</v>
      </c>
      <c r="I188" s="31"/>
      <c r="J188" s="35"/>
    </row>
    <row r="189" spans="1:10" x14ac:dyDescent="0.25">
      <c r="A189" s="28"/>
      <c r="B189" s="28"/>
      <c r="C189" s="58"/>
      <c r="D189" s="53"/>
      <c r="E189" s="6"/>
      <c r="F189" s="19"/>
      <c r="G189" s="24"/>
      <c r="H189" s="24"/>
      <c r="I189" s="31"/>
      <c r="J189" s="35"/>
    </row>
    <row r="190" spans="1:10" x14ac:dyDescent="0.25">
      <c r="A190" s="28"/>
      <c r="B190" s="28"/>
      <c r="C190" s="58" t="s">
        <v>19</v>
      </c>
      <c r="D190" s="53"/>
      <c r="E190" s="6"/>
      <c r="F190" s="19"/>
      <c r="G190" s="24" t="s">
        <v>2</v>
      </c>
      <c r="H190" s="24" t="s">
        <v>2</v>
      </c>
      <c r="I190" s="31"/>
      <c r="J190" s="35"/>
    </row>
    <row r="191" spans="1:10" x14ac:dyDescent="0.25">
      <c r="A191" s="28"/>
      <c r="B191" s="28"/>
      <c r="C191" s="58"/>
      <c r="D191" s="53"/>
      <c r="E191" s="6"/>
      <c r="F191" s="19"/>
      <c r="G191" s="24"/>
      <c r="H191" s="24"/>
      <c r="I191" s="31"/>
      <c r="J191" s="35"/>
    </row>
    <row r="192" spans="1:10" x14ac:dyDescent="0.25">
      <c r="A192" s="28"/>
      <c r="B192" s="28"/>
      <c r="C192" s="58" t="s">
        <v>20</v>
      </c>
      <c r="D192" s="53"/>
      <c r="E192" s="6"/>
      <c r="F192" s="19"/>
      <c r="G192" s="24" t="s">
        <v>2</v>
      </c>
      <c r="H192" s="24" t="s">
        <v>2</v>
      </c>
      <c r="I192" s="31"/>
      <c r="J192" s="35"/>
    </row>
    <row r="193" spans="1:10" x14ac:dyDescent="0.25">
      <c r="A193" s="28"/>
      <c r="B193" s="28"/>
      <c r="C193" s="58"/>
      <c r="D193" s="53"/>
      <c r="E193" s="6"/>
      <c r="F193" s="19"/>
      <c r="G193" s="24"/>
      <c r="H193" s="24"/>
      <c r="I193" s="31"/>
      <c r="J193" s="35"/>
    </row>
    <row r="194" spans="1:10" x14ac:dyDescent="0.25">
      <c r="A194" s="28"/>
      <c r="B194" s="28"/>
      <c r="C194" s="58" t="s">
        <v>21</v>
      </c>
      <c r="D194" s="53"/>
      <c r="E194" s="6"/>
      <c r="F194" s="19"/>
      <c r="G194" s="24" t="s">
        <v>2</v>
      </c>
      <c r="H194" s="24" t="s">
        <v>2</v>
      </c>
      <c r="I194" s="31"/>
      <c r="J194" s="35"/>
    </row>
    <row r="195" spans="1:10" x14ac:dyDescent="0.25">
      <c r="A195" s="28"/>
      <c r="B195" s="28"/>
      <c r="C195" s="58"/>
      <c r="D195" s="53"/>
      <c r="E195" s="6"/>
      <c r="F195" s="19"/>
      <c r="G195" s="24"/>
      <c r="H195" s="24"/>
      <c r="I195" s="31"/>
      <c r="J195" s="35"/>
    </row>
    <row r="196" spans="1:10" x14ac:dyDescent="0.25">
      <c r="C196" s="59" t="s">
        <v>22</v>
      </c>
      <c r="D196" s="53"/>
      <c r="E196" s="6"/>
      <c r="F196" s="19"/>
      <c r="G196" s="24"/>
      <c r="H196" s="24"/>
      <c r="I196" s="31"/>
      <c r="J196" s="35"/>
    </row>
    <row r="197" spans="1:10" x14ac:dyDescent="0.25">
      <c r="B197" s="8" t="s">
        <v>33</v>
      </c>
      <c r="C197" s="56" t="s">
        <v>34</v>
      </c>
      <c r="D197" s="53"/>
      <c r="E197" s="6"/>
      <c r="F197" s="19"/>
      <c r="G197" s="24">
        <v>87524.37</v>
      </c>
      <c r="H197" s="24">
        <v>3.46</v>
      </c>
      <c r="I197" s="31"/>
      <c r="J197" s="35"/>
    </row>
    <row r="198" spans="1:10" x14ac:dyDescent="0.25">
      <c r="C198" s="57" t="s">
        <v>35</v>
      </c>
      <c r="D198" s="53"/>
      <c r="E198" s="6"/>
      <c r="F198" s="19"/>
      <c r="G198" s="25">
        <v>87524.37</v>
      </c>
      <c r="H198" s="25">
        <v>3.46</v>
      </c>
      <c r="I198" s="31"/>
      <c r="J198" s="35"/>
    </row>
    <row r="199" spans="1:10" x14ac:dyDescent="0.25">
      <c r="C199" s="56"/>
      <c r="D199" s="53"/>
      <c r="E199" s="6"/>
      <c r="F199" s="19"/>
      <c r="G199" s="24"/>
      <c r="H199" s="24"/>
      <c r="I199" s="31"/>
      <c r="J199" s="35"/>
    </row>
    <row r="200" spans="1:10" x14ac:dyDescent="0.25">
      <c r="A200" s="10"/>
      <c r="B200" s="28"/>
      <c r="C200" s="58" t="s">
        <v>23</v>
      </c>
      <c r="D200" s="53"/>
      <c r="E200" s="6"/>
      <c r="F200" s="19"/>
      <c r="G200" s="24"/>
      <c r="H200" s="24"/>
      <c r="I200" s="31"/>
      <c r="J200" s="35"/>
    </row>
    <row r="201" spans="1:10" x14ac:dyDescent="0.25">
      <c r="A201" s="28"/>
      <c r="B201" s="28"/>
      <c r="C201" s="60" t="s">
        <v>3398</v>
      </c>
      <c r="D201" s="53"/>
      <c r="E201" s="6"/>
      <c r="F201" s="19"/>
      <c r="G201" s="24" t="s">
        <v>2</v>
      </c>
      <c r="H201" s="24" t="s">
        <v>2</v>
      </c>
      <c r="I201" s="31"/>
      <c r="J201" s="35"/>
    </row>
    <row r="202" spans="1:10" x14ac:dyDescent="0.25">
      <c r="B202" s="8"/>
      <c r="C202" s="56" t="s">
        <v>36</v>
      </c>
      <c r="D202" s="53"/>
      <c r="E202" s="6"/>
      <c r="F202" s="19"/>
      <c r="G202" s="24">
        <v>49381.55</v>
      </c>
      <c r="H202" s="24">
        <v>2</v>
      </c>
      <c r="I202" s="31"/>
      <c r="J202" s="35"/>
    </row>
    <row r="203" spans="1:10" x14ac:dyDescent="0.25">
      <c r="C203" s="57" t="s">
        <v>35</v>
      </c>
      <c r="D203" s="53"/>
      <c r="E203" s="6"/>
      <c r="F203" s="19"/>
      <c r="G203" s="25">
        <v>49381.55</v>
      </c>
      <c r="H203" s="25">
        <v>2</v>
      </c>
      <c r="I203" s="31"/>
      <c r="J203" s="35"/>
    </row>
    <row r="204" spans="1:10" x14ac:dyDescent="0.25">
      <c r="C204" s="56"/>
      <c r="D204" s="53"/>
      <c r="E204" s="6"/>
      <c r="F204" s="19"/>
      <c r="G204" s="24"/>
      <c r="H204" s="24"/>
      <c r="I204" s="31"/>
      <c r="J204" s="35"/>
    </row>
    <row r="205" spans="1:10" x14ac:dyDescent="0.25">
      <c r="C205" s="61" t="s">
        <v>37</v>
      </c>
      <c r="D205" s="54"/>
      <c r="E205" s="5"/>
      <c r="F205" s="20"/>
      <c r="G205" s="26">
        <v>2531409.6</v>
      </c>
      <c r="H205" s="26">
        <f>SUMIFS(H:H,C:C,"Total")</f>
        <v>100</v>
      </c>
      <c r="I205" s="32"/>
      <c r="J205" s="36"/>
    </row>
    <row r="208" spans="1:10" x14ac:dyDescent="0.25">
      <c r="C208" s="1" t="s">
        <v>38</v>
      </c>
    </row>
    <row r="209" spans="3:3" x14ac:dyDescent="0.25">
      <c r="C209" s="2" t="s">
        <v>39</v>
      </c>
    </row>
    <row r="210" spans="3:3" x14ac:dyDescent="0.25">
      <c r="C210" s="2" t="s">
        <v>40</v>
      </c>
    </row>
    <row r="211" spans="3:3" x14ac:dyDescent="0.25">
      <c r="C211" s="2" t="s">
        <v>3430</v>
      </c>
    </row>
  </sheetData>
  <hyperlinks>
    <hyperlink ref="J2" location="'Index'!A1" display="'Index'!A1"/>
  </hyperlinks>
  <pageMargins left="0.7" right="0.7" top="0.75" bottom="0.75" header="0.3" footer="0.3"/>
  <pageSetup orientation="portrait" horizontalDpi="4294967293"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0"/>
  <dimension ref="A1:J7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2898</v>
      </c>
      <c r="J2" s="37" t="s">
        <v>3307</v>
      </c>
    </row>
    <row r="3" spans="1:10" ht="16.5" x14ac:dyDescent="0.3">
      <c r="C3" s="1" t="s">
        <v>24</v>
      </c>
      <c r="D3" s="21" t="s">
        <v>2899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2692</v>
      </c>
      <c r="C18" s="56" t="s">
        <v>2421</v>
      </c>
      <c r="D18" s="53" t="s">
        <v>2693</v>
      </c>
      <c r="E18" s="6" t="s">
        <v>534</v>
      </c>
      <c r="F18" s="19">
        <v>120</v>
      </c>
      <c r="G18" s="24">
        <v>1491.23</v>
      </c>
      <c r="H18" s="24">
        <v>9.94</v>
      </c>
      <c r="I18" s="31">
        <v>5.23</v>
      </c>
      <c r="J18" s="35" t="s">
        <v>514</v>
      </c>
    </row>
    <row r="19" spans="2:10" x14ac:dyDescent="0.25">
      <c r="B19" s="8" t="s">
        <v>2900</v>
      </c>
      <c r="C19" s="56" t="s">
        <v>1935</v>
      </c>
      <c r="D19" s="53" t="s">
        <v>2901</v>
      </c>
      <c r="E19" s="6" t="s">
        <v>534</v>
      </c>
      <c r="F19" s="19">
        <v>156</v>
      </c>
      <c r="G19" s="24">
        <v>1448.3</v>
      </c>
      <c r="H19" s="24">
        <v>9.65</v>
      </c>
      <c r="I19" s="31">
        <v>5.1498999999999997</v>
      </c>
      <c r="J19" s="35" t="s">
        <v>514</v>
      </c>
    </row>
    <row r="20" spans="2:10" x14ac:dyDescent="0.25">
      <c r="B20" s="8" t="s">
        <v>2902</v>
      </c>
      <c r="C20" s="56" t="s">
        <v>2316</v>
      </c>
      <c r="D20" s="53" t="s">
        <v>2903</v>
      </c>
      <c r="E20" s="6" t="s">
        <v>534</v>
      </c>
      <c r="F20" s="19">
        <v>100</v>
      </c>
      <c r="G20" s="24">
        <v>1258.8</v>
      </c>
      <c r="H20" s="24">
        <v>8.39</v>
      </c>
      <c r="I20" s="31">
        <v>5.4550000000000001</v>
      </c>
      <c r="J20" s="35" t="s">
        <v>514</v>
      </c>
    </row>
    <row r="21" spans="2:10" x14ac:dyDescent="0.25">
      <c r="B21" s="8" t="s">
        <v>2654</v>
      </c>
      <c r="C21" s="56" t="s">
        <v>2655</v>
      </c>
      <c r="D21" s="53" t="s">
        <v>2656</v>
      </c>
      <c r="E21" s="6" t="s">
        <v>534</v>
      </c>
      <c r="F21" s="19">
        <v>120</v>
      </c>
      <c r="G21" s="24">
        <v>1253.58</v>
      </c>
      <c r="H21" s="24">
        <v>8.36</v>
      </c>
      <c r="I21" s="31">
        <v>4.3499999999999996</v>
      </c>
      <c r="J21" s="35"/>
    </row>
    <row r="22" spans="2:10" x14ac:dyDescent="0.25">
      <c r="B22" s="8" t="s">
        <v>2657</v>
      </c>
      <c r="C22" s="56" t="s">
        <v>1127</v>
      </c>
      <c r="D22" s="53" t="s">
        <v>2658</v>
      </c>
      <c r="E22" s="6" t="s">
        <v>534</v>
      </c>
      <c r="F22" s="19">
        <v>100</v>
      </c>
      <c r="G22" s="24">
        <v>1242</v>
      </c>
      <c r="H22" s="24">
        <v>8.2799999999999994</v>
      </c>
      <c r="I22" s="31">
        <v>4.8418999999999999</v>
      </c>
      <c r="J22" s="35" t="s">
        <v>514</v>
      </c>
    </row>
    <row r="23" spans="2:10" x14ac:dyDescent="0.25">
      <c r="B23" s="8" t="s">
        <v>2698</v>
      </c>
      <c r="C23" s="56" t="s">
        <v>1130</v>
      </c>
      <c r="D23" s="53" t="s">
        <v>2699</v>
      </c>
      <c r="E23" s="6" t="s">
        <v>911</v>
      </c>
      <c r="F23" s="19">
        <v>110</v>
      </c>
      <c r="G23" s="24">
        <v>1157.22</v>
      </c>
      <c r="H23" s="24">
        <v>7.71</v>
      </c>
      <c r="I23" s="31">
        <v>4.6448999999999998</v>
      </c>
      <c r="J23" s="35" t="s">
        <v>514</v>
      </c>
    </row>
    <row r="24" spans="2:10" x14ac:dyDescent="0.25">
      <c r="B24" s="8" t="s">
        <v>2636</v>
      </c>
      <c r="C24" s="56" t="s">
        <v>1752</v>
      </c>
      <c r="D24" s="53" t="s">
        <v>2637</v>
      </c>
      <c r="E24" s="6" t="s">
        <v>1314</v>
      </c>
      <c r="F24" s="19">
        <v>100</v>
      </c>
      <c r="G24" s="24">
        <v>1055.17</v>
      </c>
      <c r="H24" s="24">
        <v>7.03</v>
      </c>
      <c r="I24" s="31">
        <v>4.375</v>
      </c>
      <c r="J24" s="35" t="s">
        <v>514</v>
      </c>
    </row>
    <row r="25" spans="2:10" x14ac:dyDescent="0.25">
      <c r="B25" s="8" t="s">
        <v>1884</v>
      </c>
      <c r="C25" s="56" t="s">
        <v>1376</v>
      </c>
      <c r="D25" s="53" t="s">
        <v>1885</v>
      </c>
      <c r="E25" s="6" t="s">
        <v>534</v>
      </c>
      <c r="F25" s="19">
        <v>100</v>
      </c>
      <c r="G25" s="24">
        <v>1054.05</v>
      </c>
      <c r="H25" s="24">
        <v>7.03</v>
      </c>
      <c r="I25" s="31">
        <v>4.6833</v>
      </c>
      <c r="J25" s="35"/>
    </row>
    <row r="26" spans="2:10" x14ac:dyDescent="0.25">
      <c r="B26" s="8" t="s">
        <v>1394</v>
      </c>
      <c r="C26" s="56" t="s">
        <v>909</v>
      </c>
      <c r="D26" s="53" t="s">
        <v>1395</v>
      </c>
      <c r="E26" s="6" t="s">
        <v>534</v>
      </c>
      <c r="F26" s="19">
        <v>100</v>
      </c>
      <c r="G26" s="24">
        <v>1052.31</v>
      </c>
      <c r="H26" s="24">
        <v>7.01</v>
      </c>
      <c r="I26" s="31">
        <v>4.4400000000000004</v>
      </c>
      <c r="J26" s="35" t="s">
        <v>514</v>
      </c>
    </row>
    <row r="27" spans="2:10" x14ac:dyDescent="0.25">
      <c r="B27" s="8" t="s">
        <v>2904</v>
      </c>
      <c r="C27" s="56" t="s">
        <v>1738</v>
      </c>
      <c r="D27" s="53" t="s">
        <v>2905</v>
      </c>
      <c r="E27" s="6" t="s">
        <v>534</v>
      </c>
      <c r="F27" s="19">
        <v>90</v>
      </c>
      <c r="G27" s="24">
        <v>945.23</v>
      </c>
      <c r="H27" s="24">
        <v>6.3</v>
      </c>
      <c r="I27" s="31">
        <v>4.25</v>
      </c>
      <c r="J27" s="35"/>
    </row>
    <row r="28" spans="2:10" x14ac:dyDescent="0.25">
      <c r="B28" s="8" t="s">
        <v>2661</v>
      </c>
      <c r="C28" s="56" t="s">
        <v>1127</v>
      </c>
      <c r="D28" s="53" t="s">
        <v>2662</v>
      </c>
      <c r="E28" s="6" t="s">
        <v>534</v>
      </c>
      <c r="F28" s="19">
        <v>10</v>
      </c>
      <c r="G28" s="24">
        <v>105.99</v>
      </c>
      <c r="H28" s="24">
        <v>0.71</v>
      </c>
      <c r="I28" s="31">
        <v>4.8899999999999997</v>
      </c>
      <c r="J28" s="35" t="s">
        <v>514</v>
      </c>
    </row>
    <row r="29" spans="2:10" x14ac:dyDescent="0.25">
      <c r="C29" s="57" t="s">
        <v>35</v>
      </c>
      <c r="D29" s="53"/>
      <c r="E29" s="6"/>
      <c r="F29" s="19"/>
      <c r="G29" s="25">
        <v>12063.88</v>
      </c>
      <c r="H29" s="25">
        <v>80.41</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2906</v>
      </c>
      <c r="C38" s="56" t="s">
        <v>2907</v>
      </c>
      <c r="D38" s="53" t="s">
        <v>2908</v>
      </c>
      <c r="E38" s="6" t="s">
        <v>655</v>
      </c>
      <c r="F38" s="19">
        <v>1500000</v>
      </c>
      <c r="G38" s="24">
        <v>1581.92</v>
      </c>
      <c r="H38" s="24">
        <v>10.55</v>
      </c>
      <c r="I38" s="31">
        <v>4.6928999999999998</v>
      </c>
      <c r="J38" s="35"/>
    </row>
    <row r="39" spans="1:10" x14ac:dyDescent="0.25">
      <c r="B39" s="8" t="s">
        <v>2663</v>
      </c>
      <c r="C39" s="56" t="s">
        <v>2664</v>
      </c>
      <c r="D39" s="53" t="s">
        <v>2665</v>
      </c>
      <c r="E39" s="6" t="s">
        <v>655</v>
      </c>
      <c r="F39" s="19">
        <v>200000</v>
      </c>
      <c r="G39" s="24">
        <v>211.74</v>
      </c>
      <c r="H39" s="24">
        <v>1.41</v>
      </c>
      <c r="I39" s="31">
        <v>4.3513000000000002</v>
      </c>
      <c r="J39" s="35"/>
    </row>
    <row r="40" spans="1:10" x14ac:dyDescent="0.25">
      <c r="C40" s="57" t="s">
        <v>35</v>
      </c>
      <c r="D40" s="53"/>
      <c r="E40" s="6"/>
      <c r="F40" s="19"/>
      <c r="G40" s="25">
        <v>1793.66</v>
      </c>
      <c r="H40" s="25">
        <v>11.96</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2480</v>
      </c>
      <c r="C46" s="56" t="s">
        <v>872</v>
      </c>
      <c r="D46" s="53" t="s">
        <v>2481</v>
      </c>
      <c r="E46" s="6" t="s">
        <v>992</v>
      </c>
      <c r="F46" s="19">
        <v>500</v>
      </c>
      <c r="G46" s="24">
        <v>494.12</v>
      </c>
      <c r="H46" s="24">
        <v>3.29</v>
      </c>
      <c r="I46" s="31">
        <v>4.2149999999999999</v>
      </c>
      <c r="J46" s="35" t="s">
        <v>514</v>
      </c>
    </row>
    <row r="47" spans="1:10" x14ac:dyDescent="0.25">
      <c r="B47" s="8" t="s">
        <v>1232</v>
      </c>
      <c r="C47" s="56" t="s">
        <v>818</v>
      </c>
      <c r="D47" s="53" t="s">
        <v>1233</v>
      </c>
      <c r="E47" s="6" t="s">
        <v>1000</v>
      </c>
      <c r="F47" s="19">
        <v>200</v>
      </c>
      <c r="G47" s="24">
        <v>194.61</v>
      </c>
      <c r="H47" s="24">
        <v>1.3</v>
      </c>
      <c r="I47" s="31">
        <v>3.83</v>
      </c>
      <c r="J47" s="35" t="s">
        <v>514</v>
      </c>
    </row>
    <row r="48" spans="1:10" x14ac:dyDescent="0.25">
      <c r="C48" s="57" t="s">
        <v>35</v>
      </c>
      <c r="D48" s="53"/>
      <c r="E48" s="6"/>
      <c r="F48" s="19"/>
      <c r="G48" s="25">
        <v>688.73</v>
      </c>
      <c r="H48" s="25">
        <v>4.59</v>
      </c>
      <c r="I48" s="31"/>
      <c r="J48" s="35"/>
    </row>
    <row r="49" spans="1:10" x14ac:dyDescent="0.25">
      <c r="C49" s="56"/>
      <c r="D49" s="53"/>
      <c r="E49" s="6"/>
      <c r="F49" s="19"/>
      <c r="G49" s="24"/>
      <c r="H49" s="24"/>
      <c r="I49" s="31"/>
      <c r="J49" s="35"/>
    </row>
    <row r="50" spans="1:10" x14ac:dyDescent="0.25">
      <c r="C50" s="57" t="s">
        <v>15</v>
      </c>
      <c r="D50" s="53"/>
      <c r="E50" s="6"/>
      <c r="F50" s="19"/>
      <c r="G50" s="24" t="s">
        <v>2</v>
      </c>
      <c r="H50" s="24" t="s">
        <v>2</v>
      </c>
      <c r="I50" s="31"/>
      <c r="J50" s="35"/>
    </row>
    <row r="51" spans="1:10" x14ac:dyDescent="0.25">
      <c r="C51" s="56"/>
      <c r="D51" s="53"/>
      <c r="E51" s="6"/>
      <c r="F51" s="19"/>
      <c r="G51" s="24"/>
      <c r="H51" s="24"/>
      <c r="I51" s="31"/>
      <c r="J51" s="35"/>
    </row>
    <row r="52" spans="1:10" x14ac:dyDescent="0.25">
      <c r="C52" s="57" t="s">
        <v>16</v>
      </c>
      <c r="D52" s="53"/>
      <c r="E52" s="6"/>
      <c r="F52" s="19"/>
      <c r="G52" s="24" t="s">
        <v>2</v>
      </c>
      <c r="H52" s="24" t="s">
        <v>2</v>
      </c>
      <c r="I52" s="31"/>
      <c r="J52" s="35"/>
    </row>
    <row r="53" spans="1:10" x14ac:dyDescent="0.25">
      <c r="C53" s="56"/>
      <c r="D53" s="53"/>
      <c r="E53" s="6"/>
      <c r="F53" s="19"/>
      <c r="G53" s="24"/>
      <c r="H53" s="24"/>
      <c r="I53" s="31"/>
      <c r="J53" s="35"/>
    </row>
    <row r="54" spans="1:10" x14ac:dyDescent="0.25">
      <c r="A54" s="10"/>
      <c r="B54" s="28"/>
      <c r="C54" s="58" t="s">
        <v>17</v>
      </c>
      <c r="D54" s="53"/>
      <c r="E54" s="6"/>
      <c r="F54" s="19"/>
      <c r="G54" s="24"/>
      <c r="H54" s="24"/>
      <c r="I54" s="31"/>
      <c r="J54" s="35"/>
    </row>
    <row r="55" spans="1:10" x14ac:dyDescent="0.25">
      <c r="A55" s="28"/>
      <c r="B55" s="28"/>
      <c r="C55" s="58" t="s">
        <v>18</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19</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20</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21</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C63" s="59" t="s">
        <v>22</v>
      </c>
      <c r="D63" s="53"/>
      <c r="E63" s="6"/>
      <c r="F63" s="19"/>
      <c r="G63" s="24"/>
      <c r="H63" s="24"/>
      <c r="I63" s="31"/>
      <c r="J63" s="35"/>
    </row>
    <row r="64" spans="1:10" x14ac:dyDescent="0.25">
      <c r="B64" s="8" t="s">
        <v>33</v>
      </c>
      <c r="C64" s="56" t="s">
        <v>34</v>
      </c>
      <c r="D64" s="53"/>
      <c r="E64" s="6"/>
      <c r="F64" s="19"/>
      <c r="G64" s="24">
        <v>174.18</v>
      </c>
      <c r="H64" s="24">
        <v>1.1599999999999999</v>
      </c>
      <c r="I64" s="31"/>
      <c r="J64" s="35"/>
    </row>
    <row r="65" spans="1:10" x14ac:dyDescent="0.25">
      <c r="C65" s="57" t="s">
        <v>35</v>
      </c>
      <c r="D65" s="53"/>
      <c r="E65" s="6"/>
      <c r="F65" s="19"/>
      <c r="G65" s="25">
        <v>174.18</v>
      </c>
      <c r="H65" s="25">
        <v>1.1599999999999999</v>
      </c>
      <c r="I65" s="31"/>
      <c r="J65" s="35"/>
    </row>
    <row r="66" spans="1:10" x14ac:dyDescent="0.25">
      <c r="C66" s="56"/>
      <c r="D66" s="53"/>
      <c r="E66" s="6"/>
      <c r="F66" s="19"/>
      <c r="G66" s="24"/>
      <c r="H66" s="24"/>
      <c r="I66" s="31"/>
      <c r="J66" s="35"/>
    </row>
    <row r="67" spans="1:10" x14ac:dyDescent="0.25">
      <c r="A67" s="10"/>
      <c r="B67" s="28"/>
      <c r="C67" s="58" t="s">
        <v>23</v>
      </c>
      <c r="D67" s="53"/>
      <c r="E67" s="6"/>
      <c r="F67" s="19"/>
      <c r="G67" s="24"/>
      <c r="H67" s="24"/>
      <c r="I67" s="31"/>
      <c r="J67" s="35"/>
    </row>
    <row r="68" spans="1:10" x14ac:dyDescent="0.25">
      <c r="A68" s="28"/>
      <c r="B68" s="28"/>
      <c r="C68" s="60" t="s">
        <v>3398</v>
      </c>
      <c r="D68" s="53"/>
      <c r="E68" s="6"/>
      <c r="F68" s="19"/>
      <c r="G68" s="24" t="s">
        <v>2</v>
      </c>
      <c r="H68" s="24" t="s">
        <v>2</v>
      </c>
      <c r="I68" s="31"/>
      <c r="J68" s="35"/>
    </row>
    <row r="69" spans="1:10" x14ac:dyDescent="0.25">
      <c r="B69" s="8"/>
      <c r="C69" s="56" t="s">
        <v>36</v>
      </c>
      <c r="D69" s="53"/>
      <c r="E69" s="6"/>
      <c r="F69" s="19"/>
      <c r="G69" s="24">
        <v>280.76</v>
      </c>
      <c r="H69" s="24">
        <v>1.8800000000000001</v>
      </c>
      <c r="I69" s="31"/>
      <c r="J69" s="35"/>
    </row>
    <row r="70" spans="1:10" x14ac:dyDescent="0.25">
      <c r="C70" s="57" t="s">
        <v>35</v>
      </c>
      <c r="D70" s="53"/>
      <c r="E70" s="6"/>
      <c r="F70" s="19"/>
      <c r="G70" s="25">
        <v>280.76</v>
      </c>
      <c r="H70" s="25">
        <v>1.8800000000000001</v>
      </c>
      <c r="I70" s="31"/>
      <c r="J70" s="35"/>
    </row>
    <row r="71" spans="1:10" x14ac:dyDescent="0.25">
      <c r="C71" s="56"/>
      <c r="D71" s="53"/>
      <c r="E71" s="6"/>
      <c r="F71" s="19"/>
      <c r="G71" s="24"/>
      <c r="H71" s="24"/>
      <c r="I71" s="31"/>
      <c r="J71" s="35"/>
    </row>
    <row r="72" spans="1:10" x14ac:dyDescent="0.25">
      <c r="C72" s="61" t="s">
        <v>37</v>
      </c>
      <c r="D72" s="54"/>
      <c r="E72" s="5"/>
      <c r="F72" s="20"/>
      <c r="G72" s="26">
        <v>15001.21</v>
      </c>
      <c r="H72" s="26">
        <f>SUMIFS(H:H,C:C,"Total")</f>
        <v>100</v>
      </c>
      <c r="I72" s="32"/>
      <c r="J72" s="36"/>
    </row>
    <row r="75" spans="1:10" x14ac:dyDescent="0.25">
      <c r="C75" s="1" t="s">
        <v>38</v>
      </c>
    </row>
    <row r="76" spans="1:10" x14ac:dyDescent="0.25">
      <c r="C76" s="2" t="s">
        <v>39</v>
      </c>
    </row>
    <row r="77" spans="1:10" x14ac:dyDescent="0.25">
      <c r="C77" s="2" t="s">
        <v>40</v>
      </c>
    </row>
    <row r="78" spans="1:10" x14ac:dyDescent="0.25">
      <c r="C78" s="2" t="s">
        <v>3430</v>
      </c>
    </row>
  </sheetData>
  <hyperlinks>
    <hyperlink ref="J2" location="'Index'!A1" display="'Index'!A1"/>
  </hyperlinks>
  <pageMargins left="0.7" right="0.7" top="0.75" bottom="0.75" header="0.3" footer="0.3"/>
  <pageSetup orientation="portrait" horizontalDpi="4294967293"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1"/>
  <dimension ref="A1:J8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2909</v>
      </c>
      <c r="J2" s="37" t="s">
        <v>3307</v>
      </c>
    </row>
    <row r="3" spans="1:10" ht="16.5" x14ac:dyDescent="0.3">
      <c r="C3" s="1" t="s">
        <v>24</v>
      </c>
      <c r="D3" s="21" t="s">
        <v>2910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2902</v>
      </c>
      <c r="C18" s="56" t="s">
        <v>2316</v>
      </c>
      <c r="D18" s="53" t="s">
        <v>2903</v>
      </c>
      <c r="E18" s="6" t="s">
        <v>534</v>
      </c>
      <c r="F18" s="19">
        <v>180</v>
      </c>
      <c r="G18" s="24">
        <v>2265.84</v>
      </c>
      <c r="H18" s="24">
        <v>9.9499999999999993</v>
      </c>
      <c r="I18" s="31">
        <v>5.4550000000000001</v>
      </c>
      <c r="J18" s="35" t="s">
        <v>514</v>
      </c>
    </row>
    <row r="19" spans="2:10" x14ac:dyDescent="0.25">
      <c r="B19" s="8" t="s">
        <v>2692</v>
      </c>
      <c r="C19" s="56" t="s">
        <v>2421</v>
      </c>
      <c r="D19" s="53" t="s">
        <v>2693</v>
      </c>
      <c r="E19" s="6" t="s">
        <v>534</v>
      </c>
      <c r="F19" s="19">
        <v>180</v>
      </c>
      <c r="G19" s="24">
        <v>2236.85</v>
      </c>
      <c r="H19" s="24">
        <v>9.82</v>
      </c>
      <c r="I19" s="31">
        <v>5.23</v>
      </c>
      <c r="J19" s="35" t="s">
        <v>514</v>
      </c>
    </row>
    <row r="20" spans="2:10" x14ac:dyDescent="0.25">
      <c r="B20" s="8" t="s">
        <v>2900</v>
      </c>
      <c r="C20" s="56" t="s">
        <v>1935</v>
      </c>
      <c r="D20" s="53" t="s">
        <v>2901</v>
      </c>
      <c r="E20" s="6" t="s">
        <v>534</v>
      </c>
      <c r="F20" s="19">
        <v>234</v>
      </c>
      <c r="G20" s="24">
        <v>2172.46</v>
      </c>
      <c r="H20" s="24">
        <v>9.5399999999999991</v>
      </c>
      <c r="I20" s="31">
        <v>5.1498999999999997</v>
      </c>
      <c r="J20" s="35" t="s">
        <v>514</v>
      </c>
    </row>
    <row r="21" spans="2:10" x14ac:dyDescent="0.25">
      <c r="B21" s="8" t="s">
        <v>1884</v>
      </c>
      <c r="C21" s="56" t="s">
        <v>1376</v>
      </c>
      <c r="D21" s="53" t="s">
        <v>1885</v>
      </c>
      <c r="E21" s="6" t="s">
        <v>534</v>
      </c>
      <c r="F21" s="19">
        <v>190</v>
      </c>
      <c r="G21" s="24">
        <v>2002.69</v>
      </c>
      <c r="H21" s="24">
        <v>8.7899999999999991</v>
      </c>
      <c r="I21" s="31">
        <v>4.6833</v>
      </c>
      <c r="J21" s="35"/>
    </row>
    <row r="22" spans="2:10" x14ac:dyDescent="0.25">
      <c r="B22" s="8" t="s">
        <v>1394</v>
      </c>
      <c r="C22" s="56" t="s">
        <v>909</v>
      </c>
      <c r="D22" s="53" t="s">
        <v>1395</v>
      </c>
      <c r="E22" s="6" t="s">
        <v>534</v>
      </c>
      <c r="F22" s="19">
        <v>185</v>
      </c>
      <c r="G22" s="24">
        <v>1946.78</v>
      </c>
      <c r="H22" s="24">
        <v>8.5500000000000007</v>
      </c>
      <c r="I22" s="31">
        <v>4.4400000000000004</v>
      </c>
      <c r="J22" s="35" t="s">
        <v>514</v>
      </c>
    </row>
    <row r="23" spans="2:10" x14ac:dyDescent="0.25">
      <c r="B23" s="8" t="s">
        <v>2657</v>
      </c>
      <c r="C23" s="56" t="s">
        <v>1127</v>
      </c>
      <c r="D23" s="53" t="s">
        <v>2658</v>
      </c>
      <c r="E23" s="6" t="s">
        <v>534</v>
      </c>
      <c r="F23" s="19">
        <v>150</v>
      </c>
      <c r="G23" s="24">
        <v>1863</v>
      </c>
      <c r="H23" s="24">
        <v>8.18</v>
      </c>
      <c r="I23" s="31">
        <v>4.8418999999999999</v>
      </c>
      <c r="J23" s="35" t="s">
        <v>514</v>
      </c>
    </row>
    <row r="24" spans="2:10" x14ac:dyDescent="0.25">
      <c r="B24" s="8" t="s">
        <v>2686</v>
      </c>
      <c r="C24" s="56" t="s">
        <v>1130</v>
      </c>
      <c r="D24" s="53" t="s">
        <v>2687</v>
      </c>
      <c r="E24" s="6" t="s">
        <v>911</v>
      </c>
      <c r="F24" s="19">
        <v>150</v>
      </c>
      <c r="G24" s="24">
        <v>1581.29</v>
      </c>
      <c r="H24" s="24">
        <v>6.94</v>
      </c>
      <c r="I24" s="31">
        <v>4.6449999999999996</v>
      </c>
      <c r="J24" s="35" t="s">
        <v>514</v>
      </c>
    </row>
    <row r="25" spans="2:10" x14ac:dyDescent="0.25">
      <c r="B25" s="8" t="s">
        <v>2646</v>
      </c>
      <c r="C25" s="56" t="s">
        <v>53</v>
      </c>
      <c r="D25" s="53" t="s">
        <v>2647</v>
      </c>
      <c r="E25" s="6" t="s">
        <v>534</v>
      </c>
      <c r="F25" s="19">
        <v>150</v>
      </c>
      <c r="G25" s="24">
        <v>1576.11</v>
      </c>
      <c r="H25" s="24">
        <v>6.92</v>
      </c>
      <c r="I25" s="31">
        <v>4.53</v>
      </c>
      <c r="J25" s="35"/>
    </row>
    <row r="26" spans="2:10" x14ac:dyDescent="0.25">
      <c r="B26" s="8" t="s">
        <v>2654</v>
      </c>
      <c r="C26" s="56" t="s">
        <v>2655</v>
      </c>
      <c r="D26" s="53" t="s">
        <v>2656</v>
      </c>
      <c r="E26" s="6" t="s">
        <v>534</v>
      </c>
      <c r="F26" s="19">
        <v>150</v>
      </c>
      <c r="G26" s="24">
        <v>1566.97</v>
      </c>
      <c r="H26" s="24">
        <v>6.88</v>
      </c>
      <c r="I26" s="31">
        <v>4.3499999999999996</v>
      </c>
      <c r="J26" s="35"/>
    </row>
    <row r="27" spans="2:10" x14ac:dyDescent="0.25">
      <c r="B27" s="8" t="s">
        <v>1699</v>
      </c>
      <c r="C27" s="56" t="s">
        <v>854</v>
      </c>
      <c r="D27" s="53" t="s">
        <v>1700</v>
      </c>
      <c r="E27" s="6" t="s">
        <v>534</v>
      </c>
      <c r="F27" s="19">
        <v>50</v>
      </c>
      <c r="G27" s="24">
        <v>516.83000000000004</v>
      </c>
      <c r="H27" s="24">
        <v>2.27</v>
      </c>
      <c r="I27" s="31">
        <v>4.29</v>
      </c>
      <c r="J27" s="35" t="s">
        <v>514</v>
      </c>
    </row>
    <row r="28" spans="2:10" x14ac:dyDescent="0.25">
      <c r="B28" s="8" t="s">
        <v>2698</v>
      </c>
      <c r="C28" s="56" t="s">
        <v>1130</v>
      </c>
      <c r="D28" s="53" t="s">
        <v>2699</v>
      </c>
      <c r="E28" s="6" t="s">
        <v>911</v>
      </c>
      <c r="F28" s="19">
        <v>30</v>
      </c>
      <c r="G28" s="24">
        <v>315.61</v>
      </c>
      <c r="H28" s="24">
        <v>1.39</v>
      </c>
      <c r="I28" s="31">
        <v>4.6448999999999998</v>
      </c>
      <c r="J28" s="35" t="s">
        <v>514</v>
      </c>
    </row>
    <row r="29" spans="2:10" x14ac:dyDescent="0.25">
      <c r="B29" s="8" t="s">
        <v>2678</v>
      </c>
      <c r="C29" s="56" t="s">
        <v>2655</v>
      </c>
      <c r="D29" s="53" t="s">
        <v>2679</v>
      </c>
      <c r="E29" s="6" t="s">
        <v>534</v>
      </c>
      <c r="F29" s="19">
        <v>30</v>
      </c>
      <c r="G29" s="24">
        <v>310.07</v>
      </c>
      <c r="H29" s="24">
        <v>1.36</v>
      </c>
      <c r="I29" s="31">
        <v>4.28</v>
      </c>
      <c r="J29" s="35" t="s">
        <v>514</v>
      </c>
    </row>
    <row r="30" spans="2:10" x14ac:dyDescent="0.25">
      <c r="B30" s="8" t="s">
        <v>2661</v>
      </c>
      <c r="C30" s="56" t="s">
        <v>1127</v>
      </c>
      <c r="D30" s="53" t="s">
        <v>2662</v>
      </c>
      <c r="E30" s="6" t="s">
        <v>534</v>
      </c>
      <c r="F30" s="19">
        <v>20</v>
      </c>
      <c r="G30" s="24">
        <v>211.99</v>
      </c>
      <c r="H30" s="24">
        <v>0.93</v>
      </c>
      <c r="I30" s="31">
        <v>4.8899999999999997</v>
      </c>
      <c r="J30" s="35" t="s">
        <v>514</v>
      </c>
    </row>
    <row r="31" spans="2:10" x14ac:dyDescent="0.25">
      <c r="B31" s="8" t="s">
        <v>2636</v>
      </c>
      <c r="C31" s="56" t="s">
        <v>1752</v>
      </c>
      <c r="D31" s="53" t="s">
        <v>2637</v>
      </c>
      <c r="E31" s="6" t="s">
        <v>1314</v>
      </c>
      <c r="F31" s="19">
        <v>20</v>
      </c>
      <c r="G31" s="24">
        <v>211.03</v>
      </c>
      <c r="H31" s="24">
        <v>0.93</v>
      </c>
      <c r="I31" s="31">
        <v>4.375</v>
      </c>
      <c r="J31" s="35" t="s">
        <v>514</v>
      </c>
    </row>
    <row r="32" spans="2:10" x14ac:dyDescent="0.25">
      <c r="B32" s="8" t="s">
        <v>2904</v>
      </c>
      <c r="C32" s="56" t="s">
        <v>1738</v>
      </c>
      <c r="D32" s="53" t="s">
        <v>2905</v>
      </c>
      <c r="E32" s="6" t="s">
        <v>534</v>
      </c>
      <c r="F32" s="19">
        <v>10</v>
      </c>
      <c r="G32" s="24">
        <v>105.03</v>
      </c>
      <c r="H32" s="24">
        <v>0.46</v>
      </c>
      <c r="I32" s="31">
        <v>4.25</v>
      </c>
      <c r="J32" s="35"/>
    </row>
    <row r="33" spans="1:10" x14ac:dyDescent="0.25">
      <c r="C33" s="57" t="s">
        <v>35</v>
      </c>
      <c r="D33" s="53"/>
      <c r="E33" s="6"/>
      <c r="F33" s="19"/>
      <c r="G33" s="25">
        <v>18882.55</v>
      </c>
      <c r="H33" s="25">
        <v>82.91</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9" t="s">
        <v>10</v>
      </c>
      <c r="D41" s="53"/>
      <c r="E41" s="6"/>
      <c r="F41" s="19"/>
      <c r="G41" s="24"/>
      <c r="H41" s="24"/>
      <c r="I41" s="31"/>
      <c r="J41" s="35"/>
    </row>
    <row r="42" spans="1:10" x14ac:dyDescent="0.25">
      <c r="B42" s="8" t="s">
        <v>2906</v>
      </c>
      <c r="C42" s="56" t="s">
        <v>2907</v>
      </c>
      <c r="D42" s="53" t="s">
        <v>2908</v>
      </c>
      <c r="E42" s="6" t="s">
        <v>655</v>
      </c>
      <c r="F42" s="19">
        <v>2241000</v>
      </c>
      <c r="G42" s="24">
        <v>2363.39</v>
      </c>
      <c r="H42" s="24">
        <v>10.38</v>
      </c>
      <c r="I42" s="31">
        <v>4.6928999999999998</v>
      </c>
      <c r="J42" s="35"/>
    </row>
    <row r="43" spans="1:10" x14ac:dyDescent="0.25">
      <c r="B43" s="8" t="s">
        <v>2663</v>
      </c>
      <c r="C43" s="56" t="s">
        <v>2664</v>
      </c>
      <c r="D43" s="53" t="s">
        <v>2665</v>
      </c>
      <c r="E43" s="6" t="s">
        <v>655</v>
      </c>
      <c r="F43" s="19">
        <v>200000</v>
      </c>
      <c r="G43" s="24">
        <v>211.74</v>
      </c>
      <c r="H43" s="24">
        <v>0.93</v>
      </c>
      <c r="I43" s="31">
        <v>4.3513000000000002</v>
      </c>
      <c r="J43" s="35"/>
    </row>
    <row r="44" spans="1:10" x14ac:dyDescent="0.25">
      <c r="C44" s="57" t="s">
        <v>35</v>
      </c>
      <c r="D44" s="53"/>
      <c r="E44" s="6"/>
      <c r="F44" s="19"/>
      <c r="G44" s="25">
        <v>2575.13</v>
      </c>
      <c r="H44" s="25">
        <v>11.31</v>
      </c>
      <c r="I44" s="31"/>
      <c r="J44" s="35"/>
    </row>
    <row r="45" spans="1:10" x14ac:dyDescent="0.25">
      <c r="C45" s="56"/>
      <c r="D45" s="53"/>
      <c r="E45" s="6"/>
      <c r="F45" s="19"/>
      <c r="G45" s="24"/>
      <c r="H45" s="24"/>
      <c r="I45" s="31"/>
      <c r="J45" s="35"/>
    </row>
    <row r="46" spans="1:10" x14ac:dyDescent="0.25">
      <c r="A46" s="10"/>
      <c r="B46" s="28"/>
      <c r="C46" s="58" t="s">
        <v>11</v>
      </c>
      <c r="D46" s="53"/>
      <c r="E46" s="6"/>
      <c r="F46" s="19"/>
      <c r="G46" s="24"/>
      <c r="H46" s="24"/>
      <c r="I46" s="31"/>
      <c r="J46" s="35"/>
    </row>
    <row r="47" spans="1:10" x14ac:dyDescent="0.25">
      <c r="A47" s="28"/>
      <c r="B47" s="28"/>
      <c r="C47" s="58" t="s">
        <v>13</v>
      </c>
      <c r="D47" s="53"/>
      <c r="E47" s="6"/>
      <c r="F47" s="19"/>
      <c r="G47" s="24" t="s">
        <v>2</v>
      </c>
      <c r="H47" s="24" t="s">
        <v>2</v>
      </c>
      <c r="I47" s="31"/>
      <c r="J47" s="35"/>
    </row>
    <row r="48" spans="1:10" x14ac:dyDescent="0.25">
      <c r="A48" s="28"/>
      <c r="B48" s="28"/>
      <c r="C48" s="58"/>
      <c r="D48" s="53"/>
      <c r="E48" s="6"/>
      <c r="F48" s="19"/>
      <c r="G48" s="24"/>
      <c r="H48" s="24"/>
      <c r="I48" s="31"/>
      <c r="J48" s="35"/>
    </row>
    <row r="49" spans="1:10" x14ac:dyDescent="0.25">
      <c r="C49" s="59" t="s">
        <v>14</v>
      </c>
      <c r="D49" s="53"/>
      <c r="E49" s="6"/>
      <c r="F49" s="19"/>
      <c r="G49" s="24"/>
      <c r="H49" s="24"/>
      <c r="I49" s="31"/>
      <c r="J49" s="35"/>
    </row>
    <row r="50" spans="1:10" x14ac:dyDescent="0.25">
      <c r="B50" s="8" t="s">
        <v>1225</v>
      </c>
      <c r="C50" s="56" t="s">
        <v>818</v>
      </c>
      <c r="D50" s="53" t="s">
        <v>1226</v>
      </c>
      <c r="E50" s="6" t="s">
        <v>1000</v>
      </c>
      <c r="F50" s="19">
        <v>200</v>
      </c>
      <c r="G50" s="24">
        <v>196.98</v>
      </c>
      <c r="H50" s="24">
        <v>0.86</v>
      </c>
      <c r="I50" s="31">
        <v>3.5150000000000001</v>
      </c>
      <c r="J50" s="35" t="s">
        <v>514</v>
      </c>
    </row>
    <row r="51" spans="1:10" x14ac:dyDescent="0.25">
      <c r="B51" s="8" t="s">
        <v>2478</v>
      </c>
      <c r="C51" s="56" t="s">
        <v>818</v>
      </c>
      <c r="D51" s="53" t="s">
        <v>2479</v>
      </c>
      <c r="E51" s="6" t="s">
        <v>1000</v>
      </c>
      <c r="F51" s="19">
        <v>200</v>
      </c>
      <c r="G51" s="24">
        <v>195.75</v>
      </c>
      <c r="H51" s="24">
        <v>0.86</v>
      </c>
      <c r="I51" s="31">
        <v>3.83</v>
      </c>
      <c r="J51" s="35" t="s">
        <v>514</v>
      </c>
    </row>
    <row r="52" spans="1:10" x14ac:dyDescent="0.25">
      <c r="B52" s="8" t="s">
        <v>1250</v>
      </c>
      <c r="C52" s="56" t="s">
        <v>909</v>
      </c>
      <c r="D52" s="53" t="s">
        <v>1251</v>
      </c>
      <c r="E52" s="6" t="s">
        <v>992</v>
      </c>
      <c r="F52" s="19">
        <v>100</v>
      </c>
      <c r="G52" s="24">
        <v>98.93</v>
      </c>
      <c r="H52" s="24">
        <v>0.43</v>
      </c>
      <c r="I52" s="31">
        <v>3.5150999999999999</v>
      </c>
      <c r="J52" s="35" t="s">
        <v>514</v>
      </c>
    </row>
    <row r="53" spans="1:10" x14ac:dyDescent="0.25">
      <c r="B53" s="8" t="s">
        <v>2480</v>
      </c>
      <c r="C53" s="56" t="s">
        <v>872</v>
      </c>
      <c r="D53" s="53" t="s">
        <v>2481</v>
      </c>
      <c r="E53" s="6" t="s">
        <v>992</v>
      </c>
      <c r="F53" s="19">
        <v>100</v>
      </c>
      <c r="G53" s="24">
        <v>98.82</v>
      </c>
      <c r="H53" s="24">
        <v>0.43</v>
      </c>
      <c r="I53" s="31">
        <v>4.2149999999999999</v>
      </c>
      <c r="J53" s="35" t="s">
        <v>514</v>
      </c>
    </row>
    <row r="54" spans="1:10" x14ac:dyDescent="0.25">
      <c r="B54" s="8" t="s">
        <v>1232</v>
      </c>
      <c r="C54" s="56" t="s">
        <v>818</v>
      </c>
      <c r="D54" s="53" t="s">
        <v>1233</v>
      </c>
      <c r="E54" s="6" t="s">
        <v>1000</v>
      </c>
      <c r="F54" s="19">
        <v>100</v>
      </c>
      <c r="G54" s="24">
        <v>97.3</v>
      </c>
      <c r="H54" s="24">
        <v>0.43</v>
      </c>
      <c r="I54" s="31">
        <v>3.83</v>
      </c>
      <c r="J54" s="35" t="s">
        <v>514</v>
      </c>
    </row>
    <row r="55" spans="1:10" x14ac:dyDescent="0.25">
      <c r="C55" s="57" t="s">
        <v>35</v>
      </c>
      <c r="D55" s="53"/>
      <c r="E55" s="6"/>
      <c r="F55" s="19"/>
      <c r="G55" s="25">
        <v>687.78</v>
      </c>
      <c r="H55" s="25">
        <v>3.01</v>
      </c>
      <c r="I55" s="31"/>
      <c r="J55" s="35"/>
    </row>
    <row r="56" spans="1:10" x14ac:dyDescent="0.25">
      <c r="C56" s="56"/>
      <c r="D56" s="53"/>
      <c r="E56" s="6"/>
      <c r="F56" s="19"/>
      <c r="G56" s="24"/>
      <c r="H56" s="24"/>
      <c r="I56" s="31"/>
      <c r="J56" s="35"/>
    </row>
    <row r="57" spans="1:10" x14ac:dyDescent="0.25">
      <c r="C57" s="57" t="s">
        <v>15</v>
      </c>
      <c r="D57" s="53"/>
      <c r="E57" s="6"/>
      <c r="F57" s="19"/>
      <c r="G57" s="24" t="s">
        <v>2</v>
      </c>
      <c r="H57" s="24" t="s">
        <v>2</v>
      </c>
      <c r="I57" s="31"/>
      <c r="J57" s="35"/>
    </row>
    <row r="58" spans="1:10" x14ac:dyDescent="0.25">
      <c r="C58" s="56"/>
      <c r="D58" s="53"/>
      <c r="E58" s="6"/>
      <c r="F58" s="19"/>
      <c r="G58" s="24"/>
      <c r="H58" s="24"/>
      <c r="I58" s="31"/>
      <c r="J58" s="35"/>
    </row>
    <row r="59" spans="1:10" x14ac:dyDescent="0.25">
      <c r="C59" s="57" t="s">
        <v>16</v>
      </c>
      <c r="D59" s="53"/>
      <c r="E59" s="6"/>
      <c r="F59" s="19"/>
      <c r="G59" s="24" t="s">
        <v>2</v>
      </c>
      <c r="H59" s="24" t="s">
        <v>2</v>
      </c>
      <c r="I59" s="31"/>
      <c r="J59" s="35"/>
    </row>
    <row r="60" spans="1:10" x14ac:dyDescent="0.25">
      <c r="C60" s="56"/>
      <c r="D60" s="53"/>
      <c r="E60" s="6"/>
      <c r="F60" s="19"/>
      <c r="G60" s="24"/>
      <c r="H60" s="24"/>
      <c r="I60" s="31"/>
      <c r="J60" s="35"/>
    </row>
    <row r="61" spans="1:10" x14ac:dyDescent="0.25">
      <c r="A61" s="10"/>
      <c r="B61" s="28"/>
      <c r="C61" s="58" t="s">
        <v>17</v>
      </c>
      <c r="D61" s="53"/>
      <c r="E61" s="6"/>
      <c r="F61" s="19"/>
      <c r="G61" s="24"/>
      <c r="H61" s="24"/>
      <c r="I61" s="31"/>
      <c r="J61" s="35"/>
    </row>
    <row r="62" spans="1:10" x14ac:dyDescent="0.25">
      <c r="A62" s="28"/>
      <c r="B62" s="28"/>
      <c r="C62" s="58" t="s">
        <v>18</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19</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20</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21</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C70" s="59" t="s">
        <v>22</v>
      </c>
      <c r="D70" s="53"/>
      <c r="E70" s="6"/>
      <c r="F70" s="19"/>
      <c r="G70" s="24"/>
      <c r="H70" s="24"/>
      <c r="I70" s="31"/>
      <c r="J70" s="35"/>
    </row>
    <row r="71" spans="1:10" x14ac:dyDescent="0.25">
      <c r="B71" s="8" t="s">
        <v>33</v>
      </c>
      <c r="C71" s="56" t="s">
        <v>34</v>
      </c>
      <c r="D71" s="53"/>
      <c r="E71" s="6"/>
      <c r="F71" s="19"/>
      <c r="G71" s="24">
        <v>195.71</v>
      </c>
      <c r="H71" s="24">
        <v>0.86</v>
      </c>
      <c r="I71" s="31"/>
      <c r="J71" s="35"/>
    </row>
    <row r="72" spans="1:10" x14ac:dyDescent="0.25">
      <c r="C72" s="57" t="s">
        <v>35</v>
      </c>
      <c r="D72" s="53"/>
      <c r="E72" s="6"/>
      <c r="F72" s="19"/>
      <c r="G72" s="25">
        <v>195.71</v>
      </c>
      <c r="H72" s="25">
        <v>0.86</v>
      </c>
      <c r="I72" s="31"/>
      <c r="J72" s="35"/>
    </row>
    <row r="73" spans="1:10" x14ac:dyDescent="0.25">
      <c r="C73" s="56"/>
      <c r="D73" s="53"/>
      <c r="E73" s="6"/>
      <c r="F73" s="19"/>
      <c r="G73" s="24"/>
      <c r="H73" s="24"/>
      <c r="I73" s="31"/>
      <c r="J73" s="35"/>
    </row>
    <row r="74" spans="1:10" x14ac:dyDescent="0.25">
      <c r="A74" s="10"/>
      <c r="B74" s="28"/>
      <c r="C74" s="58" t="s">
        <v>23</v>
      </c>
      <c r="D74" s="53"/>
      <c r="E74" s="6"/>
      <c r="F74" s="19"/>
      <c r="G74" s="24"/>
      <c r="H74" s="24"/>
      <c r="I74" s="31"/>
      <c r="J74" s="35"/>
    </row>
    <row r="75" spans="1:10" x14ac:dyDescent="0.25">
      <c r="A75" s="28"/>
      <c r="B75" s="28"/>
      <c r="C75" s="60" t="s">
        <v>3398</v>
      </c>
      <c r="D75" s="53"/>
      <c r="E75" s="6"/>
      <c r="F75" s="19"/>
      <c r="G75" s="24" t="s">
        <v>2</v>
      </c>
      <c r="H75" s="24" t="s">
        <v>2</v>
      </c>
      <c r="I75" s="31"/>
      <c r="J75" s="35"/>
    </row>
    <row r="76" spans="1:10" x14ac:dyDescent="0.25">
      <c r="B76" s="8"/>
      <c r="C76" s="56" t="s">
        <v>36</v>
      </c>
      <c r="D76" s="53"/>
      <c r="E76" s="6"/>
      <c r="F76" s="19"/>
      <c r="G76" s="24">
        <v>436.52</v>
      </c>
      <c r="H76" s="24">
        <v>1.91</v>
      </c>
      <c r="I76" s="31"/>
      <c r="J76" s="35"/>
    </row>
    <row r="77" spans="1:10" x14ac:dyDescent="0.25">
      <c r="C77" s="57" t="s">
        <v>35</v>
      </c>
      <c r="D77" s="53"/>
      <c r="E77" s="6"/>
      <c r="F77" s="19"/>
      <c r="G77" s="25">
        <v>436.52</v>
      </c>
      <c r="H77" s="25">
        <v>1.91</v>
      </c>
      <c r="I77" s="31"/>
      <c r="J77" s="35"/>
    </row>
    <row r="78" spans="1:10" x14ac:dyDescent="0.25">
      <c r="C78" s="56"/>
      <c r="D78" s="53"/>
      <c r="E78" s="6"/>
      <c r="F78" s="19"/>
      <c r="G78" s="24"/>
      <c r="H78" s="24"/>
      <c r="I78" s="31"/>
      <c r="J78" s="35"/>
    </row>
    <row r="79" spans="1:10" x14ac:dyDescent="0.25">
      <c r="C79" s="61" t="s">
        <v>37</v>
      </c>
      <c r="D79" s="54"/>
      <c r="E79" s="5"/>
      <c r="F79" s="20"/>
      <c r="G79" s="26">
        <v>22777.69</v>
      </c>
      <c r="H79" s="26">
        <f>SUMIFS(H:H,C:C,"Total")</f>
        <v>100</v>
      </c>
      <c r="I79" s="32"/>
      <c r="J79" s="36"/>
    </row>
    <row r="82" spans="3:3" x14ac:dyDescent="0.25">
      <c r="C82" s="1" t="s">
        <v>38</v>
      </c>
    </row>
    <row r="83" spans="3:3" x14ac:dyDescent="0.25">
      <c r="C83" s="2" t="s">
        <v>39</v>
      </c>
    </row>
    <row r="84" spans="3:3" x14ac:dyDescent="0.25">
      <c r="C84" s="2" t="s">
        <v>40</v>
      </c>
    </row>
    <row r="85" spans="3:3" x14ac:dyDescent="0.25">
      <c r="C85" s="2" t="s">
        <v>3430</v>
      </c>
    </row>
  </sheetData>
  <hyperlinks>
    <hyperlink ref="J2" location="'Index'!A1" display="'Index'!A1"/>
  </hyperlinks>
  <pageMargins left="0.7" right="0.7" top="0.75" bottom="0.75" header="0.3" footer="0.3"/>
  <pageSetup orientation="portrait" horizontalDpi="4294967293"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2"/>
  <dimension ref="A1:J81"/>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1889</v>
      </c>
      <c r="J2" s="37" t="s">
        <v>3307</v>
      </c>
    </row>
    <row r="3" spans="1:10" ht="16.5" x14ac:dyDescent="0.3">
      <c r="C3" s="1" t="s">
        <v>24</v>
      </c>
      <c r="D3" s="21" t="s">
        <v>2911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2716</v>
      </c>
      <c r="C18" s="56" t="s">
        <v>1127</v>
      </c>
      <c r="D18" s="53" t="s">
        <v>2717</v>
      </c>
      <c r="E18" s="6" t="s">
        <v>534</v>
      </c>
      <c r="F18" s="19">
        <v>370</v>
      </c>
      <c r="G18" s="24">
        <v>4469.25</v>
      </c>
      <c r="H18" s="24">
        <v>10.029999999999999</v>
      </c>
      <c r="I18" s="31">
        <v>5.0199999999999996</v>
      </c>
      <c r="J18" s="35" t="s">
        <v>514</v>
      </c>
    </row>
    <row r="19" spans="2:10" x14ac:dyDescent="0.25">
      <c r="B19" s="8" t="s">
        <v>2902</v>
      </c>
      <c r="C19" s="56" t="s">
        <v>2316</v>
      </c>
      <c r="D19" s="53" t="s">
        <v>2903</v>
      </c>
      <c r="E19" s="6" t="s">
        <v>534</v>
      </c>
      <c r="F19" s="19">
        <v>350</v>
      </c>
      <c r="G19" s="24">
        <v>4405.8</v>
      </c>
      <c r="H19" s="24">
        <v>9.89</v>
      </c>
      <c r="I19" s="31">
        <v>5.4550000000000001</v>
      </c>
      <c r="J19" s="35" t="s">
        <v>514</v>
      </c>
    </row>
    <row r="20" spans="2:10" x14ac:dyDescent="0.25">
      <c r="B20" s="8" t="s">
        <v>2692</v>
      </c>
      <c r="C20" s="56" t="s">
        <v>2421</v>
      </c>
      <c r="D20" s="53" t="s">
        <v>2693</v>
      </c>
      <c r="E20" s="6" t="s">
        <v>534</v>
      </c>
      <c r="F20" s="19">
        <v>330</v>
      </c>
      <c r="G20" s="24">
        <v>4100.88</v>
      </c>
      <c r="H20" s="24">
        <v>9.1999999999999993</v>
      </c>
      <c r="I20" s="31">
        <v>5.23</v>
      </c>
      <c r="J20" s="35" t="s">
        <v>514</v>
      </c>
    </row>
    <row r="21" spans="2:10" x14ac:dyDescent="0.25">
      <c r="B21" s="8" t="s">
        <v>2698</v>
      </c>
      <c r="C21" s="56" t="s">
        <v>1130</v>
      </c>
      <c r="D21" s="53" t="s">
        <v>2699</v>
      </c>
      <c r="E21" s="6" t="s">
        <v>911</v>
      </c>
      <c r="F21" s="19">
        <v>370</v>
      </c>
      <c r="G21" s="24">
        <v>3892.48</v>
      </c>
      <c r="H21" s="24">
        <v>8.73</v>
      </c>
      <c r="I21" s="31">
        <v>4.6448999999999998</v>
      </c>
      <c r="J21" s="35" t="s">
        <v>514</v>
      </c>
    </row>
    <row r="22" spans="2:10" x14ac:dyDescent="0.25">
      <c r="B22" s="8" t="s">
        <v>2646</v>
      </c>
      <c r="C22" s="56" t="s">
        <v>53</v>
      </c>
      <c r="D22" s="53" t="s">
        <v>2647</v>
      </c>
      <c r="E22" s="6" t="s">
        <v>534</v>
      </c>
      <c r="F22" s="19">
        <v>370</v>
      </c>
      <c r="G22" s="24">
        <v>3887.73</v>
      </c>
      <c r="H22" s="24">
        <v>8.7200000000000006</v>
      </c>
      <c r="I22" s="31">
        <v>4.53</v>
      </c>
      <c r="J22" s="35"/>
    </row>
    <row r="23" spans="2:10" x14ac:dyDescent="0.25">
      <c r="B23" s="8" t="s">
        <v>1394</v>
      </c>
      <c r="C23" s="56" t="s">
        <v>909</v>
      </c>
      <c r="D23" s="53" t="s">
        <v>1395</v>
      </c>
      <c r="E23" s="6" t="s">
        <v>534</v>
      </c>
      <c r="F23" s="19">
        <v>360</v>
      </c>
      <c r="G23" s="24">
        <v>3788.33</v>
      </c>
      <c r="H23" s="24">
        <v>8.5</v>
      </c>
      <c r="I23" s="31">
        <v>4.4400000000000004</v>
      </c>
      <c r="J23" s="35" t="s">
        <v>514</v>
      </c>
    </row>
    <row r="24" spans="2:10" x14ac:dyDescent="0.25">
      <c r="B24" s="8" t="s">
        <v>2900</v>
      </c>
      <c r="C24" s="56" t="s">
        <v>1935</v>
      </c>
      <c r="D24" s="53" t="s">
        <v>2901</v>
      </c>
      <c r="E24" s="6" t="s">
        <v>534</v>
      </c>
      <c r="F24" s="19">
        <v>405</v>
      </c>
      <c r="G24" s="24">
        <v>3760.02</v>
      </c>
      <c r="H24" s="24">
        <v>8.44</v>
      </c>
      <c r="I24" s="31">
        <v>5.1498999999999997</v>
      </c>
      <c r="J24" s="35" t="s">
        <v>514</v>
      </c>
    </row>
    <row r="25" spans="2:10" x14ac:dyDescent="0.25">
      <c r="B25" s="8" t="s">
        <v>1884</v>
      </c>
      <c r="C25" s="56" t="s">
        <v>1376</v>
      </c>
      <c r="D25" s="53" t="s">
        <v>1885</v>
      </c>
      <c r="E25" s="6" t="s">
        <v>534</v>
      </c>
      <c r="F25" s="19">
        <v>350</v>
      </c>
      <c r="G25" s="24">
        <v>3689.17</v>
      </c>
      <c r="H25" s="24">
        <v>8.2799999999999994</v>
      </c>
      <c r="I25" s="31">
        <v>4.6833</v>
      </c>
      <c r="J25" s="35"/>
    </row>
    <row r="26" spans="2:10" x14ac:dyDescent="0.25">
      <c r="B26" s="8" t="s">
        <v>2636</v>
      </c>
      <c r="C26" s="56" t="s">
        <v>1752</v>
      </c>
      <c r="D26" s="53" t="s">
        <v>2637</v>
      </c>
      <c r="E26" s="6" t="s">
        <v>1314</v>
      </c>
      <c r="F26" s="19">
        <v>330</v>
      </c>
      <c r="G26" s="24">
        <v>3482.07</v>
      </c>
      <c r="H26" s="24">
        <v>7.81</v>
      </c>
      <c r="I26" s="31">
        <v>4.375</v>
      </c>
      <c r="J26" s="35" t="s">
        <v>514</v>
      </c>
    </row>
    <row r="27" spans="2:10" x14ac:dyDescent="0.25">
      <c r="B27" s="8" t="s">
        <v>2652</v>
      </c>
      <c r="C27" s="56" t="s">
        <v>92</v>
      </c>
      <c r="D27" s="53" t="s">
        <v>2653</v>
      </c>
      <c r="E27" s="6" t="s">
        <v>534</v>
      </c>
      <c r="F27" s="19">
        <v>90</v>
      </c>
      <c r="G27" s="24">
        <v>1118.57</v>
      </c>
      <c r="H27" s="24">
        <v>2.5099999999999998</v>
      </c>
      <c r="I27" s="31">
        <v>5.25</v>
      </c>
      <c r="J27" s="35" t="s">
        <v>514</v>
      </c>
    </row>
    <row r="28" spans="2:10" x14ac:dyDescent="0.25">
      <c r="B28" s="8" t="s">
        <v>2912</v>
      </c>
      <c r="C28" s="56" t="s">
        <v>854</v>
      </c>
      <c r="D28" s="53" t="s">
        <v>2913</v>
      </c>
      <c r="E28" s="6" t="s">
        <v>534</v>
      </c>
      <c r="F28" s="19">
        <v>24</v>
      </c>
      <c r="G28" s="24">
        <v>321.73</v>
      </c>
      <c r="H28" s="24">
        <v>0.72</v>
      </c>
      <c r="I28" s="31">
        <v>4.33</v>
      </c>
      <c r="J28" s="35" t="s">
        <v>514</v>
      </c>
    </row>
    <row r="29" spans="2:10" x14ac:dyDescent="0.25">
      <c r="C29" s="57" t="s">
        <v>35</v>
      </c>
      <c r="D29" s="53"/>
      <c r="E29" s="6"/>
      <c r="F29" s="19"/>
      <c r="G29" s="25">
        <v>36916.03</v>
      </c>
      <c r="H29" s="25">
        <v>82.83</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2730</v>
      </c>
      <c r="C38" s="56" t="s">
        <v>2731</v>
      </c>
      <c r="D38" s="53" t="s">
        <v>2732</v>
      </c>
      <c r="E38" s="6" t="s">
        <v>655</v>
      </c>
      <c r="F38" s="19">
        <v>2853000</v>
      </c>
      <c r="G38" s="24">
        <v>2999.53</v>
      </c>
      <c r="H38" s="24">
        <v>6.73</v>
      </c>
      <c r="I38" s="31">
        <v>4.6954000000000002</v>
      </c>
      <c r="J38" s="35"/>
    </row>
    <row r="39" spans="1:10" x14ac:dyDescent="0.25">
      <c r="B39" s="8" t="s">
        <v>2914</v>
      </c>
      <c r="C39" s="56" t="s">
        <v>2915</v>
      </c>
      <c r="D39" s="53" t="s">
        <v>2916</v>
      </c>
      <c r="E39" s="6" t="s">
        <v>655</v>
      </c>
      <c r="F39" s="19">
        <v>900000</v>
      </c>
      <c r="G39" s="24">
        <v>949.42</v>
      </c>
      <c r="H39" s="24">
        <v>2.13</v>
      </c>
      <c r="I39" s="31">
        <v>4.6928999999999998</v>
      </c>
      <c r="J39" s="35"/>
    </row>
    <row r="40" spans="1:10" x14ac:dyDescent="0.25">
      <c r="B40" s="8" t="s">
        <v>2906</v>
      </c>
      <c r="C40" s="56" t="s">
        <v>2907</v>
      </c>
      <c r="D40" s="53" t="s">
        <v>2908</v>
      </c>
      <c r="E40" s="6" t="s">
        <v>655</v>
      </c>
      <c r="F40" s="19">
        <v>700000</v>
      </c>
      <c r="G40" s="24">
        <v>738.23</v>
      </c>
      <c r="H40" s="24">
        <v>1.66</v>
      </c>
      <c r="I40" s="31">
        <v>4.6928999999999998</v>
      </c>
      <c r="J40" s="35"/>
    </row>
    <row r="41" spans="1:10" x14ac:dyDescent="0.25">
      <c r="B41" s="8" t="s">
        <v>2663</v>
      </c>
      <c r="C41" s="56" t="s">
        <v>2664</v>
      </c>
      <c r="D41" s="53" t="s">
        <v>2665</v>
      </c>
      <c r="E41" s="6" t="s">
        <v>655</v>
      </c>
      <c r="F41" s="19">
        <v>200000</v>
      </c>
      <c r="G41" s="24">
        <v>211.74</v>
      </c>
      <c r="H41" s="24">
        <v>0.48</v>
      </c>
      <c r="I41" s="31">
        <v>4.3513000000000002</v>
      </c>
      <c r="J41" s="35"/>
    </row>
    <row r="42" spans="1:10" x14ac:dyDescent="0.25">
      <c r="C42" s="57" t="s">
        <v>35</v>
      </c>
      <c r="D42" s="53"/>
      <c r="E42" s="6"/>
      <c r="F42" s="19"/>
      <c r="G42" s="25">
        <v>4898.92</v>
      </c>
      <c r="H42" s="25">
        <v>11</v>
      </c>
      <c r="I42" s="31"/>
      <c r="J42" s="35"/>
    </row>
    <row r="43" spans="1:10" x14ac:dyDescent="0.25">
      <c r="C43" s="56"/>
      <c r="D43" s="53"/>
      <c r="E43" s="6"/>
      <c r="F43" s="19"/>
      <c r="G43" s="24"/>
      <c r="H43" s="24"/>
      <c r="I43" s="31"/>
      <c r="J43" s="35"/>
    </row>
    <row r="44" spans="1:10" x14ac:dyDescent="0.25">
      <c r="A44" s="10"/>
      <c r="B44" s="28"/>
      <c r="C44" s="58" t="s">
        <v>11</v>
      </c>
      <c r="D44" s="53"/>
      <c r="E44" s="6"/>
      <c r="F44" s="19"/>
      <c r="G44" s="24"/>
      <c r="H44" s="24"/>
      <c r="I44" s="31"/>
      <c r="J44" s="35"/>
    </row>
    <row r="45" spans="1:10" x14ac:dyDescent="0.25">
      <c r="A45" s="28"/>
      <c r="B45" s="28"/>
      <c r="C45" s="58" t="s">
        <v>13</v>
      </c>
      <c r="D45" s="53"/>
      <c r="E45" s="6"/>
      <c r="F45" s="19"/>
      <c r="G45" s="24" t="s">
        <v>2</v>
      </c>
      <c r="H45" s="24" t="s">
        <v>2</v>
      </c>
      <c r="I45" s="31"/>
      <c r="J45" s="35"/>
    </row>
    <row r="46" spans="1:10" x14ac:dyDescent="0.25">
      <c r="A46" s="28"/>
      <c r="B46" s="28"/>
      <c r="C46" s="58"/>
      <c r="D46" s="53"/>
      <c r="E46" s="6"/>
      <c r="F46" s="19"/>
      <c r="G46" s="24"/>
      <c r="H46" s="24"/>
      <c r="I46" s="31"/>
      <c r="J46" s="35"/>
    </row>
    <row r="47" spans="1:10" x14ac:dyDescent="0.25">
      <c r="C47" s="59" t="s">
        <v>14</v>
      </c>
      <c r="D47" s="53"/>
      <c r="E47" s="6"/>
      <c r="F47" s="19"/>
      <c r="G47" s="24"/>
      <c r="H47" s="24"/>
      <c r="I47" s="31"/>
      <c r="J47" s="35"/>
    </row>
    <row r="48" spans="1:10" x14ac:dyDescent="0.25">
      <c r="B48" s="8" t="s">
        <v>2480</v>
      </c>
      <c r="C48" s="56" t="s">
        <v>872</v>
      </c>
      <c r="D48" s="53" t="s">
        <v>2481</v>
      </c>
      <c r="E48" s="6" t="s">
        <v>992</v>
      </c>
      <c r="F48" s="19">
        <v>900</v>
      </c>
      <c r="G48" s="24">
        <v>889.42</v>
      </c>
      <c r="H48" s="24">
        <v>2</v>
      </c>
      <c r="I48" s="31">
        <v>4.2149999999999999</v>
      </c>
      <c r="J48" s="35" t="s">
        <v>514</v>
      </c>
    </row>
    <row r="49" spans="1:10" x14ac:dyDescent="0.25">
      <c r="B49" s="8" t="s">
        <v>1225</v>
      </c>
      <c r="C49" s="56" t="s">
        <v>818</v>
      </c>
      <c r="D49" s="53" t="s">
        <v>1226</v>
      </c>
      <c r="E49" s="6" t="s">
        <v>1000</v>
      </c>
      <c r="F49" s="19">
        <v>400</v>
      </c>
      <c r="G49" s="24">
        <v>393.97</v>
      </c>
      <c r="H49" s="24">
        <v>0.88</v>
      </c>
      <c r="I49" s="31">
        <v>3.5150000000000001</v>
      </c>
      <c r="J49" s="35" t="s">
        <v>514</v>
      </c>
    </row>
    <row r="50" spans="1:10" x14ac:dyDescent="0.25">
      <c r="B50" s="8" t="s">
        <v>2478</v>
      </c>
      <c r="C50" s="56" t="s">
        <v>818</v>
      </c>
      <c r="D50" s="53" t="s">
        <v>2479</v>
      </c>
      <c r="E50" s="6" t="s">
        <v>1000</v>
      </c>
      <c r="F50" s="19">
        <v>300</v>
      </c>
      <c r="G50" s="24">
        <v>293.62</v>
      </c>
      <c r="H50" s="24">
        <v>0.66</v>
      </c>
      <c r="I50" s="31">
        <v>3.83</v>
      </c>
      <c r="J50" s="35" t="s">
        <v>514</v>
      </c>
    </row>
    <row r="51" spans="1:10" x14ac:dyDescent="0.25">
      <c r="C51" s="57" t="s">
        <v>35</v>
      </c>
      <c r="D51" s="53"/>
      <c r="E51" s="6"/>
      <c r="F51" s="19"/>
      <c r="G51" s="25">
        <v>1577.01</v>
      </c>
      <c r="H51" s="25">
        <v>3.54</v>
      </c>
      <c r="I51" s="31"/>
      <c r="J51" s="35"/>
    </row>
    <row r="52" spans="1:10" x14ac:dyDescent="0.25">
      <c r="C52" s="56"/>
      <c r="D52" s="53"/>
      <c r="E52" s="6"/>
      <c r="F52" s="19"/>
      <c r="G52" s="24"/>
      <c r="H52" s="24"/>
      <c r="I52" s="31"/>
      <c r="J52" s="35"/>
    </row>
    <row r="53" spans="1:10" x14ac:dyDescent="0.25">
      <c r="C53" s="57" t="s">
        <v>15</v>
      </c>
      <c r="D53" s="53"/>
      <c r="E53" s="6"/>
      <c r="F53" s="19"/>
      <c r="G53" s="24" t="s">
        <v>2</v>
      </c>
      <c r="H53" s="24" t="s">
        <v>2</v>
      </c>
      <c r="I53" s="31"/>
      <c r="J53" s="35"/>
    </row>
    <row r="54" spans="1:10" x14ac:dyDescent="0.25">
      <c r="C54" s="56"/>
      <c r="D54" s="53"/>
      <c r="E54" s="6"/>
      <c r="F54" s="19"/>
      <c r="G54" s="24"/>
      <c r="H54" s="24"/>
      <c r="I54" s="31"/>
      <c r="J54" s="35"/>
    </row>
    <row r="55" spans="1:10" x14ac:dyDescent="0.25">
      <c r="C55" s="57" t="s">
        <v>16</v>
      </c>
      <c r="D55" s="53"/>
      <c r="E55" s="6"/>
      <c r="F55" s="19"/>
      <c r="G55" s="24" t="s">
        <v>2</v>
      </c>
      <c r="H55" s="24" t="s">
        <v>2</v>
      </c>
      <c r="I55" s="31"/>
      <c r="J55" s="35"/>
    </row>
    <row r="56" spans="1:10" x14ac:dyDescent="0.25">
      <c r="C56" s="56"/>
      <c r="D56" s="53"/>
      <c r="E56" s="6"/>
      <c r="F56" s="19"/>
      <c r="G56" s="24"/>
      <c r="H56" s="24"/>
      <c r="I56" s="31"/>
      <c r="J56" s="35"/>
    </row>
    <row r="57" spans="1:10" x14ac:dyDescent="0.25">
      <c r="A57" s="10"/>
      <c r="B57" s="28"/>
      <c r="C57" s="58" t="s">
        <v>17</v>
      </c>
      <c r="D57" s="53"/>
      <c r="E57" s="6"/>
      <c r="F57" s="19"/>
      <c r="G57" s="24"/>
      <c r="H57" s="24"/>
      <c r="I57" s="31"/>
      <c r="J57" s="35"/>
    </row>
    <row r="58" spans="1:10" x14ac:dyDescent="0.25">
      <c r="A58" s="28"/>
      <c r="B58" s="28"/>
      <c r="C58" s="58" t="s">
        <v>18</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19</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20</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21</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C66" s="59" t="s">
        <v>22</v>
      </c>
      <c r="D66" s="53"/>
      <c r="E66" s="6"/>
      <c r="F66" s="19"/>
      <c r="G66" s="24"/>
      <c r="H66" s="24"/>
      <c r="I66" s="31"/>
      <c r="J66" s="35"/>
    </row>
    <row r="67" spans="1:10" x14ac:dyDescent="0.25">
      <c r="B67" s="8" t="s">
        <v>33</v>
      </c>
      <c r="C67" s="56" t="s">
        <v>34</v>
      </c>
      <c r="D67" s="53"/>
      <c r="E67" s="6"/>
      <c r="F67" s="19"/>
      <c r="G67" s="24">
        <v>335.59</v>
      </c>
      <c r="H67" s="24">
        <v>0.75</v>
      </c>
      <c r="I67" s="31"/>
      <c r="J67" s="35"/>
    </row>
    <row r="68" spans="1:10" x14ac:dyDescent="0.25">
      <c r="C68" s="57" t="s">
        <v>35</v>
      </c>
      <c r="D68" s="53"/>
      <c r="E68" s="6"/>
      <c r="F68" s="19"/>
      <c r="G68" s="25">
        <v>335.59</v>
      </c>
      <c r="H68" s="25">
        <v>0.75</v>
      </c>
      <c r="I68" s="31"/>
      <c r="J68" s="35"/>
    </row>
    <row r="69" spans="1:10" x14ac:dyDescent="0.25">
      <c r="C69" s="56"/>
      <c r="D69" s="53"/>
      <c r="E69" s="6"/>
      <c r="F69" s="19"/>
      <c r="G69" s="24"/>
      <c r="H69" s="24"/>
      <c r="I69" s="31"/>
      <c r="J69" s="35"/>
    </row>
    <row r="70" spans="1:10" x14ac:dyDescent="0.25">
      <c r="A70" s="10"/>
      <c r="B70" s="28"/>
      <c r="C70" s="58" t="s">
        <v>23</v>
      </c>
      <c r="D70" s="53"/>
      <c r="E70" s="6"/>
      <c r="F70" s="19"/>
      <c r="G70" s="24"/>
      <c r="H70" s="24"/>
      <c r="I70" s="31"/>
      <c r="J70" s="35"/>
    </row>
    <row r="71" spans="1:10" x14ac:dyDescent="0.25">
      <c r="A71" s="28"/>
      <c r="B71" s="28"/>
      <c r="C71" s="60" t="s">
        <v>3398</v>
      </c>
      <c r="D71" s="53"/>
      <c r="E71" s="6"/>
      <c r="F71" s="19"/>
      <c r="G71" s="24" t="s">
        <v>2</v>
      </c>
      <c r="H71" s="24" t="s">
        <v>2</v>
      </c>
      <c r="I71" s="31"/>
      <c r="J71" s="35"/>
    </row>
    <row r="72" spans="1:10" x14ac:dyDescent="0.25">
      <c r="B72" s="8"/>
      <c r="C72" s="56" t="s">
        <v>36</v>
      </c>
      <c r="D72" s="53"/>
      <c r="E72" s="6"/>
      <c r="F72" s="19"/>
      <c r="G72" s="24">
        <v>837.67</v>
      </c>
      <c r="H72" s="24">
        <v>1.88</v>
      </c>
      <c r="I72" s="31"/>
      <c r="J72" s="35"/>
    </row>
    <row r="73" spans="1:10" x14ac:dyDescent="0.25">
      <c r="C73" s="57" t="s">
        <v>35</v>
      </c>
      <c r="D73" s="53"/>
      <c r="E73" s="6"/>
      <c r="F73" s="19"/>
      <c r="G73" s="25">
        <v>837.67</v>
      </c>
      <c r="H73" s="25">
        <v>1.88</v>
      </c>
      <c r="I73" s="31"/>
      <c r="J73" s="35"/>
    </row>
    <row r="74" spans="1:10" x14ac:dyDescent="0.25">
      <c r="C74" s="56"/>
      <c r="D74" s="53"/>
      <c r="E74" s="6"/>
      <c r="F74" s="19"/>
      <c r="G74" s="24"/>
      <c r="H74" s="24"/>
      <c r="I74" s="31"/>
      <c r="J74" s="35"/>
    </row>
    <row r="75" spans="1:10" x14ac:dyDescent="0.25">
      <c r="C75" s="61" t="s">
        <v>37</v>
      </c>
      <c r="D75" s="54"/>
      <c r="E75" s="5"/>
      <c r="F75" s="20"/>
      <c r="G75" s="26">
        <v>44565.22</v>
      </c>
      <c r="H75" s="26">
        <f>SUMIFS(H:H,C:C,"Total")</f>
        <v>100</v>
      </c>
      <c r="I75" s="32"/>
      <c r="J75" s="36"/>
    </row>
    <row r="78" spans="1:10" x14ac:dyDescent="0.25">
      <c r="C78" s="1" t="s">
        <v>38</v>
      </c>
    </row>
    <row r="79" spans="1:10" x14ac:dyDescent="0.25">
      <c r="C79" s="2" t="s">
        <v>39</v>
      </c>
    </row>
    <row r="80" spans="1:10" x14ac:dyDescent="0.25">
      <c r="C80" s="2" t="s">
        <v>40</v>
      </c>
    </row>
    <row r="81" spans="3:3" x14ac:dyDescent="0.25">
      <c r="C81" s="2" t="s">
        <v>3430</v>
      </c>
    </row>
  </sheetData>
  <hyperlinks>
    <hyperlink ref="J2" location="'Index'!A1" display="'Index'!A1"/>
  </hyperlinks>
  <pageMargins left="0.7" right="0.7" top="0.75" bottom="0.75" header="0.3" footer="0.3"/>
  <pageSetup orientation="portrait" horizontalDpi="4294967293"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3"/>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2917</v>
      </c>
      <c r="J2" s="37" t="s">
        <v>3307</v>
      </c>
    </row>
    <row r="3" spans="1:10" ht="16.5" x14ac:dyDescent="0.3">
      <c r="C3" s="1" t="s">
        <v>24</v>
      </c>
      <c r="D3" s="21" t="s">
        <v>2918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2716</v>
      </c>
      <c r="C18" s="56" t="s">
        <v>1127</v>
      </c>
      <c r="D18" s="53" t="s">
        <v>2717</v>
      </c>
      <c r="E18" s="6" t="s">
        <v>534</v>
      </c>
      <c r="F18" s="19">
        <v>200</v>
      </c>
      <c r="G18" s="24">
        <v>2415.81</v>
      </c>
      <c r="H18" s="24">
        <v>9.94</v>
      </c>
      <c r="I18" s="31">
        <v>5.0199999999999996</v>
      </c>
      <c r="J18" s="35" t="s">
        <v>514</v>
      </c>
    </row>
    <row r="19" spans="2:10" x14ac:dyDescent="0.25">
      <c r="B19" s="8" t="s">
        <v>2919</v>
      </c>
      <c r="C19" s="56" t="s">
        <v>2282</v>
      </c>
      <c r="D19" s="53" t="s">
        <v>2920</v>
      </c>
      <c r="E19" s="6" t="s">
        <v>534</v>
      </c>
      <c r="F19" s="19">
        <v>200</v>
      </c>
      <c r="G19" s="24">
        <v>2371.48</v>
      </c>
      <c r="H19" s="24">
        <v>9.76</v>
      </c>
      <c r="I19" s="31">
        <v>6.1414999999999997</v>
      </c>
      <c r="J19" s="35" t="s">
        <v>514</v>
      </c>
    </row>
    <row r="20" spans="2:10" x14ac:dyDescent="0.25">
      <c r="B20" s="8" t="s">
        <v>2709</v>
      </c>
      <c r="C20" s="56" t="s">
        <v>2316</v>
      </c>
      <c r="D20" s="53" t="s">
        <v>2710</v>
      </c>
      <c r="E20" s="6" t="s">
        <v>534</v>
      </c>
      <c r="F20" s="19">
        <v>190</v>
      </c>
      <c r="G20" s="24">
        <v>2370</v>
      </c>
      <c r="H20" s="24">
        <v>9.76</v>
      </c>
      <c r="I20" s="31">
        <v>5.4550000000000001</v>
      </c>
      <c r="J20" s="35" t="s">
        <v>514</v>
      </c>
    </row>
    <row r="21" spans="2:10" x14ac:dyDescent="0.25">
      <c r="B21" s="8" t="s">
        <v>2652</v>
      </c>
      <c r="C21" s="56" t="s">
        <v>92</v>
      </c>
      <c r="D21" s="53" t="s">
        <v>2653</v>
      </c>
      <c r="E21" s="6" t="s">
        <v>534</v>
      </c>
      <c r="F21" s="19">
        <v>190</v>
      </c>
      <c r="G21" s="24">
        <v>2361.42</v>
      </c>
      <c r="H21" s="24">
        <v>9.7200000000000006</v>
      </c>
      <c r="I21" s="31">
        <v>5.25</v>
      </c>
      <c r="J21" s="35" t="s">
        <v>514</v>
      </c>
    </row>
    <row r="22" spans="2:10" x14ac:dyDescent="0.25">
      <c r="B22" s="8" t="s">
        <v>2636</v>
      </c>
      <c r="C22" s="56" t="s">
        <v>1752</v>
      </c>
      <c r="D22" s="53" t="s">
        <v>2637</v>
      </c>
      <c r="E22" s="6" t="s">
        <v>1314</v>
      </c>
      <c r="F22" s="19">
        <v>200</v>
      </c>
      <c r="G22" s="24">
        <v>2110.35</v>
      </c>
      <c r="H22" s="24">
        <v>8.69</v>
      </c>
      <c r="I22" s="31">
        <v>4.375</v>
      </c>
      <c r="J22" s="35" t="s">
        <v>514</v>
      </c>
    </row>
    <row r="23" spans="2:10" x14ac:dyDescent="0.25">
      <c r="B23" s="8" t="s">
        <v>1884</v>
      </c>
      <c r="C23" s="56" t="s">
        <v>1376</v>
      </c>
      <c r="D23" s="53" t="s">
        <v>1885</v>
      </c>
      <c r="E23" s="6" t="s">
        <v>534</v>
      </c>
      <c r="F23" s="19">
        <v>200</v>
      </c>
      <c r="G23" s="24">
        <v>2108.1</v>
      </c>
      <c r="H23" s="24">
        <v>8.68</v>
      </c>
      <c r="I23" s="31">
        <v>4.6833</v>
      </c>
      <c r="J23" s="35"/>
    </row>
    <row r="24" spans="2:10" x14ac:dyDescent="0.25">
      <c r="B24" s="8" t="s">
        <v>1394</v>
      </c>
      <c r="C24" s="56" t="s">
        <v>909</v>
      </c>
      <c r="D24" s="53" t="s">
        <v>1395</v>
      </c>
      <c r="E24" s="6" t="s">
        <v>534</v>
      </c>
      <c r="F24" s="19">
        <v>200</v>
      </c>
      <c r="G24" s="24">
        <v>2104.63</v>
      </c>
      <c r="H24" s="24">
        <v>8.66</v>
      </c>
      <c r="I24" s="31">
        <v>4.4400000000000004</v>
      </c>
      <c r="J24" s="35" t="s">
        <v>514</v>
      </c>
    </row>
    <row r="25" spans="2:10" x14ac:dyDescent="0.25">
      <c r="B25" s="8" t="s">
        <v>2646</v>
      </c>
      <c r="C25" s="56" t="s">
        <v>53</v>
      </c>
      <c r="D25" s="53" t="s">
        <v>2647</v>
      </c>
      <c r="E25" s="6" t="s">
        <v>534</v>
      </c>
      <c r="F25" s="19">
        <v>200</v>
      </c>
      <c r="G25" s="24">
        <v>2101.48</v>
      </c>
      <c r="H25" s="24">
        <v>8.65</v>
      </c>
      <c r="I25" s="31">
        <v>4.53</v>
      </c>
      <c r="J25" s="35"/>
    </row>
    <row r="26" spans="2:10" x14ac:dyDescent="0.25">
      <c r="B26" s="8" t="s">
        <v>1713</v>
      </c>
      <c r="C26" s="56" t="s">
        <v>601</v>
      </c>
      <c r="D26" s="53" t="s">
        <v>1714</v>
      </c>
      <c r="E26" s="6" t="s">
        <v>534</v>
      </c>
      <c r="F26" s="19">
        <v>200</v>
      </c>
      <c r="G26" s="24">
        <v>2097.91</v>
      </c>
      <c r="H26" s="24">
        <v>8.64</v>
      </c>
      <c r="I26" s="31">
        <v>4.6100000000000003</v>
      </c>
      <c r="J26" s="35" t="s">
        <v>514</v>
      </c>
    </row>
    <row r="27" spans="2:10" x14ac:dyDescent="0.25">
      <c r="B27" s="8" t="s">
        <v>2698</v>
      </c>
      <c r="C27" s="56" t="s">
        <v>1130</v>
      </c>
      <c r="D27" s="53" t="s">
        <v>2699</v>
      </c>
      <c r="E27" s="6" t="s">
        <v>911</v>
      </c>
      <c r="F27" s="19">
        <v>190</v>
      </c>
      <c r="G27" s="24">
        <v>1998.84</v>
      </c>
      <c r="H27" s="24">
        <v>8.23</v>
      </c>
      <c r="I27" s="31">
        <v>4.6448999999999998</v>
      </c>
      <c r="J27" s="35" t="s">
        <v>514</v>
      </c>
    </row>
    <row r="28" spans="2:10" x14ac:dyDescent="0.25">
      <c r="B28" s="8" t="s">
        <v>1864</v>
      </c>
      <c r="C28" s="56" t="s">
        <v>125</v>
      </c>
      <c r="D28" s="53" t="s">
        <v>1865</v>
      </c>
      <c r="E28" s="6" t="s">
        <v>534</v>
      </c>
      <c r="F28" s="19">
        <v>10</v>
      </c>
      <c r="G28" s="24">
        <v>105.22</v>
      </c>
      <c r="H28" s="24">
        <v>0.43</v>
      </c>
      <c r="I28" s="31">
        <v>4.76</v>
      </c>
      <c r="J28" s="35"/>
    </row>
    <row r="29" spans="2:10" x14ac:dyDescent="0.25">
      <c r="C29" s="57" t="s">
        <v>35</v>
      </c>
      <c r="D29" s="53"/>
      <c r="E29" s="6"/>
      <c r="F29" s="19"/>
      <c r="G29" s="25">
        <v>22145.24</v>
      </c>
      <c r="H29" s="25">
        <v>91.16</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2914</v>
      </c>
      <c r="C38" s="56" t="s">
        <v>2915</v>
      </c>
      <c r="D38" s="53" t="s">
        <v>2916</v>
      </c>
      <c r="E38" s="6" t="s">
        <v>655</v>
      </c>
      <c r="F38" s="19">
        <v>300000</v>
      </c>
      <c r="G38" s="24">
        <v>316.47000000000003</v>
      </c>
      <c r="H38" s="24">
        <v>1.3</v>
      </c>
      <c r="I38" s="31">
        <v>4.6928999999999998</v>
      </c>
      <c r="J38" s="35"/>
    </row>
    <row r="39" spans="1:10" x14ac:dyDescent="0.25">
      <c r="B39" s="8" t="s">
        <v>2663</v>
      </c>
      <c r="C39" s="56" t="s">
        <v>2664</v>
      </c>
      <c r="D39" s="53" t="s">
        <v>2665</v>
      </c>
      <c r="E39" s="6" t="s">
        <v>655</v>
      </c>
      <c r="F39" s="19">
        <v>100000</v>
      </c>
      <c r="G39" s="24">
        <v>105.87</v>
      </c>
      <c r="H39" s="24">
        <v>0.44</v>
      </c>
      <c r="I39" s="31">
        <v>4.3513000000000002</v>
      </c>
      <c r="J39" s="35"/>
    </row>
    <row r="40" spans="1:10" x14ac:dyDescent="0.25">
      <c r="C40" s="57" t="s">
        <v>35</v>
      </c>
      <c r="D40" s="53"/>
      <c r="E40" s="6"/>
      <c r="F40" s="19"/>
      <c r="G40" s="25">
        <v>422.34</v>
      </c>
      <c r="H40" s="25">
        <v>1.74</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2480</v>
      </c>
      <c r="C46" s="56" t="s">
        <v>872</v>
      </c>
      <c r="D46" s="53" t="s">
        <v>2481</v>
      </c>
      <c r="E46" s="6" t="s">
        <v>992</v>
      </c>
      <c r="F46" s="19">
        <v>600</v>
      </c>
      <c r="G46" s="24">
        <v>592.95000000000005</v>
      </c>
      <c r="H46" s="24">
        <v>2.44</v>
      </c>
      <c r="I46" s="31">
        <v>4.2149999999999999</v>
      </c>
      <c r="J46" s="35" t="s">
        <v>514</v>
      </c>
    </row>
    <row r="47" spans="1:10" x14ac:dyDescent="0.25">
      <c r="B47" s="8" t="s">
        <v>2478</v>
      </c>
      <c r="C47" s="56" t="s">
        <v>818</v>
      </c>
      <c r="D47" s="53" t="s">
        <v>2479</v>
      </c>
      <c r="E47" s="6" t="s">
        <v>1000</v>
      </c>
      <c r="F47" s="19">
        <v>300</v>
      </c>
      <c r="G47" s="24">
        <v>293.62</v>
      </c>
      <c r="H47" s="24">
        <v>1.21</v>
      </c>
      <c r="I47" s="31">
        <v>3.83</v>
      </c>
      <c r="J47" s="35" t="s">
        <v>514</v>
      </c>
    </row>
    <row r="48" spans="1:10" x14ac:dyDescent="0.25">
      <c r="B48" s="8" t="s">
        <v>1225</v>
      </c>
      <c r="C48" s="56" t="s">
        <v>818</v>
      </c>
      <c r="D48" s="53" t="s">
        <v>1226</v>
      </c>
      <c r="E48" s="6" t="s">
        <v>1000</v>
      </c>
      <c r="F48" s="19">
        <v>200</v>
      </c>
      <c r="G48" s="24">
        <v>196.98</v>
      </c>
      <c r="H48" s="24">
        <v>0.81</v>
      </c>
      <c r="I48" s="31">
        <v>3.5150000000000001</v>
      </c>
      <c r="J48" s="35" t="s">
        <v>514</v>
      </c>
    </row>
    <row r="49" spans="1:10" x14ac:dyDescent="0.25">
      <c r="C49" s="57" t="s">
        <v>35</v>
      </c>
      <c r="D49" s="53"/>
      <c r="E49" s="6"/>
      <c r="F49" s="19"/>
      <c r="G49" s="25">
        <v>1083.55</v>
      </c>
      <c r="H49" s="25">
        <v>4.46</v>
      </c>
      <c r="I49" s="31"/>
      <c r="J49" s="35"/>
    </row>
    <row r="50" spans="1:10" x14ac:dyDescent="0.25">
      <c r="C50" s="56"/>
      <c r="D50" s="53"/>
      <c r="E50" s="6"/>
      <c r="F50" s="19"/>
      <c r="G50" s="24"/>
      <c r="H50" s="24"/>
      <c r="I50" s="31"/>
      <c r="J50" s="35"/>
    </row>
    <row r="51" spans="1:10" x14ac:dyDescent="0.25">
      <c r="C51" s="57" t="s">
        <v>15</v>
      </c>
      <c r="D51" s="53"/>
      <c r="E51" s="6"/>
      <c r="F51" s="19"/>
      <c r="G51" s="24" t="s">
        <v>2</v>
      </c>
      <c r="H51" s="24" t="s">
        <v>2</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104.46</v>
      </c>
      <c r="H65" s="24">
        <v>0.43</v>
      </c>
      <c r="I65" s="31"/>
      <c r="J65" s="35"/>
    </row>
    <row r="66" spans="1:10" x14ac:dyDescent="0.25">
      <c r="C66" s="57" t="s">
        <v>35</v>
      </c>
      <c r="D66" s="53"/>
      <c r="E66" s="6"/>
      <c r="F66" s="19"/>
      <c r="G66" s="25">
        <v>104.46</v>
      </c>
      <c r="H66" s="25">
        <v>0.43</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539.4</v>
      </c>
      <c r="H70" s="24">
        <v>2.2100000000000004</v>
      </c>
      <c r="I70" s="31"/>
      <c r="J70" s="35"/>
    </row>
    <row r="71" spans="1:10" x14ac:dyDescent="0.25">
      <c r="C71" s="57" t="s">
        <v>35</v>
      </c>
      <c r="D71" s="53"/>
      <c r="E71" s="6"/>
      <c r="F71" s="19"/>
      <c r="G71" s="25">
        <v>539.4</v>
      </c>
      <c r="H71" s="25">
        <v>2.2100000000000004</v>
      </c>
      <c r="I71" s="31"/>
      <c r="J71" s="35"/>
    </row>
    <row r="72" spans="1:10" x14ac:dyDescent="0.25">
      <c r="C72" s="56"/>
      <c r="D72" s="53"/>
      <c r="E72" s="6"/>
      <c r="F72" s="19"/>
      <c r="G72" s="24"/>
      <c r="H72" s="24"/>
      <c r="I72" s="31"/>
      <c r="J72" s="35"/>
    </row>
    <row r="73" spans="1:10" x14ac:dyDescent="0.25">
      <c r="C73" s="61" t="s">
        <v>37</v>
      </c>
      <c r="D73" s="54"/>
      <c r="E73" s="5"/>
      <c r="F73" s="20"/>
      <c r="G73" s="26">
        <v>24294.99</v>
      </c>
      <c r="H73" s="26">
        <f>SUMIFS(H:H,C:C,"Total")</f>
        <v>99.999999999999986</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4"/>
  <dimension ref="A1:J12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2921</v>
      </c>
      <c r="J2" s="37" t="s">
        <v>3307</v>
      </c>
    </row>
    <row r="3" spans="1:10" ht="16.5" x14ac:dyDescent="0.3">
      <c r="C3" s="1" t="s">
        <v>24</v>
      </c>
      <c r="D3" s="21" t="s">
        <v>2922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143</v>
      </c>
      <c r="C10" s="56" t="s">
        <v>144</v>
      </c>
      <c r="D10" s="53" t="s">
        <v>145</v>
      </c>
      <c r="E10" s="6" t="s">
        <v>146</v>
      </c>
      <c r="F10" s="19">
        <v>2432</v>
      </c>
      <c r="G10" s="24">
        <v>53.58</v>
      </c>
      <c r="H10" s="24">
        <v>0.65</v>
      </c>
      <c r="I10" s="31"/>
      <c r="J10" s="35"/>
    </row>
    <row r="11" spans="1:10" x14ac:dyDescent="0.25">
      <c r="B11" s="8" t="s">
        <v>1573</v>
      </c>
      <c r="C11" s="56" t="s">
        <v>1574</v>
      </c>
      <c r="D11" s="53" t="s">
        <v>1575</v>
      </c>
      <c r="E11" s="6" t="s">
        <v>90</v>
      </c>
      <c r="F11" s="19">
        <v>9780</v>
      </c>
      <c r="G11" s="24">
        <v>48.9</v>
      </c>
      <c r="H11" s="24">
        <v>0.59</v>
      </c>
      <c r="I11" s="31"/>
      <c r="J11" s="35"/>
    </row>
    <row r="12" spans="1:10" x14ac:dyDescent="0.25">
      <c r="B12" s="8" t="s">
        <v>1576</v>
      </c>
      <c r="C12" s="56" t="s">
        <v>1577</v>
      </c>
      <c r="D12" s="53" t="s">
        <v>1578</v>
      </c>
      <c r="E12" s="6" t="s">
        <v>90</v>
      </c>
      <c r="F12" s="19">
        <v>9234</v>
      </c>
      <c r="G12" s="24">
        <v>47.14</v>
      </c>
      <c r="H12" s="24">
        <v>0.56999999999999995</v>
      </c>
      <c r="I12" s="31"/>
      <c r="J12" s="35"/>
    </row>
    <row r="13" spans="1:10" x14ac:dyDescent="0.25">
      <c r="B13" s="8" t="s">
        <v>115</v>
      </c>
      <c r="C13" s="56" t="s">
        <v>116</v>
      </c>
      <c r="D13" s="53" t="s">
        <v>117</v>
      </c>
      <c r="E13" s="6" t="s">
        <v>94</v>
      </c>
      <c r="F13" s="19">
        <v>3562</v>
      </c>
      <c r="G13" s="24">
        <v>46.29</v>
      </c>
      <c r="H13" s="24">
        <v>0.56000000000000005</v>
      </c>
      <c r="I13" s="31"/>
      <c r="J13" s="35"/>
    </row>
    <row r="14" spans="1:10" x14ac:dyDescent="0.25">
      <c r="B14" s="8" t="s">
        <v>130</v>
      </c>
      <c r="C14" s="56" t="s">
        <v>131</v>
      </c>
      <c r="D14" s="53" t="s">
        <v>132</v>
      </c>
      <c r="E14" s="6" t="s">
        <v>47</v>
      </c>
      <c r="F14" s="19">
        <v>1239</v>
      </c>
      <c r="G14" s="24">
        <v>45.03</v>
      </c>
      <c r="H14" s="24">
        <v>0.54</v>
      </c>
      <c r="I14" s="31"/>
      <c r="J14" s="35"/>
    </row>
    <row r="15" spans="1:10" x14ac:dyDescent="0.25">
      <c r="B15" s="8" t="s">
        <v>1579</v>
      </c>
      <c r="C15" s="56" t="s">
        <v>1580</v>
      </c>
      <c r="D15" s="53" t="s">
        <v>1581</v>
      </c>
      <c r="E15" s="6" t="s">
        <v>90</v>
      </c>
      <c r="F15" s="19">
        <v>6176</v>
      </c>
      <c r="G15" s="24">
        <v>44.77</v>
      </c>
      <c r="H15" s="24">
        <v>0.54</v>
      </c>
      <c r="I15" s="31"/>
      <c r="J15" s="35"/>
    </row>
    <row r="16" spans="1:10" x14ac:dyDescent="0.25">
      <c r="B16" s="8" t="s">
        <v>158</v>
      </c>
      <c r="C16" s="56" t="s">
        <v>159</v>
      </c>
      <c r="D16" s="53" t="s">
        <v>160</v>
      </c>
      <c r="E16" s="6" t="s">
        <v>111</v>
      </c>
      <c r="F16" s="19">
        <v>3921</v>
      </c>
      <c r="G16" s="24">
        <v>39.5</v>
      </c>
      <c r="H16" s="24">
        <v>0.48</v>
      </c>
      <c r="I16" s="31"/>
      <c r="J16" s="35"/>
    </row>
    <row r="17" spans="2:10" x14ac:dyDescent="0.25">
      <c r="B17" s="8" t="s">
        <v>769</v>
      </c>
      <c r="C17" s="56" t="s">
        <v>770</v>
      </c>
      <c r="D17" s="53" t="s">
        <v>771</v>
      </c>
      <c r="E17" s="6" t="s">
        <v>111</v>
      </c>
      <c r="F17" s="19">
        <v>4592</v>
      </c>
      <c r="G17" s="24">
        <v>36.58</v>
      </c>
      <c r="H17" s="24">
        <v>0.44</v>
      </c>
      <c r="I17" s="31"/>
      <c r="J17" s="35"/>
    </row>
    <row r="18" spans="2:10" x14ac:dyDescent="0.25">
      <c r="B18" s="8" t="s">
        <v>1582</v>
      </c>
      <c r="C18" s="56" t="s">
        <v>1583</v>
      </c>
      <c r="D18" s="53" t="s">
        <v>1584</v>
      </c>
      <c r="E18" s="6" t="s">
        <v>195</v>
      </c>
      <c r="F18" s="19">
        <v>2489</v>
      </c>
      <c r="G18" s="24">
        <v>35.700000000000003</v>
      </c>
      <c r="H18" s="24">
        <v>0.43</v>
      </c>
      <c r="I18" s="31"/>
      <c r="J18" s="35"/>
    </row>
    <row r="19" spans="2:10" x14ac:dyDescent="0.25">
      <c r="B19" s="8" t="s">
        <v>439</v>
      </c>
      <c r="C19" s="56" t="s">
        <v>440</v>
      </c>
      <c r="D19" s="53" t="s">
        <v>441</v>
      </c>
      <c r="E19" s="6" t="s">
        <v>111</v>
      </c>
      <c r="F19" s="19">
        <v>7249</v>
      </c>
      <c r="G19" s="24">
        <v>32.450000000000003</v>
      </c>
      <c r="H19" s="24">
        <v>0.39</v>
      </c>
      <c r="I19" s="31"/>
      <c r="J19" s="35"/>
    </row>
    <row r="20" spans="2:10" x14ac:dyDescent="0.25">
      <c r="B20" s="8" t="s">
        <v>87</v>
      </c>
      <c r="C20" s="56" t="s">
        <v>88</v>
      </c>
      <c r="D20" s="53" t="s">
        <v>89</v>
      </c>
      <c r="E20" s="6" t="s">
        <v>90</v>
      </c>
      <c r="F20" s="19">
        <v>2176</v>
      </c>
      <c r="G20" s="24">
        <v>31.19</v>
      </c>
      <c r="H20" s="24">
        <v>0.38</v>
      </c>
      <c r="I20" s="31"/>
      <c r="J20" s="35"/>
    </row>
    <row r="21" spans="2:10" x14ac:dyDescent="0.25">
      <c r="B21" s="8" t="s">
        <v>398</v>
      </c>
      <c r="C21" s="56" t="s">
        <v>399</v>
      </c>
      <c r="D21" s="53" t="s">
        <v>400</v>
      </c>
      <c r="E21" s="6" t="s">
        <v>90</v>
      </c>
      <c r="F21" s="19">
        <v>8432</v>
      </c>
      <c r="G21" s="24">
        <v>30.61</v>
      </c>
      <c r="H21" s="24">
        <v>0.37</v>
      </c>
      <c r="I21" s="31"/>
      <c r="J21" s="35"/>
    </row>
    <row r="22" spans="2:10" x14ac:dyDescent="0.25">
      <c r="B22" s="8" t="s">
        <v>255</v>
      </c>
      <c r="C22" s="56" t="s">
        <v>256</v>
      </c>
      <c r="D22" s="53" t="s">
        <v>257</v>
      </c>
      <c r="E22" s="6" t="s">
        <v>51</v>
      </c>
      <c r="F22" s="19">
        <v>11042</v>
      </c>
      <c r="G22" s="24">
        <v>30.14</v>
      </c>
      <c r="H22" s="24">
        <v>0.36</v>
      </c>
      <c r="I22" s="31"/>
      <c r="J22" s="35"/>
    </row>
    <row r="23" spans="2:10" x14ac:dyDescent="0.25">
      <c r="B23" s="8" t="s">
        <v>1585</v>
      </c>
      <c r="C23" s="56" t="s">
        <v>1586</v>
      </c>
      <c r="D23" s="53" t="s">
        <v>1587</v>
      </c>
      <c r="E23" s="6" t="s">
        <v>83</v>
      </c>
      <c r="F23" s="19">
        <v>4088</v>
      </c>
      <c r="G23" s="24">
        <v>27.71</v>
      </c>
      <c r="H23" s="24">
        <v>0.33</v>
      </c>
      <c r="I23" s="31"/>
      <c r="J23" s="35"/>
    </row>
    <row r="24" spans="2:10" x14ac:dyDescent="0.25">
      <c r="B24" s="8" t="s">
        <v>1354</v>
      </c>
      <c r="C24" s="56" t="s">
        <v>1355</v>
      </c>
      <c r="D24" s="53" t="s">
        <v>1356</v>
      </c>
      <c r="E24" s="6" t="s">
        <v>826</v>
      </c>
      <c r="F24" s="19">
        <v>12245</v>
      </c>
      <c r="G24" s="24">
        <v>27.02</v>
      </c>
      <c r="H24" s="24">
        <v>0.33</v>
      </c>
      <c r="I24" s="31"/>
      <c r="J24" s="35"/>
    </row>
    <row r="25" spans="2:10" x14ac:dyDescent="0.25">
      <c r="B25" s="8" t="s">
        <v>161</v>
      </c>
      <c r="C25" s="56" t="s">
        <v>162</v>
      </c>
      <c r="D25" s="53" t="s">
        <v>163</v>
      </c>
      <c r="E25" s="6" t="s">
        <v>94</v>
      </c>
      <c r="F25" s="19">
        <v>6329</v>
      </c>
      <c r="G25" s="24">
        <v>26.64</v>
      </c>
      <c r="H25" s="24">
        <v>0.32</v>
      </c>
      <c r="I25" s="31"/>
      <c r="J25" s="35"/>
    </row>
    <row r="26" spans="2:10" x14ac:dyDescent="0.25">
      <c r="B26" s="8" t="s">
        <v>324</v>
      </c>
      <c r="C26" s="56" t="s">
        <v>325</v>
      </c>
      <c r="D26" s="53" t="s">
        <v>326</v>
      </c>
      <c r="E26" s="6" t="s">
        <v>41</v>
      </c>
      <c r="F26" s="19">
        <v>11995</v>
      </c>
      <c r="G26" s="24">
        <v>26.03</v>
      </c>
      <c r="H26" s="24">
        <v>0.31</v>
      </c>
      <c r="I26" s="31"/>
      <c r="J26" s="35"/>
    </row>
    <row r="27" spans="2:10" x14ac:dyDescent="0.25">
      <c r="B27" s="8" t="s">
        <v>442</v>
      </c>
      <c r="C27" s="56" t="s">
        <v>443</v>
      </c>
      <c r="D27" s="53" t="s">
        <v>444</v>
      </c>
      <c r="E27" s="6" t="s">
        <v>90</v>
      </c>
      <c r="F27" s="19">
        <v>4864</v>
      </c>
      <c r="G27" s="24">
        <v>25.09</v>
      </c>
      <c r="H27" s="24">
        <v>0.3</v>
      </c>
      <c r="I27" s="31"/>
      <c r="J27" s="35"/>
    </row>
    <row r="28" spans="2:10" x14ac:dyDescent="0.25">
      <c r="B28" s="8" t="s">
        <v>1588</v>
      </c>
      <c r="C28" s="56" t="s">
        <v>1589</v>
      </c>
      <c r="D28" s="53" t="s">
        <v>1590</v>
      </c>
      <c r="E28" s="6" t="s">
        <v>1591</v>
      </c>
      <c r="F28" s="19">
        <v>13891</v>
      </c>
      <c r="G28" s="24">
        <v>24.35</v>
      </c>
      <c r="H28" s="24">
        <v>0.28999999999999998</v>
      </c>
      <c r="I28" s="31"/>
      <c r="J28" s="35"/>
    </row>
    <row r="29" spans="2:10" x14ac:dyDescent="0.25">
      <c r="B29" s="8" t="s">
        <v>1592</v>
      </c>
      <c r="C29" s="56" t="s">
        <v>1593</v>
      </c>
      <c r="D29" s="53" t="s">
        <v>1594</v>
      </c>
      <c r="E29" s="6" t="s">
        <v>90</v>
      </c>
      <c r="F29" s="19">
        <v>3964</v>
      </c>
      <c r="G29" s="24">
        <v>23.14</v>
      </c>
      <c r="H29" s="24">
        <v>0.28000000000000003</v>
      </c>
      <c r="I29" s="31"/>
      <c r="J29" s="35"/>
    </row>
    <row r="30" spans="2:10" x14ac:dyDescent="0.25">
      <c r="B30" s="8" t="s">
        <v>1595</v>
      </c>
      <c r="C30" s="56" t="s">
        <v>1596</v>
      </c>
      <c r="D30" s="53" t="s">
        <v>1597</v>
      </c>
      <c r="E30" s="6" t="s">
        <v>94</v>
      </c>
      <c r="F30" s="19">
        <v>1841</v>
      </c>
      <c r="G30" s="24">
        <v>23.08</v>
      </c>
      <c r="H30" s="24">
        <v>0.28000000000000003</v>
      </c>
      <c r="I30" s="31"/>
      <c r="J30" s="35"/>
    </row>
    <row r="31" spans="2:10" x14ac:dyDescent="0.25">
      <c r="B31" s="8" t="s">
        <v>1598</v>
      </c>
      <c r="C31" s="56" t="s">
        <v>1599</v>
      </c>
      <c r="D31" s="53" t="s">
        <v>1600</v>
      </c>
      <c r="E31" s="6" t="s">
        <v>196</v>
      </c>
      <c r="F31" s="19">
        <v>19592</v>
      </c>
      <c r="G31" s="24">
        <v>22.5</v>
      </c>
      <c r="H31" s="24">
        <v>0.27</v>
      </c>
      <c r="I31" s="31"/>
      <c r="J31" s="35"/>
    </row>
    <row r="32" spans="2:10" x14ac:dyDescent="0.25">
      <c r="B32" s="8" t="s">
        <v>177</v>
      </c>
      <c r="C32" s="56" t="s">
        <v>178</v>
      </c>
      <c r="D32" s="53" t="s">
        <v>179</v>
      </c>
      <c r="E32" s="6" t="s">
        <v>111</v>
      </c>
      <c r="F32" s="19">
        <v>801</v>
      </c>
      <c r="G32" s="24">
        <v>22.43</v>
      </c>
      <c r="H32" s="24">
        <v>0.27</v>
      </c>
      <c r="I32" s="31"/>
      <c r="J32" s="35"/>
    </row>
    <row r="33" spans="2:10" x14ac:dyDescent="0.25">
      <c r="B33" s="8" t="s">
        <v>1601</v>
      </c>
      <c r="C33" s="56" t="s">
        <v>1602</v>
      </c>
      <c r="D33" s="53" t="s">
        <v>1603</v>
      </c>
      <c r="E33" s="6" t="s">
        <v>826</v>
      </c>
      <c r="F33" s="19">
        <v>5714</v>
      </c>
      <c r="G33" s="24">
        <v>22.1</v>
      </c>
      <c r="H33" s="24">
        <v>0.27</v>
      </c>
      <c r="I33" s="31"/>
      <c r="J33" s="35"/>
    </row>
    <row r="34" spans="2:10" x14ac:dyDescent="0.25">
      <c r="B34" s="8" t="s">
        <v>805</v>
      </c>
      <c r="C34" s="56" t="s">
        <v>806</v>
      </c>
      <c r="D34" s="53" t="s">
        <v>807</v>
      </c>
      <c r="E34" s="6" t="s">
        <v>55</v>
      </c>
      <c r="F34" s="19">
        <v>12190</v>
      </c>
      <c r="G34" s="24">
        <v>22.02</v>
      </c>
      <c r="H34" s="24">
        <v>0.27</v>
      </c>
      <c r="I34" s="31"/>
      <c r="J34" s="35"/>
    </row>
    <row r="35" spans="2:10" x14ac:dyDescent="0.25">
      <c r="B35" s="8" t="s">
        <v>229</v>
      </c>
      <c r="C35" s="56" t="s">
        <v>230</v>
      </c>
      <c r="D35" s="53" t="s">
        <v>231</v>
      </c>
      <c r="E35" s="6" t="s">
        <v>94</v>
      </c>
      <c r="F35" s="19">
        <v>1768</v>
      </c>
      <c r="G35" s="24">
        <v>20.02</v>
      </c>
      <c r="H35" s="24">
        <v>0.24</v>
      </c>
      <c r="I35" s="31"/>
      <c r="J35" s="35"/>
    </row>
    <row r="36" spans="2:10" x14ac:dyDescent="0.25">
      <c r="B36" s="8" t="s">
        <v>1607</v>
      </c>
      <c r="C36" s="56" t="s">
        <v>1608</v>
      </c>
      <c r="D36" s="53" t="s">
        <v>1609</v>
      </c>
      <c r="E36" s="6" t="s">
        <v>94</v>
      </c>
      <c r="F36" s="19">
        <v>818</v>
      </c>
      <c r="G36" s="24">
        <v>19.75</v>
      </c>
      <c r="H36" s="24">
        <v>0.24</v>
      </c>
      <c r="I36" s="31"/>
      <c r="J36" s="35"/>
    </row>
    <row r="37" spans="2:10" x14ac:dyDescent="0.25">
      <c r="B37" s="8" t="s">
        <v>1604</v>
      </c>
      <c r="C37" s="56" t="s">
        <v>1605</v>
      </c>
      <c r="D37" s="53" t="s">
        <v>1606</v>
      </c>
      <c r="E37" s="6" t="s">
        <v>94</v>
      </c>
      <c r="F37" s="19">
        <v>869</v>
      </c>
      <c r="G37" s="24">
        <v>19.72</v>
      </c>
      <c r="H37" s="24">
        <v>0.24</v>
      </c>
      <c r="I37" s="31"/>
      <c r="J37" s="35"/>
    </row>
    <row r="38" spans="2:10" x14ac:dyDescent="0.25">
      <c r="B38" s="8" t="s">
        <v>139</v>
      </c>
      <c r="C38" s="56" t="s">
        <v>140</v>
      </c>
      <c r="D38" s="53" t="s">
        <v>141</v>
      </c>
      <c r="E38" s="6" t="s">
        <v>142</v>
      </c>
      <c r="F38" s="19">
        <v>1571</v>
      </c>
      <c r="G38" s="24">
        <v>19.62</v>
      </c>
      <c r="H38" s="24">
        <v>0.24</v>
      </c>
      <c r="I38" s="31"/>
      <c r="J38" s="35"/>
    </row>
    <row r="39" spans="2:10" x14ac:dyDescent="0.25">
      <c r="B39" s="8" t="s">
        <v>1621</v>
      </c>
      <c r="C39" s="56" t="s">
        <v>1622</v>
      </c>
      <c r="D39" s="53" t="s">
        <v>1623</v>
      </c>
      <c r="E39" s="6" t="s">
        <v>94</v>
      </c>
      <c r="F39" s="19">
        <v>2299</v>
      </c>
      <c r="G39" s="24">
        <v>19.489999999999998</v>
      </c>
      <c r="H39" s="24">
        <v>0.23</v>
      </c>
      <c r="I39" s="31"/>
      <c r="J39" s="35"/>
    </row>
    <row r="40" spans="2:10" x14ac:dyDescent="0.25">
      <c r="B40" s="8" t="s">
        <v>370</v>
      </c>
      <c r="C40" s="56" t="s">
        <v>371</v>
      </c>
      <c r="D40" s="53" t="s">
        <v>372</v>
      </c>
      <c r="E40" s="6" t="s">
        <v>41</v>
      </c>
      <c r="F40" s="19">
        <v>1380</v>
      </c>
      <c r="G40" s="24">
        <v>19.23</v>
      </c>
      <c r="H40" s="24">
        <v>0.23</v>
      </c>
      <c r="I40" s="31"/>
      <c r="J40" s="35"/>
    </row>
    <row r="41" spans="2:10" x14ac:dyDescent="0.25">
      <c r="B41" s="8" t="s">
        <v>899</v>
      </c>
      <c r="C41" s="56" t="s">
        <v>900</v>
      </c>
      <c r="D41" s="53" t="s">
        <v>901</v>
      </c>
      <c r="E41" s="6" t="s">
        <v>196</v>
      </c>
      <c r="F41" s="19">
        <v>140</v>
      </c>
      <c r="G41" s="24">
        <v>19.22</v>
      </c>
      <c r="H41" s="24">
        <v>0.23</v>
      </c>
      <c r="I41" s="31"/>
      <c r="J41" s="35"/>
    </row>
    <row r="42" spans="2:10" x14ac:dyDescent="0.25">
      <c r="B42" s="8" t="s">
        <v>342</v>
      </c>
      <c r="C42" s="56" t="s">
        <v>343</v>
      </c>
      <c r="D42" s="53" t="s">
        <v>344</v>
      </c>
      <c r="E42" s="6" t="s">
        <v>111</v>
      </c>
      <c r="F42" s="19">
        <v>664</v>
      </c>
      <c r="G42" s="24">
        <v>18.45</v>
      </c>
      <c r="H42" s="24">
        <v>0.22</v>
      </c>
      <c r="I42" s="31"/>
      <c r="J42" s="35"/>
    </row>
    <row r="43" spans="2:10" x14ac:dyDescent="0.25">
      <c r="B43" s="8" t="s">
        <v>1610</v>
      </c>
      <c r="C43" s="56" t="s">
        <v>1611</v>
      </c>
      <c r="D43" s="53" t="s">
        <v>1612</v>
      </c>
      <c r="E43" s="6" t="s">
        <v>254</v>
      </c>
      <c r="F43" s="19">
        <v>1454</v>
      </c>
      <c r="G43" s="24">
        <v>18.39</v>
      </c>
      <c r="H43" s="24">
        <v>0.22</v>
      </c>
      <c r="I43" s="31"/>
      <c r="J43" s="35"/>
    </row>
    <row r="44" spans="2:10" x14ac:dyDescent="0.25">
      <c r="B44" s="8" t="s">
        <v>749</v>
      </c>
      <c r="C44" s="56" t="s">
        <v>750</v>
      </c>
      <c r="D44" s="53" t="s">
        <v>751</v>
      </c>
      <c r="E44" s="6" t="s">
        <v>47</v>
      </c>
      <c r="F44" s="19">
        <v>684</v>
      </c>
      <c r="G44" s="24">
        <v>17.399999999999999</v>
      </c>
      <c r="H44" s="24">
        <v>0.21</v>
      </c>
      <c r="I44" s="31"/>
      <c r="J44" s="35"/>
    </row>
    <row r="45" spans="2:10" x14ac:dyDescent="0.25">
      <c r="B45" s="8" t="s">
        <v>469</v>
      </c>
      <c r="C45" s="56" t="s">
        <v>470</v>
      </c>
      <c r="D45" s="53" t="s">
        <v>471</v>
      </c>
      <c r="E45" s="6" t="s">
        <v>90</v>
      </c>
      <c r="F45" s="19">
        <v>1813</v>
      </c>
      <c r="G45" s="24">
        <v>17.34</v>
      </c>
      <c r="H45" s="24">
        <v>0.21</v>
      </c>
      <c r="I45" s="31"/>
      <c r="J45" s="35"/>
    </row>
    <row r="46" spans="2:10" x14ac:dyDescent="0.25">
      <c r="B46" s="8" t="s">
        <v>1613</v>
      </c>
      <c r="C46" s="56" t="s">
        <v>1614</v>
      </c>
      <c r="D46" s="53" t="s">
        <v>1615</v>
      </c>
      <c r="E46" s="6" t="s">
        <v>111</v>
      </c>
      <c r="F46" s="19">
        <v>4178</v>
      </c>
      <c r="G46" s="24">
        <v>16.510000000000002</v>
      </c>
      <c r="H46" s="24">
        <v>0.2</v>
      </c>
      <c r="I46" s="31"/>
      <c r="J46" s="35"/>
    </row>
    <row r="47" spans="2:10" x14ac:dyDescent="0.25">
      <c r="B47" s="8" t="s">
        <v>1616</v>
      </c>
      <c r="C47" s="56" t="s">
        <v>601</v>
      </c>
      <c r="D47" s="53" t="s">
        <v>1617</v>
      </c>
      <c r="E47" s="6" t="s">
        <v>94</v>
      </c>
      <c r="F47" s="19">
        <v>18965</v>
      </c>
      <c r="G47" s="24">
        <v>16.350000000000001</v>
      </c>
      <c r="H47" s="24">
        <v>0.2</v>
      </c>
      <c r="I47" s="31"/>
      <c r="J47" s="35"/>
    </row>
    <row r="48" spans="2:10" x14ac:dyDescent="0.25">
      <c r="B48" s="8" t="s">
        <v>1618</v>
      </c>
      <c r="C48" s="56" t="s">
        <v>1619</v>
      </c>
      <c r="D48" s="53" t="s">
        <v>1620</v>
      </c>
      <c r="E48" s="6" t="s">
        <v>142</v>
      </c>
      <c r="F48" s="19">
        <v>4476</v>
      </c>
      <c r="G48" s="24">
        <v>16.34</v>
      </c>
      <c r="H48" s="24">
        <v>0.2</v>
      </c>
      <c r="I48" s="31"/>
      <c r="J48" s="35"/>
    </row>
    <row r="49" spans="2:10" x14ac:dyDescent="0.25">
      <c r="B49" s="8" t="s">
        <v>294</v>
      </c>
      <c r="C49" s="56" t="s">
        <v>295</v>
      </c>
      <c r="D49" s="53" t="s">
        <v>296</v>
      </c>
      <c r="E49" s="6" t="s">
        <v>274</v>
      </c>
      <c r="F49" s="19">
        <v>10103</v>
      </c>
      <c r="G49" s="24">
        <v>15.42</v>
      </c>
      <c r="H49" s="24">
        <v>0.19</v>
      </c>
      <c r="I49" s="31"/>
      <c r="J49" s="35"/>
    </row>
    <row r="50" spans="2:10" x14ac:dyDescent="0.25">
      <c r="B50" s="8" t="s">
        <v>415</v>
      </c>
      <c r="C50" s="56" t="s">
        <v>416</v>
      </c>
      <c r="D50" s="53" t="s">
        <v>417</v>
      </c>
      <c r="E50" s="6" t="s">
        <v>90</v>
      </c>
      <c r="F50" s="19">
        <v>154</v>
      </c>
      <c r="G50" s="24">
        <v>15.32</v>
      </c>
      <c r="H50" s="24">
        <v>0.18</v>
      </c>
      <c r="I50" s="31"/>
      <c r="J50" s="35"/>
    </row>
    <row r="51" spans="2:10" x14ac:dyDescent="0.25">
      <c r="B51" s="8" t="s">
        <v>454</v>
      </c>
      <c r="C51" s="56" t="s">
        <v>455</v>
      </c>
      <c r="D51" s="53" t="s">
        <v>456</v>
      </c>
      <c r="E51" s="6" t="s">
        <v>111</v>
      </c>
      <c r="F51" s="19">
        <v>87</v>
      </c>
      <c r="G51" s="24">
        <v>14.34</v>
      </c>
      <c r="H51" s="24">
        <v>0.17</v>
      </c>
      <c r="I51" s="31"/>
      <c r="J51" s="35"/>
    </row>
    <row r="52" spans="2:10" x14ac:dyDescent="0.25">
      <c r="B52" s="8" t="s">
        <v>1624</v>
      </c>
      <c r="C52" s="56" t="s">
        <v>1625</v>
      </c>
      <c r="D52" s="53" t="s">
        <v>1626</v>
      </c>
      <c r="E52" s="6" t="s">
        <v>886</v>
      </c>
      <c r="F52" s="19">
        <v>14996</v>
      </c>
      <c r="G52" s="24">
        <v>12.33</v>
      </c>
      <c r="H52" s="24">
        <v>0.15</v>
      </c>
      <c r="I52" s="31"/>
      <c r="J52" s="35"/>
    </row>
    <row r="53" spans="2:10" x14ac:dyDescent="0.25">
      <c r="B53" s="8" t="s">
        <v>463</v>
      </c>
      <c r="C53" s="56" t="s">
        <v>464</v>
      </c>
      <c r="D53" s="53" t="s">
        <v>465</v>
      </c>
      <c r="E53" s="6" t="s">
        <v>47</v>
      </c>
      <c r="F53" s="19">
        <v>379</v>
      </c>
      <c r="G53" s="24">
        <v>11.64</v>
      </c>
      <c r="H53" s="24">
        <v>0.14000000000000001</v>
      </c>
      <c r="I53" s="31"/>
      <c r="J53" s="35"/>
    </row>
    <row r="54" spans="2:10" x14ac:dyDescent="0.25">
      <c r="B54" s="8" t="s">
        <v>1627</v>
      </c>
      <c r="C54" s="56" t="s">
        <v>1628</v>
      </c>
      <c r="D54" s="53" t="s">
        <v>1629</v>
      </c>
      <c r="E54" s="6" t="s">
        <v>261</v>
      </c>
      <c r="F54" s="19">
        <v>4489</v>
      </c>
      <c r="G54" s="24">
        <v>10.85</v>
      </c>
      <c r="H54" s="24">
        <v>0.13</v>
      </c>
      <c r="I54" s="31"/>
      <c r="J54" s="35"/>
    </row>
    <row r="55" spans="2:10" x14ac:dyDescent="0.25">
      <c r="B55" s="8" t="s">
        <v>1630</v>
      </c>
      <c r="C55" s="56" t="s">
        <v>1631</v>
      </c>
      <c r="D55" s="53" t="s">
        <v>1632</v>
      </c>
      <c r="E55" s="6" t="s">
        <v>170</v>
      </c>
      <c r="F55" s="19">
        <v>4139</v>
      </c>
      <c r="G55" s="24">
        <v>8.69</v>
      </c>
      <c r="H55" s="24">
        <v>0.1</v>
      </c>
      <c r="I55" s="31"/>
      <c r="J55" s="35"/>
    </row>
    <row r="56" spans="2:10" x14ac:dyDescent="0.25">
      <c r="B56" s="8" t="s">
        <v>817</v>
      </c>
      <c r="C56" s="56" t="s">
        <v>818</v>
      </c>
      <c r="D56" s="53" t="s">
        <v>819</v>
      </c>
      <c r="E56" s="6" t="s">
        <v>51</v>
      </c>
      <c r="F56" s="19">
        <v>19613</v>
      </c>
      <c r="G56" s="24">
        <v>8.0500000000000007</v>
      </c>
      <c r="H56" s="24">
        <v>0.1</v>
      </c>
      <c r="I56" s="31"/>
      <c r="J56" s="35"/>
    </row>
    <row r="57" spans="2:10" x14ac:dyDescent="0.25">
      <c r="B57" s="8" t="s">
        <v>401</v>
      </c>
      <c r="C57" s="56" t="s">
        <v>402</v>
      </c>
      <c r="D57" s="53" t="s">
        <v>403</v>
      </c>
      <c r="E57" s="6" t="s">
        <v>51</v>
      </c>
      <c r="F57" s="19">
        <v>21510</v>
      </c>
      <c r="G57" s="24">
        <v>6.14</v>
      </c>
      <c r="H57" s="24">
        <v>7.0000000000000007E-2</v>
      </c>
      <c r="I57" s="31"/>
      <c r="J57" s="35"/>
    </row>
    <row r="58" spans="2:10" x14ac:dyDescent="0.25">
      <c r="B58" s="8" t="s">
        <v>1633</v>
      </c>
      <c r="C58" s="56" t="s">
        <v>1634</v>
      </c>
      <c r="D58" s="53" t="s">
        <v>1635</v>
      </c>
      <c r="E58" s="6" t="s">
        <v>94</v>
      </c>
      <c r="F58" s="19">
        <v>4010</v>
      </c>
      <c r="G58" s="24">
        <v>4.8499999999999996</v>
      </c>
      <c r="H58" s="24">
        <v>0.06</v>
      </c>
      <c r="I58" s="31"/>
      <c r="J58" s="35"/>
    </row>
    <row r="59" spans="2:10" x14ac:dyDescent="0.25">
      <c r="C59" s="57" t="s">
        <v>35</v>
      </c>
      <c r="D59" s="53"/>
      <c r="E59" s="6"/>
      <c r="F59" s="19"/>
      <c r="G59" s="25">
        <v>1179.45</v>
      </c>
      <c r="H59" s="25">
        <v>14.22</v>
      </c>
      <c r="I59" s="31"/>
      <c r="J59" s="35"/>
    </row>
    <row r="60" spans="2:10" x14ac:dyDescent="0.25">
      <c r="C60" s="56"/>
      <c r="D60" s="53"/>
      <c r="E60" s="6"/>
      <c r="F60" s="19"/>
      <c r="G60" s="24"/>
      <c r="H60" s="24"/>
      <c r="I60" s="31"/>
      <c r="J60" s="35"/>
    </row>
    <row r="61" spans="2:10" x14ac:dyDescent="0.25">
      <c r="C61" s="57" t="s">
        <v>3</v>
      </c>
      <c r="D61" s="53"/>
      <c r="E61" s="6"/>
      <c r="F61" s="19"/>
      <c r="G61" s="24" t="s">
        <v>2</v>
      </c>
      <c r="H61" s="24" t="s">
        <v>2</v>
      </c>
      <c r="I61" s="31"/>
      <c r="J61" s="35"/>
    </row>
    <row r="62" spans="2:10" x14ac:dyDescent="0.25">
      <c r="C62" s="56"/>
      <c r="D62" s="53"/>
      <c r="E62" s="6"/>
      <c r="F62" s="19"/>
      <c r="G62" s="24"/>
      <c r="H62" s="24"/>
      <c r="I62" s="31"/>
      <c r="J62" s="35"/>
    </row>
    <row r="63" spans="2:10" x14ac:dyDescent="0.25">
      <c r="C63" s="57" t="s">
        <v>4</v>
      </c>
      <c r="D63" s="53"/>
      <c r="E63" s="6"/>
      <c r="F63" s="19"/>
      <c r="G63" s="24" t="s">
        <v>2</v>
      </c>
      <c r="H63" s="24" t="s">
        <v>2</v>
      </c>
      <c r="I63" s="31"/>
      <c r="J63" s="35"/>
    </row>
    <row r="64" spans="2:10" x14ac:dyDescent="0.25">
      <c r="C64" s="56"/>
      <c r="D64" s="53"/>
      <c r="E64" s="6"/>
      <c r="F64" s="19"/>
      <c r="G64" s="24"/>
      <c r="H64" s="24"/>
      <c r="I64" s="31"/>
      <c r="J64" s="35"/>
    </row>
    <row r="65" spans="1:10" x14ac:dyDescent="0.25">
      <c r="A65" s="10"/>
      <c r="B65" s="28"/>
      <c r="C65" s="58" t="s">
        <v>5</v>
      </c>
      <c r="D65" s="53"/>
      <c r="E65" s="6"/>
      <c r="F65" s="19"/>
      <c r="G65" s="24"/>
      <c r="H65" s="24"/>
      <c r="I65" s="31"/>
      <c r="J65" s="35"/>
    </row>
    <row r="66" spans="1:10" x14ac:dyDescent="0.25">
      <c r="C66" s="59" t="s">
        <v>6</v>
      </c>
      <c r="D66" s="53"/>
      <c r="E66" s="6"/>
      <c r="F66" s="19"/>
      <c r="G66" s="24"/>
      <c r="H66" s="24"/>
      <c r="I66" s="31"/>
      <c r="J66" s="35"/>
    </row>
    <row r="67" spans="1:10" x14ac:dyDescent="0.25">
      <c r="B67" s="8" t="s">
        <v>2692</v>
      </c>
      <c r="C67" s="56" t="s">
        <v>2421</v>
      </c>
      <c r="D67" s="53" t="s">
        <v>2693</v>
      </c>
      <c r="E67" s="6" t="s">
        <v>534</v>
      </c>
      <c r="F67" s="19">
        <v>70</v>
      </c>
      <c r="G67" s="24">
        <v>869.88</v>
      </c>
      <c r="H67" s="24">
        <v>10.48</v>
      </c>
      <c r="I67" s="31">
        <v>5.23</v>
      </c>
      <c r="J67" s="35" t="s">
        <v>514</v>
      </c>
    </row>
    <row r="68" spans="1:10" x14ac:dyDescent="0.25">
      <c r="B68" s="8" t="s">
        <v>1880</v>
      </c>
      <c r="C68" s="56" t="s">
        <v>601</v>
      </c>
      <c r="D68" s="53" t="s">
        <v>1881</v>
      </c>
      <c r="E68" s="6" t="s">
        <v>534</v>
      </c>
      <c r="F68" s="19">
        <v>70</v>
      </c>
      <c r="G68" s="24">
        <v>742.64</v>
      </c>
      <c r="H68" s="24">
        <v>8.94</v>
      </c>
      <c r="I68" s="31">
        <v>4.9400000000000004</v>
      </c>
      <c r="J68" s="35" t="s">
        <v>514</v>
      </c>
    </row>
    <row r="69" spans="1:10" x14ac:dyDescent="0.25">
      <c r="B69" s="8" t="s">
        <v>1711</v>
      </c>
      <c r="C69" s="56" t="s">
        <v>1376</v>
      </c>
      <c r="D69" s="53" t="s">
        <v>1712</v>
      </c>
      <c r="E69" s="6" t="s">
        <v>534</v>
      </c>
      <c r="F69" s="19">
        <v>70</v>
      </c>
      <c r="G69" s="24">
        <v>735.19</v>
      </c>
      <c r="H69" s="24">
        <v>8.85</v>
      </c>
      <c r="I69" s="31">
        <v>4.6303000000000001</v>
      </c>
      <c r="J69" s="35" t="s">
        <v>514</v>
      </c>
    </row>
    <row r="70" spans="1:10" x14ac:dyDescent="0.25">
      <c r="B70" s="8" t="s">
        <v>2676</v>
      </c>
      <c r="C70" s="56" t="s">
        <v>1127</v>
      </c>
      <c r="D70" s="53" t="s">
        <v>2677</v>
      </c>
      <c r="E70" s="6" t="s">
        <v>1314</v>
      </c>
      <c r="F70" s="19">
        <v>70</v>
      </c>
      <c r="G70" s="24">
        <v>731.76</v>
      </c>
      <c r="H70" s="24">
        <v>8.81</v>
      </c>
      <c r="I70" s="31">
        <v>4.84</v>
      </c>
      <c r="J70" s="35" t="s">
        <v>514</v>
      </c>
    </row>
    <row r="71" spans="1:10" x14ac:dyDescent="0.25">
      <c r="B71" s="8" t="s">
        <v>2646</v>
      </c>
      <c r="C71" s="56" t="s">
        <v>53</v>
      </c>
      <c r="D71" s="53" t="s">
        <v>2647</v>
      </c>
      <c r="E71" s="6" t="s">
        <v>534</v>
      </c>
      <c r="F71" s="19">
        <v>69</v>
      </c>
      <c r="G71" s="24">
        <v>725.01</v>
      </c>
      <c r="H71" s="24">
        <v>8.73</v>
      </c>
      <c r="I71" s="31">
        <v>4.53</v>
      </c>
      <c r="J71" s="35"/>
    </row>
    <row r="72" spans="1:10" x14ac:dyDescent="0.25">
      <c r="B72" s="8" t="s">
        <v>1878</v>
      </c>
      <c r="C72" s="56" t="s">
        <v>1130</v>
      </c>
      <c r="D72" s="53" t="s">
        <v>1879</v>
      </c>
      <c r="E72" s="6" t="s">
        <v>911</v>
      </c>
      <c r="F72" s="19">
        <v>65</v>
      </c>
      <c r="G72" s="24">
        <v>688.31</v>
      </c>
      <c r="H72" s="24">
        <v>8.2899999999999991</v>
      </c>
      <c r="I72" s="31">
        <v>4.8</v>
      </c>
      <c r="J72" s="35" t="s">
        <v>514</v>
      </c>
    </row>
    <row r="73" spans="1:10" x14ac:dyDescent="0.25">
      <c r="B73" s="8" t="s">
        <v>1864</v>
      </c>
      <c r="C73" s="56" t="s">
        <v>125</v>
      </c>
      <c r="D73" s="53" t="s">
        <v>1865</v>
      </c>
      <c r="E73" s="6" t="s">
        <v>534</v>
      </c>
      <c r="F73" s="19">
        <v>60</v>
      </c>
      <c r="G73" s="24">
        <v>631.30999999999995</v>
      </c>
      <c r="H73" s="24">
        <v>7.6</v>
      </c>
      <c r="I73" s="31">
        <v>4.76</v>
      </c>
      <c r="J73" s="35"/>
    </row>
    <row r="74" spans="1:10" x14ac:dyDescent="0.25">
      <c r="B74" s="8" t="s">
        <v>1394</v>
      </c>
      <c r="C74" s="56" t="s">
        <v>909</v>
      </c>
      <c r="D74" s="53" t="s">
        <v>1395</v>
      </c>
      <c r="E74" s="6" t="s">
        <v>534</v>
      </c>
      <c r="F74" s="19">
        <v>50</v>
      </c>
      <c r="G74" s="24">
        <v>526.16</v>
      </c>
      <c r="H74" s="24">
        <v>6.34</v>
      </c>
      <c r="I74" s="31">
        <v>4.4400000000000004</v>
      </c>
      <c r="J74" s="35" t="s">
        <v>514</v>
      </c>
    </row>
    <row r="75" spans="1:10" x14ac:dyDescent="0.25">
      <c r="C75" s="57" t="s">
        <v>35</v>
      </c>
      <c r="D75" s="53"/>
      <c r="E75" s="6"/>
      <c r="F75" s="19"/>
      <c r="G75" s="25">
        <v>5650.26</v>
      </c>
      <c r="H75" s="25">
        <v>68.040000000000006</v>
      </c>
      <c r="I75" s="31"/>
      <c r="J75" s="35"/>
    </row>
    <row r="76" spans="1:10" x14ac:dyDescent="0.25">
      <c r="C76" s="56"/>
      <c r="D76" s="53"/>
      <c r="E76" s="6"/>
      <c r="F76" s="19"/>
      <c r="G76" s="24"/>
      <c r="H76" s="24"/>
      <c r="I76" s="31"/>
      <c r="J76" s="35"/>
    </row>
    <row r="77" spans="1:10" x14ac:dyDescent="0.25">
      <c r="C77" s="59" t="s">
        <v>7</v>
      </c>
      <c r="D77" s="53"/>
      <c r="E77" s="6"/>
      <c r="F77" s="19"/>
      <c r="G77" s="24"/>
      <c r="H77" s="24"/>
      <c r="I77" s="31"/>
      <c r="J77" s="35"/>
    </row>
    <row r="78" spans="1:10" x14ac:dyDescent="0.25">
      <c r="B78" s="8" t="s">
        <v>2924</v>
      </c>
      <c r="C78" s="56" t="s">
        <v>1786</v>
      </c>
      <c r="D78" s="53" t="s">
        <v>2925</v>
      </c>
      <c r="E78" s="6" t="s">
        <v>534</v>
      </c>
      <c r="F78" s="19">
        <v>65</v>
      </c>
      <c r="G78" s="24">
        <v>676.58</v>
      </c>
      <c r="H78" s="24">
        <v>8.15</v>
      </c>
      <c r="I78" s="31">
        <v>5.2598000000000003</v>
      </c>
      <c r="J78" s="35" t="s">
        <v>514</v>
      </c>
    </row>
    <row r="79" spans="1:10" x14ac:dyDescent="0.25">
      <c r="C79" s="57" t="s">
        <v>35</v>
      </c>
      <c r="D79" s="53"/>
      <c r="E79" s="6"/>
      <c r="F79" s="19"/>
      <c r="G79" s="25">
        <v>676.58</v>
      </c>
      <c r="H79" s="25">
        <v>8.15</v>
      </c>
      <c r="I79" s="31"/>
      <c r="J79" s="35"/>
    </row>
    <row r="80" spans="1:10" x14ac:dyDescent="0.25">
      <c r="C80" s="56"/>
      <c r="D80" s="53"/>
      <c r="E80" s="6"/>
      <c r="F80" s="19"/>
      <c r="G80" s="24"/>
      <c r="H80" s="24"/>
      <c r="I80" s="31"/>
      <c r="J80" s="35"/>
    </row>
    <row r="81" spans="1:10" x14ac:dyDescent="0.25">
      <c r="C81" s="57" t="s">
        <v>8</v>
      </c>
      <c r="D81" s="53"/>
      <c r="E81" s="6"/>
      <c r="F81" s="19"/>
      <c r="G81" s="24" t="s">
        <v>2</v>
      </c>
      <c r="H81" s="24" t="s">
        <v>2</v>
      </c>
      <c r="I81" s="31"/>
      <c r="J81" s="35"/>
    </row>
    <row r="82" spans="1:10" x14ac:dyDescent="0.25">
      <c r="C82" s="56"/>
      <c r="D82" s="53"/>
      <c r="E82" s="6"/>
      <c r="F82" s="19"/>
      <c r="G82" s="24"/>
      <c r="H82" s="24"/>
      <c r="I82" s="31"/>
      <c r="J82" s="35"/>
    </row>
    <row r="83" spans="1:10" x14ac:dyDescent="0.25">
      <c r="C83" s="57" t="s">
        <v>9</v>
      </c>
      <c r="D83" s="53"/>
      <c r="E83" s="6"/>
      <c r="F83" s="19"/>
      <c r="G83" s="24" t="s">
        <v>2</v>
      </c>
      <c r="H83" s="24" t="s">
        <v>2</v>
      </c>
      <c r="I83" s="31"/>
      <c r="J83" s="35"/>
    </row>
    <row r="84" spans="1:10" x14ac:dyDescent="0.25">
      <c r="C84" s="56"/>
      <c r="D84" s="53"/>
      <c r="E84" s="6"/>
      <c r="F84" s="19"/>
      <c r="G84" s="24"/>
      <c r="H84" s="24"/>
      <c r="I84" s="31"/>
      <c r="J84" s="35"/>
    </row>
    <row r="85" spans="1:10" x14ac:dyDescent="0.25">
      <c r="C85" s="57" t="s">
        <v>10</v>
      </c>
      <c r="D85" s="53"/>
      <c r="E85" s="6"/>
      <c r="F85" s="19"/>
      <c r="G85" s="24" t="s">
        <v>2</v>
      </c>
      <c r="H85" s="24" t="s">
        <v>2</v>
      </c>
      <c r="I85" s="31"/>
      <c r="J85" s="35"/>
    </row>
    <row r="86" spans="1:10" x14ac:dyDescent="0.25">
      <c r="C86" s="56"/>
      <c r="D86" s="53"/>
      <c r="E86" s="6"/>
      <c r="F86" s="19"/>
      <c r="G86" s="24"/>
      <c r="H86" s="24"/>
      <c r="I86" s="31"/>
      <c r="J86" s="35"/>
    </row>
    <row r="87" spans="1:10" x14ac:dyDescent="0.25">
      <c r="A87" s="10"/>
      <c r="B87" s="28"/>
      <c r="C87" s="58" t="s">
        <v>11</v>
      </c>
      <c r="D87" s="53"/>
      <c r="E87" s="6"/>
      <c r="F87" s="19"/>
      <c r="G87" s="24"/>
      <c r="H87" s="24"/>
      <c r="I87" s="31"/>
      <c r="J87" s="35"/>
    </row>
    <row r="88" spans="1:10" x14ac:dyDescent="0.25">
      <c r="A88" s="28"/>
      <c r="B88" s="28"/>
      <c r="C88" s="58" t="s">
        <v>13</v>
      </c>
      <c r="D88" s="53"/>
      <c r="E88" s="6"/>
      <c r="F88" s="19"/>
      <c r="G88" s="24" t="s">
        <v>2</v>
      </c>
      <c r="H88" s="24" t="s">
        <v>2</v>
      </c>
      <c r="I88" s="31"/>
      <c r="J88" s="35"/>
    </row>
    <row r="89" spans="1:10" x14ac:dyDescent="0.25">
      <c r="A89" s="28"/>
      <c r="B89" s="28"/>
      <c r="C89" s="58"/>
      <c r="D89" s="53"/>
      <c r="E89" s="6"/>
      <c r="F89" s="19"/>
      <c r="G89" s="24"/>
      <c r="H89" s="24"/>
      <c r="I89" s="31"/>
      <c r="J89" s="35"/>
    </row>
    <row r="90" spans="1:10" x14ac:dyDescent="0.25">
      <c r="A90" s="28"/>
      <c r="B90" s="28"/>
      <c r="C90" s="58" t="s">
        <v>14</v>
      </c>
      <c r="D90" s="53"/>
      <c r="E90" s="6"/>
      <c r="F90" s="19"/>
      <c r="G90" s="24" t="s">
        <v>2</v>
      </c>
      <c r="H90" s="24" t="s">
        <v>2</v>
      </c>
      <c r="I90" s="31"/>
      <c r="J90" s="35"/>
    </row>
    <row r="91" spans="1:10" x14ac:dyDescent="0.25">
      <c r="A91" s="28"/>
      <c r="B91" s="28"/>
      <c r="C91" s="58"/>
      <c r="D91" s="53"/>
      <c r="E91" s="6"/>
      <c r="F91" s="19"/>
      <c r="G91" s="24"/>
      <c r="H91" s="24"/>
      <c r="I91" s="31"/>
      <c r="J91" s="35"/>
    </row>
    <row r="92" spans="1:10" x14ac:dyDescent="0.25">
      <c r="C92" s="59" t="s">
        <v>15</v>
      </c>
      <c r="D92" s="53"/>
      <c r="E92" s="6"/>
      <c r="F92" s="19"/>
      <c r="G92" s="24"/>
      <c r="H92" s="24"/>
      <c r="I92" s="31"/>
      <c r="J92" s="35"/>
    </row>
    <row r="93" spans="1:10" x14ac:dyDescent="0.25">
      <c r="B93" s="8" t="s">
        <v>2926</v>
      </c>
      <c r="C93" s="56" t="s">
        <v>2927</v>
      </c>
      <c r="D93" s="53" t="s">
        <v>2928</v>
      </c>
      <c r="E93" s="6" t="s">
        <v>655</v>
      </c>
      <c r="F93" s="19">
        <v>402300</v>
      </c>
      <c r="G93" s="24">
        <v>373.94</v>
      </c>
      <c r="H93" s="24">
        <v>4.5</v>
      </c>
      <c r="I93" s="31">
        <v>4.3181000000000003</v>
      </c>
      <c r="J93" s="35"/>
    </row>
    <row r="94" spans="1:10" x14ac:dyDescent="0.25">
      <c r="C94" s="57" t="s">
        <v>35</v>
      </c>
      <c r="D94" s="53"/>
      <c r="E94" s="6"/>
      <c r="F94" s="19"/>
      <c r="G94" s="25">
        <v>373.94</v>
      </c>
      <c r="H94" s="25">
        <v>4.5</v>
      </c>
      <c r="I94" s="31"/>
      <c r="J94" s="35"/>
    </row>
    <row r="95" spans="1:10" x14ac:dyDescent="0.25">
      <c r="C95" s="56"/>
      <c r="D95" s="53"/>
      <c r="E95" s="6"/>
      <c r="F95" s="19"/>
      <c r="G95" s="24"/>
      <c r="H95" s="24"/>
      <c r="I95" s="31"/>
      <c r="J95" s="35"/>
    </row>
    <row r="96" spans="1:10" x14ac:dyDescent="0.25">
      <c r="C96" s="57" t="s">
        <v>16</v>
      </c>
      <c r="D96" s="53"/>
      <c r="E96" s="6"/>
      <c r="F96" s="19"/>
      <c r="G96" s="24" t="s">
        <v>2</v>
      </c>
      <c r="H96" s="24" t="s">
        <v>2</v>
      </c>
      <c r="I96" s="31"/>
      <c r="J96" s="35"/>
    </row>
    <row r="97" spans="1:10" x14ac:dyDescent="0.25">
      <c r="C97" s="56"/>
      <c r="D97" s="53"/>
      <c r="E97" s="6"/>
      <c r="F97" s="19"/>
      <c r="G97" s="24"/>
      <c r="H97" s="24"/>
      <c r="I97" s="31"/>
      <c r="J97" s="35"/>
    </row>
    <row r="98" spans="1:10" x14ac:dyDescent="0.25">
      <c r="A98" s="10"/>
      <c r="B98" s="28"/>
      <c r="C98" s="58" t="s">
        <v>17</v>
      </c>
      <c r="D98" s="53"/>
      <c r="E98" s="6"/>
      <c r="F98" s="19"/>
      <c r="G98" s="24"/>
      <c r="H98" s="24"/>
      <c r="I98" s="31"/>
      <c r="J98" s="35"/>
    </row>
    <row r="99" spans="1:10" x14ac:dyDescent="0.25">
      <c r="A99" s="28"/>
      <c r="B99" s="28"/>
      <c r="C99" s="58" t="s">
        <v>18</v>
      </c>
      <c r="D99" s="53"/>
      <c r="E99" s="6"/>
      <c r="F99" s="19"/>
      <c r="G99" s="24" t="s">
        <v>2</v>
      </c>
      <c r="H99" s="24" t="s">
        <v>2</v>
      </c>
      <c r="I99" s="31"/>
      <c r="J99" s="35"/>
    </row>
    <row r="100" spans="1:10" x14ac:dyDescent="0.25">
      <c r="A100" s="28"/>
      <c r="B100" s="28"/>
      <c r="C100" s="58"/>
      <c r="D100" s="53"/>
      <c r="E100" s="6"/>
      <c r="F100" s="19"/>
      <c r="G100" s="24"/>
      <c r="H100" s="24"/>
      <c r="I100" s="31"/>
      <c r="J100" s="35"/>
    </row>
    <row r="101" spans="1:10" x14ac:dyDescent="0.25">
      <c r="A101" s="28"/>
      <c r="B101" s="28"/>
      <c r="C101" s="58" t="s">
        <v>19</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20</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A105" s="28"/>
      <c r="B105" s="28"/>
      <c r="C105" s="58" t="s">
        <v>21</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C107" s="59" t="s">
        <v>22</v>
      </c>
      <c r="D107" s="53"/>
      <c r="E107" s="6"/>
      <c r="F107" s="19"/>
      <c r="G107" s="24"/>
      <c r="H107" s="24"/>
      <c r="I107" s="31"/>
      <c r="J107" s="35"/>
    </row>
    <row r="108" spans="1:10" x14ac:dyDescent="0.25">
      <c r="B108" s="8" t="s">
        <v>33</v>
      </c>
      <c r="C108" s="56" t="s">
        <v>34</v>
      </c>
      <c r="D108" s="53"/>
      <c r="E108" s="6"/>
      <c r="F108" s="19"/>
      <c r="G108" s="24">
        <v>163.19</v>
      </c>
      <c r="H108" s="24">
        <v>1.97</v>
      </c>
      <c r="I108" s="31"/>
      <c r="J108" s="35"/>
    </row>
    <row r="109" spans="1:10" x14ac:dyDescent="0.25">
      <c r="C109" s="57" t="s">
        <v>35</v>
      </c>
      <c r="D109" s="53"/>
      <c r="E109" s="6"/>
      <c r="F109" s="19"/>
      <c r="G109" s="25">
        <v>163.19</v>
      </c>
      <c r="H109" s="25">
        <v>1.97</v>
      </c>
      <c r="I109" s="31"/>
      <c r="J109" s="35"/>
    </row>
    <row r="110" spans="1:10" x14ac:dyDescent="0.25">
      <c r="C110" s="56"/>
      <c r="D110" s="53"/>
      <c r="E110" s="6"/>
      <c r="F110" s="19"/>
      <c r="G110" s="24"/>
      <c r="H110" s="24"/>
      <c r="I110" s="31"/>
      <c r="J110" s="35"/>
    </row>
    <row r="111" spans="1:10" x14ac:dyDescent="0.25">
      <c r="A111" s="10"/>
      <c r="B111" s="28"/>
      <c r="C111" s="58" t="s">
        <v>23</v>
      </c>
      <c r="D111" s="53"/>
      <c r="E111" s="6"/>
      <c r="F111" s="19"/>
      <c r="G111" s="24"/>
      <c r="H111" s="24"/>
      <c r="I111" s="31"/>
      <c r="J111" s="35"/>
    </row>
    <row r="112" spans="1:10" x14ac:dyDescent="0.25">
      <c r="A112" s="28"/>
      <c r="B112" s="28"/>
      <c r="C112" s="60" t="s">
        <v>3398</v>
      </c>
      <c r="D112" s="53"/>
      <c r="E112" s="6"/>
      <c r="F112" s="19"/>
      <c r="G112" s="24" t="s">
        <v>2</v>
      </c>
      <c r="H112" s="24" t="s">
        <v>2</v>
      </c>
      <c r="I112" s="31"/>
      <c r="J112" s="35"/>
    </row>
    <row r="113" spans="2:10" x14ac:dyDescent="0.25">
      <c r="B113" s="8"/>
      <c r="C113" s="56" t="s">
        <v>36</v>
      </c>
      <c r="D113" s="53"/>
      <c r="E113" s="6"/>
      <c r="F113" s="19"/>
      <c r="G113" s="24">
        <v>259.83999999999997</v>
      </c>
      <c r="H113" s="24">
        <v>3.12</v>
      </c>
      <c r="I113" s="31"/>
      <c r="J113" s="35"/>
    </row>
    <row r="114" spans="2:10" x14ac:dyDescent="0.25">
      <c r="C114" s="57" t="s">
        <v>35</v>
      </c>
      <c r="D114" s="53"/>
      <c r="E114" s="6"/>
      <c r="F114" s="19"/>
      <c r="G114" s="25">
        <v>259.83999999999997</v>
      </c>
      <c r="H114" s="25">
        <v>3.12</v>
      </c>
      <c r="I114" s="31"/>
      <c r="J114" s="35"/>
    </row>
    <row r="115" spans="2:10" x14ac:dyDescent="0.25">
      <c r="C115" s="56"/>
      <c r="D115" s="53"/>
      <c r="E115" s="6"/>
      <c r="F115" s="19"/>
      <c r="G115" s="24"/>
      <c r="H115" s="24"/>
      <c r="I115" s="31"/>
      <c r="J115" s="35"/>
    </row>
    <row r="116" spans="2:10" x14ac:dyDescent="0.25">
      <c r="C116" s="61" t="s">
        <v>37</v>
      </c>
      <c r="D116" s="54"/>
      <c r="E116" s="5"/>
      <c r="F116" s="20"/>
      <c r="G116" s="26">
        <v>8303.26</v>
      </c>
      <c r="H116" s="26">
        <f>SUMIFS(H:H,C:C,"Total")</f>
        <v>100.00000000000001</v>
      </c>
      <c r="I116" s="32"/>
      <c r="J116" s="36"/>
    </row>
    <row r="119" spans="2:10" x14ac:dyDescent="0.25">
      <c r="C119" s="1" t="s">
        <v>38</v>
      </c>
    </row>
    <row r="120" spans="2:10" x14ac:dyDescent="0.25">
      <c r="C120" s="2" t="s">
        <v>39</v>
      </c>
    </row>
    <row r="121" spans="2:10" x14ac:dyDescent="0.25">
      <c r="C121" s="2" t="s">
        <v>40</v>
      </c>
    </row>
    <row r="122" spans="2:10" x14ac:dyDescent="0.25">
      <c r="C122" s="2" t="s">
        <v>3430</v>
      </c>
    </row>
  </sheetData>
  <hyperlinks>
    <hyperlink ref="J2" location="'Index'!A1" display="'Index'!A1"/>
  </hyperlinks>
  <pageMargins left="0.7" right="0.7" top="0.75" bottom="0.75" header="0.3" footer="0.3"/>
  <pageSetup orientation="portrait" horizontalDpi="4294967293"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5"/>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2236</v>
      </c>
      <c r="J2" s="37" t="s">
        <v>3307</v>
      </c>
    </row>
    <row r="3" spans="1:10" ht="16.5" x14ac:dyDescent="0.3">
      <c r="C3" s="1" t="s">
        <v>24</v>
      </c>
      <c r="D3" s="21" t="s">
        <v>2929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2716</v>
      </c>
      <c r="C18" s="56" t="s">
        <v>1127</v>
      </c>
      <c r="D18" s="53" t="s">
        <v>2717</v>
      </c>
      <c r="E18" s="6" t="s">
        <v>534</v>
      </c>
      <c r="F18" s="19">
        <v>290</v>
      </c>
      <c r="G18" s="24">
        <v>3502.93</v>
      </c>
      <c r="H18" s="24">
        <v>10.119999999999999</v>
      </c>
      <c r="I18" s="31">
        <v>5.0199999999999996</v>
      </c>
      <c r="J18" s="35" t="s">
        <v>514</v>
      </c>
    </row>
    <row r="19" spans="2:10" x14ac:dyDescent="0.25">
      <c r="B19" s="8" t="s">
        <v>2692</v>
      </c>
      <c r="C19" s="56" t="s">
        <v>2421</v>
      </c>
      <c r="D19" s="53" t="s">
        <v>2693</v>
      </c>
      <c r="E19" s="6" t="s">
        <v>534</v>
      </c>
      <c r="F19" s="19">
        <v>280</v>
      </c>
      <c r="G19" s="24">
        <v>3479.54</v>
      </c>
      <c r="H19" s="24">
        <v>10.050000000000001</v>
      </c>
      <c r="I19" s="31">
        <v>5.23</v>
      </c>
      <c r="J19" s="35" t="s">
        <v>514</v>
      </c>
    </row>
    <row r="20" spans="2:10" x14ac:dyDescent="0.25">
      <c r="B20" s="8" t="s">
        <v>1864</v>
      </c>
      <c r="C20" s="56" t="s">
        <v>125</v>
      </c>
      <c r="D20" s="53" t="s">
        <v>1865</v>
      </c>
      <c r="E20" s="6" t="s">
        <v>534</v>
      </c>
      <c r="F20" s="19">
        <v>290</v>
      </c>
      <c r="G20" s="24">
        <v>3051.35</v>
      </c>
      <c r="H20" s="24">
        <v>8.81</v>
      </c>
      <c r="I20" s="31">
        <v>4.76</v>
      </c>
      <c r="J20" s="35"/>
    </row>
    <row r="21" spans="2:10" x14ac:dyDescent="0.25">
      <c r="B21" s="8" t="s">
        <v>2646</v>
      </c>
      <c r="C21" s="56" t="s">
        <v>53</v>
      </c>
      <c r="D21" s="53" t="s">
        <v>2647</v>
      </c>
      <c r="E21" s="6" t="s">
        <v>534</v>
      </c>
      <c r="F21" s="19">
        <v>290</v>
      </c>
      <c r="G21" s="24">
        <v>3047.14</v>
      </c>
      <c r="H21" s="24">
        <v>8.8000000000000007</v>
      </c>
      <c r="I21" s="31">
        <v>4.53</v>
      </c>
      <c r="J21" s="35"/>
    </row>
    <row r="22" spans="2:10" x14ac:dyDescent="0.25">
      <c r="B22" s="8" t="s">
        <v>1394</v>
      </c>
      <c r="C22" s="56" t="s">
        <v>909</v>
      </c>
      <c r="D22" s="53" t="s">
        <v>1395</v>
      </c>
      <c r="E22" s="6" t="s">
        <v>534</v>
      </c>
      <c r="F22" s="19">
        <v>280</v>
      </c>
      <c r="G22" s="24">
        <v>2946.48</v>
      </c>
      <c r="H22" s="24">
        <v>8.51</v>
      </c>
      <c r="I22" s="31">
        <v>4.4400000000000004</v>
      </c>
      <c r="J22" s="35" t="s">
        <v>514</v>
      </c>
    </row>
    <row r="23" spans="2:10" x14ac:dyDescent="0.25">
      <c r="B23" s="8" t="s">
        <v>2698</v>
      </c>
      <c r="C23" s="56" t="s">
        <v>1130</v>
      </c>
      <c r="D23" s="53" t="s">
        <v>2699</v>
      </c>
      <c r="E23" s="6" t="s">
        <v>911</v>
      </c>
      <c r="F23" s="19">
        <v>280</v>
      </c>
      <c r="G23" s="24">
        <v>2945.66</v>
      </c>
      <c r="H23" s="24">
        <v>8.51</v>
      </c>
      <c r="I23" s="31">
        <v>4.6448999999999998</v>
      </c>
      <c r="J23" s="35" t="s">
        <v>514</v>
      </c>
    </row>
    <row r="24" spans="2:10" x14ac:dyDescent="0.25">
      <c r="B24" s="8" t="s">
        <v>2654</v>
      </c>
      <c r="C24" s="56" t="s">
        <v>2655</v>
      </c>
      <c r="D24" s="53" t="s">
        <v>2656</v>
      </c>
      <c r="E24" s="6" t="s">
        <v>534</v>
      </c>
      <c r="F24" s="19">
        <v>250</v>
      </c>
      <c r="G24" s="24">
        <v>2611.62</v>
      </c>
      <c r="H24" s="24">
        <v>7.54</v>
      </c>
      <c r="I24" s="31">
        <v>4.3499999999999996</v>
      </c>
      <c r="J24" s="35"/>
    </row>
    <row r="25" spans="2:10" x14ac:dyDescent="0.25">
      <c r="B25" s="8" t="s">
        <v>2636</v>
      </c>
      <c r="C25" s="56" t="s">
        <v>1752</v>
      </c>
      <c r="D25" s="53" t="s">
        <v>2637</v>
      </c>
      <c r="E25" s="6" t="s">
        <v>1314</v>
      </c>
      <c r="F25" s="19">
        <v>40</v>
      </c>
      <c r="G25" s="24">
        <v>422.07</v>
      </c>
      <c r="H25" s="24">
        <v>1.22</v>
      </c>
      <c r="I25" s="31">
        <v>4.375</v>
      </c>
      <c r="J25" s="35" t="s">
        <v>514</v>
      </c>
    </row>
    <row r="26" spans="2:10" x14ac:dyDescent="0.25">
      <c r="C26" s="57" t="s">
        <v>35</v>
      </c>
      <c r="D26" s="53"/>
      <c r="E26" s="6"/>
      <c r="F26" s="19"/>
      <c r="G26" s="25">
        <v>22006.79</v>
      </c>
      <c r="H26" s="25">
        <v>63.56</v>
      </c>
      <c r="I26" s="31"/>
      <c r="J26" s="35"/>
    </row>
    <row r="27" spans="2:10" x14ac:dyDescent="0.25">
      <c r="C27" s="56"/>
      <c r="D27" s="53"/>
      <c r="E27" s="6"/>
      <c r="F27" s="19"/>
      <c r="G27" s="24"/>
      <c r="H27" s="24"/>
      <c r="I27" s="31"/>
      <c r="J27" s="35"/>
    </row>
    <row r="28" spans="2:10" x14ac:dyDescent="0.25">
      <c r="C28" s="59" t="s">
        <v>7</v>
      </c>
      <c r="D28" s="53"/>
      <c r="E28" s="6"/>
      <c r="F28" s="19"/>
      <c r="G28" s="24"/>
      <c r="H28" s="24"/>
      <c r="I28" s="31"/>
      <c r="J28" s="35"/>
    </row>
    <row r="29" spans="2:10" x14ac:dyDescent="0.25">
      <c r="B29" s="8" t="s">
        <v>2924</v>
      </c>
      <c r="C29" s="56" t="s">
        <v>1786</v>
      </c>
      <c r="D29" s="53" t="s">
        <v>2925</v>
      </c>
      <c r="E29" s="6" t="s">
        <v>534</v>
      </c>
      <c r="F29" s="19">
        <v>285</v>
      </c>
      <c r="G29" s="24">
        <v>2966.55</v>
      </c>
      <c r="H29" s="24">
        <v>8.57</v>
      </c>
      <c r="I29" s="31">
        <v>5.2598000000000003</v>
      </c>
      <c r="J29" s="35" t="s">
        <v>514</v>
      </c>
    </row>
    <row r="30" spans="2:10" x14ac:dyDescent="0.25">
      <c r="C30" s="57" t="s">
        <v>35</v>
      </c>
      <c r="D30" s="53"/>
      <c r="E30" s="6"/>
      <c r="F30" s="19"/>
      <c r="G30" s="25">
        <v>2966.55</v>
      </c>
      <c r="H30" s="25">
        <v>8.57</v>
      </c>
      <c r="I30" s="31"/>
      <c r="J30" s="35"/>
    </row>
    <row r="31" spans="2:10" x14ac:dyDescent="0.25">
      <c r="C31" s="56"/>
      <c r="D31" s="53"/>
      <c r="E31" s="6"/>
      <c r="F31" s="19"/>
      <c r="G31" s="24"/>
      <c r="H31" s="24"/>
      <c r="I31" s="31"/>
      <c r="J31" s="35"/>
    </row>
    <row r="32" spans="2:10" x14ac:dyDescent="0.25">
      <c r="C32" s="57" t="s">
        <v>8</v>
      </c>
      <c r="D32" s="53"/>
      <c r="E32" s="6"/>
      <c r="F32" s="19"/>
      <c r="G32" s="24" t="s">
        <v>2</v>
      </c>
      <c r="H32" s="24" t="s">
        <v>2</v>
      </c>
      <c r="I32" s="31"/>
      <c r="J32" s="35"/>
    </row>
    <row r="33" spans="1:10" x14ac:dyDescent="0.25">
      <c r="C33" s="56"/>
      <c r="D33" s="53"/>
      <c r="E33" s="6"/>
      <c r="F33" s="19"/>
      <c r="G33" s="24"/>
      <c r="H33" s="24"/>
      <c r="I33" s="31"/>
      <c r="J33" s="35"/>
    </row>
    <row r="34" spans="1:10" x14ac:dyDescent="0.25">
      <c r="C34" s="57" t="s">
        <v>9</v>
      </c>
      <c r="D34" s="53"/>
      <c r="E34" s="6"/>
      <c r="F34" s="19"/>
      <c r="G34" s="24" t="s">
        <v>2</v>
      </c>
      <c r="H34" s="24" t="s">
        <v>2</v>
      </c>
      <c r="I34" s="31"/>
      <c r="J34" s="35"/>
    </row>
    <row r="35" spans="1:10" x14ac:dyDescent="0.25">
      <c r="C35" s="56"/>
      <c r="D35" s="53"/>
      <c r="E35" s="6"/>
      <c r="F35" s="19"/>
      <c r="G35" s="24"/>
      <c r="H35" s="24"/>
      <c r="I35" s="31"/>
      <c r="J35" s="35"/>
    </row>
    <row r="36" spans="1:10" x14ac:dyDescent="0.25">
      <c r="C36" s="59" t="s">
        <v>10</v>
      </c>
      <c r="D36" s="53"/>
      <c r="E36" s="6"/>
      <c r="F36" s="19"/>
      <c r="G36" s="24"/>
      <c r="H36" s="24"/>
      <c r="I36" s="31"/>
      <c r="J36" s="35"/>
    </row>
    <row r="37" spans="1:10" x14ac:dyDescent="0.25">
      <c r="B37" s="8" t="s">
        <v>2930</v>
      </c>
      <c r="C37" s="56" t="s">
        <v>2931</v>
      </c>
      <c r="D37" s="53" t="s">
        <v>2932</v>
      </c>
      <c r="E37" s="6" t="s">
        <v>655</v>
      </c>
      <c r="F37" s="19">
        <v>3000000</v>
      </c>
      <c r="G37" s="24">
        <v>3207.64</v>
      </c>
      <c r="H37" s="24">
        <v>9.26</v>
      </c>
      <c r="I37" s="31">
        <v>4.6905999999999999</v>
      </c>
      <c r="J37" s="35"/>
    </row>
    <row r="38" spans="1:10" x14ac:dyDescent="0.25">
      <c r="B38" s="8" t="s">
        <v>2914</v>
      </c>
      <c r="C38" s="56" t="s">
        <v>2915</v>
      </c>
      <c r="D38" s="53" t="s">
        <v>2916</v>
      </c>
      <c r="E38" s="6" t="s">
        <v>655</v>
      </c>
      <c r="F38" s="19">
        <v>1583000</v>
      </c>
      <c r="G38" s="24">
        <v>1669.92</v>
      </c>
      <c r="H38" s="24">
        <v>4.82</v>
      </c>
      <c r="I38" s="31">
        <v>4.6928999999999998</v>
      </c>
      <c r="J38" s="35"/>
    </row>
    <row r="39" spans="1:10" x14ac:dyDescent="0.25">
      <c r="B39" s="8" t="s">
        <v>2663</v>
      </c>
      <c r="C39" s="56" t="s">
        <v>2664</v>
      </c>
      <c r="D39" s="53" t="s">
        <v>2665</v>
      </c>
      <c r="E39" s="6" t="s">
        <v>655</v>
      </c>
      <c r="F39" s="19">
        <v>1500000</v>
      </c>
      <c r="G39" s="24">
        <v>1588.05</v>
      </c>
      <c r="H39" s="24">
        <v>4.59</v>
      </c>
      <c r="I39" s="31">
        <v>4.3513000000000002</v>
      </c>
      <c r="J39" s="35"/>
    </row>
    <row r="40" spans="1:10" x14ac:dyDescent="0.25">
      <c r="C40" s="57" t="s">
        <v>35</v>
      </c>
      <c r="D40" s="53"/>
      <c r="E40" s="6"/>
      <c r="F40" s="19"/>
      <c r="G40" s="25">
        <v>6465.61</v>
      </c>
      <c r="H40" s="25">
        <v>18.670000000000002</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1248</v>
      </c>
      <c r="C46" s="56" t="s">
        <v>818</v>
      </c>
      <c r="D46" s="53" t="s">
        <v>1249</v>
      </c>
      <c r="E46" s="6" t="s">
        <v>1000</v>
      </c>
      <c r="F46" s="19">
        <v>1300</v>
      </c>
      <c r="G46" s="24">
        <v>1267.68</v>
      </c>
      <c r="H46" s="24">
        <v>3.66</v>
      </c>
      <c r="I46" s="31">
        <v>3.8298999999999999</v>
      </c>
      <c r="J46" s="35" t="s">
        <v>514</v>
      </c>
    </row>
    <row r="47" spans="1:10" x14ac:dyDescent="0.25">
      <c r="C47" s="57" t="s">
        <v>35</v>
      </c>
      <c r="D47" s="53"/>
      <c r="E47" s="6"/>
      <c r="F47" s="19"/>
      <c r="G47" s="25">
        <v>1267.68</v>
      </c>
      <c r="H47" s="25">
        <v>3.66</v>
      </c>
      <c r="I47" s="31"/>
      <c r="J47" s="35"/>
    </row>
    <row r="48" spans="1:10" x14ac:dyDescent="0.25">
      <c r="C48" s="56"/>
      <c r="D48" s="53"/>
      <c r="E48" s="6"/>
      <c r="F48" s="19"/>
      <c r="G48" s="24"/>
      <c r="H48" s="24"/>
      <c r="I48" s="31"/>
      <c r="J48" s="35"/>
    </row>
    <row r="49" spans="1:10" x14ac:dyDescent="0.25">
      <c r="C49" s="59" t="s">
        <v>15</v>
      </c>
      <c r="D49" s="53"/>
      <c r="E49" s="6"/>
      <c r="F49" s="19"/>
      <c r="G49" s="24"/>
      <c r="H49" s="24"/>
      <c r="I49" s="31"/>
      <c r="J49" s="35"/>
    </row>
    <row r="50" spans="1:10" x14ac:dyDescent="0.25">
      <c r="B50" s="8" t="s">
        <v>2599</v>
      </c>
      <c r="C50" s="56" t="s">
        <v>2600</v>
      </c>
      <c r="D50" s="53" t="s">
        <v>2601</v>
      </c>
      <c r="E50" s="6" t="s">
        <v>655</v>
      </c>
      <c r="F50" s="19">
        <v>900000</v>
      </c>
      <c r="G50" s="24">
        <v>869.57</v>
      </c>
      <c r="H50" s="24">
        <v>2.5099999999999998</v>
      </c>
      <c r="I50" s="31">
        <v>3.65</v>
      </c>
      <c r="J50" s="35"/>
    </row>
    <row r="51" spans="1:10" x14ac:dyDescent="0.25">
      <c r="C51" s="57" t="s">
        <v>35</v>
      </c>
      <c r="D51" s="53"/>
      <c r="E51" s="6"/>
      <c r="F51" s="19"/>
      <c r="G51" s="25">
        <v>869.57</v>
      </c>
      <c r="H51" s="25">
        <v>2.5099999999999998</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79</v>
      </c>
      <c r="H65" s="24">
        <v>0.23</v>
      </c>
      <c r="I65" s="31"/>
      <c r="J65" s="35"/>
    </row>
    <row r="66" spans="1:10" x14ac:dyDescent="0.25">
      <c r="C66" s="57" t="s">
        <v>35</v>
      </c>
      <c r="D66" s="53"/>
      <c r="E66" s="6"/>
      <c r="F66" s="19"/>
      <c r="G66" s="25">
        <v>79</v>
      </c>
      <c r="H66" s="25">
        <v>0.23</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971.43</v>
      </c>
      <c r="H70" s="24">
        <v>2.8000000000000003</v>
      </c>
      <c r="I70" s="31"/>
      <c r="J70" s="35"/>
    </row>
    <row r="71" spans="1:10" x14ac:dyDescent="0.25">
      <c r="C71" s="57" t="s">
        <v>35</v>
      </c>
      <c r="D71" s="53"/>
      <c r="E71" s="6"/>
      <c r="F71" s="19"/>
      <c r="G71" s="25">
        <v>971.43</v>
      </c>
      <c r="H71" s="25">
        <v>2.8000000000000003</v>
      </c>
      <c r="I71" s="31"/>
      <c r="J71" s="35"/>
    </row>
    <row r="72" spans="1:10" x14ac:dyDescent="0.25">
      <c r="C72" s="56"/>
      <c r="D72" s="53"/>
      <c r="E72" s="6"/>
      <c r="F72" s="19"/>
      <c r="G72" s="24"/>
      <c r="H72" s="24"/>
      <c r="I72" s="31"/>
      <c r="J72" s="35"/>
    </row>
    <row r="73" spans="1:10" x14ac:dyDescent="0.25">
      <c r="C73" s="61" t="s">
        <v>37</v>
      </c>
      <c r="D73" s="54"/>
      <c r="E73" s="5"/>
      <c r="F73" s="20"/>
      <c r="G73" s="26">
        <v>34626.629999999997</v>
      </c>
      <c r="H73" s="26">
        <f>SUMIFS(H:H,C:C,"Total")</f>
        <v>100</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6"/>
  <dimension ref="A1:J131"/>
  <sheetViews>
    <sheetView showGridLines="0" zoomScale="90" zoomScaleNormal="90" workbookViewId="0">
      <pane ySplit="6" topLeftCell="A108" activePane="bottomLeft" state="frozen"/>
      <selection pane="bottomLeft" activeCell="C108" sqref="C108"/>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2933</v>
      </c>
      <c r="J2" s="37" t="s">
        <v>3307</v>
      </c>
    </row>
    <row r="3" spans="1:10" ht="16.5" x14ac:dyDescent="0.3">
      <c r="C3" s="1" t="s">
        <v>24</v>
      </c>
      <c r="D3" s="21" t="s">
        <v>2934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99</v>
      </c>
      <c r="C10" s="56" t="s">
        <v>100</v>
      </c>
      <c r="D10" s="53" t="s">
        <v>101</v>
      </c>
      <c r="E10" s="6" t="s">
        <v>90</v>
      </c>
      <c r="F10" s="19">
        <v>11284</v>
      </c>
      <c r="G10" s="24">
        <v>428.58</v>
      </c>
      <c r="H10" s="24">
        <v>7.92</v>
      </c>
      <c r="I10" s="31"/>
      <c r="J10" s="35"/>
    </row>
    <row r="11" spans="1:10" x14ac:dyDescent="0.25">
      <c r="B11" s="8" t="s">
        <v>406</v>
      </c>
      <c r="C11" s="56" t="s">
        <v>407</v>
      </c>
      <c r="D11" s="53" t="s">
        <v>408</v>
      </c>
      <c r="E11" s="6" t="s">
        <v>90</v>
      </c>
      <c r="F11" s="19">
        <v>2672</v>
      </c>
      <c r="G11" s="24">
        <v>425.35</v>
      </c>
      <c r="H11" s="24">
        <v>7.86</v>
      </c>
      <c r="I11" s="31"/>
      <c r="J11" s="35"/>
    </row>
    <row r="12" spans="1:10" x14ac:dyDescent="0.25">
      <c r="B12" s="8" t="s">
        <v>853</v>
      </c>
      <c r="C12" s="56" t="s">
        <v>854</v>
      </c>
      <c r="D12" s="53" t="s">
        <v>855</v>
      </c>
      <c r="E12" s="6" t="s">
        <v>261</v>
      </c>
      <c r="F12" s="19">
        <v>255832</v>
      </c>
      <c r="G12" s="24">
        <v>415.6</v>
      </c>
      <c r="H12" s="24">
        <v>7.68</v>
      </c>
      <c r="I12" s="31"/>
      <c r="J12" s="35"/>
    </row>
    <row r="13" spans="1:10" x14ac:dyDescent="0.25">
      <c r="B13" s="8" t="s">
        <v>127</v>
      </c>
      <c r="C13" s="56" t="s">
        <v>128</v>
      </c>
      <c r="D13" s="53" t="s">
        <v>129</v>
      </c>
      <c r="E13" s="6" t="s">
        <v>90</v>
      </c>
      <c r="F13" s="19">
        <v>19781</v>
      </c>
      <c r="G13" s="24">
        <v>409.12</v>
      </c>
      <c r="H13" s="24">
        <v>7.56</v>
      </c>
      <c r="I13" s="31"/>
      <c r="J13" s="35"/>
    </row>
    <row r="14" spans="1:10" x14ac:dyDescent="0.25">
      <c r="B14" s="8" t="s">
        <v>412</v>
      </c>
      <c r="C14" s="56" t="s">
        <v>413</v>
      </c>
      <c r="D14" s="53" t="s">
        <v>414</v>
      </c>
      <c r="E14" s="6" t="s">
        <v>111</v>
      </c>
      <c r="F14" s="19">
        <v>7264</v>
      </c>
      <c r="G14" s="24">
        <v>376.84</v>
      </c>
      <c r="H14" s="24">
        <v>6.97</v>
      </c>
      <c r="I14" s="31"/>
      <c r="J14" s="35"/>
    </row>
    <row r="15" spans="1:10" x14ac:dyDescent="0.25">
      <c r="B15" s="8" t="s">
        <v>348</v>
      </c>
      <c r="C15" s="56" t="s">
        <v>349</v>
      </c>
      <c r="D15" s="53" t="s">
        <v>350</v>
      </c>
      <c r="E15" s="6" t="s">
        <v>47</v>
      </c>
      <c r="F15" s="19">
        <v>102040</v>
      </c>
      <c r="G15" s="24">
        <v>319.95</v>
      </c>
      <c r="H15" s="24">
        <v>5.92</v>
      </c>
      <c r="I15" s="31"/>
      <c r="J15" s="35"/>
    </row>
    <row r="16" spans="1:10" x14ac:dyDescent="0.25">
      <c r="B16" s="8" t="s">
        <v>108</v>
      </c>
      <c r="C16" s="56" t="s">
        <v>109</v>
      </c>
      <c r="D16" s="53" t="s">
        <v>110</v>
      </c>
      <c r="E16" s="6" t="s">
        <v>111</v>
      </c>
      <c r="F16" s="19">
        <v>40991</v>
      </c>
      <c r="G16" s="24">
        <v>317.56</v>
      </c>
      <c r="H16" s="24">
        <v>5.87</v>
      </c>
      <c r="I16" s="31"/>
      <c r="J16" s="35"/>
    </row>
    <row r="17" spans="2:10" x14ac:dyDescent="0.25">
      <c r="B17" s="8" t="s">
        <v>56</v>
      </c>
      <c r="C17" s="56" t="s">
        <v>57</v>
      </c>
      <c r="D17" s="53" t="s">
        <v>58</v>
      </c>
      <c r="E17" s="6" t="s">
        <v>47</v>
      </c>
      <c r="F17" s="19">
        <v>6834</v>
      </c>
      <c r="G17" s="24">
        <v>170.32</v>
      </c>
      <c r="H17" s="24">
        <v>3.15</v>
      </c>
      <c r="I17" s="31"/>
      <c r="J17" s="35"/>
    </row>
    <row r="18" spans="2:10" x14ac:dyDescent="0.25">
      <c r="B18" s="8" t="s">
        <v>52</v>
      </c>
      <c r="C18" s="56" t="s">
        <v>53</v>
      </c>
      <c r="D18" s="53" t="s">
        <v>54</v>
      </c>
      <c r="E18" s="6" t="s">
        <v>55</v>
      </c>
      <c r="F18" s="19">
        <v>7349</v>
      </c>
      <c r="G18" s="24">
        <v>164.2</v>
      </c>
      <c r="H18" s="24">
        <v>3.04</v>
      </c>
      <c r="I18" s="31"/>
      <c r="J18" s="35"/>
    </row>
    <row r="19" spans="2:10" x14ac:dyDescent="0.25">
      <c r="B19" s="8" t="s">
        <v>327</v>
      </c>
      <c r="C19" s="56" t="s">
        <v>328</v>
      </c>
      <c r="D19" s="53" t="s">
        <v>329</v>
      </c>
      <c r="E19" s="6" t="s">
        <v>47</v>
      </c>
      <c r="F19" s="19">
        <v>10680</v>
      </c>
      <c r="G19" s="24">
        <v>84.56</v>
      </c>
      <c r="H19" s="24">
        <v>1.56</v>
      </c>
      <c r="I19" s="31"/>
      <c r="J19" s="35"/>
    </row>
    <row r="20" spans="2:10" x14ac:dyDescent="0.25">
      <c r="B20" s="8" t="s">
        <v>112</v>
      </c>
      <c r="C20" s="56" t="s">
        <v>113</v>
      </c>
      <c r="D20" s="53" t="s">
        <v>114</v>
      </c>
      <c r="E20" s="6" t="s">
        <v>111</v>
      </c>
      <c r="F20" s="19">
        <v>2746</v>
      </c>
      <c r="G20" s="24">
        <v>83.7</v>
      </c>
      <c r="H20" s="24">
        <v>1.55</v>
      </c>
      <c r="I20" s="31"/>
      <c r="J20" s="35"/>
    </row>
    <row r="21" spans="2:10" x14ac:dyDescent="0.25">
      <c r="B21" s="8" t="s">
        <v>44</v>
      </c>
      <c r="C21" s="56" t="s">
        <v>45</v>
      </c>
      <c r="D21" s="53" t="s">
        <v>46</v>
      </c>
      <c r="E21" s="6" t="s">
        <v>47</v>
      </c>
      <c r="F21" s="19">
        <v>6818</v>
      </c>
      <c r="G21" s="24">
        <v>68.739999999999995</v>
      </c>
      <c r="H21" s="24">
        <v>1.27</v>
      </c>
      <c r="I21" s="31"/>
      <c r="J21" s="35"/>
    </row>
    <row r="22" spans="2:10" x14ac:dyDescent="0.25">
      <c r="B22" s="8" t="s">
        <v>84</v>
      </c>
      <c r="C22" s="56" t="s">
        <v>85</v>
      </c>
      <c r="D22" s="53" t="s">
        <v>86</v>
      </c>
      <c r="E22" s="6" t="s">
        <v>41</v>
      </c>
      <c r="F22" s="19">
        <v>278</v>
      </c>
      <c r="G22" s="24">
        <v>56.31</v>
      </c>
      <c r="H22" s="24">
        <v>1.04</v>
      </c>
      <c r="I22" s="31"/>
      <c r="J22" s="35"/>
    </row>
    <row r="23" spans="2:10" x14ac:dyDescent="0.25">
      <c r="B23" s="8" t="s">
        <v>167</v>
      </c>
      <c r="C23" s="56" t="s">
        <v>168</v>
      </c>
      <c r="D23" s="53" t="s">
        <v>169</v>
      </c>
      <c r="E23" s="6" t="s">
        <v>170</v>
      </c>
      <c r="F23" s="19">
        <v>32029</v>
      </c>
      <c r="G23" s="24">
        <v>56.13</v>
      </c>
      <c r="H23" s="24">
        <v>1.04</v>
      </c>
      <c r="I23" s="31"/>
      <c r="J23" s="35"/>
    </row>
    <row r="24" spans="2:10" x14ac:dyDescent="0.25">
      <c r="B24" s="8" t="s">
        <v>80</v>
      </c>
      <c r="C24" s="56" t="s">
        <v>81</v>
      </c>
      <c r="D24" s="53" t="s">
        <v>82</v>
      </c>
      <c r="E24" s="6" t="s">
        <v>83</v>
      </c>
      <c r="F24" s="19">
        <v>4649</v>
      </c>
      <c r="G24" s="24">
        <v>55.85</v>
      </c>
      <c r="H24" s="24">
        <v>1.03</v>
      </c>
      <c r="I24" s="31"/>
      <c r="J24" s="35"/>
    </row>
    <row r="25" spans="2:10" x14ac:dyDescent="0.25">
      <c r="B25" s="8" t="s">
        <v>874</v>
      </c>
      <c r="C25" s="56" t="s">
        <v>875</v>
      </c>
      <c r="D25" s="53" t="s">
        <v>876</v>
      </c>
      <c r="E25" s="6" t="s">
        <v>41</v>
      </c>
      <c r="F25" s="19">
        <v>7497</v>
      </c>
      <c r="G25" s="24">
        <v>55.79</v>
      </c>
      <c r="H25" s="24">
        <v>1.03</v>
      </c>
      <c r="I25" s="31"/>
      <c r="J25" s="35"/>
    </row>
    <row r="26" spans="2:10" x14ac:dyDescent="0.25">
      <c r="B26" s="8" t="s">
        <v>480</v>
      </c>
      <c r="C26" s="56" t="s">
        <v>481</v>
      </c>
      <c r="D26" s="53" t="s">
        <v>482</v>
      </c>
      <c r="E26" s="6" t="s">
        <v>142</v>
      </c>
      <c r="F26" s="19">
        <v>16242</v>
      </c>
      <c r="G26" s="24">
        <v>55.51</v>
      </c>
      <c r="H26" s="24">
        <v>1.03</v>
      </c>
      <c r="I26" s="31"/>
      <c r="J26" s="35"/>
    </row>
    <row r="27" spans="2:10" x14ac:dyDescent="0.25">
      <c r="B27" s="8" t="s">
        <v>118</v>
      </c>
      <c r="C27" s="56" t="s">
        <v>119</v>
      </c>
      <c r="D27" s="53" t="s">
        <v>120</v>
      </c>
      <c r="E27" s="6" t="s">
        <v>98</v>
      </c>
      <c r="F27" s="19">
        <v>41497</v>
      </c>
      <c r="G27" s="24">
        <v>55.32</v>
      </c>
      <c r="H27" s="24">
        <v>1.02</v>
      </c>
      <c r="I27" s="31"/>
      <c r="J27" s="35"/>
    </row>
    <row r="28" spans="2:10" x14ac:dyDescent="0.25">
      <c r="B28" s="8" t="s">
        <v>147</v>
      </c>
      <c r="C28" s="56" t="s">
        <v>148</v>
      </c>
      <c r="D28" s="53" t="s">
        <v>149</v>
      </c>
      <c r="E28" s="6" t="s">
        <v>98</v>
      </c>
      <c r="F28" s="19">
        <v>2505</v>
      </c>
      <c r="G28" s="24">
        <v>55.18</v>
      </c>
      <c r="H28" s="24">
        <v>1.02</v>
      </c>
      <c r="I28" s="31"/>
      <c r="J28" s="35"/>
    </row>
    <row r="29" spans="2:10" x14ac:dyDescent="0.25">
      <c r="B29" s="8" t="s">
        <v>91</v>
      </c>
      <c r="C29" s="56" t="s">
        <v>92</v>
      </c>
      <c r="D29" s="53" t="s">
        <v>93</v>
      </c>
      <c r="E29" s="6" t="s">
        <v>94</v>
      </c>
      <c r="F29" s="19">
        <v>1682</v>
      </c>
      <c r="G29" s="24">
        <v>55.15</v>
      </c>
      <c r="H29" s="24">
        <v>1.02</v>
      </c>
      <c r="I29" s="31"/>
      <c r="J29" s="35"/>
    </row>
    <row r="30" spans="2:10" x14ac:dyDescent="0.25">
      <c r="B30" s="8" t="s">
        <v>859</v>
      </c>
      <c r="C30" s="56" t="s">
        <v>860</v>
      </c>
      <c r="D30" s="53" t="s">
        <v>861</v>
      </c>
      <c r="E30" s="6" t="s">
        <v>98</v>
      </c>
      <c r="F30" s="19">
        <v>1746</v>
      </c>
      <c r="G30" s="24">
        <v>54.95</v>
      </c>
      <c r="H30" s="24">
        <v>1.02</v>
      </c>
      <c r="I30" s="31"/>
      <c r="J30" s="35"/>
    </row>
    <row r="31" spans="2:10" x14ac:dyDescent="0.25">
      <c r="B31" s="8" t="s">
        <v>865</v>
      </c>
      <c r="C31" s="56" t="s">
        <v>866</v>
      </c>
      <c r="D31" s="53" t="s">
        <v>867</v>
      </c>
      <c r="E31" s="6" t="s">
        <v>94</v>
      </c>
      <c r="F31" s="19">
        <v>939</v>
      </c>
      <c r="G31" s="24">
        <v>54.95</v>
      </c>
      <c r="H31" s="24">
        <v>1.02</v>
      </c>
      <c r="I31" s="31"/>
      <c r="J31" s="35"/>
    </row>
    <row r="32" spans="2:10" x14ac:dyDescent="0.25">
      <c r="B32" s="8" t="s">
        <v>871</v>
      </c>
      <c r="C32" s="56" t="s">
        <v>872</v>
      </c>
      <c r="D32" s="53" t="s">
        <v>873</v>
      </c>
      <c r="E32" s="6" t="s">
        <v>51</v>
      </c>
      <c r="F32" s="19">
        <v>10394</v>
      </c>
      <c r="G32" s="24">
        <v>54.82</v>
      </c>
      <c r="H32" s="24">
        <v>1.01</v>
      </c>
      <c r="I32" s="31"/>
      <c r="J32" s="35"/>
    </row>
    <row r="33" spans="2:10" x14ac:dyDescent="0.25">
      <c r="B33" s="8" t="s">
        <v>880</v>
      </c>
      <c r="C33" s="56" t="s">
        <v>881</v>
      </c>
      <c r="D33" s="53" t="s">
        <v>882</v>
      </c>
      <c r="E33" s="6" t="s">
        <v>153</v>
      </c>
      <c r="F33" s="19">
        <v>19709</v>
      </c>
      <c r="G33" s="24">
        <v>54.74</v>
      </c>
      <c r="H33" s="24">
        <v>1.01</v>
      </c>
      <c r="I33" s="31"/>
      <c r="J33" s="35"/>
    </row>
    <row r="34" spans="2:10" x14ac:dyDescent="0.25">
      <c r="B34" s="8" t="s">
        <v>136</v>
      </c>
      <c r="C34" s="56" t="s">
        <v>137</v>
      </c>
      <c r="D34" s="53" t="s">
        <v>138</v>
      </c>
      <c r="E34" s="6" t="s">
        <v>41</v>
      </c>
      <c r="F34" s="19">
        <v>1349</v>
      </c>
      <c r="G34" s="24">
        <v>54.63</v>
      </c>
      <c r="H34" s="24">
        <v>1.01</v>
      </c>
      <c r="I34" s="31"/>
      <c r="J34" s="35"/>
    </row>
    <row r="35" spans="2:10" x14ac:dyDescent="0.25">
      <c r="B35" s="8" t="s">
        <v>409</v>
      </c>
      <c r="C35" s="56" t="s">
        <v>410</v>
      </c>
      <c r="D35" s="53" t="s">
        <v>411</v>
      </c>
      <c r="E35" s="6" t="s">
        <v>98</v>
      </c>
      <c r="F35" s="19">
        <v>809</v>
      </c>
      <c r="G35" s="24">
        <v>54.55</v>
      </c>
      <c r="H35" s="24">
        <v>1.01</v>
      </c>
      <c r="I35" s="31"/>
      <c r="J35" s="35"/>
    </row>
    <row r="36" spans="2:10" x14ac:dyDescent="0.25">
      <c r="B36" s="8" t="s">
        <v>124</v>
      </c>
      <c r="C36" s="56" t="s">
        <v>125</v>
      </c>
      <c r="D36" s="53" t="s">
        <v>126</v>
      </c>
      <c r="E36" s="6" t="s">
        <v>94</v>
      </c>
      <c r="F36" s="19">
        <v>3113</v>
      </c>
      <c r="G36" s="24">
        <v>54.17</v>
      </c>
      <c r="H36" s="24">
        <v>1</v>
      </c>
      <c r="I36" s="31"/>
      <c r="J36" s="35"/>
    </row>
    <row r="37" spans="2:10" x14ac:dyDescent="0.25">
      <c r="B37" s="8" t="s">
        <v>76</v>
      </c>
      <c r="C37" s="56" t="s">
        <v>77</v>
      </c>
      <c r="D37" s="53" t="s">
        <v>78</v>
      </c>
      <c r="E37" s="6" t="s">
        <v>79</v>
      </c>
      <c r="F37" s="19">
        <v>5990</v>
      </c>
      <c r="G37" s="24">
        <v>54.01</v>
      </c>
      <c r="H37" s="24">
        <v>1</v>
      </c>
      <c r="I37" s="31"/>
      <c r="J37" s="35"/>
    </row>
    <row r="38" spans="2:10" x14ac:dyDescent="0.25">
      <c r="B38" s="8" t="s">
        <v>95</v>
      </c>
      <c r="C38" s="56" t="s">
        <v>96</v>
      </c>
      <c r="D38" s="53" t="s">
        <v>97</v>
      </c>
      <c r="E38" s="6" t="s">
        <v>98</v>
      </c>
      <c r="F38" s="19">
        <v>8861</v>
      </c>
      <c r="G38" s="24">
        <v>53.87</v>
      </c>
      <c r="H38" s="24">
        <v>1</v>
      </c>
      <c r="I38" s="31"/>
      <c r="J38" s="35"/>
    </row>
    <row r="39" spans="2:10" x14ac:dyDescent="0.25">
      <c r="B39" s="8" t="s">
        <v>62</v>
      </c>
      <c r="C39" s="56" t="s">
        <v>63</v>
      </c>
      <c r="D39" s="53" t="s">
        <v>64</v>
      </c>
      <c r="E39" s="6" t="s">
        <v>51</v>
      </c>
      <c r="F39" s="19">
        <v>15180</v>
      </c>
      <c r="G39" s="24">
        <v>53.85</v>
      </c>
      <c r="H39" s="24">
        <v>1</v>
      </c>
      <c r="I39" s="31"/>
      <c r="J39" s="35"/>
    </row>
    <row r="40" spans="2:10" x14ac:dyDescent="0.25">
      <c r="B40" s="8" t="s">
        <v>73</v>
      </c>
      <c r="C40" s="56" t="s">
        <v>74</v>
      </c>
      <c r="D40" s="53" t="s">
        <v>75</v>
      </c>
      <c r="E40" s="6" t="s">
        <v>51</v>
      </c>
      <c r="F40" s="19">
        <v>12662</v>
      </c>
      <c r="G40" s="24">
        <v>53.77</v>
      </c>
      <c r="H40" s="24">
        <v>0.99</v>
      </c>
      <c r="I40" s="31"/>
      <c r="J40" s="35"/>
    </row>
    <row r="41" spans="2:10" x14ac:dyDescent="0.25">
      <c r="B41" s="8" t="s">
        <v>883</v>
      </c>
      <c r="C41" s="56" t="s">
        <v>884</v>
      </c>
      <c r="D41" s="53" t="s">
        <v>885</v>
      </c>
      <c r="E41" s="6" t="s">
        <v>886</v>
      </c>
      <c r="F41" s="19">
        <v>46253</v>
      </c>
      <c r="G41" s="24">
        <v>53.65</v>
      </c>
      <c r="H41" s="24">
        <v>0.99</v>
      </c>
      <c r="I41" s="31"/>
      <c r="J41" s="35"/>
    </row>
    <row r="42" spans="2:10" x14ac:dyDescent="0.25">
      <c r="B42" s="8" t="s">
        <v>164</v>
      </c>
      <c r="C42" s="56" t="s">
        <v>165</v>
      </c>
      <c r="D42" s="53" t="s">
        <v>166</v>
      </c>
      <c r="E42" s="6" t="s">
        <v>51</v>
      </c>
      <c r="F42" s="19">
        <v>28896</v>
      </c>
      <c r="G42" s="24">
        <v>53.57</v>
      </c>
      <c r="H42" s="24">
        <v>0.99</v>
      </c>
      <c r="I42" s="31"/>
      <c r="J42" s="35"/>
    </row>
    <row r="43" spans="2:10" x14ac:dyDescent="0.25">
      <c r="B43" s="8" t="s">
        <v>48</v>
      </c>
      <c r="C43" s="56" t="s">
        <v>49</v>
      </c>
      <c r="D43" s="53" t="s">
        <v>50</v>
      </c>
      <c r="E43" s="6" t="s">
        <v>51</v>
      </c>
      <c r="F43" s="19">
        <v>4946</v>
      </c>
      <c r="G43" s="24">
        <v>53.35</v>
      </c>
      <c r="H43" s="24">
        <v>0.99</v>
      </c>
      <c r="I43" s="31"/>
      <c r="J43" s="35"/>
    </row>
    <row r="44" spans="2:10" x14ac:dyDescent="0.25">
      <c r="B44" s="8" t="s">
        <v>150</v>
      </c>
      <c r="C44" s="56" t="s">
        <v>151</v>
      </c>
      <c r="D44" s="53" t="s">
        <v>152</v>
      </c>
      <c r="E44" s="6" t="s">
        <v>153</v>
      </c>
      <c r="F44" s="19">
        <v>14818</v>
      </c>
      <c r="G44" s="24">
        <v>53.31</v>
      </c>
      <c r="H44" s="24">
        <v>0.99</v>
      </c>
      <c r="I44" s="31"/>
      <c r="J44" s="35"/>
    </row>
    <row r="45" spans="2:10" x14ac:dyDescent="0.25">
      <c r="B45" s="8" t="s">
        <v>823</v>
      </c>
      <c r="C45" s="56" t="s">
        <v>824</v>
      </c>
      <c r="D45" s="53" t="s">
        <v>825</v>
      </c>
      <c r="E45" s="6" t="s">
        <v>826</v>
      </c>
      <c r="F45" s="19">
        <v>61396</v>
      </c>
      <c r="G45" s="24">
        <v>53.29</v>
      </c>
      <c r="H45" s="24">
        <v>0.99</v>
      </c>
      <c r="I45" s="31"/>
      <c r="J45" s="35"/>
    </row>
    <row r="46" spans="2:10" x14ac:dyDescent="0.25">
      <c r="B46" s="8" t="s">
        <v>839</v>
      </c>
      <c r="C46" s="56" t="s">
        <v>840</v>
      </c>
      <c r="D46" s="53" t="s">
        <v>841</v>
      </c>
      <c r="E46" s="6" t="s">
        <v>842</v>
      </c>
      <c r="F46" s="19">
        <v>76457</v>
      </c>
      <c r="G46" s="24">
        <v>52.95</v>
      </c>
      <c r="H46" s="24">
        <v>0.98</v>
      </c>
      <c r="I46" s="31"/>
      <c r="J46" s="35"/>
    </row>
    <row r="47" spans="2:10" x14ac:dyDescent="0.25">
      <c r="B47" s="8" t="s">
        <v>704</v>
      </c>
      <c r="C47" s="56" t="s">
        <v>705</v>
      </c>
      <c r="D47" s="53" t="s">
        <v>706</v>
      </c>
      <c r="E47" s="6" t="s">
        <v>90</v>
      </c>
      <c r="F47" s="19">
        <v>2656</v>
      </c>
      <c r="G47" s="24">
        <v>52.76</v>
      </c>
      <c r="H47" s="24">
        <v>0.98</v>
      </c>
      <c r="I47" s="31"/>
      <c r="J47" s="35"/>
    </row>
    <row r="48" spans="2:10" x14ac:dyDescent="0.25">
      <c r="B48" s="8" t="s">
        <v>354</v>
      </c>
      <c r="C48" s="56" t="s">
        <v>355</v>
      </c>
      <c r="D48" s="53" t="s">
        <v>356</v>
      </c>
      <c r="E48" s="6" t="s">
        <v>90</v>
      </c>
      <c r="F48" s="19">
        <v>30597</v>
      </c>
      <c r="G48" s="24">
        <v>52.54</v>
      </c>
      <c r="H48" s="24">
        <v>0.97</v>
      </c>
      <c r="I48" s="31"/>
      <c r="J48" s="35"/>
    </row>
    <row r="49" spans="2:10" x14ac:dyDescent="0.25">
      <c r="B49" s="8" t="s">
        <v>245</v>
      </c>
      <c r="C49" s="56" t="s">
        <v>246</v>
      </c>
      <c r="D49" s="53" t="s">
        <v>247</v>
      </c>
      <c r="E49" s="6" t="s">
        <v>111</v>
      </c>
      <c r="F49" s="19">
        <v>10490</v>
      </c>
      <c r="G49" s="24">
        <v>52.5</v>
      </c>
      <c r="H49" s="24">
        <v>0.97</v>
      </c>
      <c r="I49" s="31"/>
      <c r="J49" s="35"/>
    </row>
    <row r="50" spans="2:10" x14ac:dyDescent="0.25">
      <c r="B50" s="8" t="s">
        <v>856</v>
      </c>
      <c r="C50" s="56" t="s">
        <v>857</v>
      </c>
      <c r="D50" s="53" t="s">
        <v>858</v>
      </c>
      <c r="E50" s="6" t="s">
        <v>261</v>
      </c>
      <c r="F50" s="19">
        <v>61656</v>
      </c>
      <c r="G50" s="24">
        <v>52.47</v>
      </c>
      <c r="H50" s="24">
        <v>0.97</v>
      </c>
      <c r="I50" s="31"/>
      <c r="J50" s="35"/>
    </row>
    <row r="51" spans="2:10" x14ac:dyDescent="0.25">
      <c r="B51" s="8" t="s">
        <v>133</v>
      </c>
      <c r="C51" s="56" t="s">
        <v>134</v>
      </c>
      <c r="D51" s="53" t="s">
        <v>135</v>
      </c>
      <c r="E51" s="6" t="s">
        <v>47</v>
      </c>
      <c r="F51" s="19">
        <v>6464</v>
      </c>
      <c r="G51" s="24">
        <v>52.46</v>
      </c>
      <c r="H51" s="24">
        <v>0.97</v>
      </c>
      <c r="I51" s="31"/>
      <c r="J51" s="35"/>
    </row>
    <row r="52" spans="2:10" x14ac:dyDescent="0.25">
      <c r="B52" s="8" t="s">
        <v>379</v>
      </c>
      <c r="C52" s="56" t="s">
        <v>380</v>
      </c>
      <c r="D52" s="53" t="s">
        <v>381</v>
      </c>
      <c r="E52" s="6" t="s">
        <v>55</v>
      </c>
      <c r="F52" s="19">
        <v>70776</v>
      </c>
      <c r="G52" s="24">
        <v>52.3</v>
      </c>
      <c r="H52" s="24">
        <v>0.97</v>
      </c>
      <c r="I52" s="31"/>
      <c r="J52" s="35"/>
    </row>
    <row r="53" spans="2:10" x14ac:dyDescent="0.25">
      <c r="B53" s="8" t="s">
        <v>59</v>
      </c>
      <c r="C53" s="56" t="s">
        <v>60</v>
      </c>
      <c r="D53" s="53" t="s">
        <v>61</v>
      </c>
      <c r="E53" s="6" t="s">
        <v>51</v>
      </c>
      <c r="F53" s="19">
        <v>4089</v>
      </c>
      <c r="G53" s="24">
        <v>51.86</v>
      </c>
      <c r="H53" s="24">
        <v>0.96</v>
      </c>
      <c r="I53" s="31"/>
      <c r="J53" s="35"/>
    </row>
    <row r="54" spans="2:10" x14ac:dyDescent="0.25">
      <c r="B54" s="8" t="s">
        <v>868</v>
      </c>
      <c r="C54" s="56" t="s">
        <v>869</v>
      </c>
      <c r="D54" s="53" t="s">
        <v>870</v>
      </c>
      <c r="E54" s="6" t="s">
        <v>94</v>
      </c>
      <c r="F54" s="19">
        <v>6335</v>
      </c>
      <c r="G54" s="24">
        <v>51.41</v>
      </c>
      <c r="H54" s="24">
        <v>0.95</v>
      </c>
      <c r="I54" s="31"/>
      <c r="J54" s="35"/>
    </row>
    <row r="55" spans="2:10" x14ac:dyDescent="0.25">
      <c r="B55" s="8" t="s">
        <v>65</v>
      </c>
      <c r="C55" s="56" t="s">
        <v>66</v>
      </c>
      <c r="D55" s="53" t="s">
        <v>67</v>
      </c>
      <c r="E55" s="6" t="s">
        <v>68</v>
      </c>
      <c r="F55" s="19">
        <v>12153</v>
      </c>
      <c r="G55" s="24">
        <v>51.16</v>
      </c>
      <c r="H55" s="24">
        <v>0.95</v>
      </c>
      <c r="I55" s="31"/>
      <c r="J55" s="35"/>
    </row>
    <row r="56" spans="2:10" x14ac:dyDescent="0.25">
      <c r="B56" s="8" t="s">
        <v>877</v>
      </c>
      <c r="C56" s="56" t="s">
        <v>878</v>
      </c>
      <c r="D56" s="53" t="s">
        <v>879</v>
      </c>
      <c r="E56" s="6" t="s">
        <v>228</v>
      </c>
      <c r="F56" s="19">
        <v>10088</v>
      </c>
      <c r="G56" s="24">
        <v>50.73</v>
      </c>
      <c r="H56" s="24">
        <v>0.94</v>
      </c>
      <c r="I56" s="31"/>
      <c r="J56" s="35"/>
    </row>
    <row r="57" spans="2:10" x14ac:dyDescent="0.25">
      <c r="B57" s="8" t="s">
        <v>862</v>
      </c>
      <c r="C57" s="56" t="s">
        <v>863</v>
      </c>
      <c r="D57" s="53" t="s">
        <v>864</v>
      </c>
      <c r="E57" s="6" t="s">
        <v>98</v>
      </c>
      <c r="F57" s="19">
        <v>1738</v>
      </c>
      <c r="G57" s="24">
        <v>50.07</v>
      </c>
      <c r="H57" s="24">
        <v>0.93</v>
      </c>
      <c r="I57" s="31"/>
      <c r="J57" s="35"/>
    </row>
    <row r="58" spans="2:10" x14ac:dyDescent="0.25">
      <c r="B58" s="8" t="s">
        <v>102</v>
      </c>
      <c r="C58" s="56" t="s">
        <v>103</v>
      </c>
      <c r="D58" s="53" t="s">
        <v>104</v>
      </c>
      <c r="E58" s="6" t="s">
        <v>94</v>
      </c>
      <c r="F58" s="19">
        <v>8822</v>
      </c>
      <c r="G58" s="24">
        <v>49.35</v>
      </c>
      <c r="H58" s="24">
        <v>0.91</v>
      </c>
      <c r="I58" s="31"/>
      <c r="J58" s="35"/>
    </row>
    <row r="59" spans="2:10" x14ac:dyDescent="0.25">
      <c r="B59" s="8" t="s">
        <v>171</v>
      </c>
      <c r="C59" s="56" t="s">
        <v>172</v>
      </c>
      <c r="D59" s="53" t="s">
        <v>173</v>
      </c>
      <c r="E59" s="6" t="s">
        <v>55</v>
      </c>
      <c r="F59" s="19">
        <v>13508</v>
      </c>
      <c r="G59" s="24">
        <v>47.69</v>
      </c>
      <c r="H59" s="24">
        <v>0.88</v>
      </c>
      <c r="I59" s="31"/>
      <c r="J59" s="35"/>
    </row>
    <row r="60" spans="2:10" x14ac:dyDescent="0.25">
      <c r="C60" s="57" t="s">
        <v>35</v>
      </c>
      <c r="D60" s="53"/>
      <c r="E60" s="6"/>
      <c r="F60" s="19"/>
      <c r="G60" s="25">
        <v>5295.49</v>
      </c>
      <c r="H60" s="25">
        <v>97.93</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3:10" x14ac:dyDescent="0.25">
      <c r="C65" s="56"/>
      <c r="D65" s="53"/>
      <c r="E65" s="6"/>
      <c r="F65" s="19"/>
      <c r="G65" s="24"/>
      <c r="H65" s="24"/>
      <c r="I65" s="31"/>
      <c r="J65" s="35"/>
    </row>
    <row r="66" spans="3:10" x14ac:dyDescent="0.25">
      <c r="C66" s="57" t="s">
        <v>5</v>
      </c>
      <c r="D66" s="53"/>
      <c r="E66" s="6"/>
      <c r="F66" s="19"/>
      <c r="G66" s="24"/>
      <c r="H66" s="24"/>
      <c r="I66" s="31"/>
      <c r="J66" s="35"/>
    </row>
    <row r="67" spans="3:10" x14ac:dyDescent="0.25">
      <c r="C67" s="56"/>
      <c r="D67" s="53"/>
      <c r="E67" s="6"/>
      <c r="F67" s="19"/>
      <c r="G67" s="24"/>
      <c r="H67" s="24"/>
      <c r="I67" s="31"/>
      <c r="J67" s="35"/>
    </row>
    <row r="68" spans="3:10" x14ac:dyDescent="0.25">
      <c r="C68" s="57" t="s">
        <v>6</v>
      </c>
      <c r="D68" s="53"/>
      <c r="E68" s="6"/>
      <c r="F68" s="19"/>
      <c r="G68" s="24" t="s">
        <v>2</v>
      </c>
      <c r="H68" s="24" t="s">
        <v>2</v>
      </c>
      <c r="I68" s="31"/>
      <c r="J68" s="35"/>
    </row>
    <row r="69" spans="3:10" x14ac:dyDescent="0.25">
      <c r="C69" s="56"/>
      <c r="D69" s="53"/>
      <c r="E69" s="6"/>
      <c r="F69" s="19"/>
      <c r="G69" s="24"/>
      <c r="H69" s="24"/>
      <c r="I69" s="31"/>
      <c r="J69" s="35"/>
    </row>
    <row r="70" spans="3:10" x14ac:dyDescent="0.25">
      <c r="C70" s="57" t="s">
        <v>7</v>
      </c>
      <c r="D70" s="53"/>
      <c r="E70" s="6"/>
      <c r="F70" s="19"/>
      <c r="G70" s="24" t="s">
        <v>2</v>
      </c>
      <c r="H70" s="24" t="s">
        <v>2</v>
      </c>
      <c r="I70" s="31"/>
      <c r="J70" s="35"/>
    </row>
    <row r="71" spans="3:10" x14ac:dyDescent="0.25">
      <c r="C71" s="56"/>
      <c r="D71" s="53"/>
      <c r="E71" s="6"/>
      <c r="F71" s="19"/>
      <c r="G71" s="24"/>
      <c r="H71" s="24"/>
      <c r="I71" s="31"/>
      <c r="J71" s="35"/>
    </row>
    <row r="72" spans="3:10" x14ac:dyDescent="0.25">
      <c r="C72" s="57" t="s">
        <v>8</v>
      </c>
      <c r="D72" s="53"/>
      <c r="E72" s="6"/>
      <c r="F72" s="19"/>
      <c r="G72" s="24" t="s">
        <v>2</v>
      </c>
      <c r="H72" s="24" t="s">
        <v>2</v>
      </c>
      <c r="I72" s="31"/>
      <c r="J72" s="35"/>
    </row>
    <row r="73" spans="3:10" x14ac:dyDescent="0.25">
      <c r="C73" s="56"/>
      <c r="D73" s="53"/>
      <c r="E73" s="6"/>
      <c r="F73" s="19"/>
      <c r="G73" s="24"/>
      <c r="H73" s="24"/>
      <c r="I73" s="31"/>
      <c r="J73" s="35"/>
    </row>
    <row r="74" spans="3:10" x14ac:dyDescent="0.25">
      <c r="C74" s="57" t="s">
        <v>9</v>
      </c>
      <c r="D74" s="53"/>
      <c r="E74" s="6"/>
      <c r="F74" s="19"/>
      <c r="G74" s="24" t="s">
        <v>2</v>
      </c>
      <c r="H74" s="24" t="s">
        <v>2</v>
      </c>
      <c r="I74" s="31"/>
      <c r="J74" s="35"/>
    </row>
    <row r="75" spans="3:10" x14ac:dyDescent="0.25">
      <c r="C75" s="56"/>
      <c r="D75" s="53"/>
      <c r="E75" s="6"/>
      <c r="F75" s="19"/>
      <c r="G75" s="24"/>
      <c r="H75" s="24"/>
      <c r="I75" s="31"/>
      <c r="J75" s="35"/>
    </row>
    <row r="76" spans="3:10" x14ac:dyDescent="0.25">
      <c r="C76" s="57" t="s">
        <v>10</v>
      </c>
      <c r="D76" s="53"/>
      <c r="E76" s="6"/>
      <c r="F76" s="19"/>
      <c r="G76" s="24" t="s">
        <v>2</v>
      </c>
      <c r="H76" s="24" t="s">
        <v>2</v>
      </c>
      <c r="I76" s="31"/>
      <c r="J76" s="35"/>
    </row>
    <row r="77" spans="3:10" x14ac:dyDescent="0.25">
      <c r="C77" s="56"/>
      <c r="D77" s="53"/>
      <c r="E77" s="6"/>
      <c r="F77" s="19"/>
      <c r="G77" s="24"/>
      <c r="H77" s="24"/>
      <c r="I77" s="31"/>
      <c r="J77" s="35"/>
    </row>
    <row r="78" spans="3:10" x14ac:dyDescent="0.25">
      <c r="C78" s="57" t="s">
        <v>11</v>
      </c>
      <c r="D78" s="53"/>
      <c r="E78" s="6"/>
      <c r="F78" s="19"/>
      <c r="G78" s="24"/>
      <c r="H78" s="24"/>
      <c r="I78" s="31"/>
      <c r="J78" s="35"/>
    </row>
    <row r="79" spans="3:10" x14ac:dyDescent="0.25">
      <c r="C79" s="56"/>
      <c r="D79" s="53"/>
      <c r="E79" s="6"/>
      <c r="F79" s="19"/>
      <c r="G79" s="24"/>
      <c r="H79" s="24"/>
      <c r="I79" s="31"/>
      <c r="J79" s="35"/>
    </row>
    <row r="80" spans="3:10" x14ac:dyDescent="0.25">
      <c r="C80" s="57" t="s">
        <v>13</v>
      </c>
      <c r="D80" s="53"/>
      <c r="E80" s="6"/>
      <c r="F80" s="19"/>
      <c r="G80" s="24" t="s">
        <v>2</v>
      </c>
      <c r="H80" s="24" t="s">
        <v>2</v>
      </c>
      <c r="I80" s="31"/>
      <c r="J80" s="35"/>
    </row>
    <row r="81" spans="1:10" x14ac:dyDescent="0.25">
      <c r="C81" s="56"/>
      <c r="D81" s="53"/>
      <c r="E81" s="6"/>
      <c r="F81" s="19"/>
      <c r="G81" s="24"/>
      <c r="H81" s="24"/>
      <c r="I81" s="31"/>
      <c r="J81" s="35"/>
    </row>
    <row r="82" spans="1:10" x14ac:dyDescent="0.25">
      <c r="C82" s="57" t="s">
        <v>14</v>
      </c>
      <c r="D82" s="53"/>
      <c r="E82" s="6"/>
      <c r="F82" s="19"/>
      <c r="G82" s="24" t="s">
        <v>2</v>
      </c>
      <c r="H82" s="24" t="s">
        <v>2</v>
      </c>
      <c r="I82" s="31"/>
      <c r="J82" s="35"/>
    </row>
    <row r="83" spans="1:10" x14ac:dyDescent="0.25">
      <c r="C83" s="56"/>
      <c r="D83" s="53"/>
      <c r="E83" s="6"/>
      <c r="F83" s="19"/>
      <c r="G83" s="24"/>
      <c r="H83" s="24"/>
      <c r="I83" s="31"/>
      <c r="J83" s="35"/>
    </row>
    <row r="84" spans="1:10" x14ac:dyDescent="0.25">
      <c r="C84" s="57" t="s">
        <v>15</v>
      </c>
      <c r="D84" s="53"/>
      <c r="E84" s="6"/>
      <c r="F84" s="19"/>
      <c r="G84" s="24" t="s">
        <v>2</v>
      </c>
      <c r="H84" s="24" t="s">
        <v>2</v>
      </c>
      <c r="I84" s="31"/>
      <c r="J84" s="35"/>
    </row>
    <row r="85" spans="1:10" x14ac:dyDescent="0.25">
      <c r="C85" s="56"/>
      <c r="D85" s="53"/>
      <c r="E85" s="6"/>
      <c r="F85" s="19"/>
      <c r="G85" s="24"/>
      <c r="H85" s="24"/>
      <c r="I85" s="31"/>
      <c r="J85" s="35"/>
    </row>
    <row r="86" spans="1:10" x14ac:dyDescent="0.25">
      <c r="C86" s="57" t="s">
        <v>16</v>
      </c>
      <c r="D86" s="53"/>
      <c r="E86" s="6"/>
      <c r="F86" s="19"/>
      <c r="G86" s="24" t="s">
        <v>2</v>
      </c>
      <c r="H86" s="24" t="s">
        <v>2</v>
      </c>
      <c r="I86" s="31"/>
      <c r="J86" s="35"/>
    </row>
    <row r="87" spans="1:10" x14ac:dyDescent="0.25">
      <c r="C87" s="56"/>
      <c r="D87" s="53"/>
      <c r="E87" s="6"/>
      <c r="F87" s="19"/>
      <c r="G87" s="24"/>
      <c r="H87" s="24"/>
      <c r="I87" s="31"/>
      <c r="J87" s="35"/>
    </row>
    <row r="88" spans="1:10" x14ac:dyDescent="0.25">
      <c r="A88" s="10"/>
      <c r="B88" s="28"/>
      <c r="C88" s="58" t="s">
        <v>17</v>
      </c>
      <c r="D88" s="53"/>
      <c r="E88" s="6"/>
      <c r="F88" s="19"/>
      <c r="G88" s="24"/>
      <c r="H88" s="24"/>
      <c r="I88" s="31"/>
      <c r="J88" s="35"/>
    </row>
    <row r="89" spans="1:10" x14ac:dyDescent="0.25">
      <c r="A89" s="28"/>
      <c r="B89" s="28"/>
      <c r="C89" s="58" t="s">
        <v>18</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19</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A93" s="28"/>
      <c r="B93" s="28"/>
      <c r="C93" s="58" t="s">
        <v>20</v>
      </c>
      <c r="D93" s="53"/>
      <c r="E93" s="6"/>
      <c r="F93" s="19"/>
      <c r="G93" s="24" t="s">
        <v>2</v>
      </c>
      <c r="H93" s="24" t="s">
        <v>2</v>
      </c>
      <c r="I93" s="31"/>
      <c r="J93" s="35"/>
    </row>
    <row r="94" spans="1:10" x14ac:dyDescent="0.25">
      <c r="A94" s="28"/>
      <c r="B94" s="28"/>
      <c r="C94" s="58"/>
      <c r="D94" s="53"/>
      <c r="E94" s="6"/>
      <c r="F94" s="19"/>
      <c r="G94" s="24"/>
      <c r="H94" s="24"/>
      <c r="I94" s="31"/>
      <c r="J94" s="35"/>
    </row>
    <row r="95" spans="1:10" x14ac:dyDescent="0.25">
      <c r="C95" s="59" t="s">
        <v>21</v>
      </c>
      <c r="D95" s="53"/>
      <c r="E95" s="6"/>
      <c r="F95" s="19"/>
      <c r="G95" s="24"/>
      <c r="H95" s="24"/>
      <c r="I95" s="31"/>
      <c r="J95" s="35"/>
    </row>
    <row r="96" spans="1:10" x14ac:dyDescent="0.25">
      <c r="B96" s="8" t="s">
        <v>2935</v>
      </c>
      <c r="C96" s="56" t="s">
        <v>2936</v>
      </c>
      <c r="D96" s="53"/>
      <c r="E96" s="6"/>
      <c r="F96" s="19"/>
      <c r="G96" s="24">
        <v>25</v>
      </c>
      <c r="H96" s="24">
        <v>0.46</v>
      </c>
      <c r="I96" s="31"/>
      <c r="J96" s="35"/>
    </row>
    <row r="97" spans="1:10" x14ac:dyDescent="0.25">
      <c r="C97" s="57" t="s">
        <v>35</v>
      </c>
      <c r="D97" s="53"/>
      <c r="E97" s="6"/>
      <c r="F97" s="19"/>
      <c r="G97" s="25">
        <v>25</v>
      </c>
      <c r="H97" s="25">
        <v>0.46</v>
      </c>
      <c r="I97" s="31"/>
      <c r="J97" s="35"/>
    </row>
    <row r="98" spans="1:10" x14ac:dyDescent="0.25">
      <c r="C98" s="56"/>
      <c r="D98" s="53"/>
      <c r="E98" s="6"/>
      <c r="F98" s="19"/>
      <c r="G98" s="24"/>
      <c r="H98" s="24"/>
      <c r="I98" s="31"/>
      <c r="J98" s="35"/>
    </row>
    <row r="99" spans="1:10" x14ac:dyDescent="0.25">
      <c r="C99" s="59" t="s">
        <v>22</v>
      </c>
      <c r="D99" s="53"/>
      <c r="E99" s="6"/>
      <c r="F99" s="19"/>
      <c r="G99" s="24"/>
      <c r="H99" s="24"/>
      <c r="I99" s="31"/>
      <c r="J99" s="35"/>
    </row>
    <row r="100" spans="1:10" x14ac:dyDescent="0.25">
      <c r="B100" s="8" t="s">
        <v>33</v>
      </c>
      <c r="C100" s="56" t="s">
        <v>34</v>
      </c>
      <c r="D100" s="53"/>
      <c r="E100" s="6"/>
      <c r="F100" s="19"/>
      <c r="G100" s="24">
        <v>66.12</v>
      </c>
      <c r="H100" s="24">
        <v>1.22</v>
      </c>
      <c r="I100" s="31"/>
      <c r="J100" s="35"/>
    </row>
    <row r="101" spans="1:10" x14ac:dyDescent="0.25">
      <c r="C101" s="57" t="s">
        <v>35</v>
      </c>
      <c r="D101" s="53"/>
      <c r="E101" s="6"/>
      <c r="F101" s="19"/>
      <c r="G101" s="25">
        <v>66.12</v>
      </c>
      <c r="H101" s="25">
        <v>1.22</v>
      </c>
      <c r="I101" s="31"/>
      <c r="J101" s="35"/>
    </row>
    <row r="102" spans="1:10" x14ac:dyDescent="0.25">
      <c r="C102" s="56"/>
      <c r="D102" s="53"/>
      <c r="E102" s="6"/>
      <c r="F102" s="19"/>
      <c r="G102" s="24"/>
      <c r="H102" s="24"/>
      <c r="I102" s="31"/>
      <c r="J102" s="35"/>
    </row>
    <row r="103" spans="1:10" x14ac:dyDescent="0.25">
      <c r="A103" s="10"/>
      <c r="B103" s="28"/>
      <c r="C103" s="58" t="s">
        <v>23</v>
      </c>
      <c r="D103" s="53"/>
      <c r="E103" s="6"/>
      <c r="F103" s="19"/>
      <c r="G103" s="24"/>
      <c r="H103" s="24"/>
      <c r="I103" s="31"/>
      <c r="J103" s="35"/>
    </row>
    <row r="104" spans="1:10" x14ac:dyDescent="0.25">
      <c r="A104" s="28"/>
      <c r="B104" s="28"/>
      <c r="C104" s="60" t="s">
        <v>3398</v>
      </c>
      <c r="D104" s="53"/>
      <c r="E104" s="6"/>
      <c r="F104" s="19"/>
      <c r="G104" s="24">
        <v>21.5</v>
      </c>
      <c r="H104" s="24">
        <v>0.4</v>
      </c>
      <c r="I104" s="31"/>
      <c r="J104" s="35"/>
    </row>
    <row r="105" spans="1:10" x14ac:dyDescent="0.25">
      <c r="B105" s="8"/>
      <c r="C105" s="56" t="s">
        <v>36</v>
      </c>
      <c r="D105" s="53"/>
      <c r="E105" s="6"/>
      <c r="F105" s="19"/>
      <c r="G105" s="24">
        <v>1.0000000000001563E-2</v>
      </c>
      <c r="H105" s="24">
        <v>-0.01</v>
      </c>
      <c r="I105" s="31"/>
      <c r="J105" s="35"/>
    </row>
    <row r="106" spans="1:10" x14ac:dyDescent="0.25">
      <c r="C106" s="57" t="s">
        <v>35</v>
      </c>
      <c r="D106" s="53"/>
      <c r="E106" s="6"/>
      <c r="F106" s="19"/>
      <c r="G106" s="25">
        <v>21.51</v>
      </c>
      <c r="H106" s="25">
        <v>0.39</v>
      </c>
      <c r="I106" s="31"/>
      <c r="J106" s="35"/>
    </row>
    <row r="107" spans="1:10" x14ac:dyDescent="0.25">
      <c r="C107" s="56"/>
      <c r="D107" s="53"/>
      <c r="E107" s="6"/>
      <c r="F107" s="19"/>
      <c r="G107" s="24"/>
      <c r="H107" s="24"/>
      <c r="I107" s="31"/>
      <c r="J107" s="35"/>
    </row>
    <row r="108" spans="1:10" x14ac:dyDescent="0.25">
      <c r="C108" s="61" t="s">
        <v>37</v>
      </c>
      <c r="D108" s="54"/>
      <c r="E108" s="5"/>
      <c r="F108" s="20"/>
      <c r="G108" s="26">
        <v>5408.12</v>
      </c>
      <c r="H108" s="26">
        <f>SUMIFS(H:H,C:C,"Total")</f>
        <v>100</v>
      </c>
      <c r="I108" s="32"/>
      <c r="J108" s="36"/>
    </row>
    <row r="110" spans="1:10" s="49" customFormat="1" ht="15.75" x14ac:dyDescent="0.3">
      <c r="C110" s="49" t="s">
        <v>3323</v>
      </c>
      <c r="F110" s="50"/>
      <c r="G110" s="50"/>
      <c r="H110" s="50"/>
    </row>
    <row r="111" spans="1:10" s="41" customFormat="1" ht="27" x14ac:dyDescent="0.25">
      <c r="B111" s="42"/>
      <c r="C111" s="42" t="s">
        <v>3318</v>
      </c>
      <c r="D111" s="42" t="s">
        <v>3319</v>
      </c>
      <c r="E111" s="42" t="s">
        <v>3320</v>
      </c>
      <c r="F111" s="43" t="s">
        <v>28</v>
      </c>
      <c r="G111" s="44" t="s">
        <v>3321</v>
      </c>
      <c r="H111" s="43" t="s">
        <v>30</v>
      </c>
      <c r="I111" s="42" t="s">
        <v>32</v>
      </c>
    </row>
    <row r="112" spans="1:10" s="41" customFormat="1" x14ac:dyDescent="0.25">
      <c r="B112" s="42"/>
      <c r="C112" s="42" t="s">
        <v>3329</v>
      </c>
      <c r="D112" s="42"/>
      <c r="E112" s="42"/>
      <c r="F112" s="43"/>
      <c r="G112" s="44"/>
      <c r="H112" s="43"/>
      <c r="I112" s="42"/>
    </row>
    <row r="113" spans="2:10" x14ac:dyDescent="0.25">
      <c r="B113" s="45">
        <v>3700052</v>
      </c>
      <c r="C113" s="45" t="s">
        <v>3328</v>
      </c>
      <c r="D113" s="45" t="s">
        <v>3316</v>
      </c>
      <c r="E113" s="45" t="s">
        <v>12</v>
      </c>
      <c r="F113" s="46">
        <v>975</v>
      </c>
      <c r="G113" s="46">
        <v>109.7542875</v>
      </c>
      <c r="H113" s="46">
        <v>2.0299999999999998</v>
      </c>
      <c r="I113" s="45"/>
      <c r="J113" s="2"/>
    </row>
    <row r="114" spans="2:10" s="1" customFormat="1" x14ac:dyDescent="0.25">
      <c r="B114" s="47"/>
      <c r="C114" s="47" t="s">
        <v>3322</v>
      </c>
      <c r="D114" s="47"/>
      <c r="E114" s="47"/>
      <c r="F114" s="48"/>
      <c r="G114" s="48">
        <f>SUM(G112:G113)</f>
        <v>109.7542875</v>
      </c>
      <c r="H114" s="48">
        <f>SUM(H112:H113)</f>
        <v>2.0299999999999998</v>
      </c>
      <c r="I114" s="47"/>
    </row>
    <row r="116" spans="2:10" x14ac:dyDescent="0.25">
      <c r="C116" s="65" t="s">
        <v>3404</v>
      </c>
      <c r="D116" s="66"/>
      <c r="E116" s="67"/>
      <c r="F116" s="68"/>
      <c r="G116" s="69"/>
      <c r="H116" s="69"/>
      <c r="I116" s="3"/>
    </row>
    <row r="117" spans="2:10" ht="14.25" thickBot="1" x14ac:dyDescent="0.3">
      <c r="C117" s="66"/>
      <c r="D117" s="66"/>
      <c r="E117" s="67"/>
      <c r="F117" s="68"/>
      <c r="G117" s="69"/>
      <c r="H117" s="69"/>
      <c r="I117" s="3"/>
    </row>
    <row r="118" spans="2:10" ht="27" x14ac:dyDescent="0.25">
      <c r="C118" s="70" t="s">
        <v>26</v>
      </c>
      <c r="D118" s="71" t="s">
        <v>27</v>
      </c>
      <c r="E118" s="72" t="s">
        <v>3320</v>
      </c>
      <c r="F118" s="17" t="s">
        <v>28</v>
      </c>
      <c r="G118" s="14" t="s">
        <v>29</v>
      </c>
      <c r="H118" s="14" t="s">
        <v>30</v>
      </c>
      <c r="I118" s="100" t="s">
        <v>32</v>
      </c>
    </row>
    <row r="119" spans="2:10" x14ac:dyDescent="0.25">
      <c r="C119" s="73" t="s">
        <v>0</v>
      </c>
      <c r="D119" s="74"/>
      <c r="E119" s="75"/>
      <c r="F119" s="76"/>
      <c r="G119" s="77"/>
      <c r="H119" s="77"/>
      <c r="I119" s="101"/>
    </row>
    <row r="120" spans="2:10" x14ac:dyDescent="0.25">
      <c r="C120" s="78" t="s">
        <v>3405</v>
      </c>
      <c r="D120" s="79"/>
      <c r="E120" s="80"/>
      <c r="F120" s="81"/>
      <c r="G120" s="82"/>
      <c r="H120" s="82"/>
      <c r="I120" s="102"/>
    </row>
    <row r="121" spans="2:10" x14ac:dyDescent="0.25">
      <c r="C121" s="83"/>
      <c r="D121" s="79"/>
      <c r="E121" s="80"/>
      <c r="F121" s="81"/>
      <c r="G121" s="82"/>
      <c r="H121" s="82"/>
      <c r="I121" s="102"/>
    </row>
    <row r="122" spans="2:10" x14ac:dyDescent="0.25">
      <c r="C122" s="84" t="s">
        <v>887</v>
      </c>
      <c r="D122" s="85" t="s">
        <v>3401</v>
      </c>
      <c r="E122" s="86" t="s">
        <v>51</v>
      </c>
      <c r="F122" s="87">
        <v>39967</v>
      </c>
      <c r="G122" s="88">
        <v>0</v>
      </c>
      <c r="H122" s="89" t="s">
        <v>3399</v>
      </c>
      <c r="I122" s="103" t="s">
        <v>3408</v>
      </c>
    </row>
    <row r="123" spans="2:10" ht="14.25" thickBot="1" x14ac:dyDescent="0.3">
      <c r="C123" s="90"/>
      <c r="D123" s="91"/>
      <c r="E123" s="92"/>
      <c r="F123" s="20"/>
      <c r="G123" s="93"/>
      <c r="H123" s="94"/>
      <c r="I123" s="36"/>
    </row>
    <row r="124" spans="2:10" x14ac:dyDescent="0.25">
      <c r="C124" s="95"/>
      <c r="D124" s="95"/>
      <c r="E124" s="96"/>
      <c r="F124" s="97"/>
      <c r="G124" s="98"/>
      <c r="H124" s="99"/>
      <c r="I124" s="99"/>
    </row>
    <row r="125" spans="2:10" x14ac:dyDescent="0.25">
      <c r="C125" s="1" t="s">
        <v>38</v>
      </c>
      <c r="E125" s="16"/>
      <c r="F125" s="13"/>
      <c r="H125" s="3"/>
      <c r="I125" s="2"/>
    </row>
    <row r="126" spans="2:10" x14ac:dyDescent="0.25">
      <c r="C126" s="2" t="s">
        <v>3406</v>
      </c>
      <c r="E126" s="16"/>
      <c r="F126" s="13"/>
      <c r="H126" s="3"/>
      <c r="I126" s="2"/>
    </row>
    <row r="127" spans="2:10" x14ac:dyDescent="0.25">
      <c r="C127" s="2" t="s">
        <v>40</v>
      </c>
      <c r="E127" s="16"/>
      <c r="F127" s="13"/>
      <c r="H127" s="3"/>
      <c r="I127" s="2"/>
    </row>
    <row r="128" spans="2:10" x14ac:dyDescent="0.25">
      <c r="C128" s="2" t="s">
        <v>3430</v>
      </c>
      <c r="E128" s="16"/>
      <c r="F128" s="13"/>
      <c r="H128" s="3"/>
      <c r="I128" s="2"/>
    </row>
    <row r="129" spans="3:9" ht="138" customHeight="1" x14ac:dyDescent="0.25">
      <c r="C129" s="116" t="s">
        <v>3407</v>
      </c>
      <c r="D129" s="116"/>
      <c r="E129" s="116"/>
      <c r="F129" s="116"/>
      <c r="G129" s="116"/>
      <c r="H129" s="116"/>
      <c r="I129" s="104"/>
    </row>
    <row r="130" spans="3:9" x14ac:dyDescent="0.25">
      <c r="I130" s="3"/>
    </row>
    <row r="131" spans="3:9" x14ac:dyDescent="0.25">
      <c r="I131" s="3"/>
    </row>
  </sheetData>
  <mergeCells count="1">
    <mergeCell ref="C129:H129"/>
  </mergeCells>
  <hyperlinks>
    <hyperlink ref="J2" location="'Index'!A1" display="'Index'!A1"/>
  </hyperlinks>
  <pageMargins left="0.7" right="0.7" top="0.75" bottom="0.75" header="0.3" footer="0.3"/>
  <pageSetup orientation="portrait" horizontalDpi="4294967293"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7"/>
  <dimension ref="A1:J8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2937</v>
      </c>
      <c r="J2" s="37" t="s">
        <v>3307</v>
      </c>
    </row>
    <row r="3" spans="1:10" ht="16.5" x14ac:dyDescent="0.3">
      <c r="C3" s="1" t="s">
        <v>24</v>
      </c>
      <c r="D3" s="21" t="s">
        <v>2938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2709</v>
      </c>
      <c r="C18" s="56" t="s">
        <v>2316</v>
      </c>
      <c r="D18" s="53" t="s">
        <v>2710</v>
      </c>
      <c r="E18" s="6" t="s">
        <v>534</v>
      </c>
      <c r="F18" s="19">
        <v>350</v>
      </c>
      <c r="G18" s="24">
        <v>4365.79</v>
      </c>
      <c r="H18" s="24">
        <v>9.99</v>
      </c>
      <c r="I18" s="31">
        <v>5.4550000000000001</v>
      </c>
      <c r="J18" s="35" t="s">
        <v>514</v>
      </c>
    </row>
    <row r="19" spans="2:10" x14ac:dyDescent="0.25">
      <c r="B19" s="8" t="s">
        <v>1328</v>
      </c>
      <c r="C19" s="56" t="s">
        <v>1329</v>
      </c>
      <c r="D19" s="53" t="s">
        <v>1330</v>
      </c>
      <c r="E19" s="6" t="s">
        <v>911</v>
      </c>
      <c r="F19" s="19">
        <v>350</v>
      </c>
      <c r="G19" s="24">
        <v>4296.68</v>
      </c>
      <c r="H19" s="24">
        <v>9.83</v>
      </c>
      <c r="I19" s="31">
        <v>6.1849999999999996</v>
      </c>
      <c r="J19" s="35" t="s">
        <v>514</v>
      </c>
    </row>
    <row r="20" spans="2:10" x14ac:dyDescent="0.25">
      <c r="B20" s="8" t="s">
        <v>2939</v>
      </c>
      <c r="C20" s="56" t="s">
        <v>1950</v>
      </c>
      <c r="D20" s="53" t="s">
        <v>2940</v>
      </c>
      <c r="E20" s="6" t="s">
        <v>1383</v>
      </c>
      <c r="F20" s="19">
        <v>360</v>
      </c>
      <c r="G20" s="24">
        <v>4274.22</v>
      </c>
      <c r="H20" s="24">
        <v>9.7799999999999994</v>
      </c>
      <c r="I20" s="31">
        <v>5.7899000000000003</v>
      </c>
      <c r="J20" s="35" t="s">
        <v>514</v>
      </c>
    </row>
    <row r="21" spans="2:10" x14ac:dyDescent="0.25">
      <c r="B21" s="8" t="s">
        <v>1776</v>
      </c>
      <c r="C21" s="56" t="s">
        <v>77</v>
      </c>
      <c r="D21" s="53" t="s">
        <v>1777</v>
      </c>
      <c r="E21" s="6" t="s">
        <v>534</v>
      </c>
      <c r="F21" s="19">
        <v>370</v>
      </c>
      <c r="G21" s="24">
        <v>3870.72</v>
      </c>
      <c r="H21" s="24">
        <v>8.85</v>
      </c>
      <c r="I21" s="31">
        <v>4.6749999999999998</v>
      </c>
      <c r="J21" s="35" t="s">
        <v>514</v>
      </c>
    </row>
    <row r="22" spans="2:10" x14ac:dyDescent="0.25">
      <c r="B22" s="8" t="s">
        <v>2646</v>
      </c>
      <c r="C22" s="56" t="s">
        <v>53</v>
      </c>
      <c r="D22" s="53" t="s">
        <v>2647</v>
      </c>
      <c r="E22" s="6" t="s">
        <v>534</v>
      </c>
      <c r="F22" s="19">
        <v>351</v>
      </c>
      <c r="G22" s="24">
        <v>3688.09</v>
      </c>
      <c r="H22" s="24">
        <v>8.44</v>
      </c>
      <c r="I22" s="31">
        <v>4.53</v>
      </c>
      <c r="J22" s="35"/>
    </row>
    <row r="23" spans="2:10" x14ac:dyDescent="0.25">
      <c r="B23" s="8" t="s">
        <v>1394</v>
      </c>
      <c r="C23" s="56" t="s">
        <v>909</v>
      </c>
      <c r="D23" s="53" t="s">
        <v>1395</v>
      </c>
      <c r="E23" s="6" t="s">
        <v>534</v>
      </c>
      <c r="F23" s="19">
        <v>350</v>
      </c>
      <c r="G23" s="24">
        <v>3683.1</v>
      </c>
      <c r="H23" s="24">
        <v>8.43</v>
      </c>
      <c r="I23" s="31">
        <v>4.4400000000000004</v>
      </c>
      <c r="J23" s="35" t="s">
        <v>514</v>
      </c>
    </row>
    <row r="24" spans="2:10" x14ac:dyDescent="0.25">
      <c r="B24" s="8" t="s">
        <v>2766</v>
      </c>
      <c r="C24" s="56" t="s">
        <v>1752</v>
      </c>
      <c r="D24" s="53" t="s">
        <v>2767</v>
      </c>
      <c r="E24" s="6" t="s">
        <v>911</v>
      </c>
      <c r="F24" s="19">
        <v>300</v>
      </c>
      <c r="G24" s="24">
        <v>3153.89</v>
      </c>
      <c r="H24" s="24">
        <v>7.21</v>
      </c>
      <c r="I24" s="31">
        <v>4.46</v>
      </c>
      <c r="J24" s="35" t="s">
        <v>514</v>
      </c>
    </row>
    <row r="25" spans="2:10" x14ac:dyDescent="0.25">
      <c r="B25" s="8" t="s">
        <v>2919</v>
      </c>
      <c r="C25" s="56" t="s">
        <v>2282</v>
      </c>
      <c r="D25" s="53" t="s">
        <v>2920</v>
      </c>
      <c r="E25" s="6" t="s">
        <v>534</v>
      </c>
      <c r="F25" s="19">
        <v>260</v>
      </c>
      <c r="G25" s="24">
        <v>3082.92</v>
      </c>
      <c r="H25" s="24">
        <v>7.05</v>
      </c>
      <c r="I25" s="31">
        <v>6.1414999999999997</v>
      </c>
      <c r="J25" s="35" t="s">
        <v>514</v>
      </c>
    </row>
    <row r="26" spans="2:10" x14ac:dyDescent="0.25">
      <c r="B26" s="8" t="s">
        <v>2698</v>
      </c>
      <c r="C26" s="56" t="s">
        <v>1130</v>
      </c>
      <c r="D26" s="53" t="s">
        <v>2699</v>
      </c>
      <c r="E26" s="6" t="s">
        <v>911</v>
      </c>
      <c r="F26" s="19">
        <v>260</v>
      </c>
      <c r="G26" s="24">
        <v>2735.26</v>
      </c>
      <c r="H26" s="24">
        <v>6.26</v>
      </c>
      <c r="I26" s="31">
        <v>4.6448999999999998</v>
      </c>
      <c r="J26" s="35" t="s">
        <v>514</v>
      </c>
    </row>
    <row r="27" spans="2:10" x14ac:dyDescent="0.25">
      <c r="B27" s="8" t="s">
        <v>2640</v>
      </c>
      <c r="C27" s="56" t="s">
        <v>2641</v>
      </c>
      <c r="D27" s="53" t="s">
        <v>2642</v>
      </c>
      <c r="E27" s="6" t="s">
        <v>2643</v>
      </c>
      <c r="F27" s="19">
        <v>190</v>
      </c>
      <c r="G27" s="24">
        <v>2040.48</v>
      </c>
      <c r="H27" s="24">
        <v>4.67</v>
      </c>
      <c r="I27" s="31">
        <v>4.4598000000000004</v>
      </c>
      <c r="J27" s="35" t="s">
        <v>514</v>
      </c>
    </row>
    <row r="28" spans="2:10" x14ac:dyDescent="0.25">
      <c r="B28" s="8" t="s">
        <v>2652</v>
      </c>
      <c r="C28" s="56" t="s">
        <v>92</v>
      </c>
      <c r="D28" s="53" t="s">
        <v>2653</v>
      </c>
      <c r="E28" s="6" t="s">
        <v>534</v>
      </c>
      <c r="F28" s="19">
        <v>100</v>
      </c>
      <c r="G28" s="24">
        <v>1242.8599999999999</v>
      </c>
      <c r="H28" s="24">
        <v>2.84</v>
      </c>
      <c r="I28" s="31">
        <v>5.25</v>
      </c>
      <c r="J28" s="35" t="s">
        <v>514</v>
      </c>
    </row>
    <row r="29" spans="2:10" x14ac:dyDescent="0.25">
      <c r="B29" s="8" t="s">
        <v>2636</v>
      </c>
      <c r="C29" s="56" t="s">
        <v>1752</v>
      </c>
      <c r="D29" s="53" t="s">
        <v>2637</v>
      </c>
      <c r="E29" s="6" t="s">
        <v>1314</v>
      </c>
      <c r="F29" s="19">
        <v>40</v>
      </c>
      <c r="G29" s="24">
        <v>422.07</v>
      </c>
      <c r="H29" s="24">
        <v>0.97</v>
      </c>
      <c r="I29" s="31">
        <v>4.375</v>
      </c>
      <c r="J29" s="35" t="s">
        <v>514</v>
      </c>
    </row>
    <row r="30" spans="2:10" x14ac:dyDescent="0.25">
      <c r="B30" s="8" t="s">
        <v>2772</v>
      </c>
      <c r="C30" s="56" t="s">
        <v>857</v>
      </c>
      <c r="D30" s="53" t="s">
        <v>2773</v>
      </c>
      <c r="E30" s="6" t="s">
        <v>534</v>
      </c>
      <c r="F30" s="19">
        <v>20</v>
      </c>
      <c r="G30" s="24">
        <v>210.83</v>
      </c>
      <c r="H30" s="24">
        <v>0.48</v>
      </c>
      <c r="I30" s="31">
        <v>4.3</v>
      </c>
      <c r="J30" s="35"/>
    </row>
    <row r="31" spans="2:10" x14ac:dyDescent="0.25">
      <c r="B31" s="8" t="s">
        <v>1856</v>
      </c>
      <c r="C31" s="56" t="s">
        <v>1130</v>
      </c>
      <c r="D31" s="53" t="s">
        <v>1857</v>
      </c>
      <c r="E31" s="6" t="s">
        <v>911</v>
      </c>
      <c r="F31" s="19">
        <v>20</v>
      </c>
      <c r="G31" s="24">
        <v>210.47</v>
      </c>
      <c r="H31" s="24">
        <v>0.48</v>
      </c>
      <c r="I31" s="31">
        <v>4.45</v>
      </c>
      <c r="J31" s="35" t="s">
        <v>514</v>
      </c>
    </row>
    <row r="32" spans="2:10" x14ac:dyDescent="0.25">
      <c r="B32" s="8" t="s">
        <v>2692</v>
      </c>
      <c r="C32" s="56" t="s">
        <v>2421</v>
      </c>
      <c r="D32" s="53" t="s">
        <v>2693</v>
      </c>
      <c r="E32" s="6" t="s">
        <v>534</v>
      </c>
      <c r="F32" s="19">
        <v>10</v>
      </c>
      <c r="G32" s="24">
        <v>124.27</v>
      </c>
      <c r="H32" s="24">
        <v>0.28000000000000003</v>
      </c>
      <c r="I32" s="31">
        <v>5.23</v>
      </c>
      <c r="J32" s="35" t="s">
        <v>514</v>
      </c>
    </row>
    <row r="33" spans="1:10" x14ac:dyDescent="0.25">
      <c r="B33" s="8" t="s">
        <v>2716</v>
      </c>
      <c r="C33" s="56" t="s">
        <v>1127</v>
      </c>
      <c r="D33" s="53" t="s">
        <v>2717</v>
      </c>
      <c r="E33" s="6" t="s">
        <v>534</v>
      </c>
      <c r="F33" s="19">
        <v>10</v>
      </c>
      <c r="G33" s="24">
        <v>120.79</v>
      </c>
      <c r="H33" s="24">
        <v>0.28000000000000003</v>
      </c>
      <c r="I33" s="31">
        <v>5.0199999999999996</v>
      </c>
      <c r="J33" s="35" t="s">
        <v>514</v>
      </c>
    </row>
    <row r="34" spans="1:10" x14ac:dyDescent="0.25">
      <c r="B34" s="8" t="s">
        <v>2816</v>
      </c>
      <c r="C34" s="56" t="s">
        <v>909</v>
      </c>
      <c r="D34" s="53" t="s">
        <v>2817</v>
      </c>
      <c r="E34" s="6" t="s">
        <v>534</v>
      </c>
      <c r="F34" s="19">
        <v>10</v>
      </c>
      <c r="G34" s="24">
        <v>104.85</v>
      </c>
      <c r="H34" s="24">
        <v>0.24</v>
      </c>
      <c r="I34" s="31">
        <v>4.55</v>
      </c>
      <c r="J34" s="35" t="s">
        <v>514</v>
      </c>
    </row>
    <row r="35" spans="1:10" x14ac:dyDescent="0.25">
      <c r="C35" s="57" t="s">
        <v>35</v>
      </c>
      <c r="D35" s="53"/>
      <c r="E35" s="6"/>
      <c r="F35" s="19"/>
      <c r="G35" s="25">
        <v>37627.29</v>
      </c>
      <c r="H35" s="25">
        <v>86.08</v>
      </c>
      <c r="I35" s="31"/>
      <c r="J35" s="35"/>
    </row>
    <row r="36" spans="1:10" x14ac:dyDescent="0.25">
      <c r="C36" s="56"/>
      <c r="D36" s="53"/>
      <c r="E36" s="6"/>
      <c r="F36" s="19"/>
      <c r="G36" s="24"/>
      <c r="H36" s="24"/>
      <c r="I36" s="31"/>
      <c r="J36" s="35"/>
    </row>
    <row r="37" spans="1:10" x14ac:dyDescent="0.25">
      <c r="C37" s="57" t="s">
        <v>7</v>
      </c>
      <c r="D37" s="53"/>
      <c r="E37" s="6"/>
      <c r="F37" s="19"/>
      <c r="G37" s="24" t="s">
        <v>2</v>
      </c>
      <c r="H37" s="24" t="s">
        <v>2</v>
      </c>
      <c r="I37" s="31"/>
      <c r="J37" s="35"/>
    </row>
    <row r="38" spans="1:10" x14ac:dyDescent="0.25">
      <c r="C38" s="56"/>
      <c r="D38" s="53"/>
      <c r="E38" s="6"/>
      <c r="F38" s="19"/>
      <c r="G38" s="24"/>
      <c r="H38" s="24"/>
      <c r="I38" s="31"/>
      <c r="J38" s="35"/>
    </row>
    <row r="39" spans="1:10" x14ac:dyDescent="0.25">
      <c r="C39" s="57" t="s">
        <v>8</v>
      </c>
      <c r="D39" s="53"/>
      <c r="E39" s="6"/>
      <c r="F39" s="19"/>
      <c r="G39" s="24" t="s">
        <v>2</v>
      </c>
      <c r="H39" s="24" t="s">
        <v>2</v>
      </c>
      <c r="I39" s="31"/>
      <c r="J39" s="35"/>
    </row>
    <row r="40" spans="1:10" x14ac:dyDescent="0.25">
      <c r="C40" s="56"/>
      <c r="D40" s="53"/>
      <c r="E40" s="6"/>
      <c r="F40" s="19"/>
      <c r="G40" s="24"/>
      <c r="H40" s="24"/>
      <c r="I40" s="31"/>
      <c r="J40" s="35"/>
    </row>
    <row r="41" spans="1:10" x14ac:dyDescent="0.25">
      <c r="C41" s="57" t="s">
        <v>9</v>
      </c>
      <c r="D41" s="53"/>
      <c r="E41" s="6"/>
      <c r="F41" s="19"/>
      <c r="G41" s="24" t="s">
        <v>2</v>
      </c>
      <c r="H41" s="24" t="s">
        <v>2</v>
      </c>
      <c r="I41" s="31"/>
      <c r="J41" s="35"/>
    </row>
    <row r="42" spans="1:10" x14ac:dyDescent="0.25">
      <c r="C42" s="56"/>
      <c r="D42" s="53"/>
      <c r="E42" s="6"/>
      <c r="F42" s="19"/>
      <c r="G42" s="24"/>
      <c r="H42" s="24"/>
      <c r="I42" s="31"/>
      <c r="J42" s="35"/>
    </row>
    <row r="43" spans="1:10" x14ac:dyDescent="0.25">
      <c r="C43" s="59" t="s">
        <v>10</v>
      </c>
      <c r="D43" s="53"/>
      <c r="E43" s="6"/>
      <c r="F43" s="19"/>
      <c r="G43" s="24"/>
      <c r="H43" s="24"/>
      <c r="I43" s="31"/>
      <c r="J43" s="35"/>
    </row>
    <row r="44" spans="1:10" x14ac:dyDescent="0.25">
      <c r="B44" s="8" t="s">
        <v>2906</v>
      </c>
      <c r="C44" s="56" t="s">
        <v>2907</v>
      </c>
      <c r="D44" s="53" t="s">
        <v>2908</v>
      </c>
      <c r="E44" s="6" t="s">
        <v>655</v>
      </c>
      <c r="F44" s="19">
        <v>3000000</v>
      </c>
      <c r="G44" s="24">
        <v>3163.84</v>
      </c>
      <c r="H44" s="24">
        <v>7.24</v>
      </c>
      <c r="I44" s="31">
        <v>4.6928999999999998</v>
      </c>
      <c r="J44" s="35"/>
    </row>
    <row r="45" spans="1:10" x14ac:dyDescent="0.25">
      <c r="C45" s="57" t="s">
        <v>35</v>
      </c>
      <c r="D45" s="53"/>
      <c r="E45" s="6"/>
      <c r="F45" s="19"/>
      <c r="G45" s="25">
        <v>3163.84</v>
      </c>
      <c r="H45" s="25">
        <v>7.24</v>
      </c>
      <c r="I45" s="31"/>
      <c r="J45" s="35"/>
    </row>
    <row r="46" spans="1:10" x14ac:dyDescent="0.25">
      <c r="C46" s="56"/>
      <c r="D46" s="53"/>
      <c r="E46" s="6"/>
      <c r="F46" s="19"/>
      <c r="G46" s="24"/>
      <c r="H46" s="24"/>
      <c r="I46" s="31"/>
      <c r="J46" s="35"/>
    </row>
    <row r="47" spans="1:10" x14ac:dyDescent="0.25">
      <c r="A47" s="10"/>
      <c r="B47" s="28"/>
      <c r="C47" s="58" t="s">
        <v>11</v>
      </c>
      <c r="D47" s="53"/>
      <c r="E47" s="6"/>
      <c r="F47" s="19"/>
      <c r="G47" s="24"/>
      <c r="H47" s="24"/>
      <c r="I47" s="31"/>
      <c r="J47" s="35"/>
    </row>
    <row r="48" spans="1:10" x14ac:dyDescent="0.25">
      <c r="A48" s="28"/>
      <c r="B48" s="28"/>
      <c r="C48" s="58" t="s">
        <v>13</v>
      </c>
      <c r="D48" s="53"/>
      <c r="E48" s="6"/>
      <c r="F48" s="19"/>
      <c r="G48" s="24" t="s">
        <v>2</v>
      </c>
      <c r="H48" s="24" t="s">
        <v>2</v>
      </c>
      <c r="I48" s="31"/>
      <c r="J48" s="35"/>
    </row>
    <row r="49" spans="1:10" x14ac:dyDescent="0.25">
      <c r="A49" s="28"/>
      <c r="B49" s="28"/>
      <c r="C49" s="58"/>
      <c r="D49" s="53"/>
      <c r="E49" s="6"/>
      <c r="F49" s="19"/>
      <c r="G49" s="24"/>
      <c r="H49" s="24"/>
      <c r="I49" s="31"/>
      <c r="J49" s="35"/>
    </row>
    <row r="50" spans="1:10" x14ac:dyDescent="0.25">
      <c r="C50" s="59" t="s">
        <v>14</v>
      </c>
      <c r="D50" s="53"/>
      <c r="E50" s="6"/>
      <c r="F50" s="19"/>
      <c r="G50" s="24"/>
      <c r="H50" s="24"/>
      <c r="I50" s="31"/>
      <c r="J50" s="35"/>
    </row>
    <row r="51" spans="1:10" x14ac:dyDescent="0.25">
      <c r="B51" s="8" t="s">
        <v>2480</v>
      </c>
      <c r="C51" s="56" t="s">
        <v>872</v>
      </c>
      <c r="D51" s="53" t="s">
        <v>2481</v>
      </c>
      <c r="E51" s="6" t="s">
        <v>992</v>
      </c>
      <c r="F51" s="19">
        <v>700</v>
      </c>
      <c r="G51" s="24">
        <v>691.77</v>
      </c>
      <c r="H51" s="24">
        <v>1.58</v>
      </c>
      <c r="I51" s="31">
        <v>4.2149999999999999</v>
      </c>
      <c r="J51" s="35" t="s">
        <v>514</v>
      </c>
    </row>
    <row r="52" spans="1:10" x14ac:dyDescent="0.25">
      <c r="B52" s="8" t="s">
        <v>1248</v>
      </c>
      <c r="C52" s="56" t="s">
        <v>818</v>
      </c>
      <c r="D52" s="53" t="s">
        <v>1249</v>
      </c>
      <c r="E52" s="6" t="s">
        <v>1000</v>
      </c>
      <c r="F52" s="19">
        <v>700</v>
      </c>
      <c r="G52" s="24">
        <v>682.6</v>
      </c>
      <c r="H52" s="24">
        <v>1.56</v>
      </c>
      <c r="I52" s="31">
        <v>3.8298999999999999</v>
      </c>
      <c r="J52" s="35" t="s">
        <v>514</v>
      </c>
    </row>
    <row r="53" spans="1:10" x14ac:dyDescent="0.25">
      <c r="B53" s="8" t="s">
        <v>1225</v>
      </c>
      <c r="C53" s="56" t="s">
        <v>818</v>
      </c>
      <c r="D53" s="53" t="s">
        <v>1226</v>
      </c>
      <c r="E53" s="6" t="s">
        <v>1000</v>
      </c>
      <c r="F53" s="19">
        <v>500</v>
      </c>
      <c r="G53" s="24">
        <v>492.46</v>
      </c>
      <c r="H53" s="24">
        <v>1.1299999999999999</v>
      </c>
      <c r="I53" s="31">
        <v>3.5150000000000001</v>
      </c>
      <c r="J53" s="35" t="s">
        <v>514</v>
      </c>
    </row>
    <row r="54" spans="1:10" x14ac:dyDescent="0.25">
      <c r="C54" s="57" t="s">
        <v>35</v>
      </c>
      <c r="D54" s="53"/>
      <c r="E54" s="6"/>
      <c r="F54" s="19"/>
      <c r="G54" s="25">
        <v>1866.83</v>
      </c>
      <c r="H54" s="25">
        <v>4.2699999999999996</v>
      </c>
      <c r="I54" s="31"/>
      <c r="J54" s="35"/>
    </row>
    <row r="55" spans="1:10" x14ac:dyDescent="0.25">
      <c r="C55" s="56"/>
      <c r="D55" s="53"/>
      <c r="E55" s="6"/>
      <c r="F55" s="19"/>
      <c r="G55" s="24"/>
      <c r="H55" s="24"/>
      <c r="I55" s="31"/>
      <c r="J55" s="35"/>
    </row>
    <row r="56" spans="1:10" x14ac:dyDescent="0.25">
      <c r="C56" s="57" t="s">
        <v>15</v>
      </c>
      <c r="D56" s="53"/>
      <c r="E56" s="6"/>
      <c r="F56" s="19"/>
      <c r="G56" s="24" t="s">
        <v>2</v>
      </c>
      <c r="H56" s="24" t="s">
        <v>2</v>
      </c>
      <c r="I56" s="31"/>
      <c r="J56" s="35"/>
    </row>
    <row r="57" spans="1:10" x14ac:dyDescent="0.25">
      <c r="C57" s="56"/>
      <c r="D57" s="53"/>
      <c r="E57" s="6"/>
      <c r="F57" s="19"/>
      <c r="G57" s="24"/>
      <c r="H57" s="24"/>
      <c r="I57" s="31"/>
      <c r="J57" s="35"/>
    </row>
    <row r="58" spans="1:10" x14ac:dyDescent="0.25">
      <c r="C58" s="57" t="s">
        <v>16</v>
      </c>
      <c r="D58" s="53"/>
      <c r="E58" s="6"/>
      <c r="F58" s="19"/>
      <c r="G58" s="24" t="s">
        <v>2</v>
      </c>
      <c r="H58" s="24" t="s">
        <v>2</v>
      </c>
      <c r="I58" s="31"/>
      <c r="J58" s="35"/>
    </row>
    <row r="59" spans="1:10" x14ac:dyDescent="0.25">
      <c r="C59" s="56"/>
      <c r="D59" s="53"/>
      <c r="E59" s="6"/>
      <c r="F59" s="19"/>
      <c r="G59" s="24"/>
      <c r="H59" s="24"/>
      <c r="I59" s="31"/>
      <c r="J59" s="35"/>
    </row>
    <row r="60" spans="1:10" x14ac:dyDescent="0.25">
      <c r="A60" s="10"/>
      <c r="B60" s="28"/>
      <c r="C60" s="58" t="s">
        <v>17</v>
      </c>
      <c r="D60" s="53"/>
      <c r="E60" s="6"/>
      <c r="F60" s="19"/>
      <c r="G60" s="24"/>
      <c r="H60" s="24"/>
      <c r="I60" s="31"/>
      <c r="J60" s="35"/>
    </row>
    <row r="61" spans="1:10" x14ac:dyDescent="0.25">
      <c r="A61" s="28"/>
      <c r="B61" s="28"/>
      <c r="C61" s="58" t="s">
        <v>18</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19</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A65" s="28"/>
      <c r="B65" s="28"/>
      <c r="C65" s="58" t="s">
        <v>20</v>
      </c>
      <c r="D65" s="53"/>
      <c r="E65" s="6"/>
      <c r="F65" s="19"/>
      <c r="G65" s="24" t="s">
        <v>2</v>
      </c>
      <c r="H65" s="24" t="s">
        <v>2</v>
      </c>
      <c r="I65" s="31"/>
      <c r="J65" s="35"/>
    </row>
    <row r="66" spans="1:10" x14ac:dyDescent="0.25">
      <c r="A66" s="28"/>
      <c r="B66" s="28"/>
      <c r="C66" s="58"/>
      <c r="D66" s="53"/>
      <c r="E66" s="6"/>
      <c r="F66" s="19"/>
      <c r="G66" s="24"/>
      <c r="H66" s="24"/>
      <c r="I66" s="31"/>
      <c r="J66" s="35"/>
    </row>
    <row r="67" spans="1:10" x14ac:dyDescent="0.25">
      <c r="A67" s="28"/>
      <c r="B67" s="28"/>
      <c r="C67" s="58" t="s">
        <v>21</v>
      </c>
      <c r="D67" s="53"/>
      <c r="E67" s="6"/>
      <c r="F67" s="19"/>
      <c r="G67" s="24" t="s">
        <v>2</v>
      </c>
      <c r="H67" s="24" t="s">
        <v>2</v>
      </c>
      <c r="I67" s="31"/>
      <c r="J67" s="35"/>
    </row>
    <row r="68" spans="1:10" x14ac:dyDescent="0.25">
      <c r="A68" s="28"/>
      <c r="B68" s="28"/>
      <c r="C68" s="58"/>
      <c r="D68" s="53"/>
      <c r="E68" s="6"/>
      <c r="F68" s="19"/>
      <c r="G68" s="24"/>
      <c r="H68" s="24"/>
      <c r="I68" s="31"/>
      <c r="J68" s="35"/>
    </row>
    <row r="69" spans="1:10" x14ac:dyDescent="0.25">
      <c r="C69" s="59" t="s">
        <v>22</v>
      </c>
      <c r="D69" s="53"/>
      <c r="E69" s="6"/>
      <c r="F69" s="19"/>
      <c r="G69" s="24"/>
      <c r="H69" s="24"/>
      <c r="I69" s="31"/>
      <c r="J69" s="35"/>
    </row>
    <row r="70" spans="1:10" x14ac:dyDescent="0.25">
      <c r="B70" s="8" t="s">
        <v>33</v>
      </c>
      <c r="C70" s="56" t="s">
        <v>34</v>
      </c>
      <c r="D70" s="53"/>
      <c r="E70" s="6"/>
      <c r="F70" s="19"/>
      <c r="G70" s="24">
        <v>145.80000000000001</v>
      </c>
      <c r="H70" s="24">
        <v>0.33</v>
      </c>
      <c r="I70" s="31"/>
      <c r="J70" s="35"/>
    </row>
    <row r="71" spans="1:10" x14ac:dyDescent="0.25">
      <c r="C71" s="57" t="s">
        <v>35</v>
      </c>
      <c r="D71" s="53"/>
      <c r="E71" s="6"/>
      <c r="F71" s="19"/>
      <c r="G71" s="25">
        <v>145.80000000000001</v>
      </c>
      <c r="H71" s="25">
        <v>0.33</v>
      </c>
      <c r="I71" s="31"/>
      <c r="J71" s="35"/>
    </row>
    <row r="72" spans="1:10" x14ac:dyDescent="0.25">
      <c r="C72" s="56"/>
      <c r="D72" s="53"/>
      <c r="E72" s="6"/>
      <c r="F72" s="19"/>
      <c r="G72" s="24"/>
      <c r="H72" s="24"/>
      <c r="I72" s="31"/>
      <c r="J72" s="35"/>
    </row>
    <row r="73" spans="1:10" x14ac:dyDescent="0.25">
      <c r="A73" s="10"/>
      <c r="B73" s="28"/>
      <c r="C73" s="58" t="s">
        <v>23</v>
      </c>
      <c r="D73" s="53"/>
      <c r="E73" s="6"/>
      <c r="F73" s="19"/>
      <c r="G73" s="24"/>
      <c r="H73" s="24"/>
      <c r="I73" s="31"/>
      <c r="J73" s="35"/>
    </row>
    <row r="74" spans="1:10" x14ac:dyDescent="0.25">
      <c r="A74" s="28"/>
      <c r="B74" s="28"/>
      <c r="C74" s="60" t="s">
        <v>3398</v>
      </c>
      <c r="D74" s="53"/>
      <c r="E74" s="6"/>
      <c r="F74" s="19"/>
      <c r="G74" s="24" t="s">
        <v>2</v>
      </c>
      <c r="H74" s="24" t="s">
        <v>2</v>
      </c>
      <c r="I74" s="31"/>
      <c r="J74" s="35"/>
    </row>
    <row r="75" spans="1:10" x14ac:dyDescent="0.25">
      <c r="B75" s="8"/>
      <c r="C75" s="56" t="s">
        <v>36</v>
      </c>
      <c r="D75" s="53"/>
      <c r="E75" s="6"/>
      <c r="F75" s="19"/>
      <c r="G75" s="24">
        <v>911.32</v>
      </c>
      <c r="H75" s="24">
        <v>2.08</v>
      </c>
      <c r="I75" s="31"/>
      <c r="J75" s="35"/>
    </row>
    <row r="76" spans="1:10" x14ac:dyDescent="0.25">
      <c r="C76" s="57" t="s">
        <v>35</v>
      </c>
      <c r="D76" s="53"/>
      <c r="E76" s="6"/>
      <c r="F76" s="19"/>
      <c r="G76" s="25">
        <v>911.32</v>
      </c>
      <c r="H76" s="25">
        <v>2.08</v>
      </c>
      <c r="I76" s="31"/>
      <c r="J76" s="35"/>
    </row>
    <row r="77" spans="1:10" x14ac:dyDescent="0.25">
      <c r="C77" s="56"/>
      <c r="D77" s="53"/>
      <c r="E77" s="6"/>
      <c r="F77" s="19"/>
      <c r="G77" s="24"/>
      <c r="H77" s="24"/>
      <c r="I77" s="31"/>
      <c r="J77" s="35"/>
    </row>
    <row r="78" spans="1:10" x14ac:dyDescent="0.25">
      <c r="C78" s="61" t="s">
        <v>37</v>
      </c>
      <c r="D78" s="54"/>
      <c r="E78" s="5"/>
      <c r="F78" s="20"/>
      <c r="G78" s="26">
        <v>43715.08</v>
      </c>
      <c r="H78" s="26">
        <f>SUMIFS(H:H,C:C,"Total")</f>
        <v>99.999999999999986</v>
      </c>
      <c r="I78" s="32"/>
      <c r="J78" s="36"/>
    </row>
    <row r="81" spans="3:3" x14ac:dyDescent="0.25">
      <c r="C81" s="1" t="s">
        <v>38</v>
      </c>
    </row>
    <row r="82" spans="3:3" x14ac:dyDescent="0.25">
      <c r="C82" s="2" t="s">
        <v>39</v>
      </c>
    </row>
    <row r="83" spans="3:3" x14ac:dyDescent="0.25">
      <c r="C83" s="2" t="s">
        <v>40</v>
      </c>
    </row>
    <row r="84" spans="3:3" x14ac:dyDescent="0.25">
      <c r="C84" s="2" t="s">
        <v>3430</v>
      </c>
    </row>
  </sheetData>
  <hyperlinks>
    <hyperlink ref="J2" location="'Index'!A1" display="'Index'!A1"/>
  </hyperlinks>
  <pageMargins left="0.7" right="0.7" top="0.75" bottom="0.75" header="0.3" footer="0.3"/>
  <pageSetup orientation="portrait" horizontalDpi="4294967293"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8"/>
  <dimension ref="A1:J8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2941</v>
      </c>
      <c r="J2" s="37" t="s">
        <v>3307</v>
      </c>
    </row>
    <row r="3" spans="1:10" ht="16.5" x14ac:dyDescent="0.3">
      <c r="C3" s="1" t="s">
        <v>24</v>
      </c>
      <c r="D3" s="21" t="s">
        <v>2942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2709</v>
      </c>
      <c r="C18" s="56" t="s">
        <v>2316</v>
      </c>
      <c r="D18" s="53" t="s">
        <v>2710</v>
      </c>
      <c r="E18" s="6" t="s">
        <v>534</v>
      </c>
      <c r="F18" s="19">
        <v>230</v>
      </c>
      <c r="G18" s="24">
        <v>2868.95</v>
      </c>
      <c r="H18" s="24">
        <v>9.83</v>
      </c>
      <c r="I18" s="31">
        <v>5.4550000000000001</v>
      </c>
      <c r="J18" s="35" t="s">
        <v>514</v>
      </c>
    </row>
    <row r="19" spans="2:10" x14ac:dyDescent="0.25">
      <c r="B19" s="8" t="s">
        <v>2692</v>
      </c>
      <c r="C19" s="56" t="s">
        <v>2421</v>
      </c>
      <c r="D19" s="53" t="s">
        <v>2693</v>
      </c>
      <c r="E19" s="6" t="s">
        <v>534</v>
      </c>
      <c r="F19" s="19">
        <v>230</v>
      </c>
      <c r="G19" s="24">
        <v>2858.19</v>
      </c>
      <c r="H19" s="24">
        <v>9.8000000000000007</v>
      </c>
      <c r="I19" s="31">
        <v>5.23</v>
      </c>
      <c r="J19" s="35" t="s">
        <v>514</v>
      </c>
    </row>
    <row r="20" spans="2:10" x14ac:dyDescent="0.25">
      <c r="B20" s="8" t="s">
        <v>2939</v>
      </c>
      <c r="C20" s="56" t="s">
        <v>1950</v>
      </c>
      <c r="D20" s="53" t="s">
        <v>2940</v>
      </c>
      <c r="E20" s="6" t="s">
        <v>1383</v>
      </c>
      <c r="F20" s="19">
        <v>240</v>
      </c>
      <c r="G20" s="24">
        <v>2849.48</v>
      </c>
      <c r="H20" s="24">
        <v>9.77</v>
      </c>
      <c r="I20" s="31">
        <v>5.7899000000000003</v>
      </c>
      <c r="J20" s="35" t="s">
        <v>514</v>
      </c>
    </row>
    <row r="21" spans="2:10" x14ac:dyDescent="0.25">
      <c r="B21" s="8" t="s">
        <v>2636</v>
      </c>
      <c r="C21" s="56" t="s">
        <v>1752</v>
      </c>
      <c r="D21" s="53" t="s">
        <v>2637</v>
      </c>
      <c r="E21" s="6" t="s">
        <v>1314</v>
      </c>
      <c r="F21" s="19">
        <v>250</v>
      </c>
      <c r="G21" s="24">
        <v>2637.94</v>
      </c>
      <c r="H21" s="24">
        <v>9.0399999999999991</v>
      </c>
      <c r="I21" s="31">
        <v>4.375</v>
      </c>
      <c r="J21" s="35" t="s">
        <v>514</v>
      </c>
    </row>
    <row r="22" spans="2:10" x14ac:dyDescent="0.25">
      <c r="B22" s="8" t="s">
        <v>1856</v>
      </c>
      <c r="C22" s="56" t="s">
        <v>1130</v>
      </c>
      <c r="D22" s="53" t="s">
        <v>1857</v>
      </c>
      <c r="E22" s="6" t="s">
        <v>911</v>
      </c>
      <c r="F22" s="19">
        <v>230</v>
      </c>
      <c r="G22" s="24">
        <v>2420.4299999999998</v>
      </c>
      <c r="H22" s="24">
        <v>8.3000000000000007</v>
      </c>
      <c r="I22" s="31">
        <v>4.45</v>
      </c>
      <c r="J22" s="35" t="s">
        <v>514</v>
      </c>
    </row>
    <row r="23" spans="2:10" x14ac:dyDescent="0.25">
      <c r="B23" s="8" t="s">
        <v>1394</v>
      </c>
      <c r="C23" s="56" t="s">
        <v>909</v>
      </c>
      <c r="D23" s="53" t="s">
        <v>1395</v>
      </c>
      <c r="E23" s="6" t="s">
        <v>534</v>
      </c>
      <c r="F23" s="19">
        <v>230</v>
      </c>
      <c r="G23" s="24">
        <v>2420.3200000000002</v>
      </c>
      <c r="H23" s="24">
        <v>8.2899999999999991</v>
      </c>
      <c r="I23" s="31">
        <v>4.4400000000000004</v>
      </c>
      <c r="J23" s="35" t="s">
        <v>514</v>
      </c>
    </row>
    <row r="24" spans="2:10" x14ac:dyDescent="0.25">
      <c r="B24" s="8" t="s">
        <v>2646</v>
      </c>
      <c r="C24" s="56" t="s">
        <v>53</v>
      </c>
      <c r="D24" s="53" t="s">
        <v>2647</v>
      </c>
      <c r="E24" s="6" t="s">
        <v>534</v>
      </c>
      <c r="F24" s="19">
        <v>230</v>
      </c>
      <c r="G24" s="24">
        <v>2416.6999999999998</v>
      </c>
      <c r="H24" s="24">
        <v>8.2799999999999994</v>
      </c>
      <c r="I24" s="31">
        <v>4.53</v>
      </c>
      <c r="J24" s="35"/>
    </row>
    <row r="25" spans="2:10" x14ac:dyDescent="0.25">
      <c r="B25" s="8" t="s">
        <v>2716</v>
      </c>
      <c r="C25" s="56" t="s">
        <v>1127</v>
      </c>
      <c r="D25" s="53" t="s">
        <v>2717</v>
      </c>
      <c r="E25" s="6" t="s">
        <v>534</v>
      </c>
      <c r="F25" s="19">
        <v>160</v>
      </c>
      <c r="G25" s="24">
        <v>1932.65</v>
      </c>
      <c r="H25" s="24">
        <v>6.62</v>
      </c>
      <c r="I25" s="31">
        <v>5.0199999999999996</v>
      </c>
      <c r="J25" s="35" t="s">
        <v>514</v>
      </c>
    </row>
    <row r="26" spans="2:10" x14ac:dyDescent="0.25">
      <c r="B26" s="8" t="s">
        <v>2652</v>
      </c>
      <c r="C26" s="56" t="s">
        <v>92</v>
      </c>
      <c r="D26" s="53" t="s">
        <v>2653</v>
      </c>
      <c r="E26" s="6" t="s">
        <v>534</v>
      </c>
      <c r="F26" s="19">
        <v>100</v>
      </c>
      <c r="G26" s="24">
        <v>1242.8599999999999</v>
      </c>
      <c r="H26" s="24">
        <v>4.26</v>
      </c>
      <c r="I26" s="31">
        <v>5.25</v>
      </c>
      <c r="J26" s="35" t="s">
        <v>514</v>
      </c>
    </row>
    <row r="27" spans="2:10" x14ac:dyDescent="0.25">
      <c r="B27" s="8" t="s">
        <v>2678</v>
      </c>
      <c r="C27" s="56" t="s">
        <v>2655</v>
      </c>
      <c r="D27" s="53" t="s">
        <v>2679</v>
      </c>
      <c r="E27" s="6" t="s">
        <v>534</v>
      </c>
      <c r="F27" s="19">
        <v>20</v>
      </c>
      <c r="G27" s="24">
        <v>206.72</v>
      </c>
      <c r="H27" s="24">
        <v>0.71</v>
      </c>
      <c r="I27" s="31">
        <v>4.28</v>
      </c>
      <c r="J27" s="35" t="s">
        <v>514</v>
      </c>
    </row>
    <row r="28" spans="2:10" x14ac:dyDescent="0.25">
      <c r="C28" s="57" t="s">
        <v>35</v>
      </c>
      <c r="D28" s="53"/>
      <c r="E28" s="6"/>
      <c r="F28" s="19"/>
      <c r="G28" s="25">
        <v>21854.240000000002</v>
      </c>
      <c r="H28" s="25">
        <v>74.900000000000006</v>
      </c>
      <c r="I28" s="31"/>
      <c r="J28" s="35"/>
    </row>
    <row r="29" spans="2:10" x14ac:dyDescent="0.25">
      <c r="C29" s="56"/>
      <c r="D29" s="53"/>
      <c r="E29" s="6"/>
      <c r="F29" s="19"/>
      <c r="G29" s="24"/>
      <c r="H29" s="24"/>
      <c r="I29" s="31"/>
      <c r="J29" s="35"/>
    </row>
    <row r="30" spans="2:10" x14ac:dyDescent="0.25">
      <c r="C30" s="57" t="s">
        <v>7</v>
      </c>
      <c r="D30" s="53"/>
      <c r="E30" s="6"/>
      <c r="F30" s="19"/>
      <c r="G30" s="24" t="s">
        <v>2</v>
      </c>
      <c r="H30" s="24" t="s">
        <v>2</v>
      </c>
      <c r="I30" s="31"/>
      <c r="J30" s="35"/>
    </row>
    <row r="31" spans="2:10" x14ac:dyDescent="0.25">
      <c r="C31" s="56"/>
      <c r="D31" s="53"/>
      <c r="E31" s="6"/>
      <c r="F31" s="19"/>
      <c r="G31" s="24"/>
      <c r="H31" s="24"/>
      <c r="I31" s="31"/>
      <c r="J31" s="35"/>
    </row>
    <row r="32" spans="2:10" x14ac:dyDescent="0.25">
      <c r="C32" s="57" t="s">
        <v>8</v>
      </c>
      <c r="D32" s="53"/>
      <c r="E32" s="6"/>
      <c r="F32" s="19"/>
      <c r="G32" s="24" t="s">
        <v>2</v>
      </c>
      <c r="H32" s="24" t="s">
        <v>2</v>
      </c>
      <c r="I32" s="31"/>
      <c r="J32" s="35"/>
    </row>
    <row r="33" spans="1:10" x14ac:dyDescent="0.25">
      <c r="C33" s="56"/>
      <c r="D33" s="53"/>
      <c r="E33" s="6"/>
      <c r="F33" s="19"/>
      <c r="G33" s="24"/>
      <c r="H33" s="24"/>
      <c r="I33" s="31"/>
      <c r="J33" s="35"/>
    </row>
    <row r="34" spans="1:10" x14ac:dyDescent="0.25">
      <c r="C34" s="57" t="s">
        <v>9</v>
      </c>
      <c r="D34" s="53"/>
      <c r="E34" s="6"/>
      <c r="F34" s="19"/>
      <c r="G34" s="24" t="s">
        <v>2</v>
      </c>
      <c r="H34" s="24" t="s">
        <v>2</v>
      </c>
      <c r="I34" s="31"/>
      <c r="J34" s="35"/>
    </row>
    <row r="35" spans="1:10" x14ac:dyDescent="0.25">
      <c r="C35" s="56"/>
      <c r="D35" s="53"/>
      <c r="E35" s="6"/>
      <c r="F35" s="19"/>
      <c r="G35" s="24"/>
      <c r="H35" s="24"/>
      <c r="I35" s="31"/>
      <c r="J35" s="35"/>
    </row>
    <row r="36" spans="1:10" x14ac:dyDescent="0.25">
      <c r="C36" s="59" t="s">
        <v>10</v>
      </c>
      <c r="D36" s="53"/>
      <c r="E36" s="6"/>
      <c r="F36" s="19"/>
      <c r="G36" s="24"/>
      <c r="H36" s="24"/>
      <c r="I36" s="31"/>
      <c r="J36" s="35"/>
    </row>
    <row r="37" spans="1:10" x14ac:dyDescent="0.25">
      <c r="B37" s="8" t="s">
        <v>2730</v>
      </c>
      <c r="C37" s="56" t="s">
        <v>2731</v>
      </c>
      <c r="D37" s="53" t="s">
        <v>2732</v>
      </c>
      <c r="E37" s="6" t="s">
        <v>655</v>
      </c>
      <c r="F37" s="19">
        <v>5000000</v>
      </c>
      <c r="G37" s="24">
        <v>5256.81</v>
      </c>
      <c r="H37" s="24">
        <v>18.02</v>
      </c>
      <c r="I37" s="31">
        <v>4.6954000000000002</v>
      </c>
      <c r="J37" s="35"/>
    </row>
    <row r="38" spans="1:10" x14ac:dyDescent="0.25">
      <c r="B38" s="8" t="s">
        <v>2663</v>
      </c>
      <c r="C38" s="56" t="s">
        <v>2664</v>
      </c>
      <c r="D38" s="53" t="s">
        <v>2665</v>
      </c>
      <c r="E38" s="6" t="s">
        <v>655</v>
      </c>
      <c r="F38" s="19">
        <v>200000</v>
      </c>
      <c r="G38" s="24">
        <v>211.74</v>
      </c>
      <c r="H38" s="24">
        <v>0.73</v>
      </c>
      <c r="I38" s="31">
        <v>4.3513000000000002</v>
      </c>
      <c r="J38" s="35"/>
    </row>
    <row r="39" spans="1:10" x14ac:dyDescent="0.25">
      <c r="C39" s="57" t="s">
        <v>35</v>
      </c>
      <c r="D39" s="53"/>
      <c r="E39" s="6"/>
      <c r="F39" s="19"/>
      <c r="G39" s="25">
        <v>5468.55</v>
      </c>
      <c r="H39" s="25">
        <v>18.75</v>
      </c>
      <c r="I39" s="31"/>
      <c r="J39" s="35"/>
    </row>
    <row r="40" spans="1:10" x14ac:dyDescent="0.25">
      <c r="C40" s="56"/>
      <c r="D40" s="53"/>
      <c r="E40" s="6"/>
      <c r="F40" s="19"/>
      <c r="G40" s="24"/>
      <c r="H40" s="24"/>
      <c r="I40" s="31"/>
      <c r="J40" s="35"/>
    </row>
    <row r="41" spans="1:10" x14ac:dyDescent="0.25">
      <c r="A41" s="10"/>
      <c r="B41" s="28"/>
      <c r="C41" s="58" t="s">
        <v>11</v>
      </c>
      <c r="D41" s="53"/>
      <c r="E41" s="6"/>
      <c r="F41" s="19"/>
      <c r="G41" s="24"/>
      <c r="H41" s="24"/>
      <c r="I41" s="31"/>
      <c r="J41" s="35"/>
    </row>
    <row r="42" spans="1:10" x14ac:dyDescent="0.25">
      <c r="A42" s="28"/>
      <c r="B42" s="28"/>
      <c r="C42" s="58" t="s">
        <v>13</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C44" s="59" t="s">
        <v>14</v>
      </c>
      <c r="D44" s="53"/>
      <c r="E44" s="6"/>
      <c r="F44" s="19"/>
      <c r="G44" s="24"/>
      <c r="H44" s="24"/>
      <c r="I44" s="31"/>
      <c r="J44" s="35"/>
    </row>
    <row r="45" spans="1:10" x14ac:dyDescent="0.25">
      <c r="B45" s="8" t="s">
        <v>2480</v>
      </c>
      <c r="C45" s="56" t="s">
        <v>872</v>
      </c>
      <c r="D45" s="53" t="s">
        <v>2481</v>
      </c>
      <c r="E45" s="6" t="s">
        <v>992</v>
      </c>
      <c r="F45" s="19">
        <v>600</v>
      </c>
      <c r="G45" s="24">
        <v>592.95000000000005</v>
      </c>
      <c r="H45" s="24">
        <v>2.0299999999999998</v>
      </c>
      <c r="I45" s="31">
        <v>4.2149999999999999</v>
      </c>
      <c r="J45" s="35" t="s">
        <v>514</v>
      </c>
    </row>
    <row r="46" spans="1:10" x14ac:dyDescent="0.25">
      <c r="B46" s="8" t="s">
        <v>1225</v>
      </c>
      <c r="C46" s="56" t="s">
        <v>818</v>
      </c>
      <c r="D46" s="53" t="s">
        <v>1226</v>
      </c>
      <c r="E46" s="6" t="s">
        <v>1000</v>
      </c>
      <c r="F46" s="19">
        <v>300</v>
      </c>
      <c r="G46" s="24">
        <v>295.48</v>
      </c>
      <c r="H46" s="24">
        <v>1.01</v>
      </c>
      <c r="I46" s="31">
        <v>3.5150000000000001</v>
      </c>
      <c r="J46" s="35" t="s">
        <v>514</v>
      </c>
    </row>
    <row r="47" spans="1:10" x14ac:dyDescent="0.25">
      <c r="B47" s="8" t="s">
        <v>1232</v>
      </c>
      <c r="C47" s="56" t="s">
        <v>818</v>
      </c>
      <c r="D47" s="53" t="s">
        <v>1233</v>
      </c>
      <c r="E47" s="6" t="s">
        <v>1000</v>
      </c>
      <c r="F47" s="19">
        <v>100</v>
      </c>
      <c r="G47" s="24">
        <v>97.3</v>
      </c>
      <c r="H47" s="24">
        <v>0.33</v>
      </c>
      <c r="I47" s="31">
        <v>3.83</v>
      </c>
      <c r="J47" s="35" t="s">
        <v>514</v>
      </c>
    </row>
    <row r="48" spans="1:10" x14ac:dyDescent="0.25">
      <c r="C48" s="57" t="s">
        <v>35</v>
      </c>
      <c r="D48" s="53"/>
      <c r="E48" s="6"/>
      <c r="F48" s="19"/>
      <c r="G48" s="25">
        <v>985.73</v>
      </c>
      <c r="H48" s="25">
        <v>3.37</v>
      </c>
      <c r="I48" s="31"/>
      <c r="J48" s="35"/>
    </row>
    <row r="49" spans="1:10" x14ac:dyDescent="0.25">
      <c r="C49" s="56"/>
      <c r="D49" s="53"/>
      <c r="E49" s="6"/>
      <c r="F49" s="19"/>
      <c r="G49" s="24"/>
      <c r="H49" s="24"/>
      <c r="I49" s="31"/>
      <c r="J49" s="35"/>
    </row>
    <row r="50" spans="1:10" x14ac:dyDescent="0.25">
      <c r="C50" s="59" t="s">
        <v>15</v>
      </c>
      <c r="D50" s="53"/>
      <c r="E50" s="6"/>
      <c r="F50" s="19"/>
      <c r="G50" s="24"/>
      <c r="H50" s="24"/>
      <c r="I50" s="31"/>
      <c r="J50" s="35"/>
    </row>
    <row r="51" spans="1:10" x14ac:dyDescent="0.25">
      <c r="B51" s="8" t="s">
        <v>2599</v>
      </c>
      <c r="C51" s="56" t="s">
        <v>2600</v>
      </c>
      <c r="D51" s="53" t="s">
        <v>2601</v>
      </c>
      <c r="E51" s="6" t="s">
        <v>655</v>
      </c>
      <c r="F51" s="19">
        <v>200000</v>
      </c>
      <c r="G51" s="24">
        <v>193.24</v>
      </c>
      <c r="H51" s="24">
        <v>0.66</v>
      </c>
      <c r="I51" s="31">
        <v>3.65</v>
      </c>
      <c r="J51" s="35"/>
    </row>
    <row r="52" spans="1:10" x14ac:dyDescent="0.25">
      <c r="C52" s="57" t="s">
        <v>35</v>
      </c>
      <c r="D52" s="53"/>
      <c r="E52" s="6"/>
      <c r="F52" s="19"/>
      <c r="G52" s="25">
        <v>193.24</v>
      </c>
      <c r="H52" s="25">
        <v>0.66</v>
      </c>
      <c r="I52" s="31"/>
      <c r="J52" s="35"/>
    </row>
    <row r="53" spans="1:10" x14ac:dyDescent="0.25">
      <c r="C53" s="56"/>
      <c r="D53" s="53"/>
      <c r="E53" s="6"/>
      <c r="F53" s="19"/>
      <c r="G53" s="24"/>
      <c r="H53" s="24"/>
      <c r="I53" s="31"/>
      <c r="J53" s="35"/>
    </row>
    <row r="54" spans="1:10" x14ac:dyDescent="0.25">
      <c r="C54" s="57" t="s">
        <v>16</v>
      </c>
      <c r="D54" s="53"/>
      <c r="E54" s="6"/>
      <c r="F54" s="19"/>
      <c r="G54" s="24" t="s">
        <v>2</v>
      </c>
      <c r="H54" s="24" t="s">
        <v>2</v>
      </c>
      <c r="I54" s="31"/>
      <c r="J54" s="35"/>
    </row>
    <row r="55" spans="1:10" x14ac:dyDescent="0.25">
      <c r="C55" s="56"/>
      <c r="D55" s="53"/>
      <c r="E55" s="6"/>
      <c r="F55" s="19"/>
      <c r="G55" s="24"/>
      <c r="H55" s="24"/>
      <c r="I55" s="31"/>
      <c r="J55" s="35"/>
    </row>
    <row r="56" spans="1:10" x14ac:dyDescent="0.25">
      <c r="A56" s="10"/>
      <c r="B56" s="28"/>
      <c r="C56" s="58" t="s">
        <v>17</v>
      </c>
      <c r="D56" s="53"/>
      <c r="E56" s="6"/>
      <c r="F56" s="19"/>
      <c r="G56" s="24"/>
      <c r="H56" s="24"/>
      <c r="I56" s="31"/>
      <c r="J56" s="35"/>
    </row>
    <row r="57" spans="1:10" x14ac:dyDescent="0.25">
      <c r="A57" s="28"/>
      <c r="B57" s="28"/>
      <c r="C57" s="58" t="s">
        <v>18</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19</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20</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21</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C65" s="59" t="s">
        <v>22</v>
      </c>
      <c r="D65" s="53"/>
      <c r="E65" s="6"/>
      <c r="F65" s="19"/>
      <c r="G65" s="24"/>
      <c r="H65" s="24"/>
      <c r="I65" s="31"/>
      <c r="J65" s="35"/>
    </row>
    <row r="66" spans="1:10" x14ac:dyDescent="0.25">
      <c r="B66" s="8" t="s">
        <v>33</v>
      </c>
      <c r="C66" s="56" t="s">
        <v>34</v>
      </c>
      <c r="D66" s="53"/>
      <c r="E66" s="6"/>
      <c r="F66" s="19"/>
      <c r="G66" s="24">
        <v>101.82</v>
      </c>
      <c r="H66" s="24">
        <v>0.35</v>
      </c>
      <c r="I66" s="31"/>
      <c r="J66" s="35"/>
    </row>
    <row r="67" spans="1:10" x14ac:dyDescent="0.25">
      <c r="C67" s="57" t="s">
        <v>35</v>
      </c>
      <c r="D67" s="53"/>
      <c r="E67" s="6"/>
      <c r="F67" s="19"/>
      <c r="G67" s="25">
        <v>101.82</v>
      </c>
      <c r="H67" s="25">
        <v>0.35</v>
      </c>
      <c r="I67" s="31"/>
      <c r="J67" s="35"/>
    </row>
    <row r="68" spans="1:10" x14ac:dyDescent="0.25">
      <c r="C68" s="56"/>
      <c r="D68" s="53"/>
      <c r="E68" s="6"/>
      <c r="F68" s="19"/>
      <c r="G68" s="24"/>
      <c r="H68" s="24"/>
      <c r="I68" s="31"/>
      <c r="J68" s="35"/>
    </row>
    <row r="69" spans="1:10" x14ac:dyDescent="0.25">
      <c r="A69" s="10"/>
      <c r="B69" s="28"/>
      <c r="C69" s="58" t="s">
        <v>23</v>
      </c>
      <c r="D69" s="53"/>
      <c r="E69" s="6"/>
      <c r="F69" s="19"/>
      <c r="G69" s="24"/>
      <c r="H69" s="24"/>
      <c r="I69" s="31"/>
      <c r="J69" s="35"/>
    </row>
    <row r="70" spans="1:10" x14ac:dyDescent="0.25">
      <c r="A70" s="28"/>
      <c r="B70" s="28"/>
      <c r="C70" s="60" t="s">
        <v>3398</v>
      </c>
      <c r="D70" s="53"/>
      <c r="E70" s="6"/>
      <c r="F70" s="19"/>
      <c r="G70" s="24" t="s">
        <v>2</v>
      </c>
      <c r="H70" s="24" t="s">
        <v>2</v>
      </c>
      <c r="I70" s="31"/>
      <c r="J70" s="35"/>
    </row>
    <row r="71" spans="1:10" x14ac:dyDescent="0.25">
      <c r="B71" s="8"/>
      <c r="C71" s="56" t="s">
        <v>36</v>
      </c>
      <c r="D71" s="53"/>
      <c r="E71" s="6"/>
      <c r="F71" s="19"/>
      <c r="G71" s="24">
        <v>575.16999999999996</v>
      </c>
      <c r="H71" s="24">
        <v>1.97</v>
      </c>
      <c r="I71" s="31"/>
      <c r="J71" s="35"/>
    </row>
    <row r="72" spans="1:10" x14ac:dyDescent="0.25">
      <c r="C72" s="57" t="s">
        <v>35</v>
      </c>
      <c r="D72" s="53"/>
      <c r="E72" s="6"/>
      <c r="F72" s="19"/>
      <c r="G72" s="25">
        <v>575.16999999999996</v>
      </c>
      <c r="H72" s="25">
        <v>1.97</v>
      </c>
      <c r="I72" s="31"/>
      <c r="J72" s="35"/>
    </row>
    <row r="73" spans="1:10" x14ac:dyDescent="0.25">
      <c r="C73" s="56"/>
      <c r="D73" s="53"/>
      <c r="E73" s="6"/>
      <c r="F73" s="19"/>
      <c r="G73" s="24"/>
      <c r="H73" s="24"/>
      <c r="I73" s="31"/>
      <c r="J73" s="35"/>
    </row>
    <row r="74" spans="1:10" x14ac:dyDescent="0.25">
      <c r="C74" s="61" t="s">
        <v>37</v>
      </c>
      <c r="D74" s="54"/>
      <c r="E74" s="5"/>
      <c r="F74" s="20"/>
      <c r="G74" s="26">
        <v>29178.75</v>
      </c>
      <c r="H74" s="26">
        <f>SUMIFS(H:H,C:C,"Total")</f>
        <v>100</v>
      </c>
      <c r="I74" s="32"/>
      <c r="J74" s="36"/>
    </row>
    <row r="77" spans="1:10" x14ac:dyDescent="0.25">
      <c r="C77" s="1" t="s">
        <v>38</v>
      </c>
    </row>
    <row r="78" spans="1:10" x14ac:dyDescent="0.25">
      <c r="C78" s="2" t="s">
        <v>39</v>
      </c>
    </row>
    <row r="79" spans="1:10" x14ac:dyDescent="0.25">
      <c r="C79" s="2" t="s">
        <v>40</v>
      </c>
    </row>
    <row r="80" spans="1:10" x14ac:dyDescent="0.25">
      <c r="C80" s="2" t="s">
        <v>3430</v>
      </c>
    </row>
  </sheetData>
  <hyperlinks>
    <hyperlink ref="J2" location="'Index'!A1" display="'Index'!A1"/>
  </hyperlinks>
  <pageMargins left="0.7" right="0.7" top="0.75" bottom="0.75" header="0.3" footer="0.3"/>
  <pageSetup orientation="portrait" horizontalDpi="4294967293"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9"/>
  <dimension ref="A1:J122"/>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2943</v>
      </c>
      <c r="J2" s="37" t="s">
        <v>3307</v>
      </c>
    </row>
    <row r="3" spans="1:10" ht="16.5" x14ac:dyDescent="0.3">
      <c r="C3" s="1" t="s">
        <v>24</v>
      </c>
      <c r="D3" s="21" t="s">
        <v>2944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1365</v>
      </c>
      <c r="G10" s="24">
        <v>41.6</v>
      </c>
      <c r="H10" s="24">
        <v>0.77</v>
      </c>
      <c r="I10" s="31"/>
      <c r="J10" s="35"/>
    </row>
    <row r="11" spans="1:10" x14ac:dyDescent="0.25">
      <c r="B11" s="8" t="s">
        <v>143</v>
      </c>
      <c r="C11" s="56" t="s">
        <v>144</v>
      </c>
      <c r="D11" s="53" t="s">
        <v>145</v>
      </c>
      <c r="E11" s="6" t="s">
        <v>146</v>
      </c>
      <c r="F11" s="19">
        <v>1596</v>
      </c>
      <c r="G11" s="24">
        <v>35.159999999999997</v>
      </c>
      <c r="H11" s="24">
        <v>0.65</v>
      </c>
      <c r="I11" s="31"/>
      <c r="J11" s="35"/>
    </row>
    <row r="12" spans="1:10" x14ac:dyDescent="0.25">
      <c r="B12" s="8" t="s">
        <v>868</v>
      </c>
      <c r="C12" s="56" t="s">
        <v>869</v>
      </c>
      <c r="D12" s="53" t="s">
        <v>870</v>
      </c>
      <c r="E12" s="6" t="s">
        <v>94</v>
      </c>
      <c r="F12" s="19">
        <v>4179</v>
      </c>
      <c r="G12" s="24">
        <v>33.909999999999997</v>
      </c>
      <c r="H12" s="24">
        <v>0.63</v>
      </c>
      <c r="I12" s="31"/>
      <c r="J12" s="35"/>
    </row>
    <row r="13" spans="1:10" x14ac:dyDescent="0.25">
      <c r="B13" s="8" t="s">
        <v>1576</v>
      </c>
      <c r="C13" s="56" t="s">
        <v>1577</v>
      </c>
      <c r="D13" s="53" t="s">
        <v>1578</v>
      </c>
      <c r="E13" s="6" t="s">
        <v>90</v>
      </c>
      <c r="F13" s="19">
        <v>6059</v>
      </c>
      <c r="G13" s="24">
        <v>30.93</v>
      </c>
      <c r="H13" s="24">
        <v>0.56999999999999995</v>
      </c>
      <c r="I13" s="31"/>
      <c r="J13" s="35"/>
    </row>
    <row r="14" spans="1:10" x14ac:dyDescent="0.25">
      <c r="B14" s="8" t="s">
        <v>1579</v>
      </c>
      <c r="C14" s="56" t="s">
        <v>1580</v>
      </c>
      <c r="D14" s="53" t="s">
        <v>1581</v>
      </c>
      <c r="E14" s="6" t="s">
        <v>90</v>
      </c>
      <c r="F14" s="19">
        <v>4053</v>
      </c>
      <c r="G14" s="24">
        <v>29.38</v>
      </c>
      <c r="H14" s="24">
        <v>0.55000000000000004</v>
      </c>
      <c r="I14" s="31"/>
      <c r="J14" s="35"/>
    </row>
    <row r="15" spans="1:10" x14ac:dyDescent="0.25">
      <c r="B15" s="8" t="s">
        <v>115</v>
      </c>
      <c r="C15" s="56" t="s">
        <v>116</v>
      </c>
      <c r="D15" s="53" t="s">
        <v>117</v>
      </c>
      <c r="E15" s="6" t="s">
        <v>94</v>
      </c>
      <c r="F15" s="19">
        <v>2143</v>
      </c>
      <c r="G15" s="24">
        <v>27.85</v>
      </c>
      <c r="H15" s="24">
        <v>0.52</v>
      </c>
      <c r="I15" s="31"/>
      <c r="J15" s="35"/>
    </row>
    <row r="16" spans="1:10" x14ac:dyDescent="0.25">
      <c r="B16" s="8" t="s">
        <v>130</v>
      </c>
      <c r="C16" s="56" t="s">
        <v>131</v>
      </c>
      <c r="D16" s="53" t="s">
        <v>132</v>
      </c>
      <c r="E16" s="6" t="s">
        <v>47</v>
      </c>
      <c r="F16" s="19">
        <v>748</v>
      </c>
      <c r="G16" s="24">
        <v>27.19</v>
      </c>
      <c r="H16" s="24">
        <v>0.5</v>
      </c>
      <c r="I16" s="31"/>
      <c r="J16" s="35"/>
    </row>
    <row r="17" spans="2:10" x14ac:dyDescent="0.25">
      <c r="B17" s="8" t="s">
        <v>158</v>
      </c>
      <c r="C17" s="56" t="s">
        <v>159</v>
      </c>
      <c r="D17" s="53" t="s">
        <v>160</v>
      </c>
      <c r="E17" s="6" t="s">
        <v>111</v>
      </c>
      <c r="F17" s="19">
        <v>2573</v>
      </c>
      <c r="G17" s="24">
        <v>25.92</v>
      </c>
      <c r="H17" s="24">
        <v>0.48</v>
      </c>
      <c r="I17" s="31"/>
      <c r="J17" s="35"/>
    </row>
    <row r="18" spans="2:10" x14ac:dyDescent="0.25">
      <c r="B18" s="8" t="s">
        <v>769</v>
      </c>
      <c r="C18" s="56" t="s">
        <v>770</v>
      </c>
      <c r="D18" s="53" t="s">
        <v>771</v>
      </c>
      <c r="E18" s="6" t="s">
        <v>111</v>
      </c>
      <c r="F18" s="19">
        <v>3014</v>
      </c>
      <c r="G18" s="24">
        <v>24.01</v>
      </c>
      <c r="H18" s="24">
        <v>0.45</v>
      </c>
      <c r="I18" s="31"/>
      <c r="J18" s="35"/>
    </row>
    <row r="19" spans="2:10" x14ac:dyDescent="0.25">
      <c r="B19" s="8" t="s">
        <v>1582</v>
      </c>
      <c r="C19" s="56" t="s">
        <v>1583</v>
      </c>
      <c r="D19" s="53" t="s">
        <v>1584</v>
      </c>
      <c r="E19" s="6" t="s">
        <v>195</v>
      </c>
      <c r="F19" s="19">
        <v>1633</v>
      </c>
      <c r="G19" s="24">
        <v>23.42</v>
      </c>
      <c r="H19" s="24">
        <v>0.43</v>
      </c>
      <c r="I19" s="31"/>
      <c r="J19" s="35"/>
    </row>
    <row r="20" spans="2:10" x14ac:dyDescent="0.25">
      <c r="B20" s="8" t="s">
        <v>439</v>
      </c>
      <c r="C20" s="56" t="s">
        <v>440</v>
      </c>
      <c r="D20" s="53" t="s">
        <v>441</v>
      </c>
      <c r="E20" s="6" t="s">
        <v>111</v>
      </c>
      <c r="F20" s="19">
        <v>4758</v>
      </c>
      <c r="G20" s="24">
        <v>21.3</v>
      </c>
      <c r="H20" s="24">
        <v>0.4</v>
      </c>
      <c r="I20" s="31"/>
      <c r="J20" s="35"/>
    </row>
    <row r="21" spans="2:10" x14ac:dyDescent="0.25">
      <c r="B21" s="8" t="s">
        <v>87</v>
      </c>
      <c r="C21" s="56" t="s">
        <v>88</v>
      </c>
      <c r="D21" s="53" t="s">
        <v>89</v>
      </c>
      <c r="E21" s="6" t="s">
        <v>90</v>
      </c>
      <c r="F21" s="19">
        <v>1428</v>
      </c>
      <c r="G21" s="24">
        <v>20.47</v>
      </c>
      <c r="H21" s="24">
        <v>0.38</v>
      </c>
      <c r="I21" s="31"/>
      <c r="J21" s="35"/>
    </row>
    <row r="22" spans="2:10" x14ac:dyDescent="0.25">
      <c r="B22" s="8" t="s">
        <v>398</v>
      </c>
      <c r="C22" s="56" t="s">
        <v>399</v>
      </c>
      <c r="D22" s="53" t="s">
        <v>400</v>
      </c>
      <c r="E22" s="6" t="s">
        <v>90</v>
      </c>
      <c r="F22" s="19">
        <v>5534</v>
      </c>
      <c r="G22" s="24">
        <v>20.09</v>
      </c>
      <c r="H22" s="24">
        <v>0.37</v>
      </c>
      <c r="I22" s="31"/>
      <c r="J22" s="35"/>
    </row>
    <row r="23" spans="2:10" x14ac:dyDescent="0.25">
      <c r="B23" s="8" t="s">
        <v>1585</v>
      </c>
      <c r="C23" s="56" t="s">
        <v>1586</v>
      </c>
      <c r="D23" s="53" t="s">
        <v>1587</v>
      </c>
      <c r="E23" s="6" t="s">
        <v>83</v>
      </c>
      <c r="F23" s="19">
        <v>2683</v>
      </c>
      <c r="G23" s="24">
        <v>18.190000000000001</v>
      </c>
      <c r="H23" s="24">
        <v>0.34</v>
      </c>
      <c r="I23" s="31"/>
      <c r="J23" s="35"/>
    </row>
    <row r="24" spans="2:10" x14ac:dyDescent="0.25">
      <c r="B24" s="8" t="s">
        <v>1354</v>
      </c>
      <c r="C24" s="56" t="s">
        <v>1355</v>
      </c>
      <c r="D24" s="53" t="s">
        <v>1356</v>
      </c>
      <c r="E24" s="6" t="s">
        <v>826</v>
      </c>
      <c r="F24" s="19">
        <v>8036</v>
      </c>
      <c r="G24" s="24">
        <v>17.73</v>
      </c>
      <c r="H24" s="24">
        <v>0.33</v>
      </c>
      <c r="I24" s="31"/>
      <c r="J24" s="35"/>
    </row>
    <row r="25" spans="2:10" x14ac:dyDescent="0.25">
      <c r="B25" s="8" t="s">
        <v>324</v>
      </c>
      <c r="C25" s="56" t="s">
        <v>325</v>
      </c>
      <c r="D25" s="53" t="s">
        <v>326</v>
      </c>
      <c r="E25" s="6" t="s">
        <v>41</v>
      </c>
      <c r="F25" s="19">
        <v>7872</v>
      </c>
      <c r="G25" s="24">
        <v>17.079999999999998</v>
      </c>
      <c r="H25" s="24">
        <v>0.32</v>
      </c>
      <c r="I25" s="31"/>
      <c r="J25" s="35"/>
    </row>
    <row r="26" spans="2:10" x14ac:dyDescent="0.25">
      <c r="B26" s="8" t="s">
        <v>442</v>
      </c>
      <c r="C26" s="56" t="s">
        <v>443</v>
      </c>
      <c r="D26" s="53" t="s">
        <v>444</v>
      </c>
      <c r="E26" s="6" t="s">
        <v>90</v>
      </c>
      <c r="F26" s="19">
        <v>3192</v>
      </c>
      <c r="G26" s="24">
        <v>16.47</v>
      </c>
      <c r="H26" s="24">
        <v>0.31</v>
      </c>
      <c r="I26" s="31"/>
      <c r="J26" s="35"/>
    </row>
    <row r="27" spans="2:10" x14ac:dyDescent="0.25">
      <c r="B27" s="8" t="s">
        <v>161</v>
      </c>
      <c r="C27" s="56" t="s">
        <v>162</v>
      </c>
      <c r="D27" s="53" t="s">
        <v>163</v>
      </c>
      <c r="E27" s="6" t="s">
        <v>94</v>
      </c>
      <c r="F27" s="19">
        <v>3846</v>
      </c>
      <c r="G27" s="24">
        <v>16.190000000000001</v>
      </c>
      <c r="H27" s="24">
        <v>0.3</v>
      </c>
      <c r="I27" s="31"/>
      <c r="J27" s="35"/>
    </row>
    <row r="28" spans="2:10" x14ac:dyDescent="0.25">
      <c r="B28" s="8" t="s">
        <v>1592</v>
      </c>
      <c r="C28" s="56" t="s">
        <v>1593</v>
      </c>
      <c r="D28" s="53" t="s">
        <v>1594</v>
      </c>
      <c r="E28" s="6" t="s">
        <v>90</v>
      </c>
      <c r="F28" s="19">
        <v>2602</v>
      </c>
      <c r="G28" s="24">
        <v>15.19</v>
      </c>
      <c r="H28" s="24">
        <v>0.28000000000000003</v>
      </c>
      <c r="I28" s="31"/>
      <c r="J28" s="35"/>
    </row>
    <row r="29" spans="2:10" x14ac:dyDescent="0.25">
      <c r="B29" s="8" t="s">
        <v>1595</v>
      </c>
      <c r="C29" s="56" t="s">
        <v>1596</v>
      </c>
      <c r="D29" s="53" t="s">
        <v>1597</v>
      </c>
      <c r="E29" s="6" t="s">
        <v>94</v>
      </c>
      <c r="F29" s="19">
        <v>1208</v>
      </c>
      <c r="G29" s="24">
        <v>15.14</v>
      </c>
      <c r="H29" s="24">
        <v>0.28000000000000003</v>
      </c>
      <c r="I29" s="31"/>
      <c r="J29" s="35"/>
    </row>
    <row r="30" spans="2:10" x14ac:dyDescent="0.25">
      <c r="B30" s="8" t="s">
        <v>1598</v>
      </c>
      <c r="C30" s="56" t="s">
        <v>1599</v>
      </c>
      <c r="D30" s="53" t="s">
        <v>1600</v>
      </c>
      <c r="E30" s="6" t="s">
        <v>196</v>
      </c>
      <c r="F30" s="19">
        <v>12858</v>
      </c>
      <c r="G30" s="24">
        <v>14.77</v>
      </c>
      <c r="H30" s="24">
        <v>0.27</v>
      </c>
      <c r="I30" s="31"/>
      <c r="J30" s="35"/>
    </row>
    <row r="31" spans="2:10" x14ac:dyDescent="0.25">
      <c r="B31" s="8" t="s">
        <v>177</v>
      </c>
      <c r="C31" s="56" t="s">
        <v>178</v>
      </c>
      <c r="D31" s="53" t="s">
        <v>179</v>
      </c>
      <c r="E31" s="6" t="s">
        <v>111</v>
      </c>
      <c r="F31" s="19">
        <v>526</v>
      </c>
      <c r="G31" s="24">
        <v>14.73</v>
      </c>
      <c r="H31" s="24">
        <v>0.27</v>
      </c>
      <c r="I31" s="31"/>
      <c r="J31" s="35"/>
    </row>
    <row r="32" spans="2:10" x14ac:dyDescent="0.25">
      <c r="B32" s="8" t="s">
        <v>1601</v>
      </c>
      <c r="C32" s="56" t="s">
        <v>1602</v>
      </c>
      <c r="D32" s="53" t="s">
        <v>1603</v>
      </c>
      <c r="E32" s="6" t="s">
        <v>826</v>
      </c>
      <c r="F32" s="19">
        <v>3750</v>
      </c>
      <c r="G32" s="24">
        <v>14.51</v>
      </c>
      <c r="H32" s="24">
        <v>0.27</v>
      </c>
      <c r="I32" s="31"/>
      <c r="J32" s="35"/>
    </row>
    <row r="33" spans="2:10" x14ac:dyDescent="0.25">
      <c r="B33" s="8" t="s">
        <v>805</v>
      </c>
      <c r="C33" s="56" t="s">
        <v>806</v>
      </c>
      <c r="D33" s="53" t="s">
        <v>807</v>
      </c>
      <c r="E33" s="6" t="s">
        <v>55</v>
      </c>
      <c r="F33" s="19">
        <v>8001</v>
      </c>
      <c r="G33" s="24">
        <v>14.45</v>
      </c>
      <c r="H33" s="24">
        <v>0.27</v>
      </c>
      <c r="I33" s="31"/>
      <c r="J33" s="35"/>
    </row>
    <row r="34" spans="2:10" x14ac:dyDescent="0.25">
      <c r="B34" s="8" t="s">
        <v>1604</v>
      </c>
      <c r="C34" s="56" t="s">
        <v>1605</v>
      </c>
      <c r="D34" s="53" t="s">
        <v>1606</v>
      </c>
      <c r="E34" s="6" t="s">
        <v>94</v>
      </c>
      <c r="F34" s="19">
        <v>593</v>
      </c>
      <c r="G34" s="24">
        <v>13.46</v>
      </c>
      <c r="H34" s="24">
        <v>0.25</v>
      </c>
      <c r="I34" s="31"/>
      <c r="J34" s="35"/>
    </row>
    <row r="35" spans="2:10" x14ac:dyDescent="0.25">
      <c r="B35" s="8" t="s">
        <v>69</v>
      </c>
      <c r="C35" s="56" t="s">
        <v>70</v>
      </c>
      <c r="D35" s="53" t="s">
        <v>71</v>
      </c>
      <c r="E35" s="6" t="s">
        <v>72</v>
      </c>
      <c r="F35" s="19">
        <v>62</v>
      </c>
      <c r="G35" s="24">
        <v>13.23</v>
      </c>
      <c r="H35" s="24">
        <v>0.25</v>
      </c>
      <c r="I35" s="31"/>
      <c r="J35" s="35"/>
    </row>
    <row r="36" spans="2:10" x14ac:dyDescent="0.25">
      <c r="B36" s="8" t="s">
        <v>229</v>
      </c>
      <c r="C36" s="56" t="s">
        <v>230</v>
      </c>
      <c r="D36" s="53" t="s">
        <v>231</v>
      </c>
      <c r="E36" s="6" t="s">
        <v>94</v>
      </c>
      <c r="F36" s="19">
        <v>1160</v>
      </c>
      <c r="G36" s="24">
        <v>13.13</v>
      </c>
      <c r="H36" s="24">
        <v>0.24</v>
      </c>
      <c r="I36" s="31"/>
      <c r="J36" s="35"/>
    </row>
    <row r="37" spans="2:10" x14ac:dyDescent="0.25">
      <c r="B37" s="8" t="s">
        <v>1607</v>
      </c>
      <c r="C37" s="56" t="s">
        <v>1608</v>
      </c>
      <c r="D37" s="53" t="s">
        <v>1609</v>
      </c>
      <c r="E37" s="6" t="s">
        <v>94</v>
      </c>
      <c r="F37" s="19">
        <v>537</v>
      </c>
      <c r="G37" s="24">
        <v>12.96</v>
      </c>
      <c r="H37" s="24">
        <v>0.24</v>
      </c>
      <c r="I37" s="31"/>
      <c r="J37" s="35"/>
    </row>
    <row r="38" spans="2:10" x14ac:dyDescent="0.25">
      <c r="B38" s="8" t="s">
        <v>139</v>
      </c>
      <c r="C38" s="56" t="s">
        <v>140</v>
      </c>
      <c r="D38" s="53" t="s">
        <v>141</v>
      </c>
      <c r="E38" s="6" t="s">
        <v>142</v>
      </c>
      <c r="F38" s="19">
        <v>1031</v>
      </c>
      <c r="G38" s="24">
        <v>12.88</v>
      </c>
      <c r="H38" s="24">
        <v>0.24</v>
      </c>
      <c r="I38" s="31"/>
      <c r="J38" s="35"/>
    </row>
    <row r="39" spans="2:10" x14ac:dyDescent="0.25">
      <c r="B39" s="8" t="s">
        <v>899</v>
      </c>
      <c r="C39" s="56" t="s">
        <v>900</v>
      </c>
      <c r="D39" s="53" t="s">
        <v>901</v>
      </c>
      <c r="E39" s="6" t="s">
        <v>196</v>
      </c>
      <c r="F39" s="19">
        <v>92</v>
      </c>
      <c r="G39" s="24">
        <v>12.63</v>
      </c>
      <c r="H39" s="24">
        <v>0.23</v>
      </c>
      <c r="I39" s="31"/>
      <c r="J39" s="35"/>
    </row>
    <row r="40" spans="2:10" x14ac:dyDescent="0.25">
      <c r="B40" s="8" t="s">
        <v>370</v>
      </c>
      <c r="C40" s="56" t="s">
        <v>371</v>
      </c>
      <c r="D40" s="53" t="s">
        <v>372</v>
      </c>
      <c r="E40" s="6" t="s">
        <v>41</v>
      </c>
      <c r="F40" s="19">
        <v>905</v>
      </c>
      <c r="G40" s="24">
        <v>12.61</v>
      </c>
      <c r="H40" s="24">
        <v>0.23</v>
      </c>
      <c r="I40" s="31"/>
      <c r="J40" s="35"/>
    </row>
    <row r="41" spans="2:10" x14ac:dyDescent="0.25">
      <c r="B41" s="8" t="s">
        <v>2242</v>
      </c>
      <c r="C41" s="56" t="s">
        <v>938</v>
      </c>
      <c r="D41" s="53" t="s">
        <v>2243</v>
      </c>
      <c r="E41" s="6" t="s">
        <v>94</v>
      </c>
      <c r="F41" s="19">
        <v>2007</v>
      </c>
      <c r="G41" s="24">
        <v>12.43</v>
      </c>
      <c r="H41" s="24">
        <v>0.23</v>
      </c>
      <c r="I41" s="31"/>
      <c r="J41" s="35"/>
    </row>
    <row r="42" spans="2:10" x14ac:dyDescent="0.25">
      <c r="B42" s="8" t="s">
        <v>1610</v>
      </c>
      <c r="C42" s="56" t="s">
        <v>1611</v>
      </c>
      <c r="D42" s="53" t="s">
        <v>1612</v>
      </c>
      <c r="E42" s="6" t="s">
        <v>254</v>
      </c>
      <c r="F42" s="19">
        <v>954</v>
      </c>
      <c r="G42" s="24">
        <v>12.06</v>
      </c>
      <c r="H42" s="24">
        <v>0.22</v>
      </c>
      <c r="I42" s="31"/>
      <c r="J42" s="35"/>
    </row>
    <row r="43" spans="2:10" x14ac:dyDescent="0.25">
      <c r="B43" s="8" t="s">
        <v>255</v>
      </c>
      <c r="C43" s="56" t="s">
        <v>256</v>
      </c>
      <c r="D43" s="53" t="s">
        <v>257</v>
      </c>
      <c r="E43" s="6" t="s">
        <v>51</v>
      </c>
      <c r="F43" s="19">
        <v>4314</v>
      </c>
      <c r="G43" s="24">
        <v>11.78</v>
      </c>
      <c r="H43" s="24">
        <v>0.22</v>
      </c>
      <c r="I43" s="31"/>
      <c r="J43" s="35"/>
    </row>
    <row r="44" spans="2:10" x14ac:dyDescent="0.25">
      <c r="B44" s="8" t="s">
        <v>469</v>
      </c>
      <c r="C44" s="56" t="s">
        <v>470</v>
      </c>
      <c r="D44" s="53" t="s">
        <v>471</v>
      </c>
      <c r="E44" s="6" t="s">
        <v>90</v>
      </c>
      <c r="F44" s="19">
        <v>1190</v>
      </c>
      <c r="G44" s="24">
        <v>11.38</v>
      </c>
      <c r="H44" s="24">
        <v>0.21</v>
      </c>
      <c r="I44" s="31"/>
      <c r="J44" s="35"/>
    </row>
    <row r="45" spans="2:10" x14ac:dyDescent="0.25">
      <c r="B45" s="8" t="s">
        <v>1613</v>
      </c>
      <c r="C45" s="56" t="s">
        <v>1614</v>
      </c>
      <c r="D45" s="53" t="s">
        <v>1615</v>
      </c>
      <c r="E45" s="6" t="s">
        <v>111</v>
      </c>
      <c r="F45" s="19">
        <v>2742</v>
      </c>
      <c r="G45" s="24">
        <v>10.83</v>
      </c>
      <c r="H45" s="24">
        <v>0.2</v>
      </c>
      <c r="I45" s="31"/>
      <c r="J45" s="35"/>
    </row>
    <row r="46" spans="2:10" x14ac:dyDescent="0.25">
      <c r="B46" s="8" t="s">
        <v>1616</v>
      </c>
      <c r="C46" s="56" t="s">
        <v>601</v>
      </c>
      <c r="D46" s="53" t="s">
        <v>1617</v>
      </c>
      <c r="E46" s="6" t="s">
        <v>94</v>
      </c>
      <c r="F46" s="19">
        <v>12447</v>
      </c>
      <c r="G46" s="24">
        <v>10.73</v>
      </c>
      <c r="H46" s="24">
        <v>0.2</v>
      </c>
      <c r="I46" s="31"/>
      <c r="J46" s="35"/>
    </row>
    <row r="47" spans="2:10" x14ac:dyDescent="0.25">
      <c r="B47" s="8" t="s">
        <v>1618</v>
      </c>
      <c r="C47" s="56" t="s">
        <v>1619</v>
      </c>
      <c r="D47" s="53" t="s">
        <v>1620</v>
      </c>
      <c r="E47" s="6" t="s">
        <v>142</v>
      </c>
      <c r="F47" s="19">
        <v>2938</v>
      </c>
      <c r="G47" s="24">
        <v>10.72</v>
      </c>
      <c r="H47" s="24">
        <v>0.2</v>
      </c>
      <c r="I47" s="31"/>
      <c r="J47" s="35"/>
    </row>
    <row r="48" spans="2:10" x14ac:dyDescent="0.25">
      <c r="B48" s="8" t="s">
        <v>294</v>
      </c>
      <c r="C48" s="56" t="s">
        <v>295</v>
      </c>
      <c r="D48" s="53" t="s">
        <v>296</v>
      </c>
      <c r="E48" s="6" t="s">
        <v>274</v>
      </c>
      <c r="F48" s="19">
        <v>6631</v>
      </c>
      <c r="G48" s="24">
        <v>10.119999999999999</v>
      </c>
      <c r="H48" s="24">
        <v>0.19</v>
      </c>
      <c r="I48" s="31"/>
      <c r="J48" s="35"/>
    </row>
    <row r="49" spans="2:10" x14ac:dyDescent="0.25">
      <c r="B49" s="8" t="s">
        <v>415</v>
      </c>
      <c r="C49" s="56" t="s">
        <v>416</v>
      </c>
      <c r="D49" s="53" t="s">
        <v>417</v>
      </c>
      <c r="E49" s="6" t="s">
        <v>90</v>
      </c>
      <c r="F49" s="19">
        <v>101</v>
      </c>
      <c r="G49" s="24">
        <v>10.050000000000001</v>
      </c>
      <c r="H49" s="24">
        <v>0.19</v>
      </c>
      <c r="I49" s="31"/>
      <c r="J49" s="35"/>
    </row>
    <row r="50" spans="2:10" x14ac:dyDescent="0.25">
      <c r="B50" s="8" t="s">
        <v>454</v>
      </c>
      <c r="C50" s="56" t="s">
        <v>455</v>
      </c>
      <c r="D50" s="53" t="s">
        <v>456</v>
      </c>
      <c r="E50" s="6" t="s">
        <v>111</v>
      </c>
      <c r="F50" s="19">
        <v>57</v>
      </c>
      <c r="G50" s="24">
        <v>9.4</v>
      </c>
      <c r="H50" s="24">
        <v>0.17</v>
      </c>
      <c r="I50" s="31"/>
      <c r="J50" s="35"/>
    </row>
    <row r="51" spans="2:10" x14ac:dyDescent="0.25">
      <c r="B51" s="8" t="s">
        <v>1621</v>
      </c>
      <c r="C51" s="56" t="s">
        <v>1622</v>
      </c>
      <c r="D51" s="53" t="s">
        <v>1623</v>
      </c>
      <c r="E51" s="6" t="s">
        <v>94</v>
      </c>
      <c r="F51" s="19">
        <v>1107</v>
      </c>
      <c r="G51" s="24">
        <v>9.3800000000000008</v>
      </c>
      <c r="H51" s="24">
        <v>0.17</v>
      </c>
      <c r="I51" s="31"/>
      <c r="J51" s="35"/>
    </row>
    <row r="52" spans="2:10" x14ac:dyDescent="0.25">
      <c r="B52" s="8" t="s">
        <v>1624</v>
      </c>
      <c r="C52" s="56" t="s">
        <v>1625</v>
      </c>
      <c r="D52" s="53" t="s">
        <v>1626</v>
      </c>
      <c r="E52" s="6" t="s">
        <v>886</v>
      </c>
      <c r="F52" s="19">
        <v>9843</v>
      </c>
      <c r="G52" s="24">
        <v>8.1</v>
      </c>
      <c r="H52" s="24">
        <v>0.15</v>
      </c>
      <c r="I52" s="31"/>
      <c r="J52" s="35"/>
    </row>
    <row r="53" spans="2:10" x14ac:dyDescent="0.25">
      <c r="B53" s="8" t="s">
        <v>463</v>
      </c>
      <c r="C53" s="56" t="s">
        <v>464</v>
      </c>
      <c r="D53" s="53" t="s">
        <v>465</v>
      </c>
      <c r="E53" s="6" t="s">
        <v>47</v>
      </c>
      <c r="F53" s="19">
        <v>249</v>
      </c>
      <c r="G53" s="24">
        <v>7.65</v>
      </c>
      <c r="H53" s="24">
        <v>0.14000000000000001</v>
      </c>
      <c r="I53" s="31"/>
      <c r="J53" s="35"/>
    </row>
    <row r="54" spans="2:10" x14ac:dyDescent="0.25">
      <c r="B54" s="8" t="s">
        <v>1627</v>
      </c>
      <c r="C54" s="56" t="s">
        <v>1628</v>
      </c>
      <c r="D54" s="53" t="s">
        <v>1629</v>
      </c>
      <c r="E54" s="6" t="s">
        <v>261</v>
      </c>
      <c r="F54" s="19">
        <v>2946</v>
      </c>
      <c r="G54" s="24">
        <v>7.12</v>
      </c>
      <c r="H54" s="24">
        <v>0.13</v>
      </c>
      <c r="I54" s="31"/>
      <c r="J54" s="35"/>
    </row>
    <row r="55" spans="2:10" x14ac:dyDescent="0.25">
      <c r="B55" s="8" t="s">
        <v>1630</v>
      </c>
      <c r="C55" s="56" t="s">
        <v>1631</v>
      </c>
      <c r="D55" s="53" t="s">
        <v>1632</v>
      </c>
      <c r="E55" s="6" t="s">
        <v>170</v>
      </c>
      <c r="F55" s="19">
        <v>2717</v>
      </c>
      <c r="G55" s="24">
        <v>5.7</v>
      </c>
      <c r="H55" s="24">
        <v>0.11</v>
      </c>
      <c r="I55" s="31"/>
      <c r="J55" s="35"/>
    </row>
    <row r="56" spans="2:10" x14ac:dyDescent="0.25">
      <c r="B56" s="8" t="s">
        <v>893</v>
      </c>
      <c r="C56" s="56" t="s">
        <v>894</v>
      </c>
      <c r="D56" s="53" t="s">
        <v>895</v>
      </c>
      <c r="E56" s="6" t="s">
        <v>261</v>
      </c>
      <c r="F56" s="19">
        <v>26909</v>
      </c>
      <c r="G56" s="24">
        <v>5.44</v>
      </c>
      <c r="H56" s="24">
        <v>0.1</v>
      </c>
      <c r="I56" s="31"/>
      <c r="J56" s="35"/>
    </row>
    <row r="57" spans="2:10" x14ac:dyDescent="0.25">
      <c r="B57" s="8" t="s">
        <v>817</v>
      </c>
      <c r="C57" s="56" t="s">
        <v>818</v>
      </c>
      <c r="D57" s="53" t="s">
        <v>819</v>
      </c>
      <c r="E57" s="6" t="s">
        <v>51</v>
      </c>
      <c r="F57" s="19">
        <v>12873</v>
      </c>
      <c r="G57" s="24">
        <v>5.28</v>
      </c>
      <c r="H57" s="24">
        <v>0.1</v>
      </c>
      <c r="I57" s="31"/>
      <c r="J57" s="35"/>
    </row>
    <row r="58" spans="2:10" x14ac:dyDescent="0.25">
      <c r="B58" s="8" t="s">
        <v>401</v>
      </c>
      <c r="C58" s="56" t="s">
        <v>402</v>
      </c>
      <c r="D58" s="53" t="s">
        <v>403</v>
      </c>
      <c r="E58" s="6" t="s">
        <v>51</v>
      </c>
      <c r="F58" s="19">
        <v>14117</v>
      </c>
      <c r="G58" s="24">
        <v>4.03</v>
      </c>
      <c r="H58" s="24">
        <v>7.0000000000000007E-2</v>
      </c>
      <c r="I58" s="31"/>
      <c r="J58" s="35"/>
    </row>
    <row r="59" spans="2:10" x14ac:dyDescent="0.25">
      <c r="B59" s="8" t="s">
        <v>1633</v>
      </c>
      <c r="C59" s="56" t="s">
        <v>1634</v>
      </c>
      <c r="D59" s="53" t="s">
        <v>1635</v>
      </c>
      <c r="E59" s="6" t="s">
        <v>94</v>
      </c>
      <c r="F59" s="19">
        <v>2632</v>
      </c>
      <c r="G59" s="24">
        <v>3.18</v>
      </c>
      <c r="H59" s="24">
        <v>0.06</v>
      </c>
      <c r="I59" s="31"/>
      <c r="J59" s="35"/>
    </row>
    <row r="60" spans="2:10" x14ac:dyDescent="0.25">
      <c r="C60" s="57" t="s">
        <v>35</v>
      </c>
      <c r="D60" s="53"/>
      <c r="E60" s="6"/>
      <c r="F60" s="19"/>
      <c r="G60" s="25">
        <v>791.96</v>
      </c>
      <c r="H60" s="25">
        <v>14.68</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C67" s="59" t="s">
        <v>6</v>
      </c>
      <c r="D67" s="53"/>
      <c r="E67" s="6"/>
      <c r="F67" s="19"/>
      <c r="G67" s="24"/>
      <c r="H67" s="24"/>
      <c r="I67" s="31"/>
      <c r="J67" s="35"/>
    </row>
    <row r="68" spans="1:10" x14ac:dyDescent="0.25">
      <c r="B68" s="8" t="s">
        <v>2652</v>
      </c>
      <c r="C68" s="56" t="s">
        <v>92</v>
      </c>
      <c r="D68" s="53" t="s">
        <v>2653</v>
      </c>
      <c r="E68" s="6" t="s">
        <v>534</v>
      </c>
      <c r="F68" s="19">
        <v>40</v>
      </c>
      <c r="G68" s="24">
        <v>497.14</v>
      </c>
      <c r="H68" s="24">
        <v>9.23</v>
      </c>
      <c r="I68" s="31">
        <v>5.25</v>
      </c>
      <c r="J68" s="35" t="s">
        <v>514</v>
      </c>
    </row>
    <row r="69" spans="1:10" x14ac:dyDescent="0.25">
      <c r="B69" s="8" t="s">
        <v>2692</v>
      </c>
      <c r="C69" s="56" t="s">
        <v>2421</v>
      </c>
      <c r="D69" s="53" t="s">
        <v>2693</v>
      </c>
      <c r="E69" s="6" t="s">
        <v>534</v>
      </c>
      <c r="F69" s="19">
        <v>40</v>
      </c>
      <c r="G69" s="24">
        <v>497.08</v>
      </c>
      <c r="H69" s="24">
        <v>9.2200000000000006</v>
      </c>
      <c r="I69" s="31">
        <v>5.23</v>
      </c>
      <c r="J69" s="35" t="s">
        <v>514</v>
      </c>
    </row>
    <row r="70" spans="1:10" x14ac:dyDescent="0.25">
      <c r="B70" s="8" t="s">
        <v>2716</v>
      </c>
      <c r="C70" s="56" t="s">
        <v>1127</v>
      </c>
      <c r="D70" s="53" t="s">
        <v>2717</v>
      </c>
      <c r="E70" s="6" t="s">
        <v>534</v>
      </c>
      <c r="F70" s="19">
        <v>40</v>
      </c>
      <c r="G70" s="24">
        <v>483.16</v>
      </c>
      <c r="H70" s="24">
        <v>8.9700000000000006</v>
      </c>
      <c r="I70" s="31">
        <v>5.0199999999999996</v>
      </c>
      <c r="J70" s="35" t="s">
        <v>514</v>
      </c>
    </row>
    <row r="71" spans="1:10" x14ac:dyDescent="0.25">
      <c r="B71" s="8" t="s">
        <v>2636</v>
      </c>
      <c r="C71" s="56" t="s">
        <v>1752</v>
      </c>
      <c r="D71" s="53" t="s">
        <v>2637</v>
      </c>
      <c r="E71" s="6" t="s">
        <v>1314</v>
      </c>
      <c r="F71" s="19">
        <v>40</v>
      </c>
      <c r="G71" s="24">
        <v>422.07</v>
      </c>
      <c r="H71" s="24">
        <v>7.83</v>
      </c>
      <c r="I71" s="31">
        <v>4.375</v>
      </c>
      <c r="J71" s="35" t="s">
        <v>514</v>
      </c>
    </row>
    <row r="72" spans="1:10" x14ac:dyDescent="0.25">
      <c r="B72" s="8" t="s">
        <v>1864</v>
      </c>
      <c r="C72" s="56" t="s">
        <v>125</v>
      </c>
      <c r="D72" s="53" t="s">
        <v>1865</v>
      </c>
      <c r="E72" s="6" t="s">
        <v>534</v>
      </c>
      <c r="F72" s="19">
        <v>40</v>
      </c>
      <c r="G72" s="24">
        <v>420.88</v>
      </c>
      <c r="H72" s="24">
        <v>7.81</v>
      </c>
      <c r="I72" s="31">
        <v>4.76</v>
      </c>
      <c r="J72" s="35"/>
    </row>
    <row r="73" spans="1:10" x14ac:dyDescent="0.25">
      <c r="B73" s="8" t="s">
        <v>2646</v>
      </c>
      <c r="C73" s="56" t="s">
        <v>53</v>
      </c>
      <c r="D73" s="53" t="s">
        <v>2647</v>
      </c>
      <c r="E73" s="6" t="s">
        <v>534</v>
      </c>
      <c r="F73" s="19">
        <v>40</v>
      </c>
      <c r="G73" s="24">
        <v>420.3</v>
      </c>
      <c r="H73" s="24">
        <v>7.8</v>
      </c>
      <c r="I73" s="31">
        <v>4.53</v>
      </c>
      <c r="J73" s="35"/>
    </row>
    <row r="74" spans="1:10" x14ac:dyDescent="0.25">
      <c r="B74" s="8" t="s">
        <v>1711</v>
      </c>
      <c r="C74" s="56" t="s">
        <v>1376</v>
      </c>
      <c r="D74" s="53" t="s">
        <v>1712</v>
      </c>
      <c r="E74" s="6" t="s">
        <v>534</v>
      </c>
      <c r="F74" s="19">
        <v>40</v>
      </c>
      <c r="G74" s="24">
        <v>420.11</v>
      </c>
      <c r="H74" s="24">
        <v>7.8</v>
      </c>
      <c r="I74" s="31">
        <v>4.6303000000000001</v>
      </c>
      <c r="J74" s="35" t="s">
        <v>514</v>
      </c>
    </row>
    <row r="75" spans="1:10" x14ac:dyDescent="0.25">
      <c r="C75" s="57" t="s">
        <v>35</v>
      </c>
      <c r="D75" s="53"/>
      <c r="E75" s="6"/>
      <c r="F75" s="19"/>
      <c r="G75" s="25">
        <v>3160.74</v>
      </c>
      <c r="H75" s="25">
        <v>58.66</v>
      </c>
      <c r="I75" s="31"/>
      <c r="J75" s="35"/>
    </row>
    <row r="76" spans="1:10" x14ac:dyDescent="0.25">
      <c r="C76" s="56"/>
      <c r="D76" s="53"/>
      <c r="E76" s="6"/>
      <c r="F76" s="19"/>
      <c r="G76" s="24"/>
      <c r="H76" s="24"/>
      <c r="I76" s="31"/>
      <c r="J76" s="35"/>
    </row>
    <row r="77" spans="1:10" x14ac:dyDescent="0.25">
      <c r="C77" s="57" t="s">
        <v>7</v>
      </c>
      <c r="D77" s="53"/>
      <c r="E77" s="6"/>
      <c r="F77" s="19"/>
      <c r="G77" s="24" t="s">
        <v>2</v>
      </c>
      <c r="H77" s="24" t="s">
        <v>2</v>
      </c>
      <c r="I77" s="31"/>
      <c r="J77" s="35"/>
    </row>
    <row r="78" spans="1:10" x14ac:dyDescent="0.25">
      <c r="C78" s="56"/>
      <c r="D78" s="53"/>
      <c r="E78" s="6"/>
      <c r="F78" s="19"/>
      <c r="G78" s="24"/>
      <c r="H78" s="24"/>
      <c r="I78" s="31"/>
      <c r="J78" s="35"/>
    </row>
    <row r="79" spans="1:10" x14ac:dyDescent="0.25">
      <c r="C79" s="57" t="s">
        <v>8</v>
      </c>
      <c r="D79" s="53"/>
      <c r="E79" s="6"/>
      <c r="F79" s="19"/>
      <c r="G79" s="24" t="s">
        <v>2</v>
      </c>
      <c r="H79" s="24" t="s">
        <v>2</v>
      </c>
      <c r="I79" s="31"/>
      <c r="J79" s="35"/>
    </row>
    <row r="80" spans="1:10" x14ac:dyDescent="0.25">
      <c r="C80" s="56"/>
      <c r="D80" s="53"/>
      <c r="E80" s="6"/>
      <c r="F80" s="19"/>
      <c r="G80" s="24"/>
      <c r="H80" s="24"/>
      <c r="I80" s="31"/>
      <c r="J80" s="35"/>
    </row>
    <row r="81" spans="1:10" x14ac:dyDescent="0.25">
      <c r="C81" s="57" t="s">
        <v>9</v>
      </c>
      <c r="D81" s="53"/>
      <c r="E81" s="6"/>
      <c r="F81" s="19"/>
      <c r="G81" s="24" t="s">
        <v>2</v>
      </c>
      <c r="H81" s="24" t="s">
        <v>2</v>
      </c>
      <c r="I81" s="31"/>
      <c r="J81" s="35"/>
    </row>
    <row r="82" spans="1:10" x14ac:dyDescent="0.25">
      <c r="C82" s="56"/>
      <c r="D82" s="53"/>
      <c r="E82" s="6"/>
      <c r="F82" s="19"/>
      <c r="G82" s="24"/>
      <c r="H82" s="24"/>
      <c r="I82" s="31"/>
      <c r="J82" s="35"/>
    </row>
    <row r="83" spans="1:10" x14ac:dyDescent="0.25">
      <c r="C83" s="59" t="s">
        <v>10</v>
      </c>
      <c r="D83" s="53"/>
      <c r="E83" s="6"/>
      <c r="F83" s="19"/>
      <c r="G83" s="24"/>
      <c r="H83" s="24"/>
      <c r="I83" s="31"/>
      <c r="J83" s="35"/>
    </row>
    <row r="84" spans="1:10" x14ac:dyDescent="0.25">
      <c r="B84" s="8" t="s">
        <v>2877</v>
      </c>
      <c r="C84" s="56" t="s">
        <v>2878</v>
      </c>
      <c r="D84" s="53" t="s">
        <v>2879</v>
      </c>
      <c r="E84" s="6" t="s">
        <v>655</v>
      </c>
      <c r="F84" s="19">
        <v>1000000</v>
      </c>
      <c r="G84" s="24">
        <v>1052.3599999999999</v>
      </c>
      <c r="H84" s="24">
        <v>19.53</v>
      </c>
      <c r="I84" s="31">
        <v>5.0594000000000001</v>
      </c>
      <c r="J84" s="35"/>
    </row>
    <row r="85" spans="1:10" x14ac:dyDescent="0.25">
      <c r="C85" s="57" t="s">
        <v>35</v>
      </c>
      <c r="D85" s="53"/>
      <c r="E85" s="6"/>
      <c r="F85" s="19"/>
      <c r="G85" s="25">
        <v>1052.3599999999999</v>
      </c>
      <c r="H85" s="25">
        <v>19.53</v>
      </c>
      <c r="I85" s="31"/>
      <c r="J85" s="35"/>
    </row>
    <row r="86" spans="1:10" x14ac:dyDescent="0.25">
      <c r="C86" s="56"/>
      <c r="D86" s="53"/>
      <c r="E86" s="6"/>
      <c r="F86" s="19"/>
      <c r="G86" s="24"/>
      <c r="H86" s="24"/>
      <c r="I86" s="31"/>
      <c r="J86" s="35"/>
    </row>
    <row r="87" spans="1:10" x14ac:dyDescent="0.25">
      <c r="A87" s="10"/>
      <c r="B87" s="28"/>
      <c r="C87" s="58" t="s">
        <v>11</v>
      </c>
      <c r="D87" s="53"/>
      <c r="E87" s="6"/>
      <c r="F87" s="19"/>
      <c r="G87" s="24"/>
      <c r="H87" s="24"/>
      <c r="I87" s="31"/>
      <c r="J87" s="35"/>
    </row>
    <row r="88" spans="1:10" x14ac:dyDescent="0.25">
      <c r="A88" s="28"/>
      <c r="B88" s="28"/>
      <c r="C88" s="58" t="s">
        <v>13</v>
      </c>
      <c r="D88" s="53"/>
      <c r="E88" s="6"/>
      <c r="F88" s="19"/>
      <c r="G88" s="24" t="s">
        <v>2</v>
      </c>
      <c r="H88" s="24" t="s">
        <v>2</v>
      </c>
      <c r="I88" s="31"/>
      <c r="J88" s="35"/>
    </row>
    <row r="89" spans="1:10" x14ac:dyDescent="0.25">
      <c r="A89" s="28"/>
      <c r="B89" s="28"/>
      <c r="C89" s="58"/>
      <c r="D89" s="53"/>
      <c r="E89" s="6"/>
      <c r="F89" s="19"/>
      <c r="G89" s="24"/>
      <c r="H89" s="24"/>
      <c r="I89" s="31"/>
      <c r="J89" s="35"/>
    </row>
    <row r="90" spans="1:10" x14ac:dyDescent="0.25">
      <c r="A90" s="28"/>
      <c r="B90" s="28"/>
      <c r="C90" s="58" t="s">
        <v>14</v>
      </c>
      <c r="D90" s="53"/>
      <c r="E90" s="6"/>
      <c r="F90" s="19"/>
      <c r="G90" s="24" t="s">
        <v>2</v>
      </c>
      <c r="H90" s="24" t="s">
        <v>2</v>
      </c>
      <c r="I90" s="31"/>
      <c r="J90" s="35"/>
    </row>
    <row r="91" spans="1:10" x14ac:dyDescent="0.25">
      <c r="A91" s="28"/>
      <c r="B91" s="28"/>
      <c r="C91" s="58"/>
      <c r="D91" s="53"/>
      <c r="E91" s="6"/>
      <c r="F91" s="19"/>
      <c r="G91" s="24"/>
      <c r="H91" s="24"/>
      <c r="I91" s="31"/>
      <c r="J91" s="35"/>
    </row>
    <row r="92" spans="1:10" x14ac:dyDescent="0.25">
      <c r="C92" s="59" t="s">
        <v>15</v>
      </c>
      <c r="D92" s="53"/>
      <c r="E92" s="6"/>
      <c r="F92" s="19"/>
      <c r="G92" s="24"/>
      <c r="H92" s="24"/>
      <c r="I92" s="31"/>
      <c r="J92" s="35"/>
    </row>
    <row r="93" spans="1:10" x14ac:dyDescent="0.25">
      <c r="B93" s="8" t="s">
        <v>2926</v>
      </c>
      <c r="C93" s="56" t="s">
        <v>2927</v>
      </c>
      <c r="D93" s="53" t="s">
        <v>2928</v>
      </c>
      <c r="E93" s="6" t="s">
        <v>655</v>
      </c>
      <c r="F93" s="19">
        <v>200000</v>
      </c>
      <c r="G93" s="24">
        <v>185.9</v>
      </c>
      <c r="H93" s="24">
        <v>3.45</v>
      </c>
      <c r="I93" s="31">
        <v>4.3181000000000003</v>
      </c>
      <c r="J93" s="35"/>
    </row>
    <row r="94" spans="1:10" x14ac:dyDescent="0.25">
      <c r="C94" s="57" t="s">
        <v>35</v>
      </c>
      <c r="D94" s="53"/>
      <c r="E94" s="6"/>
      <c r="F94" s="19"/>
      <c r="G94" s="25">
        <v>185.9</v>
      </c>
      <c r="H94" s="25">
        <v>3.45</v>
      </c>
      <c r="I94" s="31"/>
      <c r="J94" s="35"/>
    </row>
    <row r="95" spans="1:10" x14ac:dyDescent="0.25">
      <c r="C95" s="56"/>
      <c r="D95" s="53"/>
      <c r="E95" s="6"/>
      <c r="F95" s="19"/>
      <c r="G95" s="24"/>
      <c r="H95" s="24"/>
      <c r="I95" s="31"/>
      <c r="J95" s="35"/>
    </row>
    <row r="96" spans="1:10" x14ac:dyDescent="0.25">
      <c r="C96" s="57" t="s">
        <v>16</v>
      </c>
      <c r="D96" s="53"/>
      <c r="E96" s="6"/>
      <c r="F96" s="19"/>
      <c r="G96" s="24" t="s">
        <v>2</v>
      </c>
      <c r="H96" s="24" t="s">
        <v>2</v>
      </c>
      <c r="I96" s="31"/>
      <c r="J96" s="35"/>
    </row>
    <row r="97" spans="1:10" x14ac:dyDescent="0.25">
      <c r="C97" s="56"/>
      <c r="D97" s="53"/>
      <c r="E97" s="6"/>
      <c r="F97" s="19"/>
      <c r="G97" s="24"/>
      <c r="H97" s="24"/>
      <c r="I97" s="31"/>
      <c r="J97" s="35"/>
    </row>
    <row r="98" spans="1:10" x14ac:dyDescent="0.25">
      <c r="A98" s="10"/>
      <c r="B98" s="28"/>
      <c r="C98" s="58" t="s">
        <v>17</v>
      </c>
      <c r="D98" s="53"/>
      <c r="E98" s="6"/>
      <c r="F98" s="19"/>
      <c r="G98" s="24"/>
      <c r="H98" s="24"/>
      <c r="I98" s="31"/>
      <c r="J98" s="35"/>
    </row>
    <row r="99" spans="1:10" x14ac:dyDescent="0.25">
      <c r="A99" s="28"/>
      <c r="B99" s="28"/>
      <c r="C99" s="58" t="s">
        <v>18</v>
      </c>
      <c r="D99" s="53"/>
      <c r="E99" s="6"/>
      <c r="F99" s="19"/>
      <c r="G99" s="24" t="s">
        <v>2</v>
      </c>
      <c r="H99" s="24" t="s">
        <v>2</v>
      </c>
      <c r="I99" s="31"/>
      <c r="J99" s="35"/>
    </row>
    <row r="100" spans="1:10" x14ac:dyDescent="0.25">
      <c r="A100" s="28"/>
      <c r="B100" s="28"/>
      <c r="C100" s="58"/>
      <c r="D100" s="53"/>
      <c r="E100" s="6"/>
      <c r="F100" s="19"/>
      <c r="G100" s="24"/>
      <c r="H100" s="24"/>
      <c r="I100" s="31"/>
      <c r="J100" s="35"/>
    </row>
    <row r="101" spans="1:10" x14ac:dyDescent="0.25">
      <c r="A101" s="28"/>
      <c r="B101" s="28"/>
      <c r="C101" s="58" t="s">
        <v>19</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20</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A105" s="28"/>
      <c r="B105" s="28"/>
      <c r="C105" s="58" t="s">
        <v>21</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C107" s="59" t="s">
        <v>22</v>
      </c>
      <c r="D107" s="53"/>
      <c r="E107" s="6"/>
      <c r="F107" s="19"/>
      <c r="G107" s="24"/>
      <c r="H107" s="24"/>
      <c r="I107" s="31"/>
      <c r="J107" s="35"/>
    </row>
    <row r="108" spans="1:10" x14ac:dyDescent="0.25">
      <c r="B108" s="8" t="s">
        <v>33</v>
      </c>
      <c r="C108" s="56" t="s">
        <v>34</v>
      </c>
      <c r="D108" s="53"/>
      <c r="E108" s="6"/>
      <c r="F108" s="19"/>
      <c r="G108" s="24">
        <v>101.24</v>
      </c>
      <c r="H108" s="24">
        <v>1.88</v>
      </c>
      <c r="I108" s="31"/>
      <c r="J108" s="35"/>
    </row>
    <row r="109" spans="1:10" x14ac:dyDescent="0.25">
      <c r="C109" s="57" t="s">
        <v>35</v>
      </c>
      <c r="D109" s="53"/>
      <c r="E109" s="6"/>
      <c r="F109" s="19"/>
      <c r="G109" s="25">
        <v>101.24</v>
      </c>
      <c r="H109" s="25">
        <v>1.88</v>
      </c>
      <c r="I109" s="31"/>
      <c r="J109" s="35"/>
    </row>
    <row r="110" spans="1:10" x14ac:dyDescent="0.25">
      <c r="C110" s="56"/>
      <c r="D110" s="53"/>
      <c r="E110" s="6"/>
      <c r="F110" s="19"/>
      <c r="G110" s="24"/>
      <c r="H110" s="24"/>
      <c r="I110" s="31"/>
      <c r="J110" s="35"/>
    </row>
    <row r="111" spans="1:10" x14ac:dyDescent="0.25">
      <c r="A111" s="10"/>
      <c r="B111" s="28"/>
      <c r="C111" s="58" t="s">
        <v>23</v>
      </c>
      <c r="D111" s="53"/>
      <c r="E111" s="6"/>
      <c r="F111" s="19"/>
      <c r="G111" s="24"/>
      <c r="H111" s="24"/>
      <c r="I111" s="31"/>
      <c r="J111" s="35"/>
    </row>
    <row r="112" spans="1:10" x14ac:dyDescent="0.25">
      <c r="A112" s="28"/>
      <c r="B112" s="28"/>
      <c r="C112" s="60" t="s">
        <v>3398</v>
      </c>
      <c r="D112" s="53"/>
      <c r="E112" s="6"/>
      <c r="F112" s="19"/>
      <c r="G112" s="24" t="s">
        <v>2</v>
      </c>
      <c r="H112" s="24" t="s">
        <v>2</v>
      </c>
      <c r="I112" s="31"/>
      <c r="J112" s="35"/>
    </row>
    <row r="113" spans="2:10" x14ac:dyDescent="0.25">
      <c r="B113" s="8"/>
      <c r="C113" s="56" t="s">
        <v>36</v>
      </c>
      <c r="D113" s="53"/>
      <c r="E113" s="6"/>
      <c r="F113" s="19"/>
      <c r="G113" s="24">
        <v>96.68</v>
      </c>
      <c r="H113" s="24">
        <v>1.8</v>
      </c>
      <c r="I113" s="31"/>
      <c r="J113" s="35"/>
    </row>
    <row r="114" spans="2:10" x14ac:dyDescent="0.25">
      <c r="C114" s="57" t="s">
        <v>35</v>
      </c>
      <c r="D114" s="53"/>
      <c r="E114" s="6"/>
      <c r="F114" s="19"/>
      <c r="G114" s="25">
        <v>96.68</v>
      </c>
      <c r="H114" s="25">
        <v>1.8</v>
      </c>
      <c r="I114" s="31"/>
      <c r="J114" s="35"/>
    </row>
    <row r="115" spans="2:10" x14ac:dyDescent="0.25">
      <c r="C115" s="56"/>
      <c r="D115" s="53"/>
      <c r="E115" s="6"/>
      <c r="F115" s="19"/>
      <c r="G115" s="24"/>
      <c r="H115" s="24"/>
      <c r="I115" s="31"/>
      <c r="J115" s="35"/>
    </row>
    <row r="116" spans="2:10" x14ac:dyDescent="0.25">
      <c r="C116" s="61" t="s">
        <v>37</v>
      </c>
      <c r="D116" s="54"/>
      <c r="E116" s="5"/>
      <c r="F116" s="20"/>
      <c r="G116" s="26">
        <v>5388.88</v>
      </c>
      <c r="H116" s="26">
        <f>SUMIFS(H:H,C:C,"Total")</f>
        <v>100</v>
      </c>
      <c r="I116" s="32"/>
      <c r="J116" s="36"/>
    </row>
    <row r="119" spans="2:10" x14ac:dyDescent="0.25">
      <c r="C119" s="1" t="s">
        <v>38</v>
      </c>
    </row>
    <row r="120" spans="2:10" x14ac:dyDescent="0.25">
      <c r="C120" s="2" t="s">
        <v>39</v>
      </c>
    </row>
    <row r="121" spans="2:10" x14ac:dyDescent="0.25">
      <c r="C121" s="2" t="s">
        <v>40</v>
      </c>
    </row>
    <row r="122" spans="2:10" x14ac:dyDescent="0.25">
      <c r="C122" s="2" t="s">
        <v>3430</v>
      </c>
    </row>
  </sheetData>
  <hyperlinks>
    <hyperlink ref="J2" location="'Index'!A1" display="'Index'!A1"/>
  </hyperlinks>
  <pageMargins left="0.7" right="0.7" top="0.75" bottom="0.75" header="0.3" footer="0.3"/>
  <pageSetup orientation="portrait" horizontalDpi="4294967293"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0"/>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2572</v>
      </c>
      <c r="J2" s="37" t="s">
        <v>3307</v>
      </c>
    </row>
    <row r="3" spans="1:10" ht="16.5" x14ac:dyDescent="0.3">
      <c r="C3" s="1" t="s">
        <v>24</v>
      </c>
      <c r="D3" s="21" t="s">
        <v>2946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2692</v>
      </c>
      <c r="C18" s="56" t="s">
        <v>2421</v>
      </c>
      <c r="D18" s="53" t="s">
        <v>2693</v>
      </c>
      <c r="E18" s="6" t="s">
        <v>534</v>
      </c>
      <c r="F18" s="19">
        <v>270</v>
      </c>
      <c r="G18" s="24">
        <v>3355.27</v>
      </c>
      <c r="H18" s="24">
        <v>9.93</v>
      </c>
      <c r="I18" s="31">
        <v>5.23</v>
      </c>
      <c r="J18" s="35" t="s">
        <v>514</v>
      </c>
    </row>
    <row r="19" spans="2:10" x14ac:dyDescent="0.25">
      <c r="B19" s="8" t="s">
        <v>2636</v>
      </c>
      <c r="C19" s="56" t="s">
        <v>1752</v>
      </c>
      <c r="D19" s="53" t="s">
        <v>2637</v>
      </c>
      <c r="E19" s="6" t="s">
        <v>1314</v>
      </c>
      <c r="F19" s="19">
        <v>280</v>
      </c>
      <c r="G19" s="24">
        <v>2954.49</v>
      </c>
      <c r="H19" s="24">
        <v>8.74</v>
      </c>
      <c r="I19" s="31">
        <v>4.375</v>
      </c>
      <c r="J19" s="35" t="s">
        <v>514</v>
      </c>
    </row>
    <row r="20" spans="2:10" x14ac:dyDescent="0.25">
      <c r="B20" s="8" t="s">
        <v>2646</v>
      </c>
      <c r="C20" s="56" t="s">
        <v>53</v>
      </c>
      <c r="D20" s="53" t="s">
        <v>2647</v>
      </c>
      <c r="E20" s="6" t="s">
        <v>534</v>
      </c>
      <c r="F20" s="19">
        <v>260</v>
      </c>
      <c r="G20" s="24">
        <v>2731.92</v>
      </c>
      <c r="H20" s="24">
        <v>8.08</v>
      </c>
      <c r="I20" s="31">
        <v>4.53</v>
      </c>
      <c r="J20" s="35"/>
    </row>
    <row r="21" spans="2:10" x14ac:dyDescent="0.25">
      <c r="B21" s="8" t="s">
        <v>2716</v>
      </c>
      <c r="C21" s="56" t="s">
        <v>1127</v>
      </c>
      <c r="D21" s="53" t="s">
        <v>2717</v>
      </c>
      <c r="E21" s="6" t="s">
        <v>534</v>
      </c>
      <c r="F21" s="19">
        <v>220</v>
      </c>
      <c r="G21" s="24">
        <v>2657.39</v>
      </c>
      <c r="H21" s="24">
        <v>7.86</v>
      </c>
      <c r="I21" s="31">
        <v>5.0199999999999996</v>
      </c>
      <c r="J21" s="35" t="s">
        <v>514</v>
      </c>
    </row>
    <row r="22" spans="2:10" x14ac:dyDescent="0.25">
      <c r="B22" s="8" t="s">
        <v>2947</v>
      </c>
      <c r="C22" s="56" t="s">
        <v>1143</v>
      </c>
      <c r="D22" s="53" t="s">
        <v>2948</v>
      </c>
      <c r="E22" s="6" t="s">
        <v>911</v>
      </c>
      <c r="F22" s="19">
        <v>250</v>
      </c>
      <c r="G22" s="24">
        <v>2608.25</v>
      </c>
      <c r="H22" s="24">
        <v>7.72</v>
      </c>
      <c r="I22" s="31">
        <v>5.54</v>
      </c>
      <c r="J22" s="35" t="s">
        <v>514</v>
      </c>
    </row>
    <row r="23" spans="2:10" x14ac:dyDescent="0.25">
      <c r="B23" s="8" t="s">
        <v>1864</v>
      </c>
      <c r="C23" s="56" t="s">
        <v>125</v>
      </c>
      <c r="D23" s="53" t="s">
        <v>1865</v>
      </c>
      <c r="E23" s="6" t="s">
        <v>534</v>
      </c>
      <c r="F23" s="19">
        <v>210</v>
      </c>
      <c r="G23" s="24">
        <v>2209.6</v>
      </c>
      <c r="H23" s="24">
        <v>6.54</v>
      </c>
      <c r="I23" s="31">
        <v>4.76</v>
      </c>
      <c r="J23" s="35"/>
    </row>
    <row r="24" spans="2:10" x14ac:dyDescent="0.25">
      <c r="B24" s="8" t="s">
        <v>2709</v>
      </c>
      <c r="C24" s="56" t="s">
        <v>2316</v>
      </c>
      <c r="D24" s="53" t="s">
        <v>2710</v>
      </c>
      <c r="E24" s="6" t="s">
        <v>534</v>
      </c>
      <c r="F24" s="19">
        <v>170</v>
      </c>
      <c r="G24" s="24">
        <v>2120.5300000000002</v>
      </c>
      <c r="H24" s="24">
        <v>6.27</v>
      </c>
      <c r="I24" s="31">
        <v>5.4550000000000001</v>
      </c>
      <c r="J24" s="35" t="s">
        <v>514</v>
      </c>
    </row>
    <row r="25" spans="2:10" x14ac:dyDescent="0.25">
      <c r="B25" s="8" t="s">
        <v>1713</v>
      </c>
      <c r="C25" s="56" t="s">
        <v>601</v>
      </c>
      <c r="D25" s="53" t="s">
        <v>1714</v>
      </c>
      <c r="E25" s="6" t="s">
        <v>534</v>
      </c>
      <c r="F25" s="19">
        <v>200</v>
      </c>
      <c r="G25" s="24">
        <v>2097.91</v>
      </c>
      <c r="H25" s="24">
        <v>6.21</v>
      </c>
      <c r="I25" s="31">
        <v>4.6100000000000003</v>
      </c>
      <c r="J25" s="35" t="s">
        <v>514</v>
      </c>
    </row>
    <row r="26" spans="2:10" x14ac:dyDescent="0.25">
      <c r="B26" s="8" t="s">
        <v>1711</v>
      </c>
      <c r="C26" s="56" t="s">
        <v>1376</v>
      </c>
      <c r="D26" s="53" t="s">
        <v>1712</v>
      </c>
      <c r="E26" s="6" t="s">
        <v>534</v>
      </c>
      <c r="F26" s="19">
        <v>60</v>
      </c>
      <c r="G26" s="24">
        <v>630.16</v>
      </c>
      <c r="H26" s="24">
        <v>1.86</v>
      </c>
      <c r="I26" s="31">
        <v>4.6303000000000001</v>
      </c>
      <c r="J26" s="35" t="s">
        <v>514</v>
      </c>
    </row>
    <row r="27" spans="2:10" x14ac:dyDescent="0.25">
      <c r="C27" s="57" t="s">
        <v>35</v>
      </c>
      <c r="D27" s="53"/>
      <c r="E27" s="6"/>
      <c r="F27" s="19"/>
      <c r="G27" s="25">
        <v>21365.52</v>
      </c>
      <c r="H27" s="25">
        <v>63.21</v>
      </c>
      <c r="I27" s="31"/>
      <c r="J27" s="35"/>
    </row>
    <row r="28" spans="2:10" x14ac:dyDescent="0.25">
      <c r="C28" s="56"/>
      <c r="D28" s="53"/>
      <c r="E28" s="6"/>
      <c r="F28" s="19"/>
      <c r="G28" s="24"/>
      <c r="H28" s="24"/>
      <c r="I28" s="31"/>
      <c r="J28" s="35"/>
    </row>
    <row r="29" spans="2:10" x14ac:dyDescent="0.25">
      <c r="C29" s="57" t="s">
        <v>7</v>
      </c>
      <c r="D29" s="53"/>
      <c r="E29" s="6"/>
      <c r="F29" s="19"/>
      <c r="G29" s="24" t="s">
        <v>2</v>
      </c>
      <c r="H29" s="24" t="s">
        <v>2</v>
      </c>
      <c r="I29" s="31"/>
      <c r="J29" s="35"/>
    </row>
    <row r="30" spans="2:10" x14ac:dyDescent="0.25">
      <c r="C30" s="56"/>
      <c r="D30" s="53"/>
      <c r="E30" s="6"/>
      <c r="F30" s="19"/>
      <c r="G30" s="24"/>
      <c r="H30" s="24"/>
      <c r="I30" s="31"/>
      <c r="J30" s="35"/>
    </row>
    <row r="31" spans="2:10" x14ac:dyDescent="0.25">
      <c r="C31" s="57" t="s">
        <v>8</v>
      </c>
      <c r="D31" s="53"/>
      <c r="E31" s="6"/>
      <c r="F31" s="19"/>
      <c r="G31" s="24" t="s">
        <v>2</v>
      </c>
      <c r="H31" s="24" t="s">
        <v>2</v>
      </c>
      <c r="I31" s="31"/>
      <c r="J31" s="35"/>
    </row>
    <row r="32" spans="2:10" x14ac:dyDescent="0.25">
      <c r="C32" s="56"/>
      <c r="D32" s="53"/>
      <c r="E32" s="6"/>
      <c r="F32" s="19"/>
      <c r="G32" s="24"/>
      <c r="H32" s="24"/>
      <c r="I32" s="31"/>
      <c r="J32" s="35"/>
    </row>
    <row r="33" spans="1:10" x14ac:dyDescent="0.25">
      <c r="C33" s="57" t="s">
        <v>9</v>
      </c>
      <c r="D33" s="53"/>
      <c r="E33" s="6"/>
      <c r="F33" s="19"/>
      <c r="G33" s="24" t="s">
        <v>2</v>
      </c>
      <c r="H33" s="24" t="s">
        <v>2</v>
      </c>
      <c r="I33" s="31"/>
      <c r="J33" s="35"/>
    </row>
    <row r="34" spans="1:10" x14ac:dyDescent="0.25">
      <c r="C34" s="56"/>
      <c r="D34" s="53"/>
      <c r="E34" s="6"/>
      <c r="F34" s="19"/>
      <c r="G34" s="24"/>
      <c r="H34" s="24"/>
      <c r="I34" s="31"/>
      <c r="J34" s="35"/>
    </row>
    <row r="35" spans="1:10" x14ac:dyDescent="0.25">
      <c r="C35" s="59" t="s">
        <v>10</v>
      </c>
      <c r="D35" s="53"/>
      <c r="E35" s="6"/>
      <c r="F35" s="19"/>
      <c r="G35" s="24"/>
      <c r="H35" s="24"/>
      <c r="I35" s="31"/>
      <c r="J35" s="35"/>
    </row>
    <row r="36" spans="1:10" x14ac:dyDescent="0.25">
      <c r="B36" s="8" t="s">
        <v>2949</v>
      </c>
      <c r="C36" s="56" t="s">
        <v>2950</v>
      </c>
      <c r="D36" s="53" t="s">
        <v>2951</v>
      </c>
      <c r="E36" s="6" t="s">
        <v>655</v>
      </c>
      <c r="F36" s="19">
        <v>7500000</v>
      </c>
      <c r="G36" s="24">
        <v>7877.5</v>
      </c>
      <c r="H36" s="24">
        <v>23.31</v>
      </c>
      <c r="I36" s="31">
        <v>5.0551000000000004</v>
      </c>
      <c r="J36" s="35"/>
    </row>
    <row r="37" spans="1:10" x14ac:dyDescent="0.25">
      <c r="B37" s="8" t="s">
        <v>2952</v>
      </c>
      <c r="C37" s="56" t="s">
        <v>2953</v>
      </c>
      <c r="D37" s="53" t="s">
        <v>2954</v>
      </c>
      <c r="E37" s="6" t="s">
        <v>655</v>
      </c>
      <c r="F37" s="19">
        <v>1000000</v>
      </c>
      <c r="G37" s="24">
        <v>1050.5899999999999</v>
      </c>
      <c r="H37" s="24">
        <v>3.11</v>
      </c>
      <c r="I37" s="31">
        <v>5.0547000000000004</v>
      </c>
      <c r="J37" s="35"/>
    </row>
    <row r="38" spans="1:10" x14ac:dyDescent="0.25">
      <c r="B38" s="8" t="s">
        <v>2955</v>
      </c>
      <c r="C38" s="56" t="s">
        <v>2956</v>
      </c>
      <c r="D38" s="53" t="s">
        <v>2957</v>
      </c>
      <c r="E38" s="6" t="s">
        <v>655</v>
      </c>
      <c r="F38" s="19">
        <v>175000</v>
      </c>
      <c r="G38" s="24">
        <v>183.8</v>
      </c>
      <c r="H38" s="24">
        <v>0.54</v>
      </c>
      <c r="I38" s="31">
        <v>4.6928999999999998</v>
      </c>
      <c r="J38" s="35"/>
    </row>
    <row r="39" spans="1:10" x14ac:dyDescent="0.25">
      <c r="B39" s="8" t="s">
        <v>2914</v>
      </c>
      <c r="C39" s="56" t="s">
        <v>2915</v>
      </c>
      <c r="D39" s="53" t="s">
        <v>2916</v>
      </c>
      <c r="E39" s="6" t="s">
        <v>655</v>
      </c>
      <c r="F39" s="19">
        <v>159000</v>
      </c>
      <c r="G39" s="24">
        <v>167.73</v>
      </c>
      <c r="H39" s="24">
        <v>0.5</v>
      </c>
      <c r="I39" s="31">
        <v>4.6928999999999998</v>
      </c>
      <c r="J39" s="35"/>
    </row>
    <row r="40" spans="1:10" x14ac:dyDescent="0.25">
      <c r="B40" s="8" t="s">
        <v>2745</v>
      </c>
      <c r="C40" s="56" t="s">
        <v>2746</v>
      </c>
      <c r="D40" s="53" t="s">
        <v>2747</v>
      </c>
      <c r="E40" s="6" t="s">
        <v>655</v>
      </c>
      <c r="F40" s="19">
        <v>100000</v>
      </c>
      <c r="G40" s="24">
        <v>105.51</v>
      </c>
      <c r="H40" s="24">
        <v>0.31</v>
      </c>
      <c r="I40" s="31">
        <v>4.6928999999999998</v>
      </c>
      <c r="J40" s="35"/>
    </row>
    <row r="41" spans="1:10" x14ac:dyDescent="0.25">
      <c r="C41" s="57" t="s">
        <v>35</v>
      </c>
      <c r="D41" s="53"/>
      <c r="E41" s="6"/>
      <c r="F41" s="19"/>
      <c r="G41" s="25">
        <v>9385.1299999999992</v>
      </c>
      <c r="H41" s="25">
        <v>27.77</v>
      </c>
      <c r="I41" s="31"/>
      <c r="J41" s="35"/>
    </row>
    <row r="42" spans="1:10" x14ac:dyDescent="0.25">
      <c r="C42" s="56"/>
      <c r="D42" s="53"/>
      <c r="E42" s="6"/>
      <c r="F42" s="19"/>
      <c r="G42" s="24"/>
      <c r="H42" s="24"/>
      <c r="I42" s="31"/>
      <c r="J42" s="35"/>
    </row>
    <row r="43" spans="1:10" x14ac:dyDescent="0.25">
      <c r="A43" s="10"/>
      <c r="B43" s="28"/>
      <c r="C43" s="58" t="s">
        <v>11</v>
      </c>
      <c r="D43" s="53"/>
      <c r="E43" s="6"/>
      <c r="F43" s="19"/>
      <c r="G43" s="24"/>
      <c r="H43" s="24"/>
      <c r="I43" s="31"/>
      <c r="J43" s="35"/>
    </row>
    <row r="44" spans="1:10" x14ac:dyDescent="0.25">
      <c r="A44" s="28"/>
      <c r="B44" s="28"/>
      <c r="C44" s="58" t="s">
        <v>13</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C46" s="59" t="s">
        <v>14</v>
      </c>
      <c r="D46" s="53"/>
      <c r="E46" s="6"/>
      <c r="F46" s="19"/>
      <c r="G46" s="24"/>
      <c r="H46" s="24"/>
      <c r="I46" s="31"/>
      <c r="J46" s="35"/>
    </row>
    <row r="47" spans="1:10" x14ac:dyDescent="0.25">
      <c r="B47" s="8" t="s">
        <v>1248</v>
      </c>
      <c r="C47" s="56" t="s">
        <v>818</v>
      </c>
      <c r="D47" s="53" t="s">
        <v>1249</v>
      </c>
      <c r="E47" s="6" t="s">
        <v>1000</v>
      </c>
      <c r="F47" s="19">
        <v>2100</v>
      </c>
      <c r="G47" s="24">
        <v>2047.79</v>
      </c>
      <c r="H47" s="24">
        <v>6.06</v>
      </c>
      <c r="I47" s="31">
        <v>3.8298999999999999</v>
      </c>
      <c r="J47" s="35" t="s">
        <v>514</v>
      </c>
    </row>
    <row r="48" spans="1:10" x14ac:dyDescent="0.25">
      <c r="B48" s="8" t="s">
        <v>2480</v>
      </c>
      <c r="C48" s="56" t="s">
        <v>872</v>
      </c>
      <c r="D48" s="53" t="s">
        <v>2481</v>
      </c>
      <c r="E48" s="6" t="s">
        <v>992</v>
      </c>
      <c r="F48" s="19">
        <v>100</v>
      </c>
      <c r="G48" s="24">
        <v>98.82</v>
      </c>
      <c r="H48" s="24">
        <v>0.28999999999999998</v>
      </c>
      <c r="I48" s="31">
        <v>4.2149999999999999</v>
      </c>
      <c r="J48" s="35" t="s">
        <v>514</v>
      </c>
    </row>
    <row r="49" spans="1:10" x14ac:dyDescent="0.25">
      <c r="C49" s="57" t="s">
        <v>35</v>
      </c>
      <c r="D49" s="53"/>
      <c r="E49" s="6"/>
      <c r="F49" s="19"/>
      <c r="G49" s="25">
        <v>2146.61</v>
      </c>
      <c r="H49" s="25">
        <v>6.35</v>
      </c>
      <c r="I49" s="31"/>
      <c r="J49" s="35"/>
    </row>
    <row r="50" spans="1:10" x14ac:dyDescent="0.25">
      <c r="C50" s="56"/>
      <c r="D50" s="53"/>
      <c r="E50" s="6"/>
      <c r="F50" s="19"/>
      <c r="G50" s="24"/>
      <c r="H50" s="24"/>
      <c r="I50" s="31"/>
      <c r="J50" s="35"/>
    </row>
    <row r="51" spans="1:10" x14ac:dyDescent="0.25">
      <c r="C51" s="57" t="s">
        <v>15</v>
      </c>
      <c r="D51" s="53"/>
      <c r="E51" s="6"/>
      <c r="F51" s="19"/>
      <c r="G51" s="24" t="s">
        <v>2</v>
      </c>
      <c r="H51" s="24" t="s">
        <v>2</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83.87</v>
      </c>
      <c r="H65" s="24">
        <v>0.25</v>
      </c>
      <c r="I65" s="31"/>
      <c r="J65" s="35"/>
    </row>
    <row r="66" spans="1:10" x14ac:dyDescent="0.25">
      <c r="C66" s="57" t="s">
        <v>35</v>
      </c>
      <c r="D66" s="53"/>
      <c r="E66" s="6"/>
      <c r="F66" s="19"/>
      <c r="G66" s="25">
        <v>83.87</v>
      </c>
      <c r="H66" s="25">
        <v>0.25</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816.21</v>
      </c>
      <c r="H70" s="24">
        <v>2.42</v>
      </c>
      <c r="I70" s="31"/>
      <c r="J70" s="35"/>
    </row>
    <row r="71" spans="1:10" x14ac:dyDescent="0.25">
      <c r="C71" s="57" t="s">
        <v>35</v>
      </c>
      <c r="D71" s="53"/>
      <c r="E71" s="6"/>
      <c r="F71" s="19"/>
      <c r="G71" s="25">
        <v>816.21</v>
      </c>
      <c r="H71" s="25">
        <v>2.42</v>
      </c>
      <c r="I71" s="31"/>
      <c r="J71" s="35"/>
    </row>
    <row r="72" spans="1:10" x14ac:dyDescent="0.25">
      <c r="C72" s="56"/>
      <c r="D72" s="53"/>
      <c r="E72" s="6"/>
      <c r="F72" s="19"/>
      <c r="G72" s="24"/>
      <c r="H72" s="24"/>
      <c r="I72" s="31"/>
      <c r="J72" s="35"/>
    </row>
    <row r="73" spans="1:10" x14ac:dyDescent="0.25">
      <c r="C73" s="61" t="s">
        <v>37</v>
      </c>
      <c r="D73" s="54"/>
      <c r="E73" s="5"/>
      <c r="F73" s="20"/>
      <c r="G73" s="26">
        <v>33797.339999999997</v>
      </c>
      <c r="H73" s="26">
        <f>SUMIFS(H:H,C:C,"Total")</f>
        <v>100</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1"/>
  <dimension ref="A1:J7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2958</v>
      </c>
      <c r="J2" s="37" t="s">
        <v>3307</v>
      </c>
    </row>
    <row r="3" spans="1:10" ht="16.5" x14ac:dyDescent="0.3">
      <c r="C3" s="1" t="s">
        <v>24</v>
      </c>
      <c r="D3" s="21" t="s">
        <v>2959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A23" s="28"/>
      <c r="B23" s="28"/>
      <c r="C23" s="58" t="s">
        <v>9</v>
      </c>
      <c r="D23" s="53"/>
      <c r="E23" s="6"/>
      <c r="F23" s="19"/>
      <c r="G23" s="24" t="s">
        <v>2</v>
      </c>
      <c r="H23" s="24" t="s">
        <v>2</v>
      </c>
      <c r="I23" s="31"/>
      <c r="J23" s="35"/>
    </row>
    <row r="24" spans="1:10" x14ac:dyDescent="0.25">
      <c r="A24" s="28"/>
      <c r="B24" s="28"/>
      <c r="C24" s="58"/>
      <c r="D24" s="53"/>
      <c r="E24" s="6"/>
      <c r="F24" s="19"/>
      <c r="G24" s="24"/>
      <c r="H24" s="24"/>
      <c r="I24" s="31"/>
      <c r="J24" s="35"/>
    </row>
    <row r="25" spans="1:10" x14ac:dyDescent="0.25">
      <c r="C25" s="59" t="s">
        <v>10</v>
      </c>
      <c r="D25" s="53"/>
      <c r="E25" s="6"/>
      <c r="F25" s="19"/>
      <c r="G25" s="24"/>
      <c r="H25" s="24"/>
      <c r="I25" s="31"/>
      <c r="J25" s="35"/>
    </row>
    <row r="26" spans="1:10" x14ac:dyDescent="0.25">
      <c r="B26" s="8" t="s">
        <v>2960</v>
      </c>
      <c r="C26" s="56" t="s">
        <v>2961</v>
      </c>
      <c r="D26" s="53" t="s">
        <v>2962</v>
      </c>
      <c r="E26" s="6" t="s">
        <v>655</v>
      </c>
      <c r="F26" s="19">
        <v>500000</v>
      </c>
      <c r="G26" s="24">
        <v>550.1</v>
      </c>
      <c r="H26" s="24">
        <v>15.47</v>
      </c>
      <c r="I26" s="31">
        <v>6.8098999999999998</v>
      </c>
      <c r="J26" s="35"/>
    </row>
    <row r="27" spans="1:10" x14ac:dyDescent="0.25">
      <c r="B27" s="8" t="s">
        <v>2963</v>
      </c>
      <c r="C27" s="56" t="s">
        <v>2964</v>
      </c>
      <c r="D27" s="53" t="s">
        <v>2965</v>
      </c>
      <c r="E27" s="6" t="s">
        <v>655</v>
      </c>
      <c r="F27" s="19">
        <v>500000</v>
      </c>
      <c r="G27" s="24">
        <v>549.74</v>
      </c>
      <c r="H27" s="24">
        <v>15.46</v>
      </c>
      <c r="I27" s="31">
        <v>6.8205</v>
      </c>
      <c r="J27" s="35"/>
    </row>
    <row r="28" spans="1:10" x14ac:dyDescent="0.25">
      <c r="B28" s="8" t="s">
        <v>2966</v>
      </c>
      <c r="C28" s="56" t="s">
        <v>2967</v>
      </c>
      <c r="D28" s="53" t="s">
        <v>2968</v>
      </c>
      <c r="E28" s="6" t="s">
        <v>655</v>
      </c>
      <c r="F28" s="19">
        <v>500000</v>
      </c>
      <c r="G28" s="24">
        <v>549.02</v>
      </c>
      <c r="H28" s="24">
        <v>15.44</v>
      </c>
      <c r="I28" s="31">
        <v>6.8015999999999996</v>
      </c>
      <c r="J28" s="35"/>
    </row>
    <row r="29" spans="1:10" x14ac:dyDescent="0.25">
      <c r="B29" s="8" t="s">
        <v>2969</v>
      </c>
      <c r="C29" s="56" t="s">
        <v>2970</v>
      </c>
      <c r="D29" s="53" t="s">
        <v>2971</v>
      </c>
      <c r="E29" s="6" t="s">
        <v>655</v>
      </c>
      <c r="F29" s="19">
        <v>500000</v>
      </c>
      <c r="G29" s="24">
        <v>547.53</v>
      </c>
      <c r="H29" s="24">
        <v>15.4</v>
      </c>
      <c r="I29" s="31">
        <v>6.8015999999999996</v>
      </c>
      <c r="J29" s="35"/>
    </row>
    <row r="30" spans="1:10" x14ac:dyDescent="0.25">
      <c r="B30" s="8" t="s">
        <v>2972</v>
      </c>
      <c r="C30" s="56" t="s">
        <v>2973</v>
      </c>
      <c r="D30" s="53" t="s">
        <v>2974</v>
      </c>
      <c r="E30" s="6" t="s">
        <v>655</v>
      </c>
      <c r="F30" s="19">
        <v>500000</v>
      </c>
      <c r="G30" s="24">
        <v>539.79</v>
      </c>
      <c r="H30" s="24">
        <v>15.18</v>
      </c>
      <c r="I30" s="31">
        <v>6.81</v>
      </c>
      <c r="J30" s="35"/>
    </row>
    <row r="31" spans="1:10" x14ac:dyDescent="0.25">
      <c r="B31" s="8" t="s">
        <v>2975</v>
      </c>
      <c r="C31" s="56" t="s">
        <v>2976</v>
      </c>
      <c r="D31" s="53" t="s">
        <v>2977</v>
      </c>
      <c r="E31" s="6" t="s">
        <v>655</v>
      </c>
      <c r="F31" s="19">
        <v>400000</v>
      </c>
      <c r="G31" s="24">
        <v>432.07</v>
      </c>
      <c r="H31" s="24">
        <v>12.15</v>
      </c>
      <c r="I31" s="31">
        <v>6.7915999999999999</v>
      </c>
      <c r="J31" s="35"/>
    </row>
    <row r="32" spans="1:10" x14ac:dyDescent="0.25">
      <c r="C32" s="57" t="s">
        <v>35</v>
      </c>
      <c r="D32" s="53"/>
      <c r="E32" s="6"/>
      <c r="F32" s="19"/>
      <c r="G32" s="25">
        <v>3168.25</v>
      </c>
      <c r="H32" s="25">
        <v>89.1</v>
      </c>
      <c r="I32" s="31"/>
      <c r="J32" s="35"/>
    </row>
    <row r="33" spans="1:10" x14ac:dyDescent="0.25">
      <c r="C33" s="56"/>
      <c r="D33" s="53"/>
      <c r="E33" s="6"/>
      <c r="F33" s="19"/>
      <c r="G33" s="24"/>
      <c r="H33" s="24"/>
      <c r="I33" s="31"/>
      <c r="J33" s="35"/>
    </row>
    <row r="34" spans="1:10" x14ac:dyDescent="0.25">
      <c r="A34" s="10"/>
      <c r="B34" s="28"/>
      <c r="C34" s="58" t="s">
        <v>11</v>
      </c>
      <c r="D34" s="53"/>
      <c r="E34" s="6"/>
      <c r="F34" s="19"/>
      <c r="G34" s="24"/>
      <c r="H34" s="24"/>
      <c r="I34" s="31"/>
      <c r="J34" s="35"/>
    </row>
    <row r="35" spans="1:10" x14ac:dyDescent="0.25">
      <c r="A35" s="28"/>
      <c r="B35" s="28"/>
      <c r="C35" s="58" t="s">
        <v>13</v>
      </c>
      <c r="D35" s="53"/>
      <c r="E35" s="6"/>
      <c r="F35" s="19"/>
      <c r="G35" s="24" t="s">
        <v>2</v>
      </c>
      <c r="H35" s="24" t="s">
        <v>2</v>
      </c>
      <c r="I35" s="31"/>
      <c r="J35" s="35"/>
    </row>
    <row r="36" spans="1:10" x14ac:dyDescent="0.25">
      <c r="A36" s="28"/>
      <c r="B36" s="28"/>
      <c r="C36" s="58"/>
      <c r="D36" s="53"/>
      <c r="E36" s="6"/>
      <c r="F36" s="19"/>
      <c r="G36" s="24"/>
      <c r="H36" s="24"/>
      <c r="I36" s="31"/>
      <c r="J36" s="35"/>
    </row>
    <row r="37" spans="1:10" x14ac:dyDescent="0.25">
      <c r="C37" s="59" t="s">
        <v>14</v>
      </c>
      <c r="D37" s="53"/>
      <c r="E37" s="6"/>
      <c r="F37" s="19"/>
      <c r="G37" s="24"/>
      <c r="H37" s="24"/>
      <c r="I37" s="31"/>
      <c r="J37" s="35"/>
    </row>
    <row r="38" spans="1:10" x14ac:dyDescent="0.25">
      <c r="B38" s="8" t="s">
        <v>2338</v>
      </c>
      <c r="C38" s="56" t="s">
        <v>2339</v>
      </c>
      <c r="D38" s="53" t="s">
        <v>2340</v>
      </c>
      <c r="E38" s="6" t="s">
        <v>992</v>
      </c>
      <c r="F38" s="19">
        <v>100</v>
      </c>
      <c r="G38" s="24">
        <v>97.78</v>
      </c>
      <c r="H38" s="24">
        <v>2.75</v>
      </c>
      <c r="I38" s="31">
        <v>5.65</v>
      </c>
      <c r="J38" s="35" t="s">
        <v>514</v>
      </c>
    </row>
    <row r="39" spans="1:10" x14ac:dyDescent="0.25">
      <c r="B39" s="8" t="s">
        <v>1232</v>
      </c>
      <c r="C39" s="56" t="s">
        <v>818</v>
      </c>
      <c r="D39" s="53" t="s">
        <v>1233</v>
      </c>
      <c r="E39" s="6" t="s">
        <v>1000</v>
      </c>
      <c r="F39" s="19">
        <v>100</v>
      </c>
      <c r="G39" s="24">
        <v>97.3</v>
      </c>
      <c r="H39" s="24">
        <v>2.74</v>
      </c>
      <c r="I39" s="31">
        <v>3.83</v>
      </c>
      <c r="J39" s="35" t="s">
        <v>514</v>
      </c>
    </row>
    <row r="40" spans="1:10" x14ac:dyDescent="0.25">
      <c r="C40" s="57" t="s">
        <v>35</v>
      </c>
      <c r="D40" s="53"/>
      <c r="E40" s="6"/>
      <c r="F40" s="19"/>
      <c r="G40" s="25">
        <v>195.08</v>
      </c>
      <c r="H40" s="25">
        <v>5.49</v>
      </c>
      <c r="I40" s="31"/>
      <c r="J40" s="35"/>
    </row>
    <row r="41" spans="1:10" x14ac:dyDescent="0.25">
      <c r="C41" s="56"/>
      <c r="D41" s="53"/>
      <c r="E41" s="6"/>
      <c r="F41" s="19"/>
      <c r="G41" s="24"/>
      <c r="H41" s="24"/>
      <c r="I41" s="31"/>
      <c r="J41" s="35"/>
    </row>
    <row r="42" spans="1:10" x14ac:dyDescent="0.25">
      <c r="C42" s="57" t="s">
        <v>15</v>
      </c>
      <c r="D42" s="53"/>
      <c r="E42" s="6"/>
      <c r="F42" s="19"/>
      <c r="G42" s="24" t="s">
        <v>2</v>
      </c>
      <c r="H42" s="24" t="s">
        <v>2</v>
      </c>
      <c r="I42" s="31"/>
      <c r="J42" s="35"/>
    </row>
    <row r="43" spans="1:10" x14ac:dyDescent="0.25">
      <c r="C43" s="56"/>
      <c r="D43" s="53"/>
      <c r="E43" s="6"/>
      <c r="F43" s="19"/>
      <c r="G43" s="24"/>
      <c r="H43" s="24"/>
      <c r="I43" s="31"/>
      <c r="J43" s="35"/>
    </row>
    <row r="44" spans="1:10" x14ac:dyDescent="0.25">
      <c r="C44" s="57" t="s">
        <v>16</v>
      </c>
      <c r="D44" s="53"/>
      <c r="E44" s="6"/>
      <c r="F44" s="19"/>
      <c r="G44" s="24" t="s">
        <v>2</v>
      </c>
      <c r="H44" s="24" t="s">
        <v>2</v>
      </c>
      <c r="I44" s="31"/>
      <c r="J44" s="35"/>
    </row>
    <row r="45" spans="1:10" x14ac:dyDescent="0.25">
      <c r="C45" s="56"/>
      <c r="D45" s="53"/>
      <c r="E45" s="6"/>
      <c r="F45" s="19"/>
      <c r="G45" s="24"/>
      <c r="H45" s="24"/>
      <c r="I45" s="31"/>
      <c r="J45" s="35"/>
    </row>
    <row r="46" spans="1:10" x14ac:dyDescent="0.25">
      <c r="A46" s="10"/>
      <c r="B46" s="28"/>
      <c r="C46" s="58" t="s">
        <v>17</v>
      </c>
      <c r="D46" s="53"/>
      <c r="E46" s="6"/>
      <c r="F46" s="19"/>
      <c r="G46" s="24"/>
      <c r="H46" s="24"/>
      <c r="I46" s="31"/>
      <c r="J46" s="35"/>
    </row>
    <row r="47" spans="1:10" x14ac:dyDescent="0.25">
      <c r="A47" s="28"/>
      <c r="B47" s="28"/>
      <c r="C47" s="58" t="s">
        <v>18</v>
      </c>
      <c r="D47" s="53"/>
      <c r="E47" s="6"/>
      <c r="F47" s="19"/>
      <c r="G47" s="24" t="s">
        <v>2</v>
      </c>
      <c r="H47" s="24" t="s">
        <v>2</v>
      </c>
      <c r="I47" s="31"/>
      <c r="J47" s="35"/>
    </row>
    <row r="48" spans="1:10" x14ac:dyDescent="0.25">
      <c r="A48" s="28"/>
      <c r="B48" s="28"/>
      <c r="C48" s="58"/>
      <c r="D48" s="53"/>
      <c r="E48" s="6"/>
      <c r="F48" s="19"/>
      <c r="G48" s="24"/>
      <c r="H48" s="24"/>
      <c r="I48" s="31"/>
      <c r="J48" s="35"/>
    </row>
    <row r="49" spans="1:10" x14ac:dyDescent="0.25">
      <c r="A49" s="28"/>
      <c r="B49" s="28"/>
      <c r="C49" s="58" t="s">
        <v>19</v>
      </c>
      <c r="D49" s="53"/>
      <c r="E49" s="6"/>
      <c r="F49" s="19"/>
      <c r="G49" s="24" t="s">
        <v>2</v>
      </c>
      <c r="H49" s="24" t="s">
        <v>2</v>
      </c>
      <c r="I49" s="31"/>
      <c r="J49" s="35"/>
    </row>
    <row r="50" spans="1:10" x14ac:dyDescent="0.25">
      <c r="A50" s="28"/>
      <c r="B50" s="28"/>
      <c r="C50" s="58"/>
      <c r="D50" s="53"/>
      <c r="E50" s="6"/>
      <c r="F50" s="19"/>
      <c r="G50" s="24"/>
      <c r="H50" s="24"/>
      <c r="I50" s="31"/>
      <c r="J50" s="35"/>
    </row>
    <row r="51" spans="1:10" x14ac:dyDescent="0.25">
      <c r="A51" s="28"/>
      <c r="B51" s="28"/>
      <c r="C51" s="58" t="s">
        <v>20</v>
      </c>
      <c r="D51" s="53"/>
      <c r="E51" s="6"/>
      <c r="F51" s="19"/>
      <c r="G51" s="24" t="s">
        <v>2</v>
      </c>
      <c r="H51" s="24" t="s">
        <v>2</v>
      </c>
      <c r="I51" s="31"/>
      <c r="J51" s="35"/>
    </row>
    <row r="52" spans="1:10" x14ac:dyDescent="0.25">
      <c r="A52" s="28"/>
      <c r="B52" s="28"/>
      <c r="C52" s="58"/>
      <c r="D52" s="53"/>
      <c r="E52" s="6"/>
      <c r="F52" s="19"/>
      <c r="G52" s="24"/>
      <c r="H52" s="24"/>
      <c r="I52" s="31"/>
      <c r="J52" s="35"/>
    </row>
    <row r="53" spans="1:10" x14ac:dyDescent="0.25">
      <c r="A53" s="28"/>
      <c r="B53" s="28"/>
      <c r="C53" s="58" t="s">
        <v>21</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C55" s="59" t="s">
        <v>22</v>
      </c>
      <c r="D55" s="53"/>
      <c r="E55" s="6"/>
      <c r="F55" s="19"/>
      <c r="G55" s="24"/>
      <c r="H55" s="24"/>
      <c r="I55" s="31"/>
      <c r="J55" s="35"/>
    </row>
    <row r="56" spans="1:10" x14ac:dyDescent="0.25">
      <c r="B56" s="8" t="s">
        <v>33</v>
      </c>
      <c r="C56" s="56" t="s">
        <v>34</v>
      </c>
      <c r="D56" s="53"/>
      <c r="E56" s="6"/>
      <c r="F56" s="19"/>
      <c r="G56" s="24">
        <v>184.38</v>
      </c>
      <c r="H56" s="24">
        <v>5.19</v>
      </c>
      <c r="I56" s="31"/>
      <c r="J56" s="35"/>
    </row>
    <row r="57" spans="1:10" x14ac:dyDescent="0.25">
      <c r="C57" s="57" t="s">
        <v>35</v>
      </c>
      <c r="D57" s="53"/>
      <c r="E57" s="6"/>
      <c r="F57" s="19"/>
      <c r="G57" s="25">
        <v>184.38</v>
      </c>
      <c r="H57" s="25">
        <v>5.19</v>
      </c>
      <c r="I57" s="31"/>
      <c r="J57" s="35"/>
    </row>
    <row r="58" spans="1:10" x14ac:dyDescent="0.25">
      <c r="C58" s="56"/>
      <c r="D58" s="53"/>
      <c r="E58" s="6"/>
      <c r="F58" s="19"/>
      <c r="G58" s="24"/>
      <c r="H58" s="24"/>
      <c r="I58" s="31"/>
      <c r="J58" s="35"/>
    </row>
    <row r="59" spans="1:10" x14ac:dyDescent="0.25">
      <c r="A59" s="10"/>
      <c r="B59" s="28"/>
      <c r="C59" s="58" t="s">
        <v>23</v>
      </c>
      <c r="D59" s="53"/>
      <c r="E59" s="6"/>
      <c r="F59" s="19"/>
      <c r="G59" s="24"/>
      <c r="H59" s="24"/>
      <c r="I59" s="31"/>
      <c r="J59" s="35"/>
    </row>
    <row r="60" spans="1:10" x14ac:dyDescent="0.25">
      <c r="A60" s="28"/>
      <c r="B60" s="28"/>
      <c r="C60" s="60" t="s">
        <v>3398</v>
      </c>
      <c r="D60" s="53"/>
      <c r="E60" s="6"/>
      <c r="F60" s="19"/>
      <c r="G60" s="24" t="s">
        <v>2</v>
      </c>
      <c r="H60" s="24" t="s">
        <v>2</v>
      </c>
      <c r="I60" s="31"/>
      <c r="J60" s="35"/>
    </row>
    <row r="61" spans="1:10" x14ac:dyDescent="0.25">
      <c r="B61" s="8"/>
      <c r="C61" s="56" t="s">
        <v>36</v>
      </c>
      <c r="D61" s="53"/>
      <c r="E61" s="6"/>
      <c r="F61" s="19"/>
      <c r="G61" s="24">
        <v>7.96</v>
      </c>
      <c r="H61" s="24">
        <v>0.22</v>
      </c>
      <c r="I61" s="31"/>
      <c r="J61" s="35"/>
    </row>
    <row r="62" spans="1:10" x14ac:dyDescent="0.25">
      <c r="C62" s="57" t="s">
        <v>35</v>
      </c>
      <c r="D62" s="53"/>
      <c r="E62" s="6"/>
      <c r="F62" s="19"/>
      <c r="G62" s="25">
        <v>7.96</v>
      </c>
      <c r="H62" s="25">
        <v>0.22</v>
      </c>
      <c r="I62" s="31"/>
      <c r="J62" s="35"/>
    </row>
    <row r="63" spans="1:10" x14ac:dyDescent="0.25">
      <c r="C63" s="56"/>
      <c r="D63" s="53"/>
      <c r="E63" s="6"/>
      <c r="F63" s="19"/>
      <c r="G63" s="24"/>
      <c r="H63" s="24"/>
      <c r="I63" s="31"/>
      <c r="J63" s="35"/>
    </row>
    <row r="64" spans="1:10" x14ac:dyDescent="0.25">
      <c r="C64" s="61" t="s">
        <v>37</v>
      </c>
      <c r="D64" s="54"/>
      <c r="E64" s="5"/>
      <c r="F64" s="20"/>
      <c r="G64" s="26">
        <v>3555.67</v>
      </c>
      <c r="H64" s="26">
        <f>SUMIFS(H:H,C:C,"Total")</f>
        <v>99.999999999999986</v>
      </c>
      <c r="I64" s="32"/>
      <c r="J64" s="36"/>
    </row>
    <row r="67" spans="3:3" x14ac:dyDescent="0.25">
      <c r="C67" s="1" t="s">
        <v>38</v>
      </c>
    </row>
    <row r="68" spans="3:3" x14ac:dyDescent="0.25">
      <c r="C68" s="2" t="s">
        <v>39</v>
      </c>
    </row>
    <row r="69" spans="3:3" x14ac:dyDescent="0.25">
      <c r="C69" s="2" t="s">
        <v>40</v>
      </c>
    </row>
    <row r="70" spans="3:3" x14ac:dyDescent="0.25">
      <c r="C70" s="2" t="s">
        <v>3430</v>
      </c>
    </row>
  </sheetData>
  <hyperlinks>
    <hyperlink ref="J2" location="'Index'!A1" display="'Index'!A1"/>
  </hyperlinks>
  <pageMargins left="0.7" right="0.7" top="0.75" bottom="0.75" header="0.3" footer="0.3"/>
  <pageSetup orientation="portrait" horizontalDpi="4294967293"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2"/>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2978</v>
      </c>
      <c r="J2" s="37" t="s">
        <v>3307</v>
      </c>
    </row>
    <row r="3" spans="1:10" ht="16.5" x14ac:dyDescent="0.3">
      <c r="C3" s="1" t="s">
        <v>24</v>
      </c>
      <c r="D3" s="21" t="s">
        <v>2979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2716</v>
      </c>
      <c r="C18" s="56" t="s">
        <v>1127</v>
      </c>
      <c r="D18" s="53" t="s">
        <v>2717</v>
      </c>
      <c r="E18" s="6" t="s">
        <v>534</v>
      </c>
      <c r="F18" s="19">
        <v>140</v>
      </c>
      <c r="G18" s="24">
        <v>1691.07</v>
      </c>
      <c r="H18" s="24">
        <v>9.9700000000000006</v>
      </c>
      <c r="I18" s="31">
        <v>5.0199999999999996</v>
      </c>
      <c r="J18" s="35" t="s">
        <v>514</v>
      </c>
    </row>
    <row r="19" spans="2:10" x14ac:dyDescent="0.25">
      <c r="B19" s="8" t="s">
        <v>2980</v>
      </c>
      <c r="C19" s="56" t="s">
        <v>1935</v>
      </c>
      <c r="D19" s="53" t="s">
        <v>2981</v>
      </c>
      <c r="E19" s="6" t="s">
        <v>911</v>
      </c>
      <c r="F19" s="19">
        <v>180</v>
      </c>
      <c r="G19" s="24">
        <v>1652.18</v>
      </c>
      <c r="H19" s="24">
        <v>9.74</v>
      </c>
      <c r="I19" s="31">
        <v>5.1999000000000004</v>
      </c>
      <c r="J19" s="35" t="s">
        <v>514</v>
      </c>
    </row>
    <row r="20" spans="2:10" x14ac:dyDescent="0.25">
      <c r="B20" s="8" t="s">
        <v>2982</v>
      </c>
      <c r="C20" s="56" t="s">
        <v>1143</v>
      </c>
      <c r="D20" s="53" t="s">
        <v>2983</v>
      </c>
      <c r="E20" s="6" t="s">
        <v>911</v>
      </c>
      <c r="F20" s="19">
        <v>140</v>
      </c>
      <c r="G20" s="24">
        <v>1649.79</v>
      </c>
      <c r="H20" s="24">
        <v>9.73</v>
      </c>
      <c r="I20" s="31">
        <v>5.5899000000000001</v>
      </c>
      <c r="J20" s="35" t="s">
        <v>514</v>
      </c>
    </row>
    <row r="21" spans="2:10" x14ac:dyDescent="0.25">
      <c r="B21" s="8" t="s">
        <v>2636</v>
      </c>
      <c r="C21" s="56" t="s">
        <v>1752</v>
      </c>
      <c r="D21" s="53" t="s">
        <v>2637</v>
      </c>
      <c r="E21" s="6" t="s">
        <v>1314</v>
      </c>
      <c r="F21" s="19">
        <v>140</v>
      </c>
      <c r="G21" s="24">
        <v>1477.24</v>
      </c>
      <c r="H21" s="24">
        <v>8.7100000000000009</v>
      </c>
      <c r="I21" s="31">
        <v>4.375</v>
      </c>
      <c r="J21" s="35" t="s">
        <v>514</v>
      </c>
    </row>
    <row r="22" spans="2:10" x14ac:dyDescent="0.25">
      <c r="B22" s="8" t="s">
        <v>1864</v>
      </c>
      <c r="C22" s="56" t="s">
        <v>125</v>
      </c>
      <c r="D22" s="53" t="s">
        <v>1865</v>
      </c>
      <c r="E22" s="6" t="s">
        <v>534</v>
      </c>
      <c r="F22" s="19">
        <v>140</v>
      </c>
      <c r="G22" s="24">
        <v>1473.07</v>
      </c>
      <c r="H22" s="24">
        <v>8.69</v>
      </c>
      <c r="I22" s="31">
        <v>4.76</v>
      </c>
      <c r="J22" s="35"/>
    </row>
    <row r="23" spans="2:10" x14ac:dyDescent="0.25">
      <c r="B23" s="8" t="s">
        <v>2698</v>
      </c>
      <c r="C23" s="56" t="s">
        <v>1130</v>
      </c>
      <c r="D23" s="53" t="s">
        <v>2699</v>
      </c>
      <c r="E23" s="6" t="s">
        <v>911</v>
      </c>
      <c r="F23" s="19">
        <v>140</v>
      </c>
      <c r="G23" s="24">
        <v>1472.83</v>
      </c>
      <c r="H23" s="24">
        <v>8.68</v>
      </c>
      <c r="I23" s="31">
        <v>4.6448999999999998</v>
      </c>
      <c r="J23" s="35" t="s">
        <v>514</v>
      </c>
    </row>
    <row r="24" spans="2:10" x14ac:dyDescent="0.25">
      <c r="B24" s="8" t="s">
        <v>2646</v>
      </c>
      <c r="C24" s="56" t="s">
        <v>53</v>
      </c>
      <c r="D24" s="53" t="s">
        <v>2647</v>
      </c>
      <c r="E24" s="6" t="s">
        <v>534</v>
      </c>
      <c r="F24" s="19">
        <v>140</v>
      </c>
      <c r="G24" s="24">
        <v>1471.03</v>
      </c>
      <c r="H24" s="24">
        <v>8.67</v>
      </c>
      <c r="I24" s="31">
        <v>4.53</v>
      </c>
      <c r="J24" s="35"/>
    </row>
    <row r="25" spans="2:10" x14ac:dyDescent="0.25">
      <c r="B25" s="8" t="s">
        <v>1713</v>
      </c>
      <c r="C25" s="56" t="s">
        <v>601</v>
      </c>
      <c r="D25" s="53" t="s">
        <v>1714</v>
      </c>
      <c r="E25" s="6" t="s">
        <v>534</v>
      </c>
      <c r="F25" s="19">
        <v>140</v>
      </c>
      <c r="G25" s="24">
        <v>1468.54</v>
      </c>
      <c r="H25" s="24">
        <v>8.66</v>
      </c>
      <c r="I25" s="31">
        <v>4.6100000000000003</v>
      </c>
      <c r="J25" s="35" t="s">
        <v>514</v>
      </c>
    </row>
    <row r="26" spans="2:10" x14ac:dyDescent="0.25">
      <c r="B26" s="8" t="s">
        <v>2816</v>
      </c>
      <c r="C26" s="56" t="s">
        <v>909</v>
      </c>
      <c r="D26" s="53" t="s">
        <v>2817</v>
      </c>
      <c r="E26" s="6" t="s">
        <v>534</v>
      </c>
      <c r="F26" s="19">
        <v>140</v>
      </c>
      <c r="G26" s="24">
        <v>1467.88</v>
      </c>
      <c r="H26" s="24">
        <v>8.66</v>
      </c>
      <c r="I26" s="31">
        <v>4.55</v>
      </c>
      <c r="J26" s="35" t="s">
        <v>514</v>
      </c>
    </row>
    <row r="27" spans="2:10" x14ac:dyDescent="0.25">
      <c r="B27" s="8" t="s">
        <v>1776</v>
      </c>
      <c r="C27" s="56" t="s">
        <v>77</v>
      </c>
      <c r="D27" s="53" t="s">
        <v>1777</v>
      </c>
      <c r="E27" s="6" t="s">
        <v>534</v>
      </c>
      <c r="F27" s="19">
        <v>140</v>
      </c>
      <c r="G27" s="24">
        <v>1464.6</v>
      </c>
      <c r="H27" s="24">
        <v>8.64</v>
      </c>
      <c r="I27" s="31">
        <v>4.6749999999999998</v>
      </c>
      <c r="J27" s="35" t="s">
        <v>514</v>
      </c>
    </row>
    <row r="28" spans="2:10" x14ac:dyDescent="0.25">
      <c r="B28" s="8" t="s">
        <v>2772</v>
      </c>
      <c r="C28" s="56" t="s">
        <v>857</v>
      </c>
      <c r="D28" s="53" t="s">
        <v>2773</v>
      </c>
      <c r="E28" s="6" t="s">
        <v>534</v>
      </c>
      <c r="F28" s="19">
        <v>30</v>
      </c>
      <c r="G28" s="24">
        <v>316.24</v>
      </c>
      <c r="H28" s="24">
        <v>1.86</v>
      </c>
      <c r="I28" s="31">
        <v>4.3</v>
      </c>
      <c r="J28" s="35"/>
    </row>
    <row r="29" spans="2:10" x14ac:dyDescent="0.25">
      <c r="B29" s="8" t="s">
        <v>1872</v>
      </c>
      <c r="C29" s="56" t="s">
        <v>1376</v>
      </c>
      <c r="D29" s="53" t="s">
        <v>1873</v>
      </c>
      <c r="E29" s="6" t="s">
        <v>534</v>
      </c>
      <c r="F29" s="19">
        <v>5</v>
      </c>
      <c r="G29" s="24">
        <v>53.52</v>
      </c>
      <c r="H29" s="24">
        <v>0.32</v>
      </c>
      <c r="I29" s="31">
        <v>4.91</v>
      </c>
      <c r="J29" s="35" t="s">
        <v>514</v>
      </c>
    </row>
    <row r="30" spans="2:10" x14ac:dyDescent="0.25">
      <c r="C30" s="57" t="s">
        <v>35</v>
      </c>
      <c r="D30" s="53"/>
      <c r="E30" s="6"/>
      <c r="F30" s="19"/>
      <c r="G30" s="25">
        <v>15657.99</v>
      </c>
      <c r="H30" s="25">
        <v>92.33</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7" t="s">
        <v>8</v>
      </c>
      <c r="D34" s="53"/>
      <c r="E34" s="6"/>
      <c r="F34" s="19"/>
      <c r="G34" s="24" t="s">
        <v>2</v>
      </c>
      <c r="H34" s="24" t="s">
        <v>2</v>
      </c>
      <c r="I34" s="31"/>
      <c r="J34" s="35"/>
    </row>
    <row r="35" spans="1:10" x14ac:dyDescent="0.25">
      <c r="C35" s="56"/>
      <c r="D35" s="53"/>
      <c r="E35" s="6"/>
      <c r="F35" s="19"/>
      <c r="G35" s="24"/>
      <c r="H35" s="24"/>
      <c r="I35" s="31"/>
      <c r="J35" s="35"/>
    </row>
    <row r="36" spans="1:10" x14ac:dyDescent="0.25">
      <c r="C36" s="57" t="s">
        <v>9</v>
      </c>
      <c r="D36" s="53"/>
      <c r="E36" s="6"/>
      <c r="F36" s="19"/>
      <c r="G36" s="24" t="s">
        <v>2</v>
      </c>
      <c r="H36" s="24" t="s">
        <v>2</v>
      </c>
      <c r="I36" s="31"/>
      <c r="J36" s="35"/>
    </row>
    <row r="37" spans="1:10" x14ac:dyDescent="0.25">
      <c r="C37" s="56"/>
      <c r="D37" s="53"/>
      <c r="E37" s="6"/>
      <c r="F37" s="19"/>
      <c r="G37" s="24"/>
      <c r="H37" s="24"/>
      <c r="I37" s="31"/>
      <c r="J37" s="35"/>
    </row>
    <row r="38" spans="1:10" x14ac:dyDescent="0.25">
      <c r="C38" s="57" t="s">
        <v>10</v>
      </c>
      <c r="D38" s="53"/>
      <c r="E38" s="6"/>
      <c r="F38" s="19"/>
      <c r="G38" s="24" t="s">
        <v>2</v>
      </c>
      <c r="H38" s="24" t="s">
        <v>2</v>
      </c>
      <c r="I38" s="31"/>
      <c r="J38" s="35"/>
    </row>
    <row r="39" spans="1:10" x14ac:dyDescent="0.25">
      <c r="C39" s="56"/>
      <c r="D39" s="53"/>
      <c r="E39" s="6"/>
      <c r="F39" s="19"/>
      <c r="G39" s="24"/>
      <c r="H39" s="24"/>
      <c r="I39" s="31"/>
      <c r="J39" s="35"/>
    </row>
    <row r="40" spans="1:10" x14ac:dyDescent="0.25">
      <c r="A40" s="10"/>
      <c r="B40" s="28"/>
      <c r="C40" s="58" t="s">
        <v>11</v>
      </c>
      <c r="D40" s="53"/>
      <c r="E40" s="6"/>
      <c r="F40" s="19"/>
      <c r="G40" s="24"/>
      <c r="H40" s="24"/>
      <c r="I40" s="31"/>
      <c r="J40" s="35"/>
    </row>
    <row r="41" spans="1:10" x14ac:dyDescent="0.25">
      <c r="A41" s="28"/>
      <c r="B41" s="28"/>
      <c r="C41" s="58" t="s">
        <v>13</v>
      </c>
      <c r="D41" s="53"/>
      <c r="E41" s="6"/>
      <c r="F41" s="19"/>
      <c r="G41" s="24" t="s">
        <v>2</v>
      </c>
      <c r="H41" s="24" t="s">
        <v>2</v>
      </c>
      <c r="I41" s="31"/>
      <c r="J41" s="35"/>
    </row>
    <row r="42" spans="1:10" x14ac:dyDescent="0.25">
      <c r="A42" s="28"/>
      <c r="B42" s="28"/>
      <c r="C42" s="58"/>
      <c r="D42" s="53"/>
      <c r="E42" s="6"/>
      <c r="F42" s="19"/>
      <c r="G42" s="24"/>
      <c r="H42" s="24"/>
      <c r="I42" s="31"/>
      <c r="J42" s="35"/>
    </row>
    <row r="43" spans="1:10" x14ac:dyDescent="0.25">
      <c r="C43" s="59" t="s">
        <v>14</v>
      </c>
      <c r="D43" s="53"/>
      <c r="E43" s="6"/>
      <c r="F43" s="19"/>
      <c r="G43" s="24"/>
      <c r="H43" s="24"/>
      <c r="I43" s="31"/>
      <c r="J43" s="35"/>
    </row>
    <row r="44" spans="1:10" x14ac:dyDescent="0.25">
      <c r="B44" s="8" t="s">
        <v>1248</v>
      </c>
      <c r="C44" s="56" t="s">
        <v>818</v>
      </c>
      <c r="D44" s="53" t="s">
        <v>1249</v>
      </c>
      <c r="E44" s="6" t="s">
        <v>1000</v>
      </c>
      <c r="F44" s="19">
        <v>600</v>
      </c>
      <c r="G44" s="24">
        <v>585.08000000000004</v>
      </c>
      <c r="H44" s="24">
        <v>3.45</v>
      </c>
      <c r="I44" s="31">
        <v>3.8298999999999999</v>
      </c>
      <c r="J44" s="35" t="s">
        <v>514</v>
      </c>
    </row>
    <row r="45" spans="1:10" x14ac:dyDescent="0.25">
      <c r="B45" s="8" t="s">
        <v>2338</v>
      </c>
      <c r="C45" s="56" t="s">
        <v>2339</v>
      </c>
      <c r="D45" s="53" t="s">
        <v>2340</v>
      </c>
      <c r="E45" s="6" t="s">
        <v>992</v>
      </c>
      <c r="F45" s="19">
        <v>200</v>
      </c>
      <c r="G45" s="24">
        <v>195.55</v>
      </c>
      <c r="H45" s="24">
        <v>1.1499999999999999</v>
      </c>
      <c r="I45" s="31">
        <v>5.65</v>
      </c>
      <c r="J45" s="35" t="s">
        <v>514</v>
      </c>
    </row>
    <row r="46" spans="1:10" x14ac:dyDescent="0.25">
      <c r="C46" s="57" t="s">
        <v>35</v>
      </c>
      <c r="D46" s="53"/>
      <c r="E46" s="6"/>
      <c r="F46" s="19"/>
      <c r="G46" s="25">
        <v>780.63</v>
      </c>
      <c r="H46" s="25">
        <v>4.5999999999999996</v>
      </c>
      <c r="I46" s="31"/>
      <c r="J46" s="35"/>
    </row>
    <row r="47" spans="1:10" x14ac:dyDescent="0.25">
      <c r="C47" s="56"/>
      <c r="D47" s="53"/>
      <c r="E47" s="6"/>
      <c r="F47" s="19"/>
      <c r="G47" s="24"/>
      <c r="H47" s="24"/>
      <c r="I47" s="31"/>
      <c r="J47" s="35"/>
    </row>
    <row r="48" spans="1: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50.59</v>
      </c>
      <c r="H62" s="24">
        <v>0.3</v>
      </c>
      <c r="I62" s="31"/>
      <c r="J62" s="35"/>
    </row>
    <row r="63" spans="1:10" x14ac:dyDescent="0.25">
      <c r="C63" s="57" t="s">
        <v>35</v>
      </c>
      <c r="D63" s="53"/>
      <c r="E63" s="6"/>
      <c r="F63" s="19"/>
      <c r="G63" s="25">
        <v>50.59</v>
      </c>
      <c r="H63" s="25">
        <v>0.3</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470.11</v>
      </c>
      <c r="H67" s="24">
        <v>2.77</v>
      </c>
      <c r="I67" s="31"/>
      <c r="J67" s="35"/>
    </row>
    <row r="68" spans="1:10" x14ac:dyDescent="0.25">
      <c r="C68" s="57" t="s">
        <v>35</v>
      </c>
      <c r="D68" s="53"/>
      <c r="E68" s="6"/>
      <c r="F68" s="19"/>
      <c r="G68" s="25">
        <v>470.11</v>
      </c>
      <c r="H68" s="25">
        <v>2.77</v>
      </c>
      <c r="I68" s="31"/>
      <c r="J68" s="35"/>
    </row>
    <row r="69" spans="1:10" x14ac:dyDescent="0.25">
      <c r="C69" s="56"/>
      <c r="D69" s="53"/>
      <c r="E69" s="6"/>
      <c r="F69" s="19"/>
      <c r="G69" s="24"/>
      <c r="H69" s="24"/>
      <c r="I69" s="31"/>
      <c r="J69" s="35"/>
    </row>
    <row r="70" spans="1:10" x14ac:dyDescent="0.25">
      <c r="C70" s="61" t="s">
        <v>37</v>
      </c>
      <c r="D70" s="54"/>
      <c r="E70" s="5"/>
      <c r="F70" s="20"/>
      <c r="G70" s="26">
        <v>16959.32</v>
      </c>
      <c r="H70" s="26">
        <f>SUMIFS(H:H,C:C,"Total")</f>
        <v>99.999999999999986</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3"/>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2984</v>
      </c>
      <c r="J2" s="37" t="s">
        <v>3307</v>
      </c>
    </row>
    <row r="3" spans="1:10" ht="16.5" x14ac:dyDescent="0.3">
      <c r="C3" s="1" t="s">
        <v>24</v>
      </c>
      <c r="D3" s="21" t="s">
        <v>2985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2716</v>
      </c>
      <c r="C18" s="56" t="s">
        <v>1127</v>
      </c>
      <c r="D18" s="53" t="s">
        <v>2717</v>
      </c>
      <c r="E18" s="6" t="s">
        <v>534</v>
      </c>
      <c r="F18" s="19">
        <v>70</v>
      </c>
      <c r="G18" s="24">
        <v>845.53</v>
      </c>
      <c r="H18" s="24">
        <v>9.3000000000000007</v>
      </c>
      <c r="I18" s="31">
        <v>5.0199999999999996</v>
      </c>
      <c r="J18" s="35" t="s">
        <v>514</v>
      </c>
    </row>
    <row r="19" spans="2:10" x14ac:dyDescent="0.25">
      <c r="B19" s="8" t="s">
        <v>2980</v>
      </c>
      <c r="C19" s="56" t="s">
        <v>1935</v>
      </c>
      <c r="D19" s="53" t="s">
        <v>2981</v>
      </c>
      <c r="E19" s="6" t="s">
        <v>911</v>
      </c>
      <c r="F19" s="19">
        <v>90</v>
      </c>
      <c r="G19" s="24">
        <v>826.09</v>
      </c>
      <c r="H19" s="24">
        <v>9.09</v>
      </c>
      <c r="I19" s="31">
        <v>5.1999000000000004</v>
      </c>
      <c r="J19" s="35" t="s">
        <v>514</v>
      </c>
    </row>
    <row r="20" spans="2:10" x14ac:dyDescent="0.25">
      <c r="B20" s="8" t="s">
        <v>2982</v>
      </c>
      <c r="C20" s="56" t="s">
        <v>1143</v>
      </c>
      <c r="D20" s="53" t="s">
        <v>2983</v>
      </c>
      <c r="E20" s="6" t="s">
        <v>911</v>
      </c>
      <c r="F20" s="19">
        <v>70</v>
      </c>
      <c r="G20" s="24">
        <v>824.9</v>
      </c>
      <c r="H20" s="24">
        <v>9.07</v>
      </c>
      <c r="I20" s="31">
        <v>5.5899000000000001</v>
      </c>
      <c r="J20" s="35" t="s">
        <v>514</v>
      </c>
    </row>
    <row r="21" spans="2:10" x14ac:dyDescent="0.25">
      <c r="B21" s="8" t="s">
        <v>1878</v>
      </c>
      <c r="C21" s="56" t="s">
        <v>1130</v>
      </c>
      <c r="D21" s="53" t="s">
        <v>1879</v>
      </c>
      <c r="E21" s="6" t="s">
        <v>911</v>
      </c>
      <c r="F21" s="19">
        <v>70</v>
      </c>
      <c r="G21" s="24">
        <v>741.25</v>
      </c>
      <c r="H21" s="24">
        <v>8.15</v>
      </c>
      <c r="I21" s="31">
        <v>4.8</v>
      </c>
      <c r="J21" s="35" t="s">
        <v>514</v>
      </c>
    </row>
    <row r="22" spans="2:10" x14ac:dyDescent="0.25">
      <c r="B22" s="8" t="s">
        <v>2772</v>
      </c>
      <c r="C22" s="56" t="s">
        <v>857</v>
      </c>
      <c r="D22" s="53" t="s">
        <v>2773</v>
      </c>
      <c r="E22" s="6" t="s">
        <v>534</v>
      </c>
      <c r="F22" s="19">
        <v>70</v>
      </c>
      <c r="G22" s="24">
        <v>737.89</v>
      </c>
      <c r="H22" s="24">
        <v>8.1199999999999992</v>
      </c>
      <c r="I22" s="31">
        <v>4.3</v>
      </c>
      <c r="J22" s="35"/>
    </row>
    <row r="23" spans="2:10" x14ac:dyDescent="0.25">
      <c r="B23" s="8" t="s">
        <v>1864</v>
      </c>
      <c r="C23" s="56" t="s">
        <v>125</v>
      </c>
      <c r="D23" s="53" t="s">
        <v>1865</v>
      </c>
      <c r="E23" s="6" t="s">
        <v>534</v>
      </c>
      <c r="F23" s="19">
        <v>70</v>
      </c>
      <c r="G23" s="24">
        <v>736.53</v>
      </c>
      <c r="H23" s="24">
        <v>8.1</v>
      </c>
      <c r="I23" s="31">
        <v>4.76</v>
      </c>
      <c r="J23" s="35"/>
    </row>
    <row r="24" spans="2:10" x14ac:dyDescent="0.25">
      <c r="B24" s="8" t="s">
        <v>2646</v>
      </c>
      <c r="C24" s="56" t="s">
        <v>53</v>
      </c>
      <c r="D24" s="53" t="s">
        <v>2647</v>
      </c>
      <c r="E24" s="6" t="s">
        <v>534</v>
      </c>
      <c r="F24" s="19">
        <v>70</v>
      </c>
      <c r="G24" s="24">
        <v>735.52</v>
      </c>
      <c r="H24" s="24">
        <v>8.09</v>
      </c>
      <c r="I24" s="31">
        <v>4.53</v>
      </c>
      <c r="J24" s="35"/>
    </row>
    <row r="25" spans="2:10" x14ac:dyDescent="0.25">
      <c r="B25" s="8" t="s">
        <v>1713</v>
      </c>
      <c r="C25" s="56" t="s">
        <v>601</v>
      </c>
      <c r="D25" s="53" t="s">
        <v>1714</v>
      </c>
      <c r="E25" s="6" t="s">
        <v>534</v>
      </c>
      <c r="F25" s="19">
        <v>70</v>
      </c>
      <c r="G25" s="24">
        <v>734.27</v>
      </c>
      <c r="H25" s="24">
        <v>8.08</v>
      </c>
      <c r="I25" s="31">
        <v>4.6100000000000003</v>
      </c>
      <c r="J25" s="35" t="s">
        <v>514</v>
      </c>
    </row>
    <row r="26" spans="2:10" x14ac:dyDescent="0.25">
      <c r="B26" s="8" t="s">
        <v>2816</v>
      </c>
      <c r="C26" s="56" t="s">
        <v>909</v>
      </c>
      <c r="D26" s="53" t="s">
        <v>2817</v>
      </c>
      <c r="E26" s="6" t="s">
        <v>534</v>
      </c>
      <c r="F26" s="19">
        <v>70</v>
      </c>
      <c r="G26" s="24">
        <v>733.94</v>
      </c>
      <c r="H26" s="24">
        <v>8.07</v>
      </c>
      <c r="I26" s="31">
        <v>4.55</v>
      </c>
      <c r="J26" s="35" t="s">
        <v>514</v>
      </c>
    </row>
    <row r="27" spans="2:10" x14ac:dyDescent="0.25">
      <c r="B27" s="8" t="s">
        <v>1776</v>
      </c>
      <c r="C27" s="56" t="s">
        <v>77</v>
      </c>
      <c r="D27" s="53" t="s">
        <v>1777</v>
      </c>
      <c r="E27" s="6" t="s">
        <v>534</v>
      </c>
      <c r="F27" s="19">
        <v>70</v>
      </c>
      <c r="G27" s="24">
        <v>732.3</v>
      </c>
      <c r="H27" s="24">
        <v>8.0500000000000007</v>
      </c>
      <c r="I27" s="31">
        <v>4.6749999999999998</v>
      </c>
      <c r="J27" s="35" t="s">
        <v>514</v>
      </c>
    </row>
    <row r="28" spans="2:10" x14ac:dyDescent="0.25">
      <c r="B28" s="8" t="s">
        <v>2722</v>
      </c>
      <c r="C28" s="56" t="s">
        <v>854</v>
      </c>
      <c r="D28" s="53" t="s">
        <v>2723</v>
      </c>
      <c r="E28" s="6" t="s">
        <v>534</v>
      </c>
      <c r="F28" s="19">
        <v>50</v>
      </c>
      <c r="G28" s="24">
        <v>531.04999999999995</v>
      </c>
      <c r="H28" s="24">
        <v>5.84</v>
      </c>
      <c r="I28" s="31">
        <v>4.3949999999999996</v>
      </c>
      <c r="J28" s="35" t="s">
        <v>514</v>
      </c>
    </row>
    <row r="29" spans="2:10" x14ac:dyDescent="0.25">
      <c r="B29" s="8" t="s">
        <v>1872</v>
      </c>
      <c r="C29" s="56" t="s">
        <v>1376</v>
      </c>
      <c r="D29" s="53" t="s">
        <v>1873</v>
      </c>
      <c r="E29" s="6" t="s">
        <v>534</v>
      </c>
      <c r="F29" s="19">
        <v>15</v>
      </c>
      <c r="G29" s="24">
        <v>160.57</v>
      </c>
      <c r="H29" s="24">
        <v>1.77</v>
      </c>
      <c r="I29" s="31">
        <v>4.91</v>
      </c>
      <c r="J29" s="35" t="s">
        <v>514</v>
      </c>
    </row>
    <row r="30" spans="2:10" x14ac:dyDescent="0.25">
      <c r="C30" s="57" t="s">
        <v>35</v>
      </c>
      <c r="D30" s="53"/>
      <c r="E30" s="6"/>
      <c r="F30" s="19"/>
      <c r="G30" s="25">
        <v>8339.84</v>
      </c>
      <c r="H30" s="25">
        <v>91.73</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7" t="s">
        <v>8</v>
      </c>
      <c r="D34" s="53"/>
      <c r="E34" s="6"/>
      <c r="F34" s="19"/>
      <c r="G34" s="24" t="s">
        <v>2</v>
      </c>
      <c r="H34" s="24" t="s">
        <v>2</v>
      </c>
      <c r="I34" s="31"/>
      <c r="J34" s="35"/>
    </row>
    <row r="35" spans="1:10" x14ac:dyDescent="0.25">
      <c r="C35" s="56"/>
      <c r="D35" s="53"/>
      <c r="E35" s="6"/>
      <c r="F35" s="19"/>
      <c r="G35" s="24"/>
      <c r="H35" s="24"/>
      <c r="I35" s="31"/>
      <c r="J35" s="35"/>
    </row>
    <row r="36" spans="1:10" x14ac:dyDescent="0.25">
      <c r="C36" s="57" t="s">
        <v>9</v>
      </c>
      <c r="D36" s="53"/>
      <c r="E36" s="6"/>
      <c r="F36" s="19"/>
      <c r="G36" s="24" t="s">
        <v>2</v>
      </c>
      <c r="H36" s="24" t="s">
        <v>2</v>
      </c>
      <c r="I36" s="31"/>
      <c r="J36" s="35"/>
    </row>
    <row r="37" spans="1:10" x14ac:dyDescent="0.25">
      <c r="C37" s="56"/>
      <c r="D37" s="53"/>
      <c r="E37" s="6"/>
      <c r="F37" s="19"/>
      <c r="G37" s="24"/>
      <c r="H37" s="24"/>
      <c r="I37" s="31"/>
      <c r="J37" s="35"/>
    </row>
    <row r="38" spans="1:10" x14ac:dyDescent="0.25">
      <c r="C38" s="57" t="s">
        <v>10</v>
      </c>
      <c r="D38" s="53"/>
      <c r="E38" s="6"/>
      <c r="F38" s="19"/>
      <c r="G38" s="24" t="s">
        <v>2</v>
      </c>
      <c r="H38" s="24" t="s">
        <v>2</v>
      </c>
      <c r="I38" s="31"/>
      <c r="J38" s="35"/>
    </row>
    <row r="39" spans="1:10" x14ac:dyDescent="0.25">
      <c r="C39" s="56"/>
      <c r="D39" s="53"/>
      <c r="E39" s="6"/>
      <c r="F39" s="19"/>
      <c r="G39" s="24"/>
      <c r="H39" s="24"/>
      <c r="I39" s="31"/>
      <c r="J39" s="35"/>
    </row>
    <row r="40" spans="1:10" x14ac:dyDescent="0.25">
      <c r="A40" s="10"/>
      <c r="B40" s="28"/>
      <c r="C40" s="58" t="s">
        <v>11</v>
      </c>
      <c r="D40" s="53"/>
      <c r="E40" s="6"/>
      <c r="F40" s="19"/>
      <c r="G40" s="24"/>
      <c r="H40" s="24"/>
      <c r="I40" s="31"/>
      <c r="J40" s="35"/>
    </row>
    <row r="41" spans="1:10" x14ac:dyDescent="0.25">
      <c r="A41" s="28"/>
      <c r="B41" s="28"/>
      <c r="C41" s="58" t="s">
        <v>13</v>
      </c>
      <c r="D41" s="53"/>
      <c r="E41" s="6"/>
      <c r="F41" s="19"/>
      <c r="G41" s="24" t="s">
        <v>2</v>
      </c>
      <c r="H41" s="24" t="s">
        <v>2</v>
      </c>
      <c r="I41" s="31"/>
      <c r="J41" s="35"/>
    </row>
    <row r="42" spans="1:10" x14ac:dyDescent="0.25">
      <c r="A42" s="28"/>
      <c r="B42" s="28"/>
      <c r="C42" s="58"/>
      <c r="D42" s="53"/>
      <c r="E42" s="6"/>
      <c r="F42" s="19"/>
      <c r="G42" s="24"/>
      <c r="H42" s="24"/>
      <c r="I42" s="31"/>
      <c r="J42" s="35"/>
    </row>
    <row r="43" spans="1:10" x14ac:dyDescent="0.25">
      <c r="C43" s="59" t="s">
        <v>14</v>
      </c>
      <c r="D43" s="53"/>
      <c r="E43" s="6"/>
      <c r="F43" s="19"/>
      <c r="G43" s="24"/>
      <c r="H43" s="24"/>
      <c r="I43" s="31"/>
      <c r="J43" s="35"/>
    </row>
    <row r="44" spans="1:10" x14ac:dyDescent="0.25">
      <c r="B44" s="8" t="s">
        <v>1248</v>
      </c>
      <c r="C44" s="56" t="s">
        <v>818</v>
      </c>
      <c r="D44" s="53" t="s">
        <v>1249</v>
      </c>
      <c r="E44" s="6" t="s">
        <v>1000</v>
      </c>
      <c r="F44" s="19">
        <v>400</v>
      </c>
      <c r="G44" s="24">
        <v>390.05</v>
      </c>
      <c r="H44" s="24">
        <v>4.29</v>
      </c>
      <c r="I44" s="31">
        <v>3.8298999999999999</v>
      </c>
      <c r="J44" s="35" t="s">
        <v>514</v>
      </c>
    </row>
    <row r="45" spans="1:10" x14ac:dyDescent="0.25">
      <c r="B45" s="8" t="s">
        <v>2338</v>
      </c>
      <c r="C45" s="56" t="s">
        <v>2339</v>
      </c>
      <c r="D45" s="53" t="s">
        <v>2340</v>
      </c>
      <c r="E45" s="6" t="s">
        <v>992</v>
      </c>
      <c r="F45" s="19">
        <v>100</v>
      </c>
      <c r="G45" s="24">
        <v>97.78</v>
      </c>
      <c r="H45" s="24">
        <v>1.08</v>
      </c>
      <c r="I45" s="31">
        <v>5.65</v>
      </c>
      <c r="J45" s="35" t="s">
        <v>514</v>
      </c>
    </row>
    <row r="46" spans="1:10" x14ac:dyDescent="0.25">
      <c r="C46" s="57" t="s">
        <v>35</v>
      </c>
      <c r="D46" s="53"/>
      <c r="E46" s="6"/>
      <c r="F46" s="19"/>
      <c r="G46" s="25">
        <v>487.83</v>
      </c>
      <c r="H46" s="25">
        <v>5.37</v>
      </c>
      <c r="I46" s="31"/>
      <c r="J46" s="35"/>
    </row>
    <row r="47" spans="1:10" x14ac:dyDescent="0.25">
      <c r="C47" s="56"/>
      <c r="D47" s="53"/>
      <c r="E47" s="6"/>
      <c r="F47" s="19"/>
      <c r="G47" s="24"/>
      <c r="H47" s="24"/>
      <c r="I47" s="31"/>
      <c r="J47" s="35"/>
    </row>
    <row r="48" spans="1: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37.520000000000003</v>
      </c>
      <c r="H62" s="24">
        <v>0.41</v>
      </c>
      <c r="I62" s="31"/>
      <c r="J62" s="35"/>
    </row>
    <row r="63" spans="1:10" x14ac:dyDescent="0.25">
      <c r="C63" s="57" t="s">
        <v>35</v>
      </c>
      <c r="D63" s="53"/>
      <c r="E63" s="6"/>
      <c r="F63" s="19"/>
      <c r="G63" s="25">
        <v>37.520000000000003</v>
      </c>
      <c r="H63" s="25">
        <v>0.41</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227.05</v>
      </c>
      <c r="H67" s="24">
        <v>2.4900000000000002</v>
      </c>
      <c r="I67" s="31"/>
      <c r="J67" s="35"/>
    </row>
    <row r="68" spans="1:10" x14ac:dyDescent="0.25">
      <c r="C68" s="57" t="s">
        <v>35</v>
      </c>
      <c r="D68" s="53"/>
      <c r="E68" s="6"/>
      <c r="F68" s="19"/>
      <c r="G68" s="25">
        <v>227.05</v>
      </c>
      <c r="H68" s="25">
        <v>2.4900000000000002</v>
      </c>
      <c r="I68" s="31"/>
      <c r="J68" s="35"/>
    </row>
    <row r="69" spans="1:10" x14ac:dyDescent="0.25">
      <c r="C69" s="56"/>
      <c r="D69" s="53"/>
      <c r="E69" s="6"/>
      <c r="F69" s="19"/>
      <c r="G69" s="24"/>
      <c r="H69" s="24"/>
      <c r="I69" s="31"/>
      <c r="J69" s="35"/>
    </row>
    <row r="70" spans="1:10" x14ac:dyDescent="0.25">
      <c r="C70" s="61" t="s">
        <v>37</v>
      </c>
      <c r="D70" s="54"/>
      <c r="E70" s="5"/>
      <c r="F70" s="20"/>
      <c r="G70" s="26">
        <v>9092.24</v>
      </c>
      <c r="H70" s="26">
        <f>SUMIFS(H:H,C:C,"Total")</f>
        <v>100</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4"/>
  <dimension ref="A1:J12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2986</v>
      </c>
      <c r="J2" s="37" t="s">
        <v>3307</v>
      </c>
    </row>
    <row r="3" spans="1:10" ht="16.5" x14ac:dyDescent="0.3">
      <c r="C3" s="1" t="s">
        <v>24</v>
      </c>
      <c r="D3" s="21" t="s">
        <v>2987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2779</v>
      </c>
      <c r="G10" s="24">
        <v>84.7</v>
      </c>
      <c r="H10" s="24">
        <v>0.77</v>
      </c>
      <c r="I10" s="31"/>
      <c r="J10" s="35"/>
    </row>
    <row r="11" spans="1:10" x14ac:dyDescent="0.25">
      <c r="B11" s="8" t="s">
        <v>143</v>
      </c>
      <c r="C11" s="56" t="s">
        <v>144</v>
      </c>
      <c r="D11" s="53" t="s">
        <v>145</v>
      </c>
      <c r="E11" s="6" t="s">
        <v>146</v>
      </c>
      <c r="F11" s="19">
        <v>3249</v>
      </c>
      <c r="G11" s="24">
        <v>71.58</v>
      </c>
      <c r="H11" s="24">
        <v>0.65</v>
      </c>
      <c r="I11" s="31"/>
      <c r="J11" s="35"/>
    </row>
    <row r="12" spans="1:10" x14ac:dyDescent="0.25">
      <c r="B12" s="8" t="s">
        <v>868</v>
      </c>
      <c r="C12" s="56" t="s">
        <v>869</v>
      </c>
      <c r="D12" s="53" t="s">
        <v>870</v>
      </c>
      <c r="E12" s="6" t="s">
        <v>94</v>
      </c>
      <c r="F12" s="19">
        <v>8505</v>
      </c>
      <c r="G12" s="24">
        <v>69.010000000000005</v>
      </c>
      <c r="H12" s="24">
        <v>0.62</v>
      </c>
      <c r="I12" s="31"/>
      <c r="J12" s="35"/>
    </row>
    <row r="13" spans="1:10" x14ac:dyDescent="0.25">
      <c r="B13" s="8" t="s">
        <v>1576</v>
      </c>
      <c r="C13" s="56" t="s">
        <v>1577</v>
      </c>
      <c r="D13" s="53" t="s">
        <v>1578</v>
      </c>
      <c r="E13" s="6" t="s">
        <v>90</v>
      </c>
      <c r="F13" s="19">
        <v>12331</v>
      </c>
      <c r="G13" s="24">
        <v>62.96</v>
      </c>
      <c r="H13" s="24">
        <v>0.56999999999999995</v>
      </c>
      <c r="I13" s="31"/>
      <c r="J13" s="35"/>
    </row>
    <row r="14" spans="1:10" x14ac:dyDescent="0.25">
      <c r="B14" s="8" t="s">
        <v>1579</v>
      </c>
      <c r="C14" s="56" t="s">
        <v>1580</v>
      </c>
      <c r="D14" s="53" t="s">
        <v>1581</v>
      </c>
      <c r="E14" s="6" t="s">
        <v>90</v>
      </c>
      <c r="F14" s="19">
        <v>8248</v>
      </c>
      <c r="G14" s="24">
        <v>59.79</v>
      </c>
      <c r="H14" s="24">
        <v>0.54</v>
      </c>
      <c r="I14" s="31"/>
      <c r="J14" s="35"/>
    </row>
    <row r="15" spans="1:10" x14ac:dyDescent="0.25">
      <c r="B15" s="8" t="s">
        <v>115</v>
      </c>
      <c r="C15" s="56" t="s">
        <v>116</v>
      </c>
      <c r="D15" s="53" t="s">
        <v>117</v>
      </c>
      <c r="E15" s="6" t="s">
        <v>94</v>
      </c>
      <c r="F15" s="19">
        <v>4361</v>
      </c>
      <c r="G15" s="24">
        <v>56.67</v>
      </c>
      <c r="H15" s="24">
        <v>0.51</v>
      </c>
      <c r="I15" s="31"/>
      <c r="J15" s="35"/>
    </row>
    <row r="16" spans="1:10" x14ac:dyDescent="0.25">
      <c r="B16" s="8" t="s">
        <v>130</v>
      </c>
      <c r="C16" s="56" t="s">
        <v>131</v>
      </c>
      <c r="D16" s="53" t="s">
        <v>132</v>
      </c>
      <c r="E16" s="6" t="s">
        <v>47</v>
      </c>
      <c r="F16" s="19">
        <v>1523</v>
      </c>
      <c r="G16" s="24">
        <v>55.36</v>
      </c>
      <c r="H16" s="24">
        <v>0.5</v>
      </c>
      <c r="I16" s="31"/>
      <c r="J16" s="35"/>
    </row>
    <row r="17" spans="2:10" x14ac:dyDescent="0.25">
      <c r="B17" s="8" t="s">
        <v>158</v>
      </c>
      <c r="C17" s="56" t="s">
        <v>159</v>
      </c>
      <c r="D17" s="53" t="s">
        <v>160</v>
      </c>
      <c r="E17" s="6" t="s">
        <v>111</v>
      </c>
      <c r="F17" s="19">
        <v>5236</v>
      </c>
      <c r="G17" s="24">
        <v>52.75</v>
      </c>
      <c r="H17" s="24">
        <v>0.48</v>
      </c>
      <c r="I17" s="31"/>
      <c r="J17" s="35"/>
    </row>
    <row r="18" spans="2:10" x14ac:dyDescent="0.25">
      <c r="B18" s="8" t="s">
        <v>769</v>
      </c>
      <c r="C18" s="56" t="s">
        <v>770</v>
      </c>
      <c r="D18" s="53" t="s">
        <v>771</v>
      </c>
      <c r="E18" s="6" t="s">
        <v>111</v>
      </c>
      <c r="F18" s="19">
        <v>6133</v>
      </c>
      <c r="G18" s="24">
        <v>48.85</v>
      </c>
      <c r="H18" s="24">
        <v>0.44</v>
      </c>
      <c r="I18" s="31"/>
      <c r="J18" s="35"/>
    </row>
    <row r="19" spans="2:10" x14ac:dyDescent="0.25">
      <c r="B19" s="8" t="s">
        <v>1582</v>
      </c>
      <c r="C19" s="56" t="s">
        <v>1583</v>
      </c>
      <c r="D19" s="53" t="s">
        <v>1584</v>
      </c>
      <c r="E19" s="6" t="s">
        <v>195</v>
      </c>
      <c r="F19" s="19">
        <v>3324</v>
      </c>
      <c r="G19" s="24">
        <v>47.67</v>
      </c>
      <c r="H19" s="24">
        <v>0.43</v>
      </c>
      <c r="I19" s="31"/>
      <c r="J19" s="35"/>
    </row>
    <row r="20" spans="2:10" x14ac:dyDescent="0.25">
      <c r="B20" s="8" t="s">
        <v>439</v>
      </c>
      <c r="C20" s="56" t="s">
        <v>440</v>
      </c>
      <c r="D20" s="53" t="s">
        <v>441</v>
      </c>
      <c r="E20" s="6" t="s">
        <v>111</v>
      </c>
      <c r="F20" s="19">
        <v>9682</v>
      </c>
      <c r="G20" s="24">
        <v>43.35</v>
      </c>
      <c r="H20" s="24">
        <v>0.39</v>
      </c>
      <c r="I20" s="31"/>
      <c r="J20" s="35"/>
    </row>
    <row r="21" spans="2:10" x14ac:dyDescent="0.25">
      <c r="B21" s="8" t="s">
        <v>87</v>
      </c>
      <c r="C21" s="56" t="s">
        <v>88</v>
      </c>
      <c r="D21" s="53" t="s">
        <v>89</v>
      </c>
      <c r="E21" s="6" t="s">
        <v>90</v>
      </c>
      <c r="F21" s="19">
        <v>2906</v>
      </c>
      <c r="G21" s="24">
        <v>41.66</v>
      </c>
      <c r="H21" s="24">
        <v>0.38</v>
      </c>
      <c r="I21" s="31"/>
      <c r="J21" s="35"/>
    </row>
    <row r="22" spans="2:10" x14ac:dyDescent="0.25">
      <c r="B22" s="8" t="s">
        <v>398</v>
      </c>
      <c r="C22" s="56" t="s">
        <v>399</v>
      </c>
      <c r="D22" s="53" t="s">
        <v>400</v>
      </c>
      <c r="E22" s="6" t="s">
        <v>90</v>
      </c>
      <c r="F22" s="19">
        <v>11261</v>
      </c>
      <c r="G22" s="24">
        <v>40.880000000000003</v>
      </c>
      <c r="H22" s="24">
        <v>0.37</v>
      </c>
      <c r="I22" s="31"/>
      <c r="J22" s="35"/>
    </row>
    <row r="23" spans="2:10" x14ac:dyDescent="0.25">
      <c r="B23" s="8" t="s">
        <v>1585</v>
      </c>
      <c r="C23" s="56" t="s">
        <v>1586</v>
      </c>
      <c r="D23" s="53" t="s">
        <v>1587</v>
      </c>
      <c r="E23" s="6" t="s">
        <v>83</v>
      </c>
      <c r="F23" s="19">
        <v>5460</v>
      </c>
      <c r="G23" s="24">
        <v>37.01</v>
      </c>
      <c r="H23" s="24">
        <v>0.34</v>
      </c>
      <c r="I23" s="31"/>
      <c r="J23" s="35"/>
    </row>
    <row r="24" spans="2:10" x14ac:dyDescent="0.25">
      <c r="B24" s="8" t="s">
        <v>1354</v>
      </c>
      <c r="C24" s="56" t="s">
        <v>1355</v>
      </c>
      <c r="D24" s="53" t="s">
        <v>1356</v>
      </c>
      <c r="E24" s="6" t="s">
        <v>826</v>
      </c>
      <c r="F24" s="19">
        <v>16355</v>
      </c>
      <c r="G24" s="24">
        <v>36.090000000000003</v>
      </c>
      <c r="H24" s="24">
        <v>0.33</v>
      </c>
      <c r="I24" s="31"/>
      <c r="J24" s="35"/>
    </row>
    <row r="25" spans="2:10" x14ac:dyDescent="0.25">
      <c r="B25" s="8" t="s">
        <v>324</v>
      </c>
      <c r="C25" s="56" t="s">
        <v>325</v>
      </c>
      <c r="D25" s="53" t="s">
        <v>326</v>
      </c>
      <c r="E25" s="6" t="s">
        <v>41</v>
      </c>
      <c r="F25" s="19">
        <v>16021</v>
      </c>
      <c r="G25" s="24">
        <v>34.770000000000003</v>
      </c>
      <c r="H25" s="24">
        <v>0.31</v>
      </c>
      <c r="I25" s="31"/>
      <c r="J25" s="35"/>
    </row>
    <row r="26" spans="2:10" x14ac:dyDescent="0.25">
      <c r="B26" s="8" t="s">
        <v>442</v>
      </c>
      <c r="C26" s="56" t="s">
        <v>443</v>
      </c>
      <c r="D26" s="53" t="s">
        <v>444</v>
      </c>
      <c r="E26" s="6" t="s">
        <v>90</v>
      </c>
      <c r="F26" s="19">
        <v>6497</v>
      </c>
      <c r="G26" s="24">
        <v>33.51</v>
      </c>
      <c r="H26" s="24">
        <v>0.3</v>
      </c>
      <c r="I26" s="31"/>
      <c r="J26" s="35"/>
    </row>
    <row r="27" spans="2:10" x14ac:dyDescent="0.25">
      <c r="B27" s="8" t="s">
        <v>161</v>
      </c>
      <c r="C27" s="56" t="s">
        <v>162</v>
      </c>
      <c r="D27" s="53" t="s">
        <v>163</v>
      </c>
      <c r="E27" s="6" t="s">
        <v>94</v>
      </c>
      <c r="F27" s="19">
        <v>7828</v>
      </c>
      <c r="G27" s="24">
        <v>32.950000000000003</v>
      </c>
      <c r="H27" s="24">
        <v>0.3</v>
      </c>
      <c r="I27" s="31"/>
      <c r="J27" s="35"/>
    </row>
    <row r="28" spans="2:10" x14ac:dyDescent="0.25">
      <c r="B28" s="8" t="s">
        <v>1592</v>
      </c>
      <c r="C28" s="56" t="s">
        <v>1593</v>
      </c>
      <c r="D28" s="53" t="s">
        <v>1594</v>
      </c>
      <c r="E28" s="6" t="s">
        <v>90</v>
      </c>
      <c r="F28" s="19">
        <v>5295</v>
      </c>
      <c r="G28" s="24">
        <v>30.91</v>
      </c>
      <c r="H28" s="24">
        <v>0.28000000000000003</v>
      </c>
      <c r="I28" s="31"/>
      <c r="J28" s="35"/>
    </row>
    <row r="29" spans="2:10" x14ac:dyDescent="0.25">
      <c r="B29" s="8" t="s">
        <v>1595</v>
      </c>
      <c r="C29" s="56" t="s">
        <v>1596</v>
      </c>
      <c r="D29" s="53" t="s">
        <v>1597</v>
      </c>
      <c r="E29" s="6" t="s">
        <v>94</v>
      </c>
      <c r="F29" s="19">
        <v>2459</v>
      </c>
      <c r="G29" s="24">
        <v>30.82</v>
      </c>
      <c r="H29" s="24">
        <v>0.28000000000000003</v>
      </c>
      <c r="I29" s="31"/>
      <c r="J29" s="35"/>
    </row>
    <row r="30" spans="2:10" x14ac:dyDescent="0.25">
      <c r="B30" s="8" t="s">
        <v>1598</v>
      </c>
      <c r="C30" s="56" t="s">
        <v>1599</v>
      </c>
      <c r="D30" s="53" t="s">
        <v>1600</v>
      </c>
      <c r="E30" s="6" t="s">
        <v>196</v>
      </c>
      <c r="F30" s="19">
        <v>26168</v>
      </c>
      <c r="G30" s="24">
        <v>30.05</v>
      </c>
      <c r="H30" s="24">
        <v>0.27</v>
      </c>
      <c r="I30" s="31"/>
      <c r="J30" s="35"/>
    </row>
    <row r="31" spans="2:10" x14ac:dyDescent="0.25">
      <c r="B31" s="8" t="s">
        <v>177</v>
      </c>
      <c r="C31" s="56" t="s">
        <v>178</v>
      </c>
      <c r="D31" s="53" t="s">
        <v>179</v>
      </c>
      <c r="E31" s="6" t="s">
        <v>111</v>
      </c>
      <c r="F31" s="19">
        <v>1070</v>
      </c>
      <c r="G31" s="24">
        <v>29.96</v>
      </c>
      <c r="H31" s="24">
        <v>0.27</v>
      </c>
      <c r="I31" s="31"/>
      <c r="J31" s="35"/>
    </row>
    <row r="32" spans="2:10" x14ac:dyDescent="0.25">
      <c r="B32" s="8" t="s">
        <v>1601</v>
      </c>
      <c r="C32" s="56" t="s">
        <v>1602</v>
      </c>
      <c r="D32" s="53" t="s">
        <v>1603</v>
      </c>
      <c r="E32" s="6" t="s">
        <v>826</v>
      </c>
      <c r="F32" s="19">
        <v>7632</v>
      </c>
      <c r="G32" s="24">
        <v>29.52</v>
      </c>
      <c r="H32" s="24">
        <v>0.27</v>
      </c>
      <c r="I32" s="31"/>
      <c r="J32" s="35"/>
    </row>
    <row r="33" spans="2:10" x14ac:dyDescent="0.25">
      <c r="B33" s="8" t="s">
        <v>805</v>
      </c>
      <c r="C33" s="56" t="s">
        <v>806</v>
      </c>
      <c r="D33" s="53" t="s">
        <v>807</v>
      </c>
      <c r="E33" s="6" t="s">
        <v>55</v>
      </c>
      <c r="F33" s="19">
        <v>16282</v>
      </c>
      <c r="G33" s="24">
        <v>29.41</v>
      </c>
      <c r="H33" s="24">
        <v>0.27</v>
      </c>
      <c r="I33" s="31"/>
      <c r="J33" s="35"/>
    </row>
    <row r="34" spans="2:10" x14ac:dyDescent="0.25">
      <c r="B34" s="8" t="s">
        <v>1604</v>
      </c>
      <c r="C34" s="56" t="s">
        <v>1605</v>
      </c>
      <c r="D34" s="53" t="s">
        <v>1606</v>
      </c>
      <c r="E34" s="6" t="s">
        <v>94</v>
      </c>
      <c r="F34" s="19">
        <v>1207</v>
      </c>
      <c r="G34" s="24">
        <v>27.4</v>
      </c>
      <c r="H34" s="24">
        <v>0.25</v>
      </c>
      <c r="I34" s="31"/>
      <c r="J34" s="35"/>
    </row>
    <row r="35" spans="2:10" x14ac:dyDescent="0.25">
      <c r="B35" s="8" t="s">
        <v>69</v>
      </c>
      <c r="C35" s="56" t="s">
        <v>70</v>
      </c>
      <c r="D35" s="53" t="s">
        <v>71</v>
      </c>
      <c r="E35" s="6" t="s">
        <v>72</v>
      </c>
      <c r="F35" s="19">
        <v>126</v>
      </c>
      <c r="G35" s="24">
        <v>26.88</v>
      </c>
      <c r="H35" s="24">
        <v>0.24</v>
      </c>
      <c r="I35" s="31"/>
      <c r="J35" s="35"/>
    </row>
    <row r="36" spans="2:10" x14ac:dyDescent="0.25">
      <c r="B36" s="8" t="s">
        <v>229</v>
      </c>
      <c r="C36" s="56" t="s">
        <v>230</v>
      </c>
      <c r="D36" s="53" t="s">
        <v>231</v>
      </c>
      <c r="E36" s="6" t="s">
        <v>94</v>
      </c>
      <c r="F36" s="19">
        <v>2361</v>
      </c>
      <c r="G36" s="24">
        <v>26.73</v>
      </c>
      <c r="H36" s="24">
        <v>0.24</v>
      </c>
      <c r="I36" s="31"/>
      <c r="J36" s="35"/>
    </row>
    <row r="37" spans="2:10" x14ac:dyDescent="0.25">
      <c r="B37" s="8" t="s">
        <v>1607</v>
      </c>
      <c r="C37" s="56" t="s">
        <v>1608</v>
      </c>
      <c r="D37" s="53" t="s">
        <v>1609</v>
      </c>
      <c r="E37" s="6" t="s">
        <v>94</v>
      </c>
      <c r="F37" s="19">
        <v>1092</v>
      </c>
      <c r="G37" s="24">
        <v>26.36</v>
      </c>
      <c r="H37" s="24">
        <v>0.24</v>
      </c>
      <c r="I37" s="31"/>
      <c r="J37" s="35"/>
    </row>
    <row r="38" spans="2:10" x14ac:dyDescent="0.25">
      <c r="B38" s="8" t="s">
        <v>139</v>
      </c>
      <c r="C38" s="56" t="s">
        <v>140</v>
      </c>
      <c r="D38" s="53" t="s">
        <v>141</v>
      </c>
      <c r="E38" s="6" t="s">
        <v>142</v>
      </c>
      <c r="F38" s="19">
        <v>2098</v>
      </c>
      <c r="G38" s="24">
        <v>26.21</v>
      </c>
      <c r="H38" s="24">
        <v>0.24</v>
      </c>
      <c r="I38" s="31"/>
      <c r="J38" s="35"/>
    </row>
    <row r="39" spans="2:10" x14ac:dyDescent="0.25">
      <c r="B39" s="8" t="s">
        <v>899</v>
      </c>
      <c r="C39" s="56" t="s">
        <v>900</v>
      </c>
      <c r="D39" s="53" t="s">
        <v>901</v>
      </c>
      <c r="E39" s="6" t="s">
        <v>196</v>
      </c>
      <c r="F39" s="19">
        <v>187</v>
      </c>
      <c r="G39" s="24">
        <v>25.68</v>
      </c>
      <c r="H39" s="24">
        <v>0.23</v>
      </c>
      <c r="I39" s="31"/>
      <c r="J39" s="35"/>
    </row>
    <row r="40" spans="2:10" x14ac:dyDescent="0.25">
      <c r="B40" s="8" t="s">
        <v>370</v>
      </c>
      <c r="C40" s="56" t="s">
        <v>371</v>
      </c>
      <c r="D40" s="53" t="s">
        <v>372</v>
      </c>
      <c r="E40" s="6" t="s">
        <v>41</v>
      </c>
      <c r="F40" s="19">
        <v>1843</v>
      </c>
      <c r="G40" s="24">
        <v>25.68</v>
      </c>
      <c r="H40" s="24">
        <v>0.23</v>
      </c>
      <c r="I40" s="31"/>
      <c r="J40" s="35"/>
    </row>
    <row r="41" spans="2:10" x14ac:dyDescent="0.25">
      <c r="B41" s="8" t="s">
        <v>2242</v>
      </c>
      <c r="C41" s="56" t="s">
        <v>938</v>
      </c>
      <c r="D41" s="53" t="s">
        <v>2243</v>
      </c>
      <c r="E41" s="6" t="s">
        <v>94</v>
      </c>
      <c r="F41" s="19">
        <v>4084</v>
      </c>
      <c r="G41" s="24">
        <v>25.29</v>
      </c>
      <c r="H41" s="24">
        <v>0.23</v>
      </c>
      <c r="I41" s="31"/>
      <c r="J41" s="35"/>
    </row>
    <row r="42" spans="2:10" x14ac:dyDescent="0.25">
      <c r="B42" s="8" t="s">
        <v>1610</v>
      </c>
      <c r="C42" s="56" t="s">
        <v>1611</v>
      </c>
      <c r="D42" s="53" t="s">
        <v>1612</v>
      </c>
      <c r="E42" s="6" t="s">
        <v>254</v>
      </c>
      <c r="F42" s="19">
        <v>1941</v>
      </c>
      <c r="G42" s="24">
        <v>24.54</v>
      </c>
      <c r="H42" s="24">
        <v>0.22</v>
      </c>
      <c r="I42" s="31"/>
      <c r="J42" s="35"/>
    </row>
    <row r="43" spans="2:10" x14ac:dyDescent="0.25">
      <c r="B43" s="8" t="s">
        <v>255</v>
      </c>
      <c r="C43" s="56" t="s">
        <v>256</v>
      </c>
      <c r="D43" s="53" t="s">
        <v>257</v>
      </c>
      <c r="E43" s="6" t="s">
        <v>51</v>
      </c>
      <c r="F43" s="19">
        <v>8778</v>
      </c>
      <c r="G43" s="24">
        <v>23.96</v>
      </c>
      <c r="H43" s="24">
        <v>0.22</v>
      </c>
      <c r="I43" s="31"/>
      <c r="J43" s="35"/>
    </row>
    <row r="44" spans="2:10" x14ac:dyDescent="0.25">
      <c r="B44" s="8" t="s">
        <v>469</v>
      </c>
      <c r="C44" s="56" t="s">
        <v>470</v>
      </c>
      <c r="D44" s="53" t="s">
        <v>471</v>
      </c>
      <c r="E44" s="6" t="s">
        <v>90</v>
      </c>
      <c r="F44" s="19">
        <v>2422</v>
      </c>
      <c r="G44" s="24">
        <v>23.16</v>
      </c>
      <c r="H44" s="24">
        <v>0.21</v>
      </c>
      <c r="I44" s="31"/>
      <c r="J44" s="35"/>
    </row>
    <row r="45" spans="2:10" x14ac:dyDescent="0.25">
      <c r="B45" s="8" t="s">
        <v>1613</v>
      </c>
      <c r="C45" s="56" t="s">
        <v>1614</v>
      </c>
      <c r="D45" s="53" t="s">
        <v>1615</v>
      </c>
      <c r="E45" s="6" t="s">
        <v>111</v>
      </c>
      <c r="F45" s="19">
        <v>5581</v>
      </c>
      <c r="G45" s="24">
        <v>22.05</v>
      </c>
      <c r="H45" s="24">
        <v>0.2</v>
      </c>
      <c r="I45" s="31"/>
      <c r="J45" s="35"/>
    </row>
    <row r="46" spans="2:10" x14ac:dyDescent="0.25">
      <c r="B46" s="8" t="s">
        <v>1616</v>
      </c>
      <c r="C46" s="56" t="s">
        <v>601</v>
      </c>
      <c r="D46" s="53" t="s">
        <v>1617</v>
      </c>
      <c r="E46" s="6" t="s">
        <v>94</v>
      </c>
      <c r="F46" s="19">
        <v>25331</v>
      </c>
      <c r="G46" s="24">
        <v>21.84</v>
      </c>
      <c r="H46" s="24">
        <v>0.2</v>
      </c>
      <c r="I46" s="31"/>
      <c r="J46" s="35"/>
    </row>
    <row r="47" spans="2:10" x14ac:dyDescent="0.25">
      <c r="B47" s="8" t="s">
        <v>1618</v>
      </c>
      <c r="C47" s="56" t="s">
        <v>1619</v>
      </c>
      <c r="D47" s="53" t="s">
        <v>1620</v>
      </c>
      <c r="E47" s="6" t="s">
        <v>142</v>
      </c>
      <c r="F47" s="19">
        <v>5979</v>
      </c>
      <c r="G47" s="24">
        <v>21.82</v>
      </c>
      <c r="H47" s="24">
        <v>0.2</v>
      </c>
      <c r="I47" s="31"/>
      <c r="J47" s="35"/>
    </row>
    <row r="48" spans="2:10" x14ac:dyDescent="0.25">
      <c r="B48" s="8" t="s">
        <v>294</v>
      </c>
      <c r="C48" s="56" t="s">
        <v>295</v>
      </c>
      <c r="D48" s="53" t="s">
        <v>296</v>
      </c>
      <c r="E48" s="6" t="s">
        <v>274</v>
      </c>
      <c r="F48" s="19">
        <v>13494</v>
      </c>
      <c r="G48" s="24">
        <v>20.6</v>
      </c>
      <c r="H48" s="24">
        <v>0.19</v>
      </c>
      <c r="I48" s="31"/>
      <c r="J48" s="35"/>
    </row>
    <row r="49" spans="2:10" x14ac:dyDescent="0.25">
      <c r="B49" s="8" t="s">
        <v>415</v>
      </c>
      <c r="C49" s="56" t="s">
        <v>416</v>
      </c>
      <c r="D49" s="53" t="s">
        <v>417</v>
      </c>
      <c r="E49" s="6" t="s">
        <v>90</v>
      </c>
      <c r="F49" s="19">
        <v>205</v>
      </c>
      <c r="G49" s="24">
        <v>20.39</v>
      </c>
      <c r="H49" s="24">
        <v>0.18</v>
      </c>
      <c r="I49" s="31"/>
      <c r="J49" s="35"/>
    </row>
    <row r="50" spans="2:10" x14ac:dyDescent="0.25">
      <c r="B50" s="8" t="s">
        <v>454</v>
      </c>
      <c r="C50" s="56" t="s">
        <v>455</v>
      </c>
      <c r="D50" s="53" t="s">
        <v>456</v>
      </c>
      <c r="E50" s="6" t="s">
        <v>111</v>
      </c>
      <c r="F50" s="19">
        <v>116</v>
      </c>
      <c r="G50" s="24">
        <v>19.12</v>
      </c>
      <c r="H50" s="24">
        <v>0.17</v>
      </c>
      <c r="I50" s="31"/>
      <c r="J50" s="35"/>
    </row>
    <row r="51" spans="2:10" x14ac:dyDescent="0.25">
      <c r="B51" s="8" t="s">
        <v>1621</v>
      </c>
      <c r="C51" s="56" t="s">
        <v>1622</v>
      </c>
      <c r="D51" s="53" t="s">
        <v>1623</v>
      </c>
      <c r="E51" s="6" t="s">
        <v>94</v>
      </c>
      <c r="F51" s="19">
        <v>2252</v>
      </c>
      <c r="G51" s="24">
        <v>19.09</v>
      </c>
      <c r="H51" s="24">
        <v>0.17</v>
      </c>
      <c r="I51" s="31"/>
      <c r="J51" s="35"/>
    </row>
    <row r="52" spans="2:10" x14ac:dyDescent="0.25">
      <c r="B52" s="8" t="s">
        <v>1624</v>
      </c>
      <c r="C52" s="56" t="s">
        <v>1625</v>
      </c>
      <c r="D52" s="53" t="s">
        <v>1626</v>
      </c>
      <c r="E52" s="6" t="s">
        <v>886</v>
      </c>
      <c r="F52" s="19">
        <v>20030</v>
      </c>
      <c r="G52" s="24">
        <v>16.47</v>
      </c>
      <c r="H52" s="24">
        <v>0.15</v>
      </c>
      <c r="I52" s="31"/>
      <c r="J52" s="35"/>
    </row>
    <row r="53" spans="2:10" x14ac:dyDescent="0.25">
      <c r="B53" s="8" t="s">
        <v>463</v>
      </c>
      <c r="C53" s="56" t="s">
        <v>464</v>
      </c>
      <c r="D53" s="53" t="s">
        <v>465</v>
      </c>
      <c r="E53" s="6" t="s">
        <v>47</v>
      </c>
      <c r="F53" s="19">
        <v>506</v>
      </c>
      <c r="G53" s="24">
        <v>15.55</v>
      </c>
      <c r="H53" s="24">
        <v>0.14000000000000001</v>
      </c>
      <c r="I53" s="31"/>
      <c r="J53" s="35"/>
    </row>
    <row r="54" spans="2:10" x14ac:dyDescent="0.25">
      <c r="B54" s="8" t="s">
        <v>1627</v>
      </c>
      <c r="C54" s="56" t="s">
        <v>1628</v>
      </c>
      <c r="D54" s="53" t="s">
        <v>1629</v>
      </c>
      <c r="E54" s="6" t="s">
        <v>261</v>
      </c>
      <c r="F54" s="19">
        <v>5996</v>
      </c>
      <c r="G54" s="24">
        <v>14.5</v>
      </c>
      <c r="H54" s="24">
        <v>0.13</v>
      </c>
      <c r="I54" s="31"/>
      <c r="J54" s="35"/>
    </row>
    <row r="55" spans="2:10" x14ac:dyDescent="0.25">
      <c r="B55" s="8" t="s">
        <v>1630</v>
      </c>
      <c r="C55" s="56" t="s">
        <v>1631</v>
      </c>
      <c r="D55" s="53" t="s">
        <v>1632</v>
      </c>
      <c r="E55" s="6" t="s">
        <v>170</v>
      </c>
      <c r="F55" s="19">
        <v>5528</v>
      </c>
      <c r="G55" s="24">
        <v>11.61</v>
      </c>
      <c r="H55" s="24">
        <v>0.11</v>
      </c>
      <c r="I55" s="31"/>
      <c r="J55" s="35"/>
    </row>
    <row r="56" spans="2:10" x14ac:dyDescent="0.25">
      <c r="B56" s="8" t="s">
        <v>893</v>
      </c>
      <c r="C56" s="56" t="s">
        <v>894</v>
      </c>
      <c r="D56" s="53" t="s">
        <v>895</v>
      </c>
      <c r="E56" s="6" t="s">
        <v>261</v>
      </c>
      <c r="F56" s="19">
        <v>54761</v>
      </c>
      <c r="G56" s="24">
        <v>11.06</v>
      </c>
      <c r="H56" s="24">
        <v>0.1</v>
      </c>
      <c r="I56" s="31"/>
      <c r="J56" s="35"/>
    </row>
    <row r="57" spans="2:10" x14ac:dyDescent="0.25">
      <c r="B57" s="8" t="s">
        <v>817</v>
      </c>
      <c r="C57" s="56" t="s">
        <v>818</v>
      </c>
      <c r="D57" s="53" t="s">
        <v>819</v>
      </c>
      <c r="E57" s="6" t="s">
        <v>51</v>
      </c>
      <c r="F57" s="19">
        <v>26197</v>
      </c>
      <c r="G57" s="24">
        <v>10.75</v>
      </c>
      <c r="H57" s="24">
        <v>0.1</v>
      </c>
      <c r="I57" s="31"/>
      <c r="J57" s="35"/>
    </row>
    <row r="58" spans="2:10" x14ac:dyDescent="0.25">
      <c r="B58" s="8" t="s">
        <v>401</v>
      </c>
      <c r="C58" s="56" t="s">
        <v>402</v>
      </c>
      <c r="D58" s="53" t="s">
        <v>403</v>
      </c>
      <c r="E58" s="6" t="s">
        <v>51</v>
      </c>
      <c r="F58" s="19">
        <v>28729</v>
      </c>
      <c r="G58" s="24">
        <v>8.1999999999999993</v>
      </c>
      <c r="H58" s="24">
        <v>7.0000000000000007E-2</v>
      </c>
      <c r="I58" s="31"/>
      <c r="J58" s="35"/>
    </row>
    <row r="59" spans="2:10" x14ac:dyDescent="0.25">
      <c r="B59" s="8" t="s">
        <v>1633</v>
      </c>
      <c r="C59" s="56" t="s">
        <v>1634</v>
      </c>
      <c r="D59" s="53" t="s">
        <v>1635</v>
      </c>
      <c r="E59" s="6" t="s">
        <v>94</v>
      </c>
      <c r="F59" s="19">
        <v>5356</v>
      </c>
      <c r="G59" s="24">
        <v>6.48</v>
      </c>
      <c r="H59" s="24">
        <v>0.06</v>
      </c>
      <c r="I59" s="31"/>
      <c r="J59" s="35"/>
    </row>
    <row r="60" spans="2:10" x14ac:dyDescent="0.25">
      <c r="C60" s="57" t="s">
        <v>35</v>
      </c>
      <c r="D60" s="53"/>
      <c r="E60" s="6"/>
      <c r="F60" s="19"/>
      <c r="G60" s="25">
        <v>1611.65</v>
      </c>
      <c r="H60" s="25">
        <v>14.59</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C67" s="59" t="s">
        <v>6</v>
      </c>
      <c r="D67" s="53"/>
      <c r="E67" s="6"/>
      <c r="F67" s="19"/>
      <c r="G67" s="24"/>
      <c r="H67" s="24"/>
      <c r="I67" s="31"/>
      <c r="J67" s="35"/>
    </row>
    <row r="68" spans="1:10" x14ac:dyDescent="0.25">
      <c r="B68" s="8" t="s">
        <v>2806</v>
      </c>
      <c r="C68" s="56" t="s">
        <v>1376</v>
      </c>
      <c r="D68" s="53" t="s">
        <v>2807</v>
      </c>
      <c r="E68" s="6" t="s">
        <v>534</v>
      </c>
      <c r="F68" s="19">
        <v>95</v>
      </c>
      <c r="G68" s="24">
        <v>1002.82</v>
      </c>
      <c r="H68" s="24">
        <v>9.08</v>
      </c>
      <c r="I68" s="31">
        <v>5.43</v>
      </c>
      <c r="J68" s="35" t="s">
        <v>514</v>
      </c>
    </row>
    <row r="69" spans="1:10" x14ac:dyDescent="0.25">
      <c r="B69" s="8" t="s">
        <v>1864</v>
      </c>
      <c r="C69" s="56" t="s">
        <v>125</v>
      </c>
      <c r="D69" s="53" t="s">
        <v>1865</v>
      </c>
      <c r="E69" s="6" t="s">
        <v>534</v>
      </c>
      <c r="F69" s="19">
        <v>95</v>
      </c>
      <c r="G69" s="24">
        <v>999.58</v>
      </c>
      <c r="H69" s="24">
        <v>9.0500000000000007</v>
      </c>
      <c r="I69" s="31">
        <v>4.76</v>
      </c>
      <c r="J69" s="35"/>
    </row>
    <row r="70" spans="1:10" x14ac:dyDescent="0.25">
      <c r="B70" s="8" t="s">
        <v>2988</v>
      </c>
      <c r="C70" s="56" t="s">
        <v>53</v>
      </c>
      <c r="D70" s="53" t="s">
        <v>2989</v>
      </c>
      <c r="E70" s="6" t="s">
        <v>534</v>
      </c>
      <c r="F70" s="19">
        <v>95</v>
      </c>
      <c r="G70" s="24">
        <v>992.37</v>
      </c>
      <c r="H70" s="24">
        <v>8.98</v>
      </c>
      <c r="I70" s="31">
        <v>4.88</v>
      </c>
      <c r="J70" s="35"/>
    </row>
    <row r="71" spans="1:10" x14ac:dyDescent="0.25">
      <c r="B71" s="8" t="s">
        <v>1905</v>
      </c>
      <c r="C71" s="56" t="s">
        <v>909</v>
      </c>
      <c r="D71" s="53" t="s">
        <v>1906</v>
      </c>
      <c r="E71" s="6" t="s">
        <v>534</v>
      </c>
      <c r="F71" s="19">
        <v>90</v>
      </c>
      <c r="G71" s="24">
        <v>967.17</v>
      </c>
      <c r="H71" s="24">
        <v>8.75</v>
      </c>
      <c r="I71" s="31">
        <v>5.01</v>
      </c>
      <c r="J71" s="35"/>
    </row>
    <row r="72" spans="1:10" x14ac:dyDescent="0.25">
      <c r="B72" s="8" t="s">
        <v>2185</v>
      </c>
      <c r="C72" s="56" t="s">
        <v>1738</v>
      </c>
      <c r="D72" s="53" t="s">
        <v>2186</v>
      </c>
      <c r="E72" s="6" t="s">
        <v>534</v>
      </c>
      <c r="F72" s="19">
        <v>50</v>
      </c>
      <c r="G72" s="24">
        <v>544.52</v>
      </c>
      <c r="H72" s="24">
        <v>4.93</v>
      </c>
      <c r="I72" s="31">
        <v>4.91</v>
      </c>
      <c r="J72" s="35" t="s">
        <v>514</v>
      </c>
    </row>
    <row r="73" spans="1:10" x14ac:dyDescent="0.25">
      <c r="B73" s="8" t="s">
        <v>2990</v>
      </c>
      <c r="C73" s="56" t="s">
        <v>601</v>
      </c>
      <c r="D73" s="53" t="s">
        <v>2991</v>
      </c>
      <c r="E73" s="6" t="s">
        <v>534</v>
      </c>
      <c r="F73" s="19">
        <v>50</v>
      </c>
      <c r="G73" s="24">
        <v>538.39</v>
      </c>
      <c r="H73" s="24">
        <v>4.87</v>
      </c>
      <c r="I73" s="31">
        <v>5.4549000000000003</v>
      </c>
      <c r="J73" s="35" t="s">
        <v>514</v>
      </c>
    </row>
    <row r="74" spans="1:10" x14ac:dyDescent="0.25">
      <c r="B74" s="8" t="s">
        <v>1744</v>
      </c>
      <c r="C74" s="56" t="s">
        <v>77</v>
      </c>
      <c r="D74" s="53" t="s">
        <v>1745</v>
      </c>
      <c r="E74" s="6" t="s">
        <v>534</v>
      </c>
      <c r="F74" s="19">
        <v>25</v>
      </c>
      <c r="G74" s="24">
        <v>262.8</v>
      </c>
      <c r="H74" s="24">
        <v>2.38</v>
      </c>
      <c r="I74" s="31">
        <v>4.6749999999999998</v>
      </c>
      <c r="J74" s="35" t="s">
        <v>514</v>
      </c>
    </row>
    <row r="75" spans="1:10" x14ac:dyDescent="0.25">
      <c r="B75" s="8" t="s">
        <v>2758</v>
      </c>
      <c r="C75" s="56" t="s">
        <v>77</v>
      </c>
      <c r="D75" s="53" t="s">
        <v>2759</v>
      </c>
      <c r="E75" s="6" t="s">
        <v>534</v>
      </c>
      <c r="F75" s="19">
        <v>25</v>
      </c>
      <c r="G75" s="24">
        <v>261.74</v>
      </c>
      <c r="H75" s="24">
        <v>2.37</v>
      </c>
      <c r="I75" s="31">
        <v>5.2249999999999996</v>
      </c>
      <c r="J75" s="35" t="s">
        <v>514</v>
      </c>
    </row>
    <row r="76" spans="1:10" x14ac:dyDescent="0.25">
      <c r="B76" s="8" t="s">
        <v>1966</v>
      </c>
      <c r="C76" s="56" t="s">
        <v>1230</v>
      </c>
      <c r="D76" s="53" t="s">
        <v>1967</v>
      </c>
      <c r="E76" s="6" t="s">
        <v>534</v>
      </c>
      <c r="F76" s="19">
        <v>20</v>
      </c>
      <c r="G76" s="24">
        <v>217.06</v>
      </c>
      <c r="H76" s="24">
        <v>1.96</v>
      </c>
      <c r="I76" s="31">
        <v>4.9949000000000003</v>
      </c>
      <c r="J76" s="35" t="s">
        <v>514</v>
      </c>
    </row>
    <row r="77" spans="1:10" x14ac:dyDescent="0.25">
      <c r="C77" s="57" t="s">
        <v>35</v>
      </c>
      <c r="D77" s="53"/>
      <c r="E77" s="6"/>
      <c r="F77" s="19"/>
      <c r="G77" s="25">
        <v>5786.45</v>
      </c>
      <c r="H77" s="25">
        <v>52.37</v>
      </c>
      <c r="I77" s="31"/>
      <c r="J77" s="35"/>
    </row>
    <row r="78" spans="1:10" x14ac:dyDescent="0.25">
      <c r="C78" s="56"/>
      <c r="D78" s="53"/>
      <c r="E78" s="6"/>
      <c r="F78" s="19"/>
      <c r="G78" s="24"/>
      <c r="H78" s="24"/>
      <c r="I78" s="31"/>
      <c r="J78" s="35"/>
    </row>
    <row r="79" spans="1:10" x14ac:dyDescent="0.25">
      <c r="C79" s="57" t="s">
        <v>7</v>
      </c>
      <c r="D79" s="53"/>
      <c r="E79" s="6"/>
      <c r="F79" s="19"/>
      <c r="G79" s="24" t="s">
        <v>2</v>
      </c>
      <c r="H79" s="24" t="s">
        <v>2</v>
      </c>
      <c r="I79" s="31"/>
      <c r="J79" s="35"/>
    </row>
    <row r="80" spans="1:10" x14ac:dyDescent="0.25">
      <c r="C80" s="56"/>
      <c r="D80" s="53"/>
      <c r="E80" s="6"/>
      <c r="F80" s="19"/>
      <c r="G80" s="24"/>
      <c r="H80" s="24"/>
      <c r="I80" s="31"/>
      <c r="J80" s="35"/>
    </row>
    <row r="81" spans="2:10" x14ac:dyDescent="0.25">
      <c r="C81" s="57" t="s">
        <v>8</v>
      </c>
      <c r="D81" s="53"/>
      <c r="E81" s="6"/>
      <c r="F81" s="19"/>
      <c r="G81" s="24" t="s">
        <v>2</v>
      </c>
      <c r="H81" s="24" t="s">
        <v>2</v>
      </c>
      <c r="I81" s="31"/>
      <c r="J81" s="35"/>
    </row>
    <row r="82" spans="2:10" x14ac:dyDescent="0.25">
      <c r="C82" s="56"/>
      <c r="D82" s="53"/>
      <c r="E82" s="6"/>
      <c r="F82" s="19"/>
      <c r="G82" s="24"/>
      <c r="H82" s="24"/>
      <c r="I82" s="31"/>
      <c r="J82" s="35"/>
    </row>
    <row r="83" spans="2:10" x14ac:dyDescent="0.25">
      <c r="C83" s="57" t="s">
        <v>9</v>
      </c>
      <c r="D83" s="53"/>
      <c r="E83" s="6"/>
      <c r="F83" s="19"/>
      <c r="G83" s="24" t="s">
        <v>2</v>
      </c>
      <c r="H83" s="24" t="s">
        <v>2</v>
      </c>
      <c r="I83" s="31"/>
      <c r="J83" s="35"/>
    </row>
    <row r="84" spans="2:10" x14ac:dyDescent="0.25">
      <c r="C84" s="56"/>
      <c r="D84" s="53"/>
      <c r="E84" s="6"/>
      <c r="F84" s="19"/>
      <c r="G84" s="24"/>
      <c r="H84" s="24"/>
      <c r="I84" s="31"/>
      <c r="J84" s="35"/>
    </row>
    <row r="85" spans="2:10" x14ac:dyDescent="0.25">
      <c r="C85" s="59" t="s">
        <v>10</v>
      </c>
      <c r="D85" s="53"/>
      <c r="E85" s="6"/>
      <c r="F85" s="19"/>
      <c r="G85" s="24"/>
      <c r="H85" s="24"/>
      <c r="I85" s="31"/>
      <c r="J85" s="35"/>
    </row>
    <row r="86" spans="2:10" x14ac:dyDescent="0.25">
      <c r="B86" s="8" t="s">
        <v>2992</v>
      </c>
      <c r="C86" s="56" t="s">
        <v>2993</v>
      </c>
      <c r="D86" s="53" t="s">
        <v>2994</v>
      </c>
      <c r="E86" s="6" t="s">
        <v>655</v>
      </c>
      <c r="F86" s="19">
        <v>2500000</v>
      </c>
      <c r="G86" s="24">
        <v>2701.5</v>
      </c>
      <c r="H86" s="24">
        <v>24.45</v>
      </c>
      <c r="I86" s="31">
        <v>5.0707000000000004</v>
      </c>
      <c r="J86" s="35"/>
    </row>
    <row r="87" spans="2:10" x14ac:dyDescent="0.25">
      <c r="B87" s="8" t="s">
        <v>2995</v>
      </c>
      <c r="C87" s="56" t="s">
        <v>2996</v>
      </c>
      <c r="D87" s="53" t="s">
        <v>2997</v>
      </c>
      <c r="E87" s="6" t="s">
        <v>655</v>
      </c>
      <c r="F87" s="19">
        <v>450000</v>
      </c>
      <c r="G87" s="24">
        <v>482.03</v>
      </c>
      <c r="H87" s="24">
        <v>4.3600000000000003</v>
      </c>
      <c r="I87" s="31">
        <v>5.2473999999999998</v>
      </c>
      <c r="J87" s="35"/>
    </row>
    <row r="88" spans="2:10" x14ac:dyDescent="0.25">
      <c r="C88" s="57" t="s">
        <v>35</v>
      </c>
      <c r="D88" s="53"/>
      <c r="E88" s="6"/>
      <c r="F88" s="19"/>
      <c r="G88" s="25">
        <v>3183.53</v>
      </c>
      <c r="H88" s="25">
        <v>28.81</v>
      </c>
      <c r="I88" s="31"/>
      <c r="J88" s="35"/>
    </row>
    <row r="89" spans="2:10" x14ac:dyDescent="0.25">
      <c r="C89" s="56"/>
      <c r="D89" s="53"/>
      <c r="E89" s="6"/>
      <c r="F89" s="19"/>
      <c r="G89" s="24"/>
      <c r="H89" s="24"/>
      <c r="I89" s="31"/>
      <c r="J89" s="35"/>
    </row>
    <row r="90" spans="2:10" x14ac:dyDescent="0.25">
      <c r="C90" s="57" t="s">
        <v>11</v>
      </c>
      <c r="D90" s="53"/>
      <c r="E90" s="6"/>
      <c r="F90" s="19"/>
      <c r="G90" s="24"/>
      <c r="H90" s="24"/>
      <c r="I90" s="31"/>
      <c r="J90" s="35"/>
    </row>
    <row r="91" spans="2:10" x14ac:dyDescent="0.25">
      <c r="C91" s="56"/>
      <c r="D91" s="53"/>
      <c r="E91" s="6"/>
      <c r="F91" s="19"/>
      <c r="G91" s="24"/>
      <c r="H91" s="24"/>
      <c r="I91" s="31"/>
      <c r="J91" s="35"/>
    </row>
    <row r="92" spans="2:10" x14ac:dyDescent="0.25">
      <c r="C92" s="57" t="s">
        <v>13</v>
      </c>
      <c r="D92" s="53"/>
      <c r="E92" s="6"/>
      <c r="F92" s="19"/>
      <c r="G92" s="24" t="s">
        <v>2</v>
      </c>
      <c r="H92" s="24" t="s">
        <v>2</v>
      </c>
      <c r="I92" s="31"/>
      <c r="J92" s="35"/>
    </row>
    <row r="93" spans="2:10" x14ac:dyDescent="0.25">
      <c r="C93" s="56"/>
      <c r="D93" s="53"/>
      <c r="E93" s="6"/>
      <c r="F93" s="19"/>
      <c r="G93" s="24"/>
      <c r="H93" s="24"/>
      <c r="I93" s="31"/>
      <c r="J93" s="35"/>
    </row>
    <row r="94" spans="2:10" x14ac:dyDescent="0.25">
      <c r="C94" s="57" t="s">
        <v>14</v>
      </c>
      <c r="D94" s="53"/>
      <c r="E94" s="6"/>
      <c r="F94" s="19"/>
      <c r="G94" s="24" t="s">
        <v>2</v>
      </c>
      <c r="H94" s="24" t="s">
        <v>2</v>
      </c>
      <c r="I94" s="31"/>
      <c r="J94" s="35"/>
    </row>
    <row r="95" spans="2:10" x14ac:dyDescent="0.25">
      <c r="C95" s="56"/>
      <c r="D95" s="53"/>
      <c r="E95" s="6"/>
      <c r="F95" s="19"/>
      <c r="G95" s="24"/>
      <c r="H95" s="24"/>
      <c r="I95" s="31"/>
      <c r="J95" s="35"/>
    </row>
    <row r="96" spans="2:10" x14ac:dyDescent="0.25">
      <c r="C96" s="57" t="s">
        <v>15</v>
      </c>
      <c r="D96" s="53"/>
      <c r="E96" s="6"/>
      <c r="F96" s="19"/>
      <c r="G96" s="24" t="s">
        <v>2</v>
      </c>
      <c r="H96" s="24" t="s">
        <v>2</v>
      </c>
      <c r="I96" s="31"/>
      <c r="J96" s="35"/>
    </row>
    <row r="97" spans="1:10" x14ac:dyDescent="0.25">
      <c r="C97" s="56"/>
      <c r="D97" s="53"/>
      <c r="E97" s="6"/>
      <c r="F97" s="19"/>
      <c r="G97" s="24"/>
      <c r="H97" s="24"/>
      <c r="I97" s="31"/>
      <c r="J97" s="35"/>
    </row>
    <row r="98" spans="1:10" x14ac:dyDescent="0.25">
      <c r="C98" s="57" t="s">
        <v>16</v>
      </c>
      <c r="D98" s="53"/>
      <c r="E98" s="6"/>
      <c r="F98" s="19"/>
      <c r="G98" s="24" t="s">
        <v>2</v>
      </c>
      <c r="H98" s="24" t="s">
        <v>2</v>
      </c>
      <c r="I98" s="31"/>
      <c r="J98" s="35"/>
    </row>
    <row r="99" spans="1:10" x14ac:dyDescent="0.25">
      <c r="C99" s="56"/>
      <c r="D99" s="53"/>
      <c r="E99" s="6"/>
      <c r="F99" s="19"/>
      <c r="G99" s="24"/>
      <c r="H99" s="24"/>
      <c r="I99" s="31"/>
      <c r="J99" s="35"/>
    </row>
    <row r="100" spans="1:10" x14ac:dyDescent="0.25">
      <c r="A100" s="10"/>
      <c r="B100" s="28"/>
      <c r="C100" s="58" t="s">
        <v>17</v>
      </c>
      <c r="D100" s="53"/>
      <c r="E100" s="6"/>
      <c r="F100" s="19"/>
      <c r="G100" s="24"/>
      <c r="H100" s="24"/>
      <c r="I100" s="31"/>
      <c r="J100" s="35"/>
    </row>
    <row r="101" spans="1:10" x14ac:dyDescent="0.25">
      <c r="A101" s="28"/>
      <c r="B101" s="28"/>
      <c r="C101" s="58" t="s">
        <v>18</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19</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A105" s="28"/>
      <c r="B105" s="28"/>
      <c r="C105" s="58" t="s">
        <v>20</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A107" s="28"/>
      <c r="B107" s="28"/>
      <c r="C107" s="58" t="s">
        <v>21</v>
      </c>
      <c r="D107" s="53"/>
      <c r="E107" s="6"/>
      <c r="F107" s="19"/>
      <c r="G107" s="24" t="s">
        <v>2</v>
      </c>
      <c r="H107" s="24" t="s">
        <v>2</v>
      </c>
      <c r="I107" s="31"/>
      <c r="J107" s="35"/>
    </row>
    <row r="108" spans="1:10" x14ac:dyDescent="0.25">
      <c r="A108" s="28"/>
      <c r="B108" s="28"/>
      <c r="C108" s="58"/>
      <c r="D108" s="53"/>
      <c r="E108" s="6"/>
      <c r="F108" s="19"/>
      <c r="G108" s="24"/>
      <c r="H108" s="24"/>
      <c r="I108" s="31"/>
      <c r="J108" s="35"/>
    </row>
    <row r="109" spans="1:10" x14ac:dyDescent="0.25">
      <c r="C109" s="59" t="s">
        <v>22</v>
      </c>
      <c r="D109" s="53"/>
      <c r="E109" s="6"/>
      <c r="F109" s="19"/>
      <c r="G109" s="24"/>
      <c r="H109" s="24"/>
      <c r="I109" s="31"/>
      <c r="J109" s="35"/>
    </row>
    <row r="110" spans="1:10" x14ac:dyDescent="0.25">
      <c r="B110" s="8" t="s">
        <v>33</v>
      </c>
      <c r="C110" s="56" t="s">
        <v>34</v>
      </c>
      <c r="D110" s="53"/>
      <c r="E110" s="6"/>
      <c r="F110" s="19"/>
      <c r="G110" s="24">
        <v>177.45</v>
      </c>
      <c r="H110" s="24">
        <v>1.61</v>
      </c>
      <c r="I110" s="31"/>
      <c r="J110" s="35"/>
    </row>
    <row r="111" spans="1:10" x14ac:dyDescent="0.25">
      <c r="C111" s="57" t="s">
        <v>35</v>
      </c>
      <c r="D111" s="53"/>
      <c r="E111" s="6"/>
      <c r="F111" s="19"/>
      <c r="G111" s="25">
        <v>177.45</v>
      </c>
      <c r="H111" s="25">
        <v>1.61</v>
      </c>
      <c r="I111" s="31"/>
      <c r="J111" s="35"/>
    </row>
    <row r="112" spans="1:10" x14ac:dyDescent="0.25">
      <c r="C112" s="56"/>
      <c r="D112" s="53"/>
      <c r="E112" s="6"/>
      <c r="F112" s="19"/>
      <c r="G112" s="24"/>
      <c r="H112" s="24"/>
      <c r="I112" s="31"/>
      <c r="J112" s="35"/>
    </row>
    <row r="113" spans="1:10" x14ac:dyDescent="0.25">
      <c r="A113" s="10"/>
      <c r="B113" s="28"/>
      <c r="C113" s="58" t="s">
        <v>23</v>
      </c>
      <c r="D113" s="53"/>
      <c r="E113" s="6"/>
      <c r="F113" s="19"/>
      <c r="G113" s="24"/>
      <c r="H113" s="24"/>
      <c r="I113" s="31"/>
      <c r="J113" s="35"/>
    </row>
    <row r="114" spans="1:10" x14ac:dyDescent="0.25">
      <c r="A114" s="28"/>
      <c r="B114" s="28"/>
      <c r="C114" s="60" t="s">
        <v>3398</v>
      </c>
      <c r="D114" s="53"/>
      <c r="E114" s="6"/>
      <c r="F114" s="19"/>
      <c r="G114" s="24" t="s">
        <v>2</v>
      </c>
      <c r="H114" s="24" t="s">
        <v>2</v>
      </c>
      <c r="I114" s="31"/>
      <c r="J114" s="35"/>
    </row>
    <row r="115" spans="1:10" x14ac:dyDescent="0.25">
      <c r="B115" s="8"/>
      <c r="C115" s="56" t="s">
        <v>36</v>
      </c>
      <c r="D115" s="53"/>
      <c r="E115" s="6"/>
      <c r="F115" s="19"/>
      <c r="G115" s="24">
        <v>288.44</v>
      </c>
      <c r="H115" s="24">
        <v>2.6199999999999997</v>
      </c>
      <c r="I115" s="31"/>
      <c r="J115" s="35"/>
    </row>
    <row r="116" spans="1:10" x14ac:dyDescent="0.25">
      <c r="C116" s="57" t="s">
        <v>35</v>
      </c>
      <c r="D116" s="53"/>
      <c r="E116" s="6"/>
      <c r="F116" s="19"/>
      <c r="G116" s="25">
        <v>288.44</v>
      </c>
      <c r="H116" s="25">
        <v>2.6199999999999997</v>
      </c>
      <c r="I116" s="31"/>
      <c r="J116" s="35"/>
    </row>
    <row r="117" spans="1:10" x14ac:dyDescent="0.25">
      <c r="C117" s="56"/>
      <c r="D117" s="53"/>
      <c r="E117" s="6"/>
      <c r="F117" s="19"/>
      <c r="G117" s="24"/>
      <c r="H117" s="24"/>
      <c r="I117" s="31"/>
      <c r="J117" s="35"/>
    </row>
    <row r="118" spans="1:10" x14ac:dyDescent="0.25">
      <c r="C118" s="61" t="s">
        <v>37</v>
      </c>
      <c r="D118" s="54"/>
      <c r="E118" s="5"/>
      <c r="F118" s="20"/>
      <c r="G118" s="26">
        <v>11047.52</v>
      </c>
      <c r="H118" s="26">
        <f>SUMIFS(H:H,C:C,"Total")</f>
        <v>100</v>
      </c>
      <c r="I118" s="32"/>
      <c r="J118" s="36"/>
    </row>
    <row r="121" spans="1:10" x14ac:dyDescent="0.25">
      <c r="C121" s="1" t="s">
        <v>38</v>
      </c>
    </row>
    <row r="122" spans="1:10" x14ac:dyDescent="0.25">
      <c r="C122" s="2" t="s">
        <v>39</v>
      </c>
    </row>
    <row r="123" spans="1:10" x14ac:dyDescent="0.25">
      <c r="C123" s="2" t="s">
        <v>40</v>
      </c>
    </row>
    <row r="124" spans="1:10" x14ac:dyDescent="0.25">
      <c r="C124" s="2" t="s">
        <v>3430</v>
      </c>
    </row>
  </sheetData>
  <hyperlinks>
    <hyperlink ref="J2" location="'Index'!A1" display="'Index'!A1"/>
  </hyperlinks>
  <pageMargins left="0.7" right="0.7" top="0.75" bottom="0.75" header="0.3" footer="0.3"/>
  <pageSetup orientation="portrait" horizontalDpi="4294967293"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5"/>
  <dimension ref="A1:J6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2998</v>
      </c>
      <c r="J2" s="37" t="s">
        <v>3307</v>
      </c>
    </row>
    <row r="3" spans="1:10" ht="16.5" x14ac:dyDescent="0.3">
      <c r="C3" s="1" t="s">
        <v>24</v>
      </c>
      <c r="D3" s="21" t="s">
        <v>2999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A23" s="28"/>
      <c r="B23" s="28"/>
      <c r="C23" s="58" t="s">
        <v>9</v>
      </c>
      <c r="D23" s="53"/>
      <c r="E23" s="6"/>
      <c r="F23" s="19"/>
      <c r="G23" s="24" t="s">
        <v>2</v>
      </c>
      <c r="H23" s="24" t="s">
        <v>2</v>
      </c>
      <c r="I23" s="31"/>
      <c r="J23" s="35"/>
    </row>
    <row r="24" spans="1:10" x14ac:dyDescent="0.25">
      <c r="A24" s="28"/>
      <c r="B24" s="28"/>
      <c r="C24" s="58"/>
      <c r="D24" s="53"/>
      <c r="E24" s="6"/>
      <c r="F24" s="19"/>
      <c r="G24" s="24"/>
      <c r="H24" s="24"/>
      <c r="I24" s="31"/>
      <c r="J24" s="35"/>
    </row>
    <row r="25" spans="1:10" x14ac:dyDescent="0.25">
      <c r="C25" s="59" t="s">
        <v>10</v>
      </c>
      <c r="D25" s="53"/>
      <c r="E25" s="6"/>
      <c r="F25" s="19"/>
      <c r="G25" s="24"/>
      <c r="H25" s="24"/>
      <c r="I25" s="31"/>
      <c r="J25" s="35"/>
    </row>
    <row r="26" spans="1:10" x14ac:dyDescent="0.25">
      <c r="B26" s="8" t="s">
        <v>2960</v>
      </c>
      <c r="C26" s="56" t="s">
        <v>2961</v>
      </c>
      <c r="D26" s="53" t="s">
        <v>2962</v>
      </c>
      <c r="E26" s="6" t="s">
        <v>655</v>
      </c>
      <c r="F26" s="19">
        <v>1000000</v>
      </c>
      <c r="G26" s="24">
        <v>1100.2</v>
      </c>
      <c r="H26" s="24">
        <v>42.59</v>
      </c>
      <c r="I26" s="31">
        <v>6.8098999999999998</v>
      </c>
      <c r="J26" s="35"/>
    </row>
    <row r="27" spans="1:10" x14ac:dyDescent="0.25">
      <c r="B27" s="8" t="s">
        <v>2963</v>
      </c>
      <c r="C27" s="56" t="s">
        <v>2964</v>
      </c>
      <c r="D27" s="53" t="s">
        <v>2965</v>
      </c>
      <c r="E27" s="6" t="s">
        <v>655</v>
      </c>
      <c r="F27" s="19">
        <v>500000</v>
      </c>
      <c r="G27" s="24">
        <v>549.74</v>
      </c>
      <c r="H27" s="24">
        <v>21.28</v>
      </c>
      <c r="I27" s="31">
        <v>6.8205</v>
      </c>
      <c r="J27" s="35"/>
    </row>
    <row r="28" spans="1:10" x14ac:dyDescent="0.25">
      <c r="B28" s="8" t="s">
        <v>3000</v>
      </c>
      <c r="C28" s="56" t="s">
        <v>3001</v>
      </c>
      <c r="D28" s="53" t="s">
        <v>3002</v>
      </c>
      <c r="E28" s="6" t="s">
        <v>655</v>
      </c>
      <c r="F28" s="19">
        <v>500000</v>
      </c>
      <c r="G28" s="24">
        <v>542.5</v>
      </c>
      <c r="H28" s="24">
        <v>21</v>
      </c>
      <c r="I28" s="31">
        <v>6.8197999999999999</v>
      </c>
      <c r="J28" s="35"/>
    </row>
    <row r="29" spans="1:10" x14ac:dyDescent="0.25">
      <c r="B29" s="8" t="s">
        <v>3003</v>
      </c>
      <c r="C29" s="56" t="s">
        <v>3004</v>
      </c>
      <c r="D29" s="53" t="s">
        <v>3005</v>
      </c>
      <c r="E29" s="6" t="s">
        <v>655</v>
      </c>
      <c r="F29" s="19">
        <v>94400</v>
      </c>
      <c r="G29" s="24">
        <v>102.43</v>
      </c>
      <c r="H29" s="24">
        <v>3.97</v>
      </c>
      <c r="I29" s="31">
        <v>6.82</v>
      </c>
      <c r="J29" s="35"/>
    </row>
    <row r="30" spans="1:10" x14ac:dyDescent="0.25">
      <c r="C30" s="57" t="s">
        <v>35</v>
      </c>
      <c r="D30" s="53"/>
      <c r="E30" s="6"/>
      <c r="F30" s="19"/>
      <c r="G30" s="25">
        <v>2294.87</v>
      </c>
      <c r="H30" s="25">
        <v>88.84</v>
      </c>
      <c r="I30" s="31"/>
      <c r="J30" s="35"/>
    </row>
    <row r="31" spans="1:10" x14ac:dyDescent="0.25">
      <c r="C31" s="56"/>
      <c r="D31" s="53"/>
      <c r="E31" s="6"/>
      <c r="F31" s="19"/>
      <c r="G31" s="24"/>
      <c r="H31" s="24"/>
      <c r="I31" s="31"/>
      <c r="J31" s="35"/>
    </row>
    <row r="32" spans="1:10" x14ac:dyDescent="0.25">
      <c r="A32" s="10"/>
      <c r="B32" s="28"/>
      <c r="C32" s="58" t="s">
        <v>11</v>
      </c>
      <c r="D32" s="53"/>
      <c r="E32" s="6"/>
      <c r="F32" s="19"/>
      <c r="G32" s="24"/>
      <c r="H32" s="24"/>
      <c r="I32" s="31"/>
      <c r="J32" s="35"/>
    </row>
    <row r="33" spans="1:10" x14ac:dyDescent="0.25">
      <c r="A33" s="28"/>
      <c r="B33" s="28"/>
      <c r="C33" s="58" t="s">
        <v>13</v>
      </c>
      <c r="D33" s="53"/>
      <c r="E33" s="6"/>
      <c r="F33" s="19"/>
      <c r="G33" s="24" t="s">
        <v>2</v>
      </c>
      <c r="H33" s="24" t="s">
        <v>2</v>
      </c>
      <c r="I33" s="31"/>
      <c r="J33" s="35"/>
    </row>
    <row r="34" spans="1:10" x14ac:dyDescent="0.25">
      <c r="A34" s="28"/>
      <c r="B34" s="28"/>
      <c r="C34" s="58"/>
      <c r="D34" s="53"/>
      <c r="E34" s="6"/>
      <c r="F34" s="19"/>
      <c r="G34" s="24"/>
      <c r="H34" s="24"/>
      <c r="I34" s="31"/>
      <c r="J34" s="35"/>
    </row>
    <row r="35" spans="1:10" x14ac:dyDescent="0.25">
      <c r="C35" s="59" t="s">
        <v>14</v>
      </c>
      <c r="D35" s="53"/>
      <c r="E35" s="6"/>
      <c r="F35" s="19"/>
      <c r="G35" s="24"/>
      <c r="H35" s="24"/>
      <c r="I35" s="31"/>
      <c r="J35" s="35"/>
    </row>
    <row r="36" spans="1:10" x14ac:dyDescent="0.25">
      <c r="B36" s="8" t="s">
        <v>1232</v>
      </c>
      <c r="C36" s="56" t="s">
        <v>818</v>
      </c>
      <c r="D36" s="53" t="s">
        <v>1233</v>
      </c>
      <c r="E36" s="6" t="s">
        <v>1000</v>
      </c>
      <c r="F36" s="19">
        <v>100</v>
      </c>
      <c r="G36" s="24">
        <v>97.3</v>
      </c>
      <c r="H36" s="24">
        <v>3.77</v>
      </c>
      <c r="I36" s="31">
        <v>3.83</v>
      </c>
      <c r="J36" s="35" t="s">
        <v>514</v>
      </c>
    </row>
    <row r="37" spans="1:10" x14ac:dyDescent="0.25">
      <c r="C37" s="57" t="s">
        <v>35</v>
      </c>
      <c r="D37" s="53"/>
      <c r="E37" s="6"/>
      <c r="F37" s="19"/>
      <c r="G37" s="25">
        <v>97.3</v>
      </c>
      <c r="H37" s="25">
        <v>3.77</v>
      </c>
      <c r="I37" s="31"/>
      <c r="J37" s="35"/>
    </row>
    <row r="38" spans="1:10" x14ac:dyDescent="0.25">
      <c r="C38" s="56"/>
      <c r="D38" s="53"/>
      <c r="E38" s="6"/>
      <c r="F38" s="19"/>
      <c r="G38" s="24"/>
      <c r="H38" s="24"/>
      <c r="I38" s="31"/>
      <c r="J38" s="35"/>
    </row>
    <row r="39" spans="1:10" x14ac:dyDescent="0.25">
      <c r="C39" s="57" t="s">
        <v>15</v>
      </c>
      <c r="D39" s="53"/>
      <c r="E39" s="6"/>
      <c r="F39" s="19"/>
      <c r="G39" s="24" t="s">
        <v>2</v>
      </c>
      <c r="H39" s="24" t="s">
        <v>2</v>
      </c>
      <c r="I39" s="31"/>
      <c r="J39" s="35"/>
    </row>
    <row r="40" spans="1:10" x14ac:dyDescent="0.25">
      <c r="C40" s="56"/>
      <c r="D40" s="53"/>
      <c r="E40" s="6"/>
      <c r="F40" s="19"/>
      <c r="G40" s="24"/>
      <c r="H40" s="24"/>
      <c r="I40" s="31"/>
      <c r="J40" s="35"/>
    </row>
    <row r="41" spans="1:10" x14ac:dyDescent="0.25">
      <c r="C41" s="57" t="s">
        <v>16</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17</v>
      </c>
      <c r="D43" s="53"/>
      <c r="E43" s="6"/>
      <c r="F43" s="19"/>
      <c r="G43" s="24"/>
      <c r="H43" s="24"/>
      <c r="I43" s="31"/>
      <c r="J43" s="35"/>
    </row>
    <row r="44" spans="1:10" x14ac:dyDescent="0.25">
      <c r="A44" s="28"/>
      <c r="B44" s="28"/>
      <c r="C44" s="58" t="s">
        <v>18</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A46" s="28"/>
      <c r="B46" s="28"/>
      <c r="C46" s="58" t="s">
        <v>19</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A48" s="28"/>
      <c r="B48" s="28"/>
      <c r="C48" s="58" t="s">
        <v>20</v>
      </c>
      <c r="D48" s="53"/>
      <c r="E48" s="6"/>
      <c r="F48" s="19"/>
      <c r="G48" s="24" t="s">
        <v>2</v>
      </c>
      <c r="H48" s="24" t="s">
        <v>2</v>
      </c>
      <c r="I48" s="31"/>
      <c r="J48" s="35"/>
    </row>
    <row r="49" spans="1:10" x14ac:dyDescent="0.25">
      <c r="A49" s="28"/>
      <c r="B49" s="28"/>
      <c r="C49" s="58"/>
      <c r="D49" s="53"/>
      <c r="E49" s="6"/>
      <c r="F49" s="19"/>
      <c r="G49" s="24"/>
      <c r="H49" s="24"/>
      <c r="I49" s="31"/>
      <c r="J49" s="35"/>
    </row>
    <row r="50" spans="1:10" x14ac:dyDescent="0.25">
      <c r="A50" s="28"/>
      <c r="B50" s="28"/>
      <c r="C50" s="58" t="s">
        <v>21</v>
      </c>
      <c r="D50" s="53"/>
      <c r="E50" s="6"/>
      <c r="F50" s="19"/>
      <c r="G50" s="24" t="s">
        <v>2</v>
      </c>
      <c r="H50" s="24" t="s">
        <v>2</v>
      </c>
      <c r="I50" s="31"/>
      <c r="J50" s="35"/>
    </row>
    <row r="51" spans="1:10" x14ac:dyDescent="0.25">
      <c r="A51" s="28"/>
      <c r="B51" s="28"/>
      <c r="C51" s="58"/>
      <c r="D51" s="53"/>
      <c r="E51" s="6"/>
      <c r="F51" s="19"/>
      <c r="G51" s="24"/>
      <c r="H51" s="24"/>
      <c r="I51" s="31"/>
      <c r="J51" s="35"/>
    </row>
    <row r="52" spans="1:10" x14ac:dyDescent="0.25">
      <c r="C52" s="59" t="s">
        <v>22</v>
      </c>
      <c r="D52" s="53"/>
      <c r="E52" s="6"/>
      <c r="F52" s="19"/>
      <c r="G52" s="24"/>
      <c r="H52" s="24"/>
      <c r="I52" s="31"/>
      <c r="J52" s="35"/>
    </row>
    <row r="53" spans="1:10" x14ac:dyDescent="0.25">
      <c r="B53" s="8" t="s">
        <v>33</v>
      </c>
      <c r="C53" s="56" t="s">
        <v>34</v>
      </c>
      <c r="D53" s="53"/>
      <c r="E53" s="6"/>
      <c r="F53" s="19"/>
      <c r="G53" s="24">
        <v>166.24</v>
      </c>
      <c r="H53" s="24">
        <v>6.43</v>
      </c>
      <c r="I53" s="31"/>
      <c r="J53" s="35"/>
    </row>
    <row r="54" spans="1:10" x14ac:dyDescent="0.25">
      <c r="C54" s="57" t="s">
        <v>35</v>
      </c>
      <c r="D54" s="53"/>
      <c r="E54" s="6"/>
      <c r="F54" s="19"/>
      <c r="G54" s="25">
        <v>166.24</v>
      </c>
      <c r="H54" s="25">
        <v>6.43</v>
      </c>
      <c r="I54" s="31"/>
      <c r="J54" s="35"/>
    </row>
    <row r="55" spans="1:10" x14ac:dyDescent="0.25">
      <c r="C55" s="56"/>
      <c r="D55" s="53"/>
      <c r="E55" s="6"/>
      <c r="F55" s="19"/>
      <c r="G55" s="24"/>
      <c r="H55" s="24"/>
      <c r="I55" s="31"/>
      <c r="J55" s="35"/>
    </row>
    <row r="56" spans="1:10" x14ac:dyDescent="0.25">
      <c r="A56" s="10"/>
      <c r="B56" s="28"/>
      <c r="C56" s="58" t="s">
        <v>23</v>
      </c>
      <c r="D56" s="53"/>
      <c r="E56" s="6"/>
      <c r="F56" s="19"/>
      <c r="G56" s="24"/>
      <c r="H56" s="24"/>
      <c r="I56" s="31"/>
      <c r="J56" s="35"/>
    </row>
    <row r="57" spans="1:10" x14ac:dyDescent="0.25">
      <c r="A57" s="28"/>
      <c r="B57" s="28"/>
      <c r="C57" s="60" t="s">
        <v>3398</v>
      </c>
      <c r="D57" s="53"/>
      <c r="E57" s="6"/>
      <c r="F57" s="19"/>
      <c r="G57" s="24" t="s">
        <v>2</v>
      </c>
      <c r="H57" s="24" t="s">
        <v>2</v>
      </c>
      <c r="I57" s="31"/>
      <c r="J57" s="35"/>
    </row>
    <row r="58" spans="1:10" x14ac:dyDescent="0.25">
      <c r="B58" s="8"/>
      <c r="C58" s="56" t="s">
        <v>36</v>
      </c>
      <c r="D58" s="53"/>
      <c r="E58" s="6"/>
      <c r="F58" s="19"/>
      <c r="G58" s="24">
        <v>25.03</v>
      </c>
      <c r="H58" s="24">
        <v>0.96</v>
      </c>
      <c r="I58" s="31"/>
      <c r="J58" s="35"/>
    </row>
    <row r="59" spans="1:10" x14ac:dyDescent="0.25">
      <c r="C59" s="57" t="s">
        <v>35</v>
      </c>
      <c r="D59" s="53"/>
      <c r="E59" s="6"/>
      <c r="F59" s="19"/>
      <c r="G59" s="25">
        <v>25.03</v>
      </c>
      <c r="H59" s="25">
        <v>0.96</v>
      </c>
      <c r="I59" s="31"/>
      <c r="J59" s="35"/>
    </row>
    <row r="60" spans="1:10" x14ac:dyDescent="0.25">
      <c r="C60" s="56"/>
      <c r="D60" s="53"/>
      <c r="E60" s="6"/>
      <c r="F60" s="19"/>
      <c r="G60" s="24"/>
      <c r="H60" s="24"/>
      <c r="I60" s="31"/>
      <c r="J60" s="35"/>
    </row>
    <row r="61" spans="1:10" x14ac:dyDescent="0.25">
      <c r="C61" s="61" t="s">
        <v>37</v>
      </c>
      <c r="D61" s="54"/>
      <c r="E61" s="5"/>
      <c r="F61" s="20"/>
      <c r="G61" s="26">
        <v>2583.44</v>
      </c>
      <c r="H61" s="26">
        <f>SUMIFS(H:H,C:C,"Total")</f>
        <v>99.999999999999986</v>
      </c>
      <c r="I61" s="32"/>
      <c r="J61" s="36"/>
    </row>
    <row r="64" spans="1:10" x14ac:dyDescent="0.25">
      <c r="C64" s="1" t="s">
        <v>38</v>
      </c>
    </row>
    <row r="65" spans="3:3" x14ac:dyDescent="0.25">
      <c r="C65" s="2" t="s">
        <v>39</v>
      </c>
    </row>
    <row r="66" spans="3:3" x14ac:dyDescent="0.25">
      <c r="C66" s="2" t="s">
        <v>40</v>
      </c>
    </row>
    <row r="67" spans="3:3" x14ac:dyDescent="0.25">
      <c r="C67" s="2" t="s">
        <v>3430</v>
      </c>
    </row>
  </sheetData>
  <hyperlinks>
    <hyperlink ref="J2" location="'Index'!A1" display="'Index'!A1"/>
  </hyperlinks>
  <pageMargins left="0.7" right="0.7" top="0.75" bottom="0.75" header="0.3" footer="0.3"/>
  <pageSetup orientation="portrait" horizontalDpi="4294967293"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6"/>
  <dimension ref="A1:J7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3006</v>
      </c>
      <c r="J2" s="37" t="s">
        <v>3307</v>
      </c>
    </row>
    <row r="3" spans="1:10" ht="16.5" x14ac:dyDescent="0.3">
      <c r="C3" s="1" t="s">
        <v>24</v>
      </c>
      <c r="D3" s="21" t="s">
        <v>3007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2980</v>
      </c>
      <c r="C18" s="56" t="s">
        <v>1935</v>
      </c>
      <c r="D18" s="53" t="s">
        <v>2981</v>
      </c>
      <c r="E18" s="6" t="s">
        <v>911</v>
      </c>
      <c r="F18" s="19">
        <v>170</v>
      </c>
      <c r="G18" s="24">
        <v>1560.39</v>
      </c>
      <c r="H18" s="24">
        <v>9.64</v>
      </c>
      <c r="I18" s="31">
        <v>5.1999000000000004</v>
      </c>
      <c r="J18" s="35" t="s">
        <v>514</v>
      </c>
    </row>
    <row r="19" spans="2:10" x14ac:dyDescent="0.25">
      <c r="B19" s="8" t="s">
        <v>3008</v>
      </c>
      <c r="C19" s="56" t="s">
        <v>2622</v>
      </c>
      <c r="D19" s="53" t="s">
        <v>3009</v>
      </c>
      <c r="E19" s="6" t="s">
        <v>534</v>
      </c>
      <c r="F19" s="19">
        <v>170</v>
      </c>
      <c r="G19" s="24">
        <v>1552.13</v>
      </c>
      <c r="H19" s="24">
        <v>9.59</v>
      </c>
      <c r="I19" s="31">
        <v>5.37</v>
      </c>
      <c r="J19" s="35" t="s">
        <v>514</v>
      </c>
    </row>
    <row r="20" spans="2:10" x14ac:dyDescent="0.25">
      <c r="B20" s="8" t="s">
        <v>1878</v>
      </c>
      <c r="C20" s="56" t="s">
        <v>1130</v>
      </c>
      <c r="D20" s="53" t="s">
        <v>1879</v>
      </c>
      <c r="E20" s="6" t="s">
        <v>911</v>
      </c>
      <c r="F20" s="19">
        <v>130</v>
      </c>
      <c r="G20" s="24">
        <v>1376.61</v>
      </c>
      <c r="H20" s="24">
        <v>8.51</v>
      </c>
      <c r="I20" s="31">
        <v>4.8</v>
      </c>
      <c r="J20" s="35" t="s">
        <v>514</v>
      </c>
    </row>
    <row r="21" spans="2:10" x14ac:dyDescent="0.25">
      <c r="B21" s="8" t="s">
        <v>2646</v>
      </c>
      <c r="C21" s="56" t="s">
        <v>53</v>
      </c>
      <c r="D21" s="53" t="s">
        <v>2647</v>
      </c>
      <c r="E21" s="6" t="s">
        <v>534</v>
      </c>
      <c r="F21" s="19">
        <v>130</v>
      </c>
      <c r="G21" s="24">
        <v>1365.96</v>
      </c>
      <c r="H21" s="24">
        <v>8.44</v>
      </c>
      <c r="I21" s="31">
        <v>4.53</v>
      </c>
      <c r="J21" s="35"/>
    </row>
    <row r="22" spans="2:10" x14ac:dyDescent="0.25">
      <c r="B22" s="8" t="s">
        <v>1858</v>
      </c>
      <c r="C22" s="56" t="s">
        <v>909</v>
      </c>
      <c r="D22" s="53" t="s">
        <v>1859</v>
      </c>
      <c r="E22" s="6" t="s">
        <v>534</v>
      </c>
      <c r="F22" s="19">
        <v>130</v>
      </c>
      <c r="G22" s="24">
        <v>1365.87</v>
      </c>
      <c r="H22" s="24">
        <v>8.44</v>
      </c>
      <c r="I22" s="31">
        <v>4.55</v>
      </c>
      <c r="J22" s="35" t="s">
        <v>514</v>
      </c>
    </row>
    <row r="23" spans="2:10" x14ac:dyDescent="0.25">
      <c r="B23" s="8" t="s">
        <v>1744</v>
      </c>
      <c r="C23" s="56" t="s">
        <v>77</v>
      </c>
      <c r="D23" s="53" t="s">
        <v>1745</v>
      </c>
      <c r="E23" s="6" t="s">
        <v>534</v>
      </c>
      <c r="F23" s="19">
        <v>125</v>
      </c>
      <c r="G23" s="24">
        <v>1313.98</v>
      </c>
      <c r="H23" s="24">
        <v>8.1199999999999992</v>
      </c>
      <c r="I23" s="31">
        <v>4.6749999999999998</v>
      </c>
      <c r="J23" s="35" t="s">
        <v>514</v>
      </c>
    </row>
    <row r="24" spans="2:10" x14ac:dyDescent="0.25">
      <c r="B24" s="8" t="s">
        <v>1872</v>
      </c>
      <c r="C24" s="56" t="s">
        <v>1376</v>
      </c>
      <c r="D24" s="53" t="s">
        <v>1873</v>
      </c>
      <c r="E24" s="6" t="s">
        <v>534</v>
      </c>
      <c r="F24" s="19">
        <v>120</v>
      </c>
      <c r="G24" s="24">
        <v>1284.56</v>
      </c>
      <c r="H24" s="24">
        <v>7.94</v>
      </c>
      <c r="I24" s="31">
        <v>4.91</v>
      </c>
      <c r="J24" s="35" t="s">
        <v>514</v>
      </c>
    </row>
    <row r="25" spans="2:10" x14ac:dyDescent="0.25">
      <c r="B25" s="8" t="s">
        <v>3010</v>
      </c>
      <c r="C25" s="56" t="s">
        <v>1127</v>
      </c>
      <c r="D25" s="53" t="s">
        <v>3011</v>
      </c>
      <c r="E25" s="6" t="s">
        <v>534</v>
      </c>
      <c r="F25" s="19">
        <v>100</v>
      </c>
      <c r="G25" s="24">
        <v>1055.52</v>
      </c>
      <c r="H25" s="24">
        <v>6.52</v>
      </c>
      <c r="I25" s="31">
        <v>5.0199999999999996</v>
      </c>
      <c r="J25" s="35" t="s">
        <v>514</v>
      </c>
    </row>
    <row r="26" spans="2:10" x14ac:dyDescent="0.25">
      <c r="B26" s="8" t="s">
        <v>2772</v>
      </c>
      <c r="C26" s="56" t="s">
        <v>857</v>
      </c>
      <c r="D26" s="53" t="s">
        <v>2773</v>
      </c>
      <c r="E26" s="6" t="s">
        <v>534</v>
      </c>
      <c r="F26" s="19">
        <v>100</v>
      </c>
      <c r="G26" s="24">
        <v>1054.1300000000001</v>
      </c>
      <c r="H26" s="24">
        <v>6.51</v>
      </c>
      <c r="I26" s="31">
        <v>4.3</v>
      </c>
      <c r="J26" s="35"/>
    </row>
    <row r="27" spans="2:10" x14ac:dyDescent="0.25">
      <c r="B27" s="8" t="s">
        <v>1864</v>
      </c>
      <c r="C27" s="56" t="s">
        <v>125</v>
      </c>
      <c r="D27" s="53" t="s">
        <v>1865</v>
      </c>
      <c r="E27" s="6" t="s">
        <v>534</v>
      </c>
      <c r="F27" s="19">
        <v>100</v>
      </c>
      <c r="G27" s="24">
        <v>1052.19</v>
      </c>
      <c r="H27" s="24">
        <v>6.5</v>
      </c>
      <c r="I27" s="31">
        <v>4.76</v>
      </c>
      <c r="J27" s="35"/>
    </row>
    <row r="28" spans="2:10" x14ac:dyDescent="0.25">
      <c r="B28" s="8" t="s">
        <v>2692</v>
      </c>
      <c r="C28" s="56" t="s">
        <v>2421</v>
      </c>
      <c r="D28" s="53" t="s">
        <v>2693</v>
      </c>
      <c r="E28" s="6" t="s">
        <v>534</v>
      </c>
      <c r="F28" s="19">
        <v>45</v>
      </c>
      <c r="G28" s="24">
        <v>559.21</v>
      </c>
      <c r="H28" s="24">
        <v>3.46</v>
      </c>
      <c r="I28" s="31">
        <v>5.23</v>
      </c>
      <c r="J28" s="35" t="s">
        <v>514</v>
      </c>
    </row>
    <row r="29" spans="2:10" x14ac:dyDescent="0.25">
      <c r="B29" s="8" t="s">
        <v>2788</v>
      </c>
      <c r="C29" s="56" t="s">
        <v>601</v>
      </c>
      <c r="D29" s="53" t="s">
        <v>2789</v>
      </c>
      <c r="E29" s="6" t="s">
        <v>534</v>
      </c>
      <c r="F29" s="19">
        <v>50</v>
      </c>
      <c r="G29" s="24">
        <v>526.46</v>
      </c>
      <c r="H29" s="24">
        <v>3.25</v>
      </c>
      <c r="I29" s="31">
        <v>4.7649999999999997</v>
      </c>
      <c r="J29" s="35" t="s">
        <v>514</v>
      </c>
    </row>
    <row r="30" spans="2:10" x14ac:dyDescent="0.25">
      <c r="B30" s="8" t="s">
        <v>2766</v>
      </c>
      <c r="C30" s="56" t="s">
        <v>1752</v>
      </c>
      <c r="D30" s="53" t="s">
        <v>2767</v>
      </c>
      <c r="E30" s="6" t="s">
        <v>911</v>
      </c>
      <c r="F30" s="19">
        <v>40</v>
      </c>
      <c r="G30" s="24">
        <v>420.52</v>
      </c>
      <c r="H30" s="24">
        <v>2.6</v>
      </c>
      <c r="I30" s="31">
        <v>4.46</v>
      </c>
      <c r="J30" s="35" t="s">
        <v>514</v>
      </c>
    </row>
    <row r="31" spans="2:10" x14ac:dyDescent="0.25">
      <c r="B31" s="8" t="s">
        <v>2716</v>
      </c>
      <c r="C31" s="56" t="s">
        <v>1127</v>
      </c>
      <c r="D31" s="53" t="s">
        <v>2717</v>
      </c>
      <c r="E31" s="6" t="s">
        <v>534</v>
      </c>
      <c r="F31" s="19">
        <v>30</v>
      </c>
      <c r="G31" s="24">
        <v>362.37</v>
      </c>
      <c r="H31" s="24">
        <v>2.2400000000000002</v>
      </c>
      <c r="I31" s="31">
        <v>5.0199999999999996</v>
      </c>
      <c r="J31" s="35" t="s">
        <v>514</v>
      </c>
    </row>
    <row r="32" spans="2:10" x14ac:dyDescent="0.25">
      <c r="B32" s="8" t="s">
        <v>2947</v>
      </c>
      <c r="C32" s="56" t="s">
        <v>1143</v>
      </c>
      <c r="D32" s="53" t="s">
        <v>2948</v>
      </c>
      <c r="E32" s="6" t="s">
        <v>911</v>
      </c>
      <c r="F32" s="19">
        <v>10</v>
      </c>
      <c r="G32" s="24">
        <v>104.33</v>
      </c>
      <c r="H32" s="24">
        <v>0.64</v>
      </c>
      <c r="I32" s="31">
        <v>5.54</v>
      </c>
      <c r="J32" s="35" t="s">
        <v>514</v>
      </c>
    </row>
    <row r="33" spans="1:10" x14ac:dyDescent="0.25">
      <c r="C33" s="57" t="s">
        <v>35</v>
      </c>
      <c r="D33" s="53"/>
      <c r="E33" s="6"/>
      <c r="F33" s="19"/>
      <c r="G33" s="25">
        <v>14954.23</v>
      </c>
      <c r="H33" s="25">
        <v>92.4</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7" t="s">
        <v>10</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11</v>
      </c>
      <c r="D43" s="53"/>
      <c r="E43" s="6"/>
      <c r="F43" s="19"/>
      <c r="G43" s="24"/>
      <c r="H43" s="24"/>
      <c r="I43" s="31"/>
      <c r="J43" s="35"/>
    </row>
    <row r="44" spans="1:10" x14ac:dyDescent="0.25">
      <c r="A44" s="28"/>
      <c r="B44" s="28"/>
      <c r="C44" s="58" t="s">
        <v>13</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C46" s="59" t="s">
        <v>14</v>
      </c>
      <c r="D46" s="53"/>
      <c r="E46" s="6"/>
      <c r="F46" s="19"/>
      <c r="G46" s="24"/>
      <c r="H46" s="24"/>
      <c r="I46" s="31"/>
      <c r="J46" s="35"/>
    </row>
    <row r="47" spans="1:10" x14ac:dyDescent="0.25">
      <c r="B47" s="8" t="s">
        <v>1232</v>
      </c>
      <c r="C47" s="56" t="s">
        <v>818</v>
      </c>
      <c r="D47" s="53" t="s">
        <v>1233</v>
      </c>
      <c r="E47" s="6" t="s">
        <v>1000</v>
      </c>
      <c r="F47" s="19">
        <v>800</v>
      </c>
      <c r="G47" s="24">
        <v>778.44</v>
      </c>
      <c r="H47" s="24">
        <v>4.8099999999999996</v>
      </c>
      <c r="I47" s="31">
        <v>3.83</v>
      </c>
      <c r="J47" s="35" t="s">
        <v>514</v>
      </c>
    </row>
    <row r="48" spans="1:10" x14ac:dyDescent="0.25">
      <c r="C48" s="57" t="s">
        <v>35</v>
      </c>
      <c r="D48" s="53"/>
      <c r="E48" s="6"/>
      <c r="F48" s="19"/>
      <c r="G48" s="25">
        <v>778.44</v>
      </c>
      <c r="H48" s="25">
        <v>4.8099999999999996</v>
      </c>
      <c r="I48" s="31"/>
      <c r="J48" s="35"/>
    </row>
    <row r="49" spans="1:10" x14ac:dyDescent="0.25">
      <c r="C49" s="56"/>
      <c r="D49" s="53"/>
      <c r="E49" s="6"/>
      <c r="F49" s="19"/>
      <c r="G49" s="24"/>
      <c r="H49" s="24"/>
      <c r="I49" s="31"/>
      <c r="J49" s="35"/>
    </row>
    <row r="50" spans="1:10" x14ac:dyDescent="0.25">
      <c r="C50" s="57" t="s">
        <v>15</v>
      </c>
      <c r="D50" s="53"/>
      <c r="E50" s="6"/>
      <c r="F50" s="19"/>
      <c r="G50" s="24" t="s">
        <v>2</v>
      </c>
      <c r="H50" s="24" t="s">
        <v>2</v>
      </c>
      <c r="I50" s="31"/>
      <c r="J50" s="35"/>
    </row>
    <row r="51" spans="1:10" x14ac:dyDescent="0.25">
      <c r="C51" s="56"/>
      <c r="D51" s="53"/>
      <c r="E51" s="6"/>
      <c r="F51" s="19"/>
      <c r="G51" s="24"/>
      <c r="H51" s="24"/>
      <c r="I51" s="31"/>
      <c r="J51" s="35"/>
    </row>
    <row r="52" spans="1:10" x14ac:dyDescent="0.25">
      <c r="C52" s="57" t="s">
        <v>16</v>
      </c>
      <c r="D52" s="53"/>
      <c r="E52" s="6"/>
      <c r="F52" s="19"/>
      <c r="G52" s="24" t="s">
        <v>2</v>
      </c>
      <c r="H52" s="24" t="s">
        <v>2</v>
      </c>
      <c r="I52" s="31"/>
      <c r="J52" s="35"/>
    </row>
    <row r="53" spans="1:10" x14ac:dyDescent="0.25">
      <c r="C53" s="56"/>
      <c r="D53" s="53"/>
      <c r="E53" s="6"/>
      <c r="F53" s="19"/>
      <c r="G53" s="24"/>
      <c r="H53" s="24"/>
      <c r="I53" s="31"/>
      <c r="J53" s="35"/>
    </row>
    <row r="54" spans="1:10" x14ac:dyDescent="0.25">
      <c r="A54" s="10"/>
      <c r="B54" s="28"/>
      <c r="C54" s="58" t="s">
        <v>17</v>
      </c>
      <c r="D54" s="53"/>
      <c r="E54" s="6"/>
      <c r="F54" s="19"/>
      <c r="G54" s="24"/>
      <c r="H54" s="24"/>
      <c r="I54" s="31"/>
      <c r="J54" s="35"/>
    </row>
    <row r="55" spans="1:10" x14ac:dyDescent="0.25">
      <c r="A55" s="28"/>
      <c r="B55" s="28"/>
      <c r="C55" s="58" t="s">
        <v>18</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19</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20</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21</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C63" s="59" t="s">
        <v>22</v>
      </c>
      <c r="D63" s="53"/>
      <c r="E63" s="6"/>
      <c r="F63" s="19"/>
      <c r="G63" s="24"/>
      <c r="H63" s="24"/>
      <c r="I63" s="31"/>
      <c r="J63" s="35"/>
    </row>
    <row r="64" spans="1:10" x14ac:dyDescent="0.25">
      <c r="B64" s="8" t="s">
        <v>33</v>
      </c>
      <c r="C64" s="56" t="s">
        <v>34</v>
      </c>
      <c r="D64" s="53"/>
      <c r="E64" s="6"/>
      <c r="F64" s="19"/>
      <c r="G64" s="24">
        <v>71.89</v>
      </c>
      <c r="H64" s="24">
        <v>0.44</v>
      </c>
      <c r="I64" s="31"/>
      <c r="J64" s="35"/>
    </row>
    <row r="65" spans="1:10" x14ac:dyDescent="0.25">
      <c r="C65" s="57" t="s">
        <v>35</v>
      </c>
      <c r="D65" s="53"/>
      <c r="E65" s="6"/>
      <c r="F65" s="19"/>
      <c r="G65" s="25">
        <v>71.89</v>
      </c>
      <c r="H65" s="25">
        <v>0.44</v>
      </c>
      <c r="I65" s="31"/>
      <c r="J65" s="35"/>
    </row>
    <row r="66" spans="1:10" x14ac:dyDescent="0.25">
      <c r="C66" s="56"/>
      <c r="D66" s="53"/>
      <c r="E66" s="6"/>
      <c r="F66" s="19"/>
      <c r="G66" s="24"/>
      <c r="H66" s="24"/>
      <c r="I66" s="31"/>
      <c r="J66" s="35"/>
    </row>
    <row r="67" spans="1:10" x14ac:dyDescent="0.25">
      <c r="A67" s="10"/>
      <c r="B67" s="28"/>
      <c r="C67" s="58" t="s">
        <v>23</v>
      </c>
      <c r="D67" s="53"/>
      <c r="E67" s="6"/>
      <c r="F67" s="19"/>
      <c r="G67" s="24"/>
      <c r="H67" s="24"/>
      <c r="I67" s="31"/>
      <c r="J67" s="35"/>
    </row>
    <row r="68" spans="1:10" x14ac:dyDescent="0.25">
      <c r="A68" s="28"/>
      <c r="B68" s="28"/>
      <c r="C68" s="60" t="s">
        <v>3398</v>
      </c>
      <c r="D68" s="53"/>
      <c r="E68" s="6"/>
      <c r="F68" s="19"/>
      <c r="G68" s="24" t="s">
        <v>2</v>
      </c>
      <c r="H68" s="24" t="s">
        <v>2</v>
      </c>
      <c r="I68" s="31"/>
      <c r="J68" s="35"/>
    </row>
    <row r="69" spans="1:10" x14ac:dyDescent="0.25">
      <c r="B69" s="8"/>
      <c r="C69" s="56" t="s">
        <v>36</v>
      </c>
      <c r="D69" s="53"/>
      <c r="E69" s="6"/>
      <c r="F69" s="19"/>
      <c r="G69" s="24">
        <v>376.71</v>
      </c>
      <c r="H69" s="24">
        <v>2.35</v>
      </c>
      <c r="I69" s="31"/>
      <c r="J69" s="35"/>
    </row>
    <row r="70" spans="1:10" x14ac:dyDescent="0.25">
      <c r="C70" s="57" t="s">
        <v>35</v>
      </c>
      <c r="D70" s="53"/>
      <c r="E70" s="6"/>
      <c r="F70" s="19"/>
      <c r="G70" s="25">
        <v>376.71</v>
      </c>
      <c r="H70" s="25">
        <v>2.35</v>
      </c>
      <c r="I70" s="31"/>
      <c r="J70" s="35"/>
    </row>
    <row r="71" spans="1:10" x14ac:dyDescent="0.25">
      <c r="C71" s="56"/>
      <c r="D71" s="53"/>
      <c r="E71" s="6"/>
      <c r="F71" s="19"/>
      <c r="G71" s="24"/>
      <c r="H71" s="24"/>
      <c r="I71" s="31"/>
      <c r="J71" s="35"/>
    </row>
    <row r="72" spans="1:10" x14ac:dyDescent="0.25">
      <c r="C72" s="61" t="s">
        <v>37</v>
      </c>
      <c r="D72" s="54"/>
      <c r="E72" s="5"/>
      <c r="F72" s="20"/>
      <c r="G72" s="26">
        <v>16181.27</v>
      </c>
      <c r="H72" s="26">
        <f>SUMIFS(H:H,C:C,"Total")</f>
        <v>100</v>
      </c>
      <c r="I72" s="32"/>
      <c r="J72" s="36"/>
    </row>
    <row r="75" spans="1:10" x14ac:dyDescent="0.25">
      <c r="C75" s="1" t="s">
        <v>38</v>
      </c>
    </row>
    <row r="76" spans="1:10" x14ac:dyDescent="0.25">
      <c r="C76" s="2" t="s">
        <v>39</v>
      </c>
    </row>
    <row r="77" spans="1:10" x14ac:dyDescent="0.25">
      <c r="C77" s="2" t="s">
        <v>40</v>
      </c>
    </row>
    <row r="78" spans="1:10" x14ac:dyDescent="0.25">
      <c r="C78" s="2" t="s">
        <v>3430</v>
      </c>
    </row>
  </sheetData>
  <hyperlinks>
    <hyperlink ref="J2" location="'Index'!A1" display="'Index'!A1"/>
  </hyperlinks>
  <pageMargins left="0.7" right="0.7" top="0.75" bottom="0.75" header="0.3" footer="0.3"/>
  <pageSetup orientation="portrait" horizontalDpi="4294967293"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7"/>
  <dimension ref="A1:J7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3012</v>
      </c>
      <c r="J2" s="37" t="s">
        <v>3307</v>
      </c>
    </row>
    <row r="3" spans="1:10" ht="16.5" x14ac:dyDescent="0.3">
      <c r="C3" s="1" t="s">
        <v>24</v>
      </c>
      <c r="D3" s="21" t="s">
        <v>3013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2980</v>
      </c>
      <c r="C18" s="56" t="s">
        <v>1935</v>
      </c>
      <c r="D18" s="53" t="s">
        <v>2981</v>
      </c>
      <c r="E18" s="6" t="s">
        <v>911</v>
      </c>
      <c r="F18" s="19">
        <v>190</v>
      </c>
      <c r="G18" s="24">
        <v>1743.97</v>
      </c>
      <c r="H18" s="24">
        <v>9.39</v>
      </c>
      <c r="I18" s="31">
        <v>5.1999000000000004</v>
      </c>
      <c r="J18" s="35" t="s">
        <v>514</v>
      </c>
    </row>
    <row r="19" spans="2:10" x14ac:dyDescent="0.25">
      <c r="B19" s="8" t="s">
        <v>2716</v>
      </c>
      <c r="C19" s="56" t="s">
        <v>1127</v>
      </c>
      <c r="D19" s="53" t="s">
        <v>2717</v>
      </c>
      <c r="E19" s="6" t="s">
        <v>534</v>
      </c>
      <c r="F19" s="19">
        <v>140</v>
      </c>
      <c r="G19" s="24">
        <v>1691.07</v>
      </c>
      <c r="H19" s="24">
        <v>9.11</v>
      </c>
      <c r="I19" s="31">
        <v>5.0199999999999996</v>
      </c>
      <c r="J19" s="35" t="s">
        <v>514</v>
      </c>
    </row>
    <row r="20" spans="2:10" x14ac:dyDescent="0.25">
      <c r="B20" s="8" t="s">
        <v>1880</v>
      </c>
      <c r="C20" s="56" t="s">
        <v>601</v>
      </c>
      <c r="D20" s="53" t="s">
        <v>1881</v>
      </c>
      <c r="E20" s="6" t="s">
        <v>534</v>
      </c>
      <c r="F20" s="19">
        <v>150</v>
      </c>
      <c r="G20" s="24">
        <v>1591.37</v>
      </c>
      <c r="H20" s="24">
        <v>8.57</v>
      </c>
      <c r="I20" s="31">
        <v>4.9400000000000004</v>
      </c>
      <c r="J20" s="35" t="s">
        <v>514</v>
      </c>
    </row>
    <row r="21" spans="2:10" x14ac:dyDescent="0.25">
      <c r="B21" s="8" t="s">
        <v>1864</v>
      </c>
      <c r="C21" s="56" t="s">
        <v>125</v>
      </c>
      <c r="D21" s="53" t="s">
        <v>1865</v>
      </c>
      <c r="E21" s="6" t="s">
        <v>534</v>
      </c>
      <c r="F21" s="19">
        <v>150</v>
      </c>
      <c r="G21" s="24">
        <v>1578.29</v>
      </c>
      <c r="H21" s="24">
        <v>8.5</v>
      </c>
      <c r="I21" s="31">
        <v>4.76</v>
      </c>
      <c r="J21" s="35"/>
    </row>
    <row r="22" spans="2:10" x14ac:dyDescent="0.25">
      <c r="B22" s="8" t="s">
        <v>2766</v>
      </c>
      <c r="C22" s="56" t="s">
        <v>1752</v>
      </c>
      <c r="D22" s="53" t="s">
        <v>2767</v>
      </c>
      <c r="E22" s="6" t="s">
        <v>911</v>
      </c>
      <c r="F22" s="19">
        <v>150</v>
      </c>
      <c r="G22" s="24">
        <v>1576.94</v>
      </c>
      <c r="H22" s="24">
        <v>8.49</v>
      </c>
      <c r="I22" s="31">
        <v>4.46</v>
      </c>
      <c r="J22" s="35" t="s">
        <v>514</v>
      </c>
    </row>
    <row r="23" spans="2:10" x14ac:dyDescent="0.25">
      <c r="B23" s="8" t="s">
        <v>1858</v>
      </c>
      <c r="C23" s="56" t="s">
        <v>909</v>
      </c>
      <c r="D23" s="53" t="s">
        <v>1859</v>
      </c>
      <c r="E23" s="6" t="s">
        <v>534</v>
      </c>
      <c r="F23" s="19">
        <v>150</v>
      </c>
      <c r="G23" s="24">
        <v>1576.01</v>
      </c>
      <c r="H23" s="24">
        <v>8.49</v>
      </c>
      <c r="I23" s="31">
        <v>4.55</v>
      </c>
      <c r="J23" s="35" t="s">
        <v>514</v>
      </c>
    </row>
    <row r="24" spans="2:10" x14ac:dyDescent="0.25">
      <c r="B24" s="8" t="s">
        <v>2776</v>
      </c>
      <c r="C24" s="56" t="s">
        <v>1130</v>
      </c>
      <c r="D24" s="53" t="s">
        <v>2777</v>
      </c>
      <c r="E24" s="6" t="s">
        <v>911</v>
      </c>
      <c r="F24" s="19">
        <v>150</v>
      </c>
      <c r="G24" s="24">
        <v>1571.6</v>
      </c>
      <c r="H24" s="24">
        <v>8.4600000000000009</v>
      </c>
      <c r="I24" s="31">
        <v>4.6449999999999996</v>
      </c>
      <c r="J24" s="35" t="s">
        <v>514</v>
      </c>
    </row>
    <row r="25" spans="2:10" x14ac:dyDescent="0.25">
      <c r="B25" s="8" t="s">
        <v>1744</v>
      </c>
      <c r="C25" s="56" t="s">
        <v>77</v>
      </c>
      <c r="D25" s="53" t="s">
        <v>1745</v>
      </c>
      <c r="E25" s="6" t="s">
        <v>534</v>
      </c>
      <c r="F25" s="19">
        <v>120</v>
      </c>
      <c r="G25" s="24">
        <v>1261.42</v>
      </c>
      <c r="H25" s="24">
        <v>6.79</v>
      </c>
      <c r="I25" s="31">
        <v>4.6749999999999998</v>
      </c>
      <c r="J25" s="35" t="s">
        <v>514</v>
      </c>
    </row>
    <row r="26" spans="2:10" x14ac:dyDescent="0.25">
      <c r="B26" s="8" t="s">
        <v>2646</v>
      </c>
      <c r="C26" s="56" t="s">
        <v>53</v>
      </c>
      <c r="D26" s="53" t="s">
        <v>2647</v>
      </c>
      <c r="E26" s="6" t="s">
        <v>534</v>
      </c>
      <c r="F26" s="19">
        <v>120</v>
      </c>
      <c r="G26" s="24">
        <v>1260.8900000000001</v>
      </c>
      <c r="H26" s="24">
        <v>6.79</v>
      </c>
      <c r="I26" s="31">
        <v>4.53</v>
      </c>
      <c r="J26" s="35"/>
    </row>
    <row r="27" spans="2:10" x14ac:dyDescent="0.25">
      <c r="B27" s="8" t="s">
        <v>2692</v>
      </c>
      <c r="C27" s="56" t="s">
        <v>2421</v>
      </c>
      <c r="D27" s="53" t="s">
        <v>2693</v>
      </c>
      <c r="E27" s="6" t="s">
        <v>534</v>
      </c>
      <c r="F27" s="19">
        <v>70</v>
      </c>
      <c r="G27" s="24">
        <v>869.88</v>
      </c>
      <c r="H27" s="24">
        <v>4.68</v>
      </c>
      <c r="I27" s="31">
        <v>5.23</v>
      </c>
      <c r="J27" s="35" t="s">
        <v>514</v>
      </c>
    </row>
    <row r="28" spans="2:10" x14ac:dyDescent="0.25">
      <c r="B28" s="8" t="s">
        <v>1872</v>
      </c>
      <c r="C28" s="56" t="s">
        <v>1376</v>
      </c>
      <c r="D28" s="53" t="s">
        <v>1873</v>
      </c>
      <c r="E28" s="6" t="s">
        <v>534</v>
      </c>
      <c r="F28" s="19">
        <v>70</v>
      </c>
      <c r="G28" s="24">
        <v>749.32</v>
      </c>
      <c r="H28" s="24">
        <v>4.04</v>
      </c>
      <c r="I28" s="31">
        <v>4.91</v>
      </c>
      <c r="J28" s="35" t="s">
        <v>514</v>
      </c>
    </row>
    <row r="29" spans="2:10" x14ac:dyDescent="0.25">
      <c r="B29" s="8" t="s">
        <v>3014</v>
      </c>
      <c r="C29" s="56" t="s">
        <v>1230</v>
      </c>
      <c r="D29" s="53" t="s">
        <v>3015</v>
      </c>
      <c r="E29" s="6" t="s">
        <v>534</v>
      </c>
      <c r="F29" s="19">
        <v>50</v>
      </c>
      <c r="G29" s="24">
        <v>537.87</v>
      </c>
      <c r="H29" s="24">
        <v>2.9</v>
      </c>
      <c r="I29" s="31">
        <v>4.6900000000000004</v>
      </c>
      <c r="J29" s="35" t="s">
        <v>514</v>
      </c>
    </row>
    <row r="30" spans="2:10" x14ac:dyDescent="0.25">
      <c r="B30" s="8" t="s">
        <v>3016</v>
      </c>
      <c r="C30" s="56" t="s">
        <v>854</v>
      </c>
      <c r="D30" s="53" t="s">
        <v>3017</v>
      </c>
      <c r="E30" s="6" t="s">
        <v>534</v>
      </c>
      <c r="F30" s="19">
        <v>50</v>
      </c>
      <c r="G30" s="24">
        <v>527.08000000000004</v>
      </c>
      <c r="H30" s="24">
        <v>2.84</v>
      </c>
      <c r="I30" s="31">
        <v>4.3949999999999996</v>
      </c>
      <c r="J30" s="35" t="s">
        <v>514</v>
      </c>
    </row>
    <row r="31" spans="2:10" x14ac:dyDescent="0.25">
      <c r="B31" s="8" t="s">
        <v>3018</v>
      </c>
      <c r="C31" s="56" t="s">
        <v>2421</v>
      </c>
      <c r="D31" s="53" t="s">
        <v>3019</v>
      </c>
      <c r="E31" s="6" t="s">
        <v>534</v>
      </c>
      <c r="F31" s="19">
        <v>30</v>
      </c>
      <c r="G31" s="24">
        <v>315.74</v>
      </c>
      <c r="H31" s="24">
        <v>1.7</v>
      </c>
      <c r="I31" s="31">
        <v>5.23</v>
      </c>
      <c r="J31" s="35" t="s">
        <v>514</v>
      </c>
    </row>
    <row r="32" spans="2:10" x14ac:dyDescent="0.25">
      <c r="B32" s="8" t="s">
        <v>2947</v>
      </c>
      <c r="C32" s="56" t="s">
        <v>1143</v>
      </c>
      <c r="D32" s="53" t="s">
        <v>2948</v>
      </c>
      <c r="E32" s="6" t="s">
        <v>911</v>
      </c>
      <c r="F32" s="19">
        <v>10</v>
      </c>
      <c r="G32" s="24">
        <v>104.33</v>
      </c>
      <c r="H32" s="24">
        <v>0.56000000000000005</v>
      </c>
      <c r="I32" s="31">
        <v>5.54</v>
      </c>
      <c r="J32" s="35" t="s">
        <v>514</v>
      </c>
    </row>
    <row r="33" spans="1:10" x14ac:dyDescent="0.25">
      <c r="C33" s="57" t="s">
        <v>35</v>
      </c>
      <c r="D33" s="53"/>
      <c r="E33" s="6"/>
      <c r="F33" s="19"/>
      <c r="G33" s="25">
        <v>16955.78</v>
      </c>
      <c r="H33" s="25">
        <v>91.31</v>
      </c>
      <c r="I33" s="31"/>
      <c r="J33" s="35"/>
    </row>
    <row r="34" spans="1:10" x14ac:dyDescent="0.25">
      <c r="C34" s="56"/>
      <c r="D34" s="53"/>
      <c r="E34" s="6"/>
      <c r="F34" s="19"/>
      <c r="G34" s="24"/>
      <c r="H34" s="24"/>
      <c r="I34" s="31"/>
      <c r="J34" s="35"/>
    </row>
    <row r="35" spans="1:10" x14ac:dyDescent="0.25">
      <c r="C35" s="57" t="s">
        <v>7</v>
      </c>
      <c r="D35" s="53"/>
      <c r="E35" s="6"/>
      <c r="F35" s="19"/>
      <c r="G35" s="24" t="s">
        <v>2</v>
      </c>
      <c r="H35" s="24" t="s">
        <v>2</v>
      </c>
      <c r="I35" s="31"/>
      <c r="J35" s="35"/>
    </row>
    <row r="36" spans="1:10" x14ac:dyDescent="0.25">
      <c r="C36" s="56"/>
      <c r="D36" s="53"/>
      <c r="E36" s="6"/>
      <c r="F36" s="19"/>
      <c r="G36" s="24"/>
      <c r="H36" s="24"/>
      <c r="I36" s="31"/>
      <c r="J36" s="35"/>
    </row>
    <row r="37" spans="1:10" x14ac:dyDescent="0.25">
      <c r="C37" s="57" t="s">
        <v>8</v>
      </c>
      <c r="D37" s="53"/>
      <c r="E37" s="6"/>
      <c r="F37" s="19"/>
      <c r="G37" s="24" t="s">
        <v>2</v>
      </c>
      <c r="H37" s="24" t="s">
        <v>2</v>
      </c>
      <c r="I37" s="31"/>
      <c r="J37" s="35"/>
    </row>
    <row r="38" spans="1:10" x14ac:dyDescent="0.25">
      <c r="C38" s="56"/>
      <c r="D38" s="53"/>
      <c r="E38" s="6"/>
      <c r="F38" s="19"/>
      <c r="G38" s="24"/>
      <c r="H38" s="24"/>
      <c r="I38" s="31"/>
      <c r="J38" s="35"/>
    </row>
    <row r="39" spans="1:10" x14ac:dyDescent="0.25">
      <c r="C39" s="57" t="s">
        <v>9</v>
      </c>
      <c r="D39" s="53"/>
      <c r="E39" s="6"/>
      <c r="F39" s="19"/>
      <c r="G39" s="24" t="s">
        <v>2</v>
      </c>
      <c r="H39" s="24" t="s">
        <v>2</v>
      </c>
      <c r="I39" s="31"/>
      <c r="J39" s="35"/>
    </row>
    <row r="40" spans="1:10" x14ac:dyDescent="0.25">
      <c r="C40" s="56"/>
      <c r="D40" s="53"/>
      <c r="E40" s="6"/>
      <c r="F40" s="19"/>
      <c r="G40" s="24"/>
      <c r="H40" s="24"/>
      <c r="I40" s="31"/>
      <c r="J40" s="35"/>
    </row>
    <row r="41" spans="1:10" x14ac:dyDescent="0.25">
      <c r="C41" s="57" t="s">
        <v>10</v>
      </c>
      <c r="D41" s="53"/>
      <c r="E41" s="6"/>
      <c r="F41" s="19"/>
      <c r="G41" s="24" t="s">
        <v>2</v>
      </c>
      <c r="H41" s="24" t="s">
        <v>2</v>
      </c>
      <c r="I41" s="31"/>
      <c r="J41" s="35"/>
    </row>
    <row r="42" spans="1:10" x14ac:dyDescent="0.25">
      <c r="C42" s="56"/>
      <c r="D42" s="53"/>
      <c r="E42" s="6"/>
      <c r="F42" s="19"/>
      <c r="G42" s="24"/>
      <c r="H42" s="24"/>
      <c r="I42" s="31"/>
      <c r="J42" s="35"/>
    </row>
    <row r="43" spans="1:10" x14ac:dyDescent="0.25">
      <c r="A43" s="10"/>
      <c r="B43" s="28"/>
      <c r="C43" s="58" t="s">
        <v>11</v>
      </c>
      <c r="D43" s="53"/>
      <c r="E43" s="6"/>
      <c r="F43" s="19"/>
      <c r="G43" s="24"/>
      <c r="H43" s="24"/>
      <c r="I43" s="31"/>
      <c r="J43" s="35"/>
    </row>
    <row r="44" spans="1:10" x14ac:dyDescent="0.25">
      <c r="A44" s="28"/>
      <c r="B44" s="28"/>
      <c r="C44" s="58" t="s">
        <v>13</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C46" s="59" t="s">
        <v>14</v>
      </c>
      <c r="D46" s="53"/>
      <c r="E46" s="6"/>
      <c r="F46" s="19"/>
      <c r="G46" s="24"/>
      <c r="H46" s="24"/>
      <c r="I46" s="31"/>
      <c r="J46" s="35"/>
    </row>
    <row r="47" spans="1:10" x14ac:dyDescent="0.25">
      <c r="B47" s="8" t="s">
        <v>1248</v>
      </c>
      <c r="C47" s="56" t="s">
        <v>818</v>
      </c>
      <c r="D47" s="53" t="s">
        <v>1249</v>
      </c>
      <c r="E47" s="6" t="s">
        <v>1000</v>
      </c>
      <c r="F47" s="19">
        <v>1100</v>
      </c>
      <c r="G47" s="24">
        <v>1072.6500000000001</v>
      </c>
      <c r="H47" s="24">
        <v>5.78</v>
      </c>
      <c r="I47" s="31">
        <v>3.8298999999999999</v>
      </c>
      <c r="J47" s="35" t="s">
        <v>514</v>
      </c>
    </row>
    <row r="48" spans="1:10" x14ac:dyDescent="0.25">
      <c r="C48" s="57" t="s">
        <v>35</v>
      </c>
      <c r="D48" s="53"/>
      <c r="E48" s="6"/>
      <c r="F48" s="19"/>
      <c r="G48" s="25">
        <v>1072.6500000000001</v>
      </c>
      <c r="H48" s="25">
        <v>5.78</v>
      </c>
      <c r="I48" s="31"/>
      <c r="J48" s="35"/>
    </row>
    <row r="49" spans="1:10" x14ac:dyDescent="0.25">
      <c r="C49" s="56"/>
      <c r="D49" s="53"/>
      <c r="E49" s="6"/>
      <c r="F49" s="19"/>
      <c r="G49" s="24"/>
      <c r="H49" s="24"/>
      <c r="I49" s="31"/>
      <c r="J49" s="35"/>
    </row>
    <row r="50" spans="1:10" x14ac:dyDescent="0.25">
      <c r="C50" s="57" t="s">
        <v>15</v>
      </c>
      <c r="D50" s="53"/>
      <c r="E50" s="6"/>
      <c r="F50" s="19"/>
      <c r="G50" s="24" t="s">
        <v>2</v>
      </c>
      <c r="H50" s="24" t="s">
        <v>2</v>
      </c>
      <c r="I50" s="31"/>
      <c r="J50" s="35"/>
    </row>
    <row r="51" spans="1:10" x14ac:dyDescent="0.25">
      <c r="C51" s="56"/>
      <c r="D51" s="53"/>
      <c r="E51" s="6"/>
      <c r="F51" s="19"/>
      <c r="G51" s="24"/>
      <c r="H51" s="24"/>
      <c r="I51" s="31"/>
      <c r="J51" s="35"/>
    </row>
    <row r="52" spans="1:10" x14ac:dyDescent="0.25">
      <c r="C52" s="57" t="s">
        <v>16</v>
      </c>
      <c r="D52" s="53"/>
      <c r="E52" s="6"/>
      <c r="F52" s="19"/>
      <c r="G52" s="24" t="s">
        <v>2</v>
      </c>
      <c r="H52" s="24" t="s">
        <v>2</v>
      </c>
      <c r="I52" s="31"/>
      <c r="J52" s="35"/>
    </row>
    <row r="53" spans="1:10" x14ac:dyDescent="0.25">
      <c r="C53" s="56"/>
      <c r="D53" s="53"/>
      <c r="E53" s="6"/>
      <c r="F53" s="19"/>
      <c r="G53" s="24"/>
      <c r="H53" s="24"/>
      <c r="I53" s="31"/>
      <c r="J53" s="35"/>
    </row>
    <row r="54" spans="1:10" x14ac:dyDescent="0.25">
      <c r="A54" s="10"/>
      <c r="B54" s="28"/>
      <c r="C54" s="58" t="s">
        <v>17</v>
      </c>
      <c r="D54" s="53"/>
      <c r="E54" s="6"/>
      <c r="F54" s="19"/>
      <c r="G54" s="24"/>
      <c r="H54" s="24"/>
      <c r="I54" s="31"/>
      <c r="J54" s="35"/>
    </row>
    <row r="55" spans="1:10" x14ac:dyDescent="0.25">
      <c r="A55" s="28"/>
      <c r="B55" s="28"/>
      <c r="C55" s="58" t="s">
        <v>18</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19</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20</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21</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C63" s="59" t="s">
        <v>22</v>
      </c>
      <c r="D63" s="53"/>
      <c r="E63" s="6"/>
      <c r="F63" s="19"/>
      <c r="G63" s="24"/>
      <c r="H63" s="24"/>
      <c r="I63" s="31"/>
      <c r="J63" s="35"/>
    </row>
    <row r="64" spans="1:10" x14ac:dyDescent="0.25">
      <c r="B64" s="8" t="s">
        <v>33</v>
      </c>
      <c r="C64" s="56" t="s">
        <v>34</v>
      </c>
      <c r="D64" s="53"/>
      <c r="E64" s="6"/>
      <c r="F64" s="19"/>
      <c r="G64" s="24">
        <v>126.35</v>
      </c>
      <c r="H64" s="24">
        <v>0.68</v>
      </c>
      <c r="I64" s="31"/>
      <c r="J64" s="35"/>
    </row>
    <row r="65" spans="1:10" x14ac:dyDescent="0.25">
      <c r="C65" s="57" t="s">
        <v>35</v>
      </c>
      <c r="D65" s="53"/>
      <c r="E65" s="6"/>
      <c r="F65" s="19"/>
      <c r="G65" s="25">
        <v>126.35</v>
      </c>
      <c r="H65" s="25">
        <v>0.68</v>
      </c>
      <c r="I65" s="31"/>
      <c r="J65" s="35"/>
    </row>
    <row r="66" spans="1:10" x14ac:dyDescent="0.25">
      <c r="C66" s="56"/>
      <c r="D66" s="53"/>
      <c r="E66" s="6"/>
      <c r="F66" s="19"/>
      <c r="G66" s="24"/>
      <c r="H66" s="24"/>
      <c r="I66" s="31"/>
      <c r="J66" s="35"/>
    </row>
    <row r="67" spans="1:10" x14ac:dyDescent="0.25">
      <c r="A67" s="10"/>
      <c r="B67" s="28"/>
      <c r="C67" s="58" t="s">
        <v>23</v>
      </c>
      <c r="D67" s="53"/>
      <c r="E67" s="6"/>
      <c r="F67" s="19"/>
      <c r="G67" s="24"/>
      <c r="H67" s="24"/>
      <c r="I67" s="31"/>
      <c r="J67" s="35"/>
    </row>
    <row r="68" spans="1:10" x14ac:dyDescent="0.25">
      <c r="A68" s="28"/>
      <c r="B68" s="28"/>
      <c r="C68" s="60" t="s">
        <v>3398</v>
      </c>
      <c r="D68" s="53"/>
      <c r="E68" s="6"/>
      <c r="F68" s="19"/>
      <c r="G68" s="24" t="s">
        <v>2</v>
      </c>
      <c r="H68" s="24" t="s">
        <v>2</v>
      </c>
      <c r="I68" s="31"/>
      <c r="J68" s="35"/>
    </row>
    <row r="69" spans="1:10" x14ac:dyDescent="0.25">
      <c r="B69" s="8"/>
      <c r="C69" s="56" t="s">
        <v>36</v>
      </c>
      <c r="D69" s="53"/>
      <c r="E69" s="6"/>
      <c r="F69" s="19"/>
      <c r="G69" s="24">
        <v>412.85</v>
      </c>
      <c r="H69" s="24">
        <v>2.23</v>
      </c>
      <c r="I69" s="31"/>
      <c r="J69" s="35"/>
    </row>
    <row r="70" spans="1:10" x14ac:dyDescent="0.25">
      <c r="C70" s="57" t="s">
        <v>35</v>
      </c>
      <c r="D70" s="53"/>
      <c r="E70" s="6"/>
      <c r="F70" s="19"/>
      <c r="G70" s="25">
        <v>412.85</v>
      </c>
      <c r="H70" s="25">
        <v>2.23</v>
      </c>
      <c r="I70" s="31"/>
      <c r="J70" s="35"/>
    </row>
    <row r="71" spans="1:10" x14ac:dyDescent="0.25">
      <c r="C71" s="56"/>
      <c r="D71" s="53"/>
      <c r="E71" s="6"/>
      <c r="F71" s="19"/>
      <c r="G71" s="24"/>
      <c r="H71" s="24"/>
      <c r="I71" s="31"/>
      <c r="J71" s="35"/>
    </row>
    <row r="72" spans="1:10" x14ac:dyDescent="0.25">
      <c r="C72" s="61" t="s">
        <v>37</v>
      </c>
      <c r="D72" s="54"/>
      <c r="E72" s="5"/>
      <c r="F72" s="20"/>
      <c r="G72" s="26">
        <v>18567.63</v>
      </c>
      <c r="H72" s="26">
        <f>SUMIFS(H:H,C:C,"Total")</f>
        <v>100.00000000000001</v>
      </c>
      <c r="I72" s="32"/>
      <c r="J72" s="36"/>
    </row>
    <row r="75" spans="1:10" x14ac:dyDescent="0.25">
      <c r="C75" s="1" t="s">
        <v>38</v>
      </c>
    </row>
    <row r="76" spans="1:10" x14ac:dyDescent="0.25">
      <c r="C76" s="2" t="s">
        <v>39</v>
      </c>
    </row>
    <row r="77" spans="1:10" x14ac:dyDescent="0.25">
      <c r="C77" s="2" t="s">
        <v>40</v>
      </c>
    </row>
    <row r="78" spans="1:10" x14ac:dyDescent="0.25">
      <c r="C78" s="2" t="s">
        <v>3430</v>
      </c>
    </row>
  </sheetData>
  <hyperlinks>
    <hyperlink ref="J2" location="'Index'!A1" display="'Index'!A1"/>
  </hyperlinks>
  <pageMargins left="0.7" right="0.7" top="0.75" bottom="0.75" header="0.3" footer="0.3"/>
  <pageSetup orientation="portrait" horizontalDpi="4294967293"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8"/>
  <dimension ref="A1:J12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1886</v>
      </c>
      <c r="J2" s="37" t="s">
        <v>3307</v>
      </c>
    </row>
    <row r="3" spans="1:10" ht="16.5" x14ac:dyDescent="0.3">
      <c r="C3" s="1" t="s">
        <v>24</v>
      </c>
      <c r="D3" s="21" t="s">
        <v>3020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4411</v>
      </c>
      <c r="G10" s="24">
        <v>134.44999999999999</v>
      </c>
      <c r="H10" s="24">
        <v>0.81</v>
      </c>
      <c r="I10" s="31"/>
      <c r="J10" s="35"/>
    </row>
    <row r="11" spans="1:10" x14ac:dyDescent="0.25">
      <c r="B11" s="8" t="s">
        <v>143</v>
      </c>
      <c r="C11" s="56" t="s">
        <v>144</v>
      </c>
      <c r="D11" s="53" t="s">
        <v>145</v>
      </c>
      <c r="E11" s="6" t="s">
        <v>146</v>
      </c>
      <c r="F11" s="19">
        <v>5158</v>
      </c>
      <c r="G11" s="24">
        <v>113.64</v>
      </c>
      <c r="H11" s="24">
        <v>0.68</v>
      </c>
      <c r="I11" s="31"/>
      <c r="J11" s="35"/>
    </row>
    <row r="12" spans="1:10" x14ac:dyDescent="0.25">
      <c r="B12" s="8" t="s">
        <v>868</v>
      </c>
      <c r="C12" s="56" t="s">
        <v>869</v>
      </c>
      <c r="D12" s="53" t="s">
        <v>870</v>
      </c>
      <c r="E12" s="6" t="s">
        <v>94</v>
      </c>
      <c r="F12" s="19">
        <v>13502</v>
      </c>
      <c r="G12" s="24">
        <v>109.56</v>
      </c>
      <c r="H12" s="24">
        <v>0.66</v>
      </c>
      <c r="I12" s="31"/>
      <c r="J12" s="35"/>
    </row>
    <row r="13" spans="1:10" x14ac:dyDescent="0.25">
      <c r="B13" s="8" t="s">
        <v>1576</v>
      </c>
      <c r="C13" s="56" t="s">
        <v>1577</v>
      </c>
      <c r="D13" s="53" t="s">
        <v>1578</v>
      </c>
      <c r="E13" s="6" t="s">
        <v>90</v>
      </c>
      <c r="F13" s="19">
        <v>19575</v>
      </c>
      <c r="G13" s="24">
        <v>99.94</v>
      </c>
      <c r="H13" s="24">
        <v>0.6</v>
      </c>
      <c r="I13" s="31"/>
      <c r="J13" s="35"/>
    </row>
    <row r="14" spans="1:10" x14ac:dyDescent="0.25">
      <c r="B14" s="8" t="s">
        <v>1579</v>
      </c>
      <c r="C14" s="56" t="s">
        <v>1580</v>
      </c>
      <c r="D14" s="53" t="s">
        <v>1581</v>
      </c>
      <c r="E14" s="6" t="s">
        <v>90</v>
      </c>
      <c r="F14" s="19">
        <v>13095</v>
      </c>
      <c r="G14" s="24">
        <v>94.93</v>
      </c>
      <c r="H14" s="24">
        <v>0.56999999999999995</v>
      </c>
      <c r="I14" s="31"/>
      <c r="J14" s="35"/>
    </row>
    <row r="15" spans="1:10" x14ac:dyDescent="0.25">
      <c r="B15" s="8" t="s">
        <v>115</v>
      </c>
      <c r="C15" s="56" t="s">
        <v>116</v>
      </c>
      <c r="D15" s="53" t="s">
        <v>117</v>
      </c>
      <c r="E15" s="6" t="s">
        <v>94</v>
      </c>
      <c r="F15" s="19">
        <v>6923</v>
      </c>
      <c r="G15" s="24">
        <v>89.96</v>
      </c>
      <c r="H15" s="24">
        <v>0.54</v>
      </c>
      <c r="I15" s="31"/>
      <c r="J15" s="35"/>
    </row>
    <row r="16" spans="1:10" x14ac:dyDescent="0.25">
      <c r="B16" s="8" t="s">
        <v>130</v>
      </c>
      <c r="C16" s="56" t="s">
        <v>131</v>
      </c>
      <c r="D16" s="53" t="s">
        <v>132</v>
      </c>
      <c r="E16" s="6" t="s">
        <v>47</v>
      </c>
      <c r="F16" s="19">
        <v>2418</v>
      </c>
      <c r="G16" s="24">
        <v>87.89</v>
      </c>
      <c r="H16" s="24">
        <v>0.53</v>
      </c>
      <c r="I16" s="31"/>
      <c r="J16" s="35"/>
    </row>
    <row r="17" spans="2:10" x14ac:dyDescent="0.25">
      <c r="B17" s="8" t="s">
        <v>158</v>
      </c>
      <c r="C17" s="56" t="s">
        <v>159</v>
      </c>
      <c r="D17" s="53" t="s">
        <v>160</v>
      </c>
      <c r="E17" s="6" t="s">
        <v>111</v>
      </c>
      <c r="F17" s="19">
        <v>8313</v>
      </c>
      <c r="G17" s="24">
        <v>83.75</v>
      </c>
      <c r="H17" s="24">
        <v>0.5</v>
      </c>
      <c r="I17" s="31"/>
      <c r="J17" s="35"/>
    </row>
    <row r="18" spans="2:10" x14ac:dyDescent="0.25">
      <c r="B18" s="8" t="s">
        <v>769</v>
      </c>
      <c r="C18" s="56" t="s">
        <v>770</v>
      </c>
      <c r="D18" s="53" t="s">
        <v>771</v>
      </c>
      <c r="E18" s="6" t="s">
        <v>111</v>
      </c>
      <c r="F18" s="19">
        <v>9737</v>
      </c>
      <c r="G18" s="24">
        <v>77.56</v>
      </c>
      <c r="H18" s="24">
        <v>0.47</v>
      </c>
      <c r="I18" s="31"/>
      <c r="J18" s="35"/>
    </row>
    <row r="19" spans="2:10" x14ac:dyDescent="0.25">
      <c r="B19" s="8" t="s">
        <v>1582</v>
      </c>
      <c r="C19" s="56" t="s">
        <v>1583</v>
      </c>
      <c r="D19" s="53" t="s">
        <v>1584</v>
      </c>
      <c r="E19" s="6" t="s">
        <v>195</v>
      </c>
      <c r="F19" s="19">
        <v>5277</v>
      </c>
      <c r="G19" s="24">
        <v>75.69</v>
      </c>
      <c r="H19" s="24">
        <v>0.45</v>
      </c>
      <c r="I19" s="31"/>
      <c r="J19" s="35"/>
    </row>
    <row r="20" spans="2:10" x14ac:dyDescent="0.25">
      <c r="B20" s="8" t="s">
        <v>439</v>
      </c>
      <c r="C20" s="56" t="s">
        <v>440</v>
      </c>
      <c r="D20" s="53" t="s">
        <v>441</v>
      </c>
      <c r="E20" s="6" t="s">
        <v>111</v>
      </c>
      <c r="F20" s="19">
        <v>15371</v>
      </c>
      <c r="G20" s="24">
        <v>68.819999999999993</v>
      </c>
      <c r="H20" s="24">
        <v>0.41</v>
      </c>
      <c r="I20" s="31"/>
      <c r="J20" s="35"/>
    </row>
    <row r="21" spans="2:10" x14ac:dyDescent="0.25">
      <c r="B21" s="8" t="s">
        <v>87</v>
      </c>
      <c r="C21" s="56" t="s">
        <v>88</v>
      </c>
      <c r="D21" s="53" t="s">
        <v>89</v>
      </c>
      <c r="E21" s="6" t="s">
        <v>90</v>
      </c>
      <c r="F21" s="19">
        <v>4614</v>
      </c>
      <c r="G21" s="24">
        <v>66.14</v>
      </c>
      <c r="H21" s="24">
        <v>0.4</v>
      </c>
      <c r="I21" s="31"/>
      <c r="J21" s="35"/>
    </row>
    <row r="22" spans="2:10" x14ac:dyDescent="0.25">
      <c r="B22" s="8" t="s">
        <v>398</v>
      </c>
      <c r="C22" s="56" t="s">
        <v>399</v>
      </c>
      <c r="D22" s="53" t="s">
        <v>400</v>
      </c>
      <c r="E22" s="6" t="s">
        <v>90</v>
      </c>
      <c r="F22" s="19">
        <v>17878</v>
      </c>
      <c r="G22" s="24">
        <v>64.900000000000006</v>
      </c>
      <c r="H22" s="24">
        <v>0.39</v>
      </c>
      <c r="I22" s="31"/>
      <c r="J22" s="35"/>
    </row>
    <row r="23" spans="2:10" x14ac:dyDescent="0.25">
      <c r="B23" s="8" t="s">
        <v>1585</v>
      </c>
      <c r="C23" s="56" t="s">
        <v>1586</v>
      </c>
      <c r="D23" s="53" t="s">
        <v>1587</v>
      </c>
      <c r="E23" s="6" t="s">
        <v>83</v>
      </c>
      <c r="F23" s="19">
        <v>8669</v>
      </c>
      <c r="G23" s="24">
        <v>58.76</v>
      </c>
      <c r="H23" s="24">
        <v>0.35</v>
      </c>
      <c r="I23" s="31"/>
      <c r="J23" s="35"/>
    </row>
    <row r="24" spans="2:10" x14ac:dyDescent="0.25">
      <c r="B24" s="8" t="s">
        <v>1354</v>
      </c>
      <c r="C24" s="56" t="s">
        <v>1355</v>
      </c>
      <c r="D24" s="53" t="s">
        <v>1356</v>
      </c>
      <c r="E24" s="6" t="s">
        <v>826</v>
      </c>
      <c r="F24" s="19">
        <v>25964</v>
      </c>
      <c r="G24" s="24">
        <v>57.29</v>
      </c>
      <c r="H24" s="24">
        <v>0.34</v>
      </c>
      <c r="I24" s="31"/>
      <c r="J24" s="35"/>
    </row>
    <row r="25" spans="2:10" x14ac:dyDescent="0.25">
      <c r="B25" s="8" t="s">
        <v>324</v>
      </c>
      <c r="C25" s="56" t="s">
        <v>325</v>
      </c>
      <c r="D25" s="53" t="s">
        <v>326</v>
      </c>
      <c r="E25" s="6" t="s">
        <v>41</v>
      </c>
      <c r="F25" s="19">
        <v>25434</v>
      </c>
      <c r="G25" s="24">
        <v>55.19</v>
      </c>
      <c r="H25" s="24">
        <v>0.33</v>
      </c>
      <c r="I25" s="31"/>
      <c r="J25" s="35"/>
    </row>
    <row r="26" spans="2:10" x14ac:dyDescent="0.25">
      <c r="B26" s="8" t="s">
        <v>442</v>
      </c>
      <c r="C26" s="56" t="s">
        <v>443</v>
      </c>
      <c r="D26" s="53" t="s">
        <v>444</v>
      </c>
      <c r="E26" s="6" t="s">
        <v>90</v>
      </c>
      <c r="F26" s="19">
        <v>10314</v>
      </c>
      <c r="G26" s="24">
        <v>53.2</v>
      </c>
      <c r="H26" s="24">
        <v>0.32</v>
      </c>
      <c r="I26" s="31"/>
      <c r="J26" s="35"/>
    </row>
    <row r="27" spans="2:10" x14ac:dyDescent="0.25">
      <c r="B27" s="8" t="s">
        <v>161</v>
      </c>
      <c r="C27" s="56" t="s">
        <v>162</v>
      </c>
      <c r="D27" s="53" t="s">
        <v>163</v>
      </c>
      <c r="E27" s="6" t="s">
        <v>94</v>
      </c>
      <c r="F27" s="19">
        <v>12427</v>
      </c>
      <c r="G27" s="24">
        <v>52.31</v>
      </c>
      <c r="H27" s="24">
        <v>0.31</v>
      </c>
      <c r="I27" s="31"/>
      <c r="J27" s="35"/>
    </row>
    <row r="28" spans="2:10" x14ac:dyDescent="0.25">
      <c r="B28" s="8" t="s">
        <v>1592</v>
      </c>
      <c r="C28" s="56" t="s">
        <v>1593</v>
      </c>
      <c r="D28" s="53" t="s">
        <v>1594</v>
      </c>
      <c r="E28" s="6" t="s">
        <v>90</v>
      </c>
      <c r="F28" s="19">
        <v>8406</v>
      </c>
      <c r="G28" s="24">
        <v>49.07</v>
      </c>
      <c r="H28" s="24">
        <v>0.28999999999999998</v>
      </c>
      <c r="I28" s="31"/>
      <c r="J28" s="35"/>
    </row>
    <row r="29" spans="2:10" x14ac:dyDescent="0.25">
      <c r="B29" s="8" t="s">
        <v>1595</v>
      </c>
      <c r="C29" s="56" t="s">
        <v>1596</v>
      </c>
      <c r="D29" s="53" t="s">
        <v>1597</v>
      </c>
      <c r="E29" s="6" t="s">
        <v>94</v>
      </c>
      <c r="F29" s="19">
        <v>3904</v>
      </c>
      <c r="G29" s="24">
        <v>48.94</v>
      </c>
      <c r="H29" s="24">
        <v>0.28999999999999998</v>
      </c>
      <c r="I29" s="31"/>
      <c r="J29" s="35"/>
    </row>
    <row r="30" spans="2:10" x14ac:dyDescent="0.25">
      <c r="B30" s="8" t="s">
        <v>1598</v>
      </c>
      <c r="C30" s="56" t="s">
        <v>1599</v>
      </c>
      <c r="D30" s="53" t="s">
        <v>1600</v>
      </c>
      <c r="E30" s="6" t="s">
        <v>196</v>
      </c>
      <c r="F30" s="19">
        <v>41543</v>
      </c>
      <c r="G30" s="24">
        <v>47.71</v>
      </c>
      <c r="H30" s="24">
        <v>0.28999999999999998</v>
      </c>
      <c r="I30" s="31"/>
      <c r="J30" s="35"/>
    </row>
    <row r="31" spans="2:10" x14ac:dyDescent="0.25">
      <c r="B31" s="8" t="s">
        <v>177</v>
      </c>
      <c r="C31" s="56" t="s">
        <v>178</v>
      </c>
      <c r="D31" s="53" t="s">
        <v>179</v>
      </c>
      <c r="E31" s="6" t="s">
        <v>111</v>
      </c>
      <c r="F31" s="19">
        <v>1699</v>
      </c>
      <c r="G31" s="24">
        <v>47.57</v>
      </c>
      <c r="H31" s="24">
        <v>0.28999999999999998</v>
      </c>
      <c r="I31" s="31"/>
      <c r="J31" s="35"/>
    </row>
    <row r="32" spans="2:10" x14ac:dyDescent="0.25">
      <c r="B32" s="8" t="s">
        <v>1601</v>
      </c>
      <c r="C32" s="56" t="s">
        <v>1602</v>
      </c>
      <c r="D32" s="53" t="s">
        <v>1603</v>
      </c>
      <c r="E32" s="6" t="s">
        <v>826</v>
      </c>
      <c r="F32" s="19">
        <v>12117</v>
      </c>
      <c r="G32" s="24">
        <v>46.87</v>
      </c>
      <c r="H32" s="24">
        <v>0.28000000000000003</v>
      </c>
      <c r="I32" s="31"/>
      <c r="J32" s="35"/>
    </row>
    <row r="33" spans="2:10" x14ac:dyDescent="0.25">
      <c r="B33" s="8" t="s">
        <v>805</v>
      </c>
      <c r="C33" s="56" t="s">
        <v>806</v>
      </c>
      <c r="D33" s="53" t="s">
        <v>807</v>
      </c>
      <c r="E33" s="6" t="s">
        <v>55</v>
      </c>
      <c r="F33" s="19">
        <v>25849</v>
      </c>
      <c r="G33" s="24">
        <v>46.7</v>
      </c>
      <c r="H33" s="24">
        <v>0.28000000000000003</v>
      </c>
      <c r="I33" s="31"/>
      <c r="J33" s="35"/>
    </row>
    <row r="34" spans="2:10" x14ac:dyDescent="0.25">
      <c r="B34" s="8" t="s">
        <v>1604</v>
      </c>
      <c r="C34" s="56" t="s">
        <v>1605</v>
      </c>
      <c r="D34" s="53" t="s">
        <v>1606</v>
      </c>
      <c r="E34" s="6" t="s">
        <v>94</v>
      </c>
      <c r="F34" s="19">
        <v>1916</v>
      </c>
      <c r="G34" s="24">
        <v>43.49</v>
      </c>
      <c r="H34" s="24">
        <v>0.26</v>
      </c>
      <c r="I34" s="31"/>
      <c r="J34" s="35"/>
    </row>
    <row r="35" spans="2:10" x14ac:dyDescent="0.25">
      <c r="B35" s="8" t="s">
        <v>69</v>
      </c>
      <c r="C35" s="56" t="s">
        <v>70</v>
      </c>
      <c r="D35" s="53" t="s">
        <v>71</v>
      </c>
      <c r="E35" s="6" t="s">
        <v>72</v>
      </c>
      <c r="F35" s="19">
        <v>201</v>
      </c>
      <c r="G35" s="24">
        <v>42.89</v>
      </c>
      <c r="H35" s="24">
        <v>0.26</v>
      </c>
      <c r="I35" s="31"/>
      <c r="J35" s="35"/>
    </row>
    <row r="36" spans="2:10" x14ac:dyDescent="0.25">
      <c r="B36" s="8" t="s">
        <v>229</v>
      </c>
      <c r="C36" s="56" t="s">
        <v>230</v>
      </c>
      <c r="D36" s="53" t="s">
        <v>231</v>
      </c>
      <c r="E36" s="6" t="s">
        <v>94</v>
      </c>
      <c r="F36" s="19">
        <v>3749</v>
      </c>
      <c r="G36" s="24">
        <v>42.44</v>
      </c>
      <c r="H36" s="24">
        <v>0.25</v>
      </c>
      <c r="I36" s="31"/>
      <c r="J36" s="35"/>
    </row>
    <row r="37" spans="2:10" x14ac:dyDescent="0.25">
      <c r="B37" s="8" t="s">
        <v>1607</v>
      </c>
      <c r="C37" s="56" t="s">
        <v>1608</v>
      </c>
      <c r="D37" s="53" t="s">
        <v>1609</v>
      </c>
      <c r="E37" s="6" t="s">
        <v>94</v>
      </c>
      <c r="F37" s="19">
        <v>1734</v>
      </c>
      <c r="G37" s="24">
        <v>41.86</v>
      </c>
      <c r="H37" s="24">
        <v>0.25</v>
      </c>
      <c r="I37" s="31"/>
      <c r="J37" s="35"/>
    </row>
    <row r="38" spans="2:10" x14ac:dyDescent="0.25">
      <c r="B38" s="8" t="s">
        <v>139</v>
      </c>
      <c r="C38" s="56" t="s">
        <v>140</v>
      </c>
      <c r="D38" s="53" t="s">
        <v>141</v>
      </c>
      <c r="E38" s="6" t="s">
        <v>142</v>
      </c>
      <c r="F38" s="19">
        <v>3330</v>
      </c>
      <c r="G38" s="24">
        <v>41.6</v>
      </c>
      <c r="H38" s="24">
        <v>0.25</v>
      </c>
      <c r="I38" s="31"/>
      <c r="J38" s="35"/>
    </row>
    <row r="39" spans="2:10" x14ac:dyDescent="0.25">
      <c r="B39" s="8" t="s">
        <v>370</v>
      </c>
      <c r="C39" s="56" t="s">
        <v>371</v>
      </c>
      <c r="D39" s="53" t="s">
        <v>372</v>
      </c>
      <c r="E39" s="6" t="s">
        <v>41</v>
      </c>
      <c r="F39" s="19">
        <v>2925</v>
      </c>
      <c r="G39" s="24">
        <v>40.76</v>
      </c>
      <c r="H39" s="24">
        <v>0.24</v>
      </c>
      <c r="I39" s="31"/>
      <c r="J39" s="35"/>
    </row>
    <row r="40" spans="2:10" x14ac:dyDescent="0.25">
      <c r="B40" s="8" t="s">
        <v>899</v>
      </c>
      <c r="C40" s="56" t="s">
        <v>900</v>
      </c>
      <c r="D40" s="53" t="s">
        <v>901</v>
      </c>
      <c r="E40" s="6" t="s">
        <v>196</v>
      </c>
      <c r="F40" s="19">
        <v>296</v>
      </c>
      <c r="G40" s="24">
        <v>40.64</v>
      </c>
      <c r="H40" s="24">
        <v>0.24</v>
      </c>
      <c r="I40" s="31"/>
      <c r="J40" s="35"/>
    </row>
    <row r="41" spans="2:10" x14ac:dyDescent="0.25">
      <c r="B41" s="8" t="s">
        <v>2242</v>
      </c>
      <c r="C41" s="56" t="s">
        <v>938</v>
      </c>
      <c r="D41" s="53" t="s">
        <v>2243</v>
      </c>
      <c r="E41" s="6" t="s">
        <v>94</v>
      </c>
      <c r="F41" s="19">
        <v>6483</v>
      </c>
      <c r="G41" s="24">
        <v>40.15</v>
      </c>
      <c r="H41" s="24">
        <v>0.24</v>
      </c>
      <c r="I41" s="31"/>
      <c r="J41" s="35"/>
    </row>
    <row r="42" spans="2:10" x14ac:dyDescent="0.25">
      <c r="B42" s="8" t="s">
        <v>1610</v>
      </c>
      <c r="C42" s="56" t="s">
        <v>1611</v>
      </c>
      <c r="D42" s="53" t="s">
        <v>1612</v>
      </c>
      <c r="E42" s="6" t="s">
        <v>254</v>
      </c>
      <c r="F42" s="19">
        <v>3082</v>
      </c>
      <c r="G42" s="24">
        <v>38.97</v>
      </c>
      <c r="H42" s="24">
        <v>0.23</v>
      </c>
      <c r="I42" s="31"/>
      <c r="J42" s="35"/>
    </row>
    <row r="43" spans="2:10" x14ac:dyDescent="0.25">
      <c r="B43" s="8" t="s">
        <v>255</v>
      </c>
      <c r="C43" s="56" t="s">
        <v>256</v>
      </c>
      <c r="D43" s="53" t="s">
        <v>257</v>
      </c>
      <c r="E43" s="6" t="s">
        <v>51</v>
      </c>
      <c r="F43" s="19">
        <v>13936</v>
      </c>
      <c r="G43" s="24">
        <v>38.049999999999997</v>
      </c>
      <c r="H43" s="24">
        <v>0.23</v>
      </c>
      <c r="I43" s="31"/>
      <c r="J43" s="35"/>
    </row>
    <row r="44" spans="2:10" x14ac:dyDescent="0.25">
      <c r="B44" s="8" t="s">
        <v>469</v>
      </c>
      <c r="C44" s="56" t="s">
        <v>470</v>
      </c>
      <c r="D44" s="53" t="s">
        <v>471</v>
      </c>
      <c r="E44" s="6" t="s">
        <v>90</v>
      </c>
      <c r="F44" s="19">
        <v>3844</v>
      </c>
      <c r="G44" s="24">
        <v>36.76</v>
      </c>
      <c r="H44" s="24">
        <v>0.22</v>
      </c>
      <c r="I44" s="31"/>
      <c r="J44" s="35"/>
    </row>
    <row r="45" spans="2:10" x14ac:dyDescent="0.25">
      <c r="B45" s="8" t="s">
        <v>1613</v>
      </c>
      <c r="C45" s="56" t="s">
        <v>1614</v>
      </c>
      <c r="D45" s="53" t="s">
        <v>1615</v>
      </c>
      <c r="E45" s="6" t="s">
        <v>111</v>
      </c>
      <c r="F45" s="19">
        <v>8860</v>
      </c>
      <c r="G45" s="24">
        <v>35</v>
      </c>
      <c r="H45" s="24">
        <v>0.21</v>
      </c>
      <c r="I45" s="31"/>
      <c r="J45" s="35"/>
    </row>
    <row r="46" spans="2:10" x14ac:dyDescent="0.25">
      <c r="B46" s="8" t="s">
        <v>1616</v>
      </c>
      <c r="C46" s="56" t="s">
        <v>601</v>
      </c>
      <c r="D46" s="53" t="s">
        <v>1617</v>
      </c>
      <c r="E46" s="6" t="s">
        <v>94</v>
      </c>
      <c r="F46" s="19">
        <v>40214</v>
      </c>
      <c r="G46" s="24">
        <v>34.659999999999997</v>
      </c>
      <c r="H46" s="24">
        <v>0.21</v>
      </c>
      <c r="I46" s="31"/>
      <c r="J46" s="35"/>
    </row>
    <row r="47" spans="2:10" x14ac:dyDescent="0.25">
      <c r="B47" s="8" t="s">
        <v>1618</v>
      </c>
      <c r="C47" s="56" t="s">
        <v>1619</v>
      </c>
      <c r="D47" s="53" t="s">
        <v>1620</v>
      </c>
      <c r="E47" s="6" t="s">
        <v>142</v>
      </c>
      <c r="F47" s="19">
        <v>9492</v>
      </c>
      <c r="G47" s="24">
        <v>34.64</v>
      </c>
      <c r="H47" s="24">
        <v>0.21</v>
      </c>
      <c r="I47" s="31"/>
      <c r="J47" s="35"/>
    </row>
    <row r="48" spans="2:10" x14ac:dyDescent="0.25">
      <c r="B48" s="8" t="s">
        <v>294</v>
      </c>
      <c r="C48" s="56" t="s">
        <v>295</v>
      </c>
      <c r="D48" s="53" t="s">
        <v>296</v>
      </c>
      <c r="E48" s="6" t="s">
        <v>274</v>
      </c>
      <c r="F48" s="19">
        <v>21423</v>
      </c>
      <c r="G48" s="24">
        <v>32.700000000000003</v>
      </c>
      <c r="H48" s="24">
        <v>0.2</v>
      </c>
      <c r="I48" s="31"/>
      <c r="J48" s="35"/>
    </row>
    <row r="49" spans="2:10" x14ac:dyDescent="0.25">
      <c r="B49" s="8" t="s">
        <v>415</v>
      </c>
      <c r="C49" s="56" t="s">
        <v>416</v>
      </c>
      <c r="D49" s="53" t="s">
        <v>417</v>
      </c>
      <c r="E49" s="6" t="s">
        <v>90</v>
      </c>
      <c r="F49" s="19">
        <v>326</v>
      </c>
      <c r="G49" s="24">
        <v>32.43</v>
      </c>
      <c r="H49" s="24">
        <v>0.19</v>
      </c>
      <c r="I49" s="31"/>
      <c r="J49" s="35"/>
    </row>
    <row r="50" spans="2:10" x14ac:dyDescent="0.25">
      <c r="B50" s="8" t="s">
        <v>454</v>
      </c>
      <c r="C50" s="56" t="s">
        <v>455</v>
      </c>
      <c r="D50" s="53" t="s">
        <v>456</v>
      </c>
      <c r="E50" s="6" t="s">
        <v>111</v>
      </c>
      <c r="F50" s="19">
        <v>184</v>
      </c>
      <c r="G50" s="24">
        <v>30.34</v>
      </c>
      <c r="H50" s="24">
        <v>0.18</v>
      </c>
      <c r="I50" s="31"/>
      <c r="J50" s="35"/>
    </row>
    <row r="51" spans="2:10" x14ac:dyDescent="0.25">
      <c r="B51" s="8" t="s">
        <v>1621</v>
      </c>
      <c r="C51" s="56" t="s">
        <v>1622</v>
      </c>
      <c r="D51" s="53" t="s">
        <v>1623</v>
      </c>
      <c r="E51" s="6" t="s">
        <v>94</v>
      </c>
      <c r="F51" s="19">
        <v>3576</v>
      </c>
      <c r="G51" s="24">
        <v>30.31</v>
      </c>
      <c r="H51" s="24">
        <v>0.18</v>
      </c>
      <c r="I51" s="31"/>
      <c r="J51" s="35"/>
    </row>
    <row r="52" spans="2:10" x14ac:dyDescent="0.25">
      <c r="B52" s="8" t="s">
        <v>1624</v>
      </c>
      <c r="C52" s="56" t="s">
        <v>1625</v>
      </c>
      <c r="D52" s="53" t="s">
        <v>1626</v>
      </c>
      <c r="E52" s="6" t="s">
        <v>886</v>
      </c>
      <c r="F52" s="19">
        <v>31799</v>
      </c>
      <c r="G52" s="24">
        <v>26.15</v>
      </c>
      <c r="H52" s="24">
        <v>0.16</v>
      </c>
      <c r="I52" s="31"/>
      <c r="J52" s="35"/>
    </row>
    <row r="53" spans="2:10" x14ac:dyDescent="0.25">
      <c r="B53" s="8" t="s">
        <v>463</v>
      </c>
      <c r="C53" s="56" t="s">
        <v>464</v>
      </c>
      <c r="D53" s="53" t="s">
        <v>465</v>
      </c>
      <c r="E53" s="6" t="s">
        <v>47</v>
      </c>
      <c r="F53" s="19">
        <v>803</v>
      </c>
      <c r="G53" s="24">
        <v>24.67</v>
      </c>
      <c r="H53" s="24">
        <v>0.15</v>
      </c>
      <c r="I53" s="31"/>
      <c r="J53" s="35"/>
    </row>
    <row r="54" spans="2:10" x14ac:dyDescent="0.25">
      <c r="B54" s="8" t="s">
        <v>1627</v>
      </c>
      <c r="C54" s="56" t="s">
        <v>1628</v>
      </c>
      <c r="D54" s="53" t="s">
        <v>1629</v>
      </c>
      <c r="E54" s="6" t="s">
        <v>261</v>
      </c>
      <c r="F54" s="19">
        <v>9518</v>
      </c>
      <c r="G54" s="24">
        <v>23.01</v>
      </c>
      <c r="H54" s="24">
        <v>0.14000000000000001</v>
      </c>
      <c r="I54" s="31"/>
      <c r="J54" s="35"/>
    </row>
    <row r="55" spans="2:10" x14ac:dyDescent="0.25">
      <c r="B55" s="8" t="s">
        <v>1630</v>
      </c>
      <c r="C55" s="56" t="s">
        <v>1631</v>
      </c>
      <c r="D55" s="53" t="s">
        <v>1632</v>
      </c>
      <c r="E55" s="6" t="s">
        <v>170</v>
      </c>
      <c r="F55" s="19">
        <v>8776</v>
      </c>
      <c r="G55" s="24">
        <v>18.43</v>
      </c>
      <c r="H55" s="24">
        <v>0.11</v>
      </c>
      <c r="I55" s="31"/>
      <c r="J55" s="35"/>
    </row>
    <row r="56" spans="2:10" x14ac:dyDescent="0.25">
      <c r="B56" s="8" t="s">
        <v>893</v>
      </c>
      <c r="C56" s="56" t="s">
        <v>894</v>
      </c>
      <c r="D56" s="53" t="s">
        <v>895</v>
      </c>
      <c r="E56" s="6" t="s">
        <v>261</v>
      </c>
      <c r="F56" s="19">
        <v>86936</v>
      </c>
      <c r="G56" s="24">
        <v>17.559999999999999</v>
      </c>
      <c r="H56" s="24">
        <v>0.11</v>
      </c>
      <c r="I56" s="31"/>
      <c r="J56" s="35"/>
    </row>
    <row r="57" spans="2:10" x14ac:dyDescent="0.25">
      <c r="B57" s="8" t="s">
        <v>817</v>
      </c>
      <c r="C57" s="56" t="s">
        <v>818</v>
      </c>
      <c r="D57" s="53" t="s">
        <v>819</v>
      </c>
      <c r="E57" s="6" t="s">
        <v>51</v>
      </c>
      <c r="F57" s="19">
        <v>41589</v>
      </c>
      <c r="G57" s="24">
        <v>17.07</v>
      </c>
      <c r="H57" s="24">
        <v>0.1</v>
      </c>
      <c r="I57" s="31"/>
      <c r="J57" s="35"/>
    </row>
    <row r="58" spans="2:10" x14ac:dyDescent="0.25">
      <c r="B58" s="8" t="s">
        <v>401</v>
      </c>
      <c r="C58" s="56" t="s">
        <v>402</v>
      </c>
      <c r="D58" s="53" t="s">
        <v>403</v>
      </c>
      <c r="E58" s="6" t="s">
        <v>51</v>
      </c>
      <c r="F58" s="19">
        <v>45610</v>
      </c>
      <c r="G58" s="24">
        <v>13.02</v>
      </c>
      <c r="H58" s="24">
        <v>0.08</v>
      </c>
      <c r="I58" s="31"/>
      <c r="J58" s="35"/>
    </row>
    <row r="59" spans="2:10" x14ac:dyDescent="0.25">
      <c r="B59" s="8" t="s">
        <v>1633</v>
      </c>
      <c r="C59" s="56" t="s">
        <v>1634</v>
      </c>
      <c r="D59" s="53" t="s">
        <v>1635</v>
      </c>
      <c r="E59" s="6" t="s">
        <v>94</v>
      </c>
      <c r="F59" s="19">
        <v>8503</v>
      </c>
      <c r="G59" s="24">
        <v>10.28</v>
      </c>
      <c r="H59" s="24">
        <v>0.06</v>
      </c>
      <c r="I59" s="31"/>
      <c r="J59" s="35"/>
    </row>
    <row r="60" spans="2:10" x14ac:dyDescent="0.25">
      <c r="C60" s="57" t="s">
        <v>35</v>
      </c>
      <c r="D60" s="53"/>
      <c r="E60" s="6"/>
      <c r="F60" s="19"/>
      <c r="G60" s="25">
        <v>2558.7199999999998</v>
      </c>
      <c r="H60" s="25">
        <v>15.34</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C67" s="59" t="s">
        <v>6</v>
      </c>
      <c r="D67" s="53"/>
      <c r="E67" s="6"/>
      <c r="F67" s="19"/>
      <c r="G67" s="24"/>
      <c r="H67" s="24"/>
      <c r="I67" s="31"/>
      <c r="J67" s="35"/>
    </row>
    <row r="68" spans="1:10" x14ac:dyDescent="0.25">
      <c r="B68" s="8" t="s">
        <v>3021</v>
      </c>
      <c r="C68" s="56" t="s">
        <v>854</v>
      </c>
      <c r="D68" s="53" t="s">
        <v>3022</v>
      </c>
      <c r="E68" s="6" t="s">
        <v>534</v>
      </c>
      <c r="F68" s="19">
        <v>80</v>
      </c>
      <c r="G68" s="24">
        <v>1094.8399999999999</v>
      </c>
      <c r="H68" s="24">
        <v>6.56</v>
      </c>
      <c r="I68" s="31">
        <v>4.665</v>
      </c>
      <c r="J68" s="35" t="s">
        <v>514</v>
      </c>
    </row>
    <row r="69" spans="1:10" x14ac:dyDescent="0.25">
      <c r="B69" s="8" t="s">
        <v>1905</v>
      </c>
      <c r="C69" s="56" t="s">
        <v>909</v>
      </c>
      <c r="D69" s="53" t="s">
        <v>1906</v>
      </c>
      <c r="E69" s="6" t="s">
        <v>534</v>
      </c>
      <c r="F69" s="19">
        <v>100</v>
      </c>
      <c r="G69" s="24">
        <v>1074.6300000000001</v>
      </c>
      <c r="H69" s="24">
        <v>6.44</v>
      </c>
      <c r="I69" s="31">
        <v>5.01</v>
      </c>
      <c r="J69" s="35"/>
    </row>
    <row r="70" spans="1:10" x14ac:dyDescent="0.25">
      <c r="B70" s="8" t="s">
        <v>3023</v>
      </c>
      <c r="C70" s="56" t="s">
        <v>1127</v>
      </c>
      <c r="D70" s="53" t="s">
        <v>3024</v>
      </c>
      <c r="E70" s="6" t="s">
        <v>534</v>
      </c>
      <c r="F70" s="19">
        <v>100</v>
      </c>
      <c r="G70" s="24">
        <v>1065.27</v>
      </c>
      <c r="H70" s="24">
        <v>6.39</v>
      </c>
      <c r="I70" s="31">
        <v>5.6150000000000002</v>
      </c>
      <c r="J70" s="35" t="s">
        <v>514</v>
      </c>
    </row>
    <row r="71" spans="1:10" x14ac:dyDescent="0.25">
      <c r="B71" s="8" t="s">
        <v>2806</v>
      </c>
      <c r="C71" s="56" t="s">
        <v>1376</v>
      </c>
      <c r="D71" s="53" t="s">
        <v>2807</v>
      </c>
      <c r="E71" s="6" t="s">
        <v>534</v>
      </c>
      <c r="F71" s="19">
        <v>100</v>
      </c>
      <c r="G71" s="24">
        <v>1055.5999999999999</v>
      </c>
      <c r="H71" s="24">
        <v>6.33</v>
      </c>
      <c r="I71" s="31">
        <v>5.43</v>
      </c>
      <c r="J71" s="35" t="s">
        <v>514</v>
      </c>
    </row>
    <row r="72" spans="1:10" x14ac:dyDescent="0.25">
      <c r="B72" s="8" t="s">
        <v>2778</v>
      </c>
      <c r="C72" s="56" t="s">
        <v>125</v>
      </c>
      <c r="D72" s="53" t="s">
        <v>2779</v>
      </c>
      <c r="E72" s="6" t="s">
        <v>534</v>
      </c>
      <c r="F72" s="19">
        <v>100</v>
      </c>
      <c r="G72" s="24">
        <v>1049.23</v>
      </c>
      <c r="H72" s="24">
        <v>6.29</v>
      </c>
      <c r="I72" s="31">
        <v>4.9649000000000001</v>
      </c>
      <c r="J72" s="35" t="s">
        <v>514</v>
      </c>
    </row>
    <row r="73" spans="1:10" x14ac:dyDescent="0.25">
      <c r="B73" s="8" t="s">
        <v>2988</v>
      </c>
      <c r="C73" s="56" t="s">
        <v>53</v>
      </c>
      <c r="D73" s="53" t="s">
        <v>2989</v>
      </c>
      <c r="E73" s="6" t="s">
        <v>534</v>
      </c>
      <c r="F73" s="19">
        <v>100</v>
      </c>
      <c r="G73" s="24">
        <v>1044.5999999999999</v>
      </c>
      <c r="H73" s="24">
        <v>6.26</v>
      </c>
      <c r="I73" s="31">
        <v>4.88</v>
      </c>
      <c r="J73" s="35"/>
    </row>
    <row r="74" spans="1:10" x14ac:dyDescent="0.25">
      <c r="B74" s="8" t="s">
        <v>1930</v>
      </c>
      <c r="C74" s="56" t="s">
        <v>601</v>
      </c>
      <c r="D74" s="53" t="s">
        <v>1931</v>
      </c>
      <c r="E74" s="6" t="s">
        <v>534</v>
      </c>
      <c r="F74" s="19">
        <v>50</v>
      </c>
      <c r="G74" s="24">
        <v>523.01</v>
      </c>
      <c r="H74" s="24">
        <v>3.14</v>
      </c>
      <c r="I74" s="31">
        <v>5.0199999999999996</v>
      </c>
      <c r="J74" s="35" t="s">
        <v>514</v>
      </c>
    </row>
    <row r="75" spans="1:10" x14ac:dyDescent="0.25">
      <c r="B75" s="8" t="s">
        <v>1880</v>
      </c>
      <c r="C75" s="56" t="s">
        <v>601</v>
      </c>
      <c r="D75" s="53" t="s">
        <v>1881</v>
      </c>
      <c r="E75" s="6" t="s">
        <v>534</v>
      </c>
      <c r="F75" s="19">
        <v>40</v>
      </c>
      <c r="G75" s="24">
        <v>424.36</v>
      </c>
      <c r="H75" s="24">
        <v>2.54</v>
      </c>
      <c r="I75" s="31">
        <v>4.9400000000000004</v>
      </c>
      <c r="J75" s="35" t="s">
        <v>514</v>
      </c>
    </row>
    <row r="76" spans="1:10" x14ac:dyDescent="0.25">
      <c r="C76" s="57" t="s">
        <v>35</v>
      </c>
      <c r="D76" s="53"/>
      <c r="E76" s="6"/>
      <c r="F76" s="19"/>
      <c r="G76" s="25">
        <v>7331.54</v>
      </c>
      <c r="H76" s="25">
        <v>43.95</v>
      </c>
      <c r="I76" s="31"/>
      <c r="J76" s="35"/>
    </row>
    <row r="77" spans="1:10" x14ac:dyDescent="0.25">
      <c r="C77" s="56"/>
      <c r="D77" s="53"/>
      <c r="E77" s="6"/>
      <c r="F77" s="19"/>
      <c r="G77" s="24"/>
      <c r="H77" s="24"/>
      <c r="I77" s="31"/>
      <c r="J77" s="35"/>
    </row>
    <row r="78" spans="1:10" x14ac:dyDescent="0.25">
      <c r="C78" s="57" t="s">
        <v>7</v>
      </c>
      <c r="D78" s="53"/>
      <c r="E78" s="6"/>
      <c r="F78" s="19"/>
      <c r="G78" s="24" t="s">
        <v>2</v>
      </c>
      <c r="H78" s="24" t="s">
        <v>2</v>
      </c>
      <c r="I78" s="31"/>
      <c r="J78" s="35"/>
    </row>
    <row r="79" spans="1:10" x14ac:dyDescent="0.25">
      <c r="C79" s="56"/>
      <c r="D79" s="53"/>
      <c r="E79" s="6"/>
      <c r="F79" s="19"/>
      <c r="G79" s="24"/>
      <c r="H79" s="24"/>
      <c r="I79" s="31"/>
      <c r="J79" s="35"/>
    </row>
    <row r="80" spans="1:10" x14ac:dyDescent="0.25">
      <c r="C80" s="57" t="s">
        <v>8</v>
      </c>
      <c r="D80" s="53"/>
      <c r="E80" s="6"/>
      <c r="F80" s="19"/>
      <c r="G80" s="24" t="s">
        <v>2</v>
      </c>
      <c r="H80" s="24" t="s">
        <v>2</v>
      </c>
      <c r="I80" s="31"/>
      <c r="J80" s="35"/>
    </row>
    <row r="81" spans="2:10" x14ac:dyDescent="0.25">
      <c r="C81" s="56"/>
      <c r="D81" s="53"/>
      <c r="E81" s="6"/>
      <c r="F81" s="19"/>
      <c r="G81" s="24"/>
      <c r="H81" s="24"/>
      <c r="I81" s="31"/>
      <c r="J81" s="35"/>
    </row>
    <row r="82" spans="2:10" x14ac:dyDescent="0.25">
      <c r="C82" s="57" t="s">
        <v>9</v>
      </c>
      <c r="D82" s="53"/>
      <c r="E82" s="6"/>
      <c r="F82" s="19"/>
      <c r="G82" s="24" t="s">
        <v>2</v>
      </c>
      <c r="H82" s="24" t="s">
        <v>2</v>
      </c>
      <c r="I82" s="31"/>
      <c r="J82" s="35"/>
    </row>
    <row r="83" spans="2:10" x14ac:dyDescent="0.25">
      <c r="C83" s="56"/>
      <c r="D83" s="53"/>
      <c r="E83" s="6"/>
      <c r="F83" s="19"/>
      <c r="G83" s="24"/>
      <c r="H83" s="24"/>
      <c r="I83" s="31"/>
      <c r="J83" s="35"/>
    </row>
    <row r="84" spans="2:10" x14ac:dyDescent="0.25">
      <c r="C84" s="59" t="s">
        <v>10</v>
      </c>
      <c r="D84" s="53"/>
      <c r="E84" s="6"/>
      <c r="F84" s="19"/>
      <c r="G84" s="24"/>
      <c r="H84" s="24"/>
      <c r="I84" s="31"/>
      <c r="J84" s="35"/>
    </row>
    <row r="85" spans="2:10" x14ac:dyDescent="0.25">
      <c r="B85" s="8" t="s">
        <v>3025</v>
      </c>
      <c r="C85" s="56" t="s">
        <v>3026</v>
      </c>
      <c r="D85" s="53" t="s">
        <v>3027</v>
      </c>
      <c r="E85" s="6" t="s">
        <v>655</v>
      </c>
      <c r="F85" s="19">
        <v>5000000</v>
      </c>
      <c r="G85" s="24">
        <v>5346.87</v>
      </c>
      <c r="H85" s="24">
        <v>32.06</v>
      </c>
      <c r="I85" s="31">
        <v>5.2117000000000004</v>
      </c>
      <c r="J85" s="35"/>
    </row>
    <row r="86" spans="2:10" x14ac:dyDescent="0.25">
      <c r="B86" s="8" t="s">
        <v>3028</v>
      </c>
      <c r="C86" s="56" t="s">
        <v>3029</v>
      </c>
      <c r="D86" s="53" t="s">
        <v>3030</v>
      </c>
      <c r="E86" s="6" t="s">
        <v>655</v>
      </c>
      <c r="F86" s="19">
        <v>750000</v>
      </c>
      <c r="G86" s="24">
        <v>801.93</v>
      </c>
      <c r="H86" s="24">
        <v>4.8099999999999996</v>
      </c>
      <c r="I86" s="31">
        <v>5.2168000000000001</v>
      </c>
      <c r="J86" s="35"/>
    </row>
    <row r="87" spans="2:10" x14ac:dyDescent="0.25">
      <c r="C87" s="57" t="s">
        <v>35</v>
      </c>
      <c r="D87" s="53"/>
      <c r="E87" s="6"/>
      <c r="F87" s="19"/>
      <c r="G87" s="25">
        <v>6148.8</v>
      </c>
      <c r="H87" s="25">
        <v>36.869999999999997</v>
      </c>
      <c r="I87" s="31"/>
      <c r="J87" s="35"/>
    </row>
    <row r="88" spans="2:10" x14ac:dyDescent="0.25">
      <c r="C88" s="56"/>
      <c r="D88" s="53"/>
      <c r="E88" s="6"/>
      <c r="F88" s="19"/>
      <c r="G88" s="24"/>
      <c r="H88" s="24"/>
      <c r="I88" s="31"/>
      <c r="J88" s="35"/>
    </row>
    <row r="89" spans="2:10" x14ac:dyDescent="0.25">
      <c r="C89" s="57" t="s">
        <v>11</v>
      </c>
      <c r="D89" s="53"/>
      <c r="E89" s="6"/>
      <c r="F89" s="19"/>
      <c r="G89" s="24"/>
      <c r="H89" s="24"/>
      <c r="I89" s="31"/>
      <c r="J89" s="35"/>
    </row>
    <row r="90" spans="2:10" x14ac:dyDescent="0.25">
      <c r="C90" s="56"/>
      <c r="D90" s="53"/>
      <c r="E90" s="6"/>
      <c r="F90" s="19"/>
      <c r="G90" s="24"/>
      <c r="H90" s="24"/>
      <c r="I90" s="31"/>
      <c r="J90" s="35"/>
    </row>
    <row r="91" spans="2:10" x14ac:dyDescent="0.25">
      <c r="C91" s="57" t="s">
        <v>13</v>
      </c>
      <c r="D91" s="53"/>
      <c r="E91" s="6"/>
      <c r="F91" s="19"/>
      <c r="G91" s="24" t="s">
        <v>2</v>
      </c>
      <c r="H91" s="24" t="s">
        <v>2</v>
      </c>
      <c r="I91" s="31"/>
      <c r="J91" s="35"/>
    </row>
    <row r="92" spans="2:10" x14ac:dyDescent="0.25">
      <c r="C92" s="56"/>
      <c r="D92" s="53"/>
      <c r="E92" s="6"/>
      <c r="F92" s="19"/>
      <c r="G92" s="24"/>
      <c r="H92" s="24"/>
      <c r="I92" s="31"/>
      <c r="J92" s="35"/>
    </row>
    <row r="93" spans="2:10" x14ac:dyDescent="0.25">
      <c r="C93" s="57" t="s">
        <v>14</v>
      </c>
      <c r="D93" s="53"/>
      <c r="E93" s="6"/>
      <c r="F93" s="19"/>
      <c r="G93" s="24" t="s">
        <v>2</v>
      </c>
      <c r="H93" s="24" t="s">
        <v>2</v>
      </c>
      <c r="I93" s="31"/>
      <c r="J93" s="35"/>
    </row>
    <row r="94" spans="2:10" x14ac:dyDescent="0.25">
      <c r="C94" s="56"/>
      <c r="D94" s="53"/>
      <c r="E94" s="6"/>
      <c r="F94" s="19"/>
      <c r="G94" s="24"/>
      <c r="H94" s="24"/>
      <c r="I94" s="31"/>
      <c r="J94" s="35"/>
    </row>
    <row r="95" spans="2:10" x14ac:dyDescent="0.25">
      <c r="C95" s="57" t="s">
        <v>15</v>
      </c>
      <c r="D95" s="53"/>
      <c r="E95" s="6"/>
      <c r="F95" s="19"/>
      <c r="G95" s="24" t="s">
        <v>2</v>
      </c>
      <c r="H95" s="24" t="s">
        <v>2</v>
      </c>
      <c r="I95" s="31"/>
      <c r="J95" s="35"/>
    </row>
    <row r="96" spans="2:10" x14ac:dyDescent="0.25">
      <c r="C96" s="56"/>
      <c r="D96" s="53"/>
      <c r="E96" s="6"/>
      <c r="F96" s="19"/>
      <c r="G96" s="24"/>
      <c r="H96" s="24"/>
      <c r="I96" s="31"/>
      <c r="J96" s="35"/>
    </row>
    <row r="97" spans="1:10" x14ac:dyDescent="0.25">
      <c r="C97" s="57" t="s">
        <v>16</v>
      </c>
      <c r="D97" s="53"/>
      <c r="E97" s="6"/>
      <c r="F97" s="19"/>
      <c r="G97" s="24" t="s">
        <v>2</v>
      </c>
      <c r="H97" s="24" t="s">
        <v>2</v>
      </c>
      <c r="I97" s="31"/>
      <c r="J97" s="35"/>
    </row>
    <row r="98" spans="1:10" x14ac:dyDescent="0.25">
      <c r="C98" s="56"/>
      <c r="D98" s="53"/>
      <c r="E98" s="6"/>
      <c r="F98" s="19"/>
      <c r="G98" s="24"/>
      <c r="H98" s="24"/>
      <c r="I98" s="31"/>
      <c r="J98" s="35"/>
    </row>
    <row r="99" spans="1:10" x14ac:dyDescent="0.25">
      <c r="A99" s="10"/>
      <c r="B99" s="28"/>
      <c r="C99" s="58" t="s">
        <v>17</v>
      </c>
      <c r="D99" s="53"/>
      <c r="E99" s="6"/>
      <c r="F99" s="19"/>
      <c r="G99" s="24"/>
      <c r="H99" s="24"/>
      <c r="I99" s="31"/>
      <c r="J99" s="35"/>
    </row>
    <row r="100" spans="1:10" x14ac:dyDescent="0.25">
      <c r="A100" s="28"/>
      <c r="B100" s="28"/>
      <c r="C100" s="58" t="s">
        <v>18</v>
      </c>
      <c r="D100" s="53"/>
      <c r="E100" s="6"/>
      <c r="F100" s="19"/>
      <c r="G100" s="24" t="s">
        <v>2</v>
      </c>
      <c r="H100" s="24" t="s">
        <v>2</v>
      </c>
      <c r="I100" s="31"/>
      <c r="J100" s="35"/>
    </row>
    <row r="101" spans="1:10" x14ac:dyDescent="0.25">
      <c r="A101" s="28"/>
      <c r="B101" s="28"/>
      <c r="C101" s="58"/>
      <c r="D101" s="53"/>
      <c r="E101" s="6"/>
      <c r="F101" s="19"/>
      <c r="G101" s="24"/>
      <c r="H101" s="24"/>
      <c r="I101" s="31"/>
      <c r="J101" s="35"/>
    </row>
    <row r="102" spans="1:10" x14ac:dyDescent="0.25">
      <c r="A102" s="28"/>
      <c r="B102" s="28"/>
      <c r="C102" s="58" t="s">
        <v>19</v>
      </c>
      <c r="D102" s="53"/>
      <c r="E102" s="6"/>
      <c r="F102" s="19"/>
      <c r="G102" s="24" t="s">
        <v>2</v>
      </c>
      <c r="H102" s="24" t="s">
        <v>2</v>
      </c>
      <c r="I102" s="31"/>
      <c r="J102" s="35"/>
    </row>
    <row r="103" spans="1:10" x14ac:dyDescent="0.25">
      <c r="A103" s="28"/>
      <c r="B103" s="28"/>
      <c r="C103" s="58"/>
      <c r="D103" s="53"/>
      <c r="E103" s="6"/>
      <c r="F103" s="19"/>
      <c r="G103" s="24"/>
      <c r="H103" s="24"/>
      <c r="I103" s="31"/>
      <c r="J103" s="35"/>
    </row>
    <row r="104" spans="1:10" x14ac:dyDescent="0.25">
      <c r="A104" s="28"/>
      <c r="B104" s="28"/>
      <c r="C104" s="58" t="s">
        <v>20</v>
      </c>
      <c r="D104" s="53"/>
      <c r="E104" s="6"/>
      <c r="F104" s="19"/>
      <c r="G104" s="24" t="s">
        <v>2</v>
      </c>
      <c r="H104" s="24" t="s">
        <v>2</v>
      </c>
      <c r="I104" s="31"/>
      <c r="J104" s="35"/>
    </row>
    <row r="105" spans="1:10" x14ac:dyDescent="0.25">
      <c r="A105" s="28"/>
      <c r="B105" s="28"/>
      <c r="C105" s="58"/>
      <c r="D105" s="53"/>
      <c r="E105" s="6"/>
      <c r="F105" s="19"/>
      <c r="G105" s="24"/>
      <c r="H105" s="24"/>
      <c r="I105" s="31"/>
      <c r="J105" s="35"/>
    </row>
    <row r="106" spans="1:10" x14ac:dyDescent="0.25">
      <c r="A106" s="28"/>
      <c r="B106" s="28"/>
      <c r="C106" s="58" t="s">
        <v>21</v>
      </c>
      <c r="D106" s="53"/>
      <c r="E106" s="6"/>
      <c r="F106" s="19"/>
      <c r="G106" s="24" t="s">
        <v>2</v>
      </c>
      <c r="H106" s="24" t="s">
        <v>2</v>
      </c>
      <c r="I106" s="31"/>
      <c r="J106" s="35"/>
    </row>
    <row r="107" spans="1:10" x14ac:dyDescent="0.25">
      <c r="A107" s="28"/>
      <c r="B107" s="28"/>
      <c r="C107" s="58"/>
      <c r="D107" s="53"/>
      <c r="E107" s="6"/>
      <c r="F107" s="19"/>
      <c r="G107" s="24"/>
      <c r="H107" s="24"/>
      <c r="I107" s="31"/>
      <c r="J107" s="35"/>
    </row>
    <row r="108" spans="1:10" x14ac:dyDescent="0.25">
      <c r="C108" s="59" t="s">
        <v>22</v>
      </c>
      <c r="D108" s="53"/>
      <c r="E108" s="6"/>
      <c r="F108" s="19"/>
      <c r="G108" s="24"/>
      <c r="H108" s="24"/>
      <c r="I108" s="31"/>
      <c r="J108" s="35"/>
    </row>
    <row r="109" spans="1:10" x14ac:dyDescent="0.25">
      <c r="B109" s="8" t="s">
        <v>33</v>
      </c>
      <c r="C109" s="56" t="s">
        <v>34</v>
      </c>
      <c r="D109" s="53"/>
      <c r="E109" s="6"/>
      <c r="F109" s="19"/>
      <c r="G109" s="24">
        <v>128.78</v>
      </c>
      <c r="H109" s="24">
        <v>0.77</v>
      </c>
      <c r="I109" s="31"/>
      <c r="J109" s="35"/>
    </row>
    <row r="110" spans="1:10" x14ac:dyDescent="0.25">
      <c r="C110" s="57" t="s">
        <v>35</v>
      </c>
      <c r="D110" s="53"/>
      <c r="E110" s="6"/>
      <c r="F110" s="19"/>
      <c r="G110" s="25">
        <v>128.78</v>
      </c>
      <c r="H110" s="25">
        <v>0.77</v>
      </c>
      <c r="I110" s="31"/>
      <c r="J110" s="35"/>
    </row>
    <row r="111" spans="1:10" x14ac:dyDescent="0.25">
      <c r="C111" s="56"/>
      <c r="D111" s="53"/>
      <c r="E111" s="6"/>
      <c r="F111" s="19"/>
      <c r="G111" s="24"/>
      <c r="H111" s="24"/>
      <c r="I111" s="31"/>
      <c r="J111" s="35"/>
    </row>
    <row r="112" spans="1:10" x14ac:dyDescent="0.25">
      <c r="A112" s="10"/>
      <c r="B112" s="28"/>
      <c r="C112" s="58" t="s">
        <v>23</v>
      </c>
      <c r="D112" s="53"/>
      <c r="E112" s="6"/>
      <c r="F112" s="19"/>
      <c r="G112" s="24"/>
      <c r="H112" s="24"/>
      <c r="I112" s="31"/>
      <c r="J112" s="35"/>
    </row>
    <row r="113" spans="1:10" x14ac:dyDescent="0.25">
      <c r="A113" s="28"/>
      <c r="B113" s="28"/>
      <c r="C113" s="60" t="s">
        <v>3398</v>
      </c>
      <c r="D113" s="53"/>
      <c r="E113" s="6"/>
      <c r="F113" s="19"/>
      <c r="G113" s="24" t="s">
        <v>2</v>
      </c>
      <c r="H113" s="24" t="s">
        <v>2</v>
      </c>
      <c r="I113" s="31"/>
      <c r="J113" s="35"/>
    </row>
    <row r="114" spans="1:10" x14ac:dyDescent="0.25">
      <c r="B114" s="8"/>
      <c r="C114" s="56" t="s">
        <v>36</v>
      </c>
      <c r="D114" s="53"/>
      <c r="E114" s="6"/>
      <c r="F114" s="19"/>
      <c r="G114" s="24">
        <v>510.23</v>
      </c>
      <c r="H114" s="24">
        <v>3.07</v>
      </c>
      <c r="I114" s="31"/>
      <c r="J114" s="35"/>
    </row>
    <row r="115" spans="1:10" x14ac:dyDescent="0.25">
      <c r="C115" s="57" t="s">
        <v>35</v>
      </c>
      <c r="D115" s="53"/>
      <c r="E115" s="6"/>
      <c r="F115" s="19"/>
      <c r="G115" s="25">
        <v>510.23</v>
      </c>
      <c r="H115" s="25">
        <v>3.07</v>
      </c>
      <c r="I115" s="31"/>
      <c r="J115" s="35"/>
    </row>
    <row r="116" spans="1:10" x14ac:dyDescent="0.25">
      <c r="C116" s="56"/>
      <c r="D116" s="53"/>
      <c r="E116" s="6"/>
      <c r="F116" s="19"/>
      <c r="G116" s="24"/>
      <c r="H116" s="24"/>
      <c r="I116" s="31"/>
      <c r="J116" s="35"/>
    </row>
    <row r="117" spans="1:10" x14ac:dyDescent="0.25">
      <c r="C117" s="61" t="s">
        <v>37</v>
      </c>
      <c r="D117" s="54"/>
      <c r="E117" s="5"/>
      <c r="F117" s="20"/>
      <c r="G117" s="26">
        <v>16678.07</v>
      </c>
      <c r="H117" s="26">
        <f>SUMIFS(H:H,C:C,"Total")</f>
        <v>99.999999999999986</v>
      </c>
      <c r="I117" s="32"/>
      <c r="J117" s="36"/>
    </row>
    <row r="120" spans="1:10" x14ac:dyDescent="0.25">
      <c r="C120" s="1" t="s">
        <v>38</v>
      </c>
    </row>
    <row r="121" spans="1:10" x14ac:dyDescent="0.25">
      <c r="C121" s="2" t="s">
        <v>39</v>
      </c>
    </row>
    <row r="122" spans="1:10" x14ac:dyDescent="0.25">
      <c r="C122" s="2" t="s">
        <v>40</v>
      </c>
    </row>
    <row r="123" spans="1:10" x14ac:dyDescent="0.25">
      <c r="C123" s="2" t="s">
        <v>3430</v>
      </c>
    </row>
  </sheetData>
  <hyperlinks>
    <hyperlink ref="J2" location="'Index'!A1" display="'Index'!A1"/>
  </hyperlinks>
  <pageMargins left="0.7" right="0.7" top="0.75" bottom="0.75" header="0.3" footer="0.3"/>
  <pageSetup orientation="portrait" horizontalDpi="4294967293"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9"/>
  <dimension ref="A1:J7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580</v>
      </c>
      <c r="J2" s="37" t="s">
        <v>3307</v>
      </c>
    </row>
    <row r="3" spans="1:10" ht="16.5" x14ac:dyDescent="0.3">
      <c r="C3" s="1" t="s">
        <v>24</v>
      </c>
      <c r="D3" s="21" t="s">
        <v>3031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2980</v>
      </c>
      <c r="C18" s="56" t="s">
        <v>1935</v>
      </c>
      <c r="D18" s="53" t="s">
        <v>2981</v>
      </c>
      <c r="E18" s="6" t="s">
        <v>911</v>
      </c>
      <c r="F18" s="19">
        <v>170</v>
      </c>
      <c r="G18" s="24">
        <v>1560.39</v>
      </c>
      <c r="H18" s="24">
        <v>9.4</v>
      </c>
      <c r="I18" s="31">
        <v>5.1999000000000004</v>
      </c>
      <c r="J18" s="35" t="s">
        <v>514</v>
      </c>
    </row>
    <row r="19" spans="2:10" x14ac:dyDescent="0.25">
      <c r="B19" s="8" t="s">
        <v>2778</v>
      </c>
      <c r="C19" s="56" t="s">
        <v>125</v>
      </c>
      <c r="D19" s="53" t="s">
        <v>2779</v>
      </c>
      <c r="E19" s="6" t="s">
        <v>534</v>
      </c>
      <c r="F19" s="19">
        <v>140</v>
      </c>
      <c r="G19" s="24">
        <v>1468.93</v>
      </c>
      <c r="H19" s="24">
        <v>8.85</v>
      </c>
      <c r="I19" s="31">
        <v>4.9649000000000001</v>
      </c>
      <c r="J19" s="35" t="s">
        <v>514</v>
      </c>
    </row>
    <row r="20" spans="2:10" x14ac:dyDescent="0.25">
      <c r="B20" s="8" t="s">
        <v>1878</v>
      </c>
      <c r="C20" s="56" t="s">
        <v>1130</v>
      </c>
      <c r="D20" s="53" t="s">
        <v>1879</v>
      </c>
      <c r="E20" s="6" t="s">
        <v>911</v>
      </c>
      <c r="F20" s="19">
        <v>130</v>
      </c>
      <c r="G20" s="24">
        <v>1376.61</v>
      </c>
      <c r="H20" s="24">
        <v>8.2899999999999991</v>
      </c>
      <c r="I20" s="31">
        <v>4.8</v>
      </c>
      <c r="J20" s="35" t="s">
        <v>514</v>
      </c>
    </row>
    <row r="21" spans="2:10" x14ac:dyDescent="0.25">
      <c r="B21" s="8" t="s">
        <v>2766</v>
      </c>
      <c r="C21" s="56" t="s">
        <v>1752</v>
      </c>
      <c r="D21" s="53" t="s">
        <v>2767</v>
      </c>
      <c r="E21" s="6" t="s">
        <v>911</v>
      </c>
      <c r="F21" s="19">
        <v>130</v>
      </c>
      <c r="G21" s="24">
        <v>1366.68</v>
      </c>
      <c r="H21" s="24">
        <v>8.23</v>
      </c>
      <c r="I21" s="31">
        <v>4.46</v>
      </c>
      <c r="J21" s="35" t="s">
        <v>514</v>
      </c>
    </row>
    <row r="22" spans="2:10" x14ac:dyDescent="0.25">
      <c r="B22" s="8" t="s">
        <v>1858</v>
      </c>
      <c r="C22" s="56" t="s">
        <v>909</v>
      </c>
      <c r="D22" s="53" t="s">
        <v>1859</v>
      </c>
      <c r="E22" s="6" t="s">
        <v>534</v>
      </c>
      <c r="F22" s="19">
        <v>130</v>
      </c>
      <c r="G22" s="24">
        <v>1365.87</v>
      </c>
      <c r="H22" s="24">
        <v>8.23</v>
      </c>
      <c r="I22" s="31">
        <v>4.55</v>
      </c>
      <c r="J22" s="35" t="s">
        <v>514</v>
      </c>
    </row>
    <row r="23" spans="2:10" x14ac:dyDescent="0.25">
      <c r="B23" s="8" t="s">
        <v>1945</v>
      </c>
      <c r="C23" s="56" t="s">
        <v>1381</v>
      </c>
      <c r="D23" s="53" t="s">
        <v>1946</v>
      </c>
      <c r="E23" s="6" t="s">
        <v>1383</v>
      </c>
      <c r="F23" s="19">
        <v>110</v>
      </c>
      <c r="G23" s="24">
        <v>1363.58</v>
      </c>
      <c r="H23" s="24">
        <v>8.2100000000000009</v>
      </c>
      <c r="I23" s="31">
        <v>5.5</v>
      </c>
      <c r="J23" s="35" t="s">
        <v>514</v>
      </c>
    </row>
    <row r="24" spans="2:10" x14ac:dyDescent="0.25">
      <c r="B24" s="8" t="s">
        <v>2716</v>
      </c>
      <c r="C24" s="56" t="s">
        <v>1127</v>
      </c>
      <c r="D24" s="53" t="s">
        <v>2717</v>
      </c>
      <c r="E24" s="6" t="s">
        <v>534</v>
      </c>
      <c r="F24" s="19">
        <v>110</v>
      </c>
      <c r="G24" s="24">
        <v>1328.7</v>
      </c>
      <c r="H24" s="24">
        <v>8</v>
      </c>
      <c r="I24" s="31">
        <v>5.0199999999999996</v>
      </c>
      <c r="J24" s="35" t="s">
        <v>514</v>
      </c>
    </row>
    <row r="25" spans="2:10" x14ac:dyDescent="0.25">
      <c r="B25" s="8" t="s">
        <v>1744</v>
      </c>
      <c r="C25" s="56" t="s">
        <v>77</v>
      </c>
      <c r="D25" s="53" t="s">
        <v>1745</v>
      </c>
      <c r="E25" s="6" t="s">
        <v>534</v>
      </c>
      <c r="F25" s="19">
        <v>110</v>
      </c>
      <c r="G25" s="24">
        <v>1156.3</v>
      </c>
      <c r="H25" s="24">
        <v>6.97</v>
      </c>
      <c r="I25" s="31">
        <v>4.6749999999999998</v>
      </c>
      <c r="J25" s="35" t="s">
        <v>514</v>
      </c>
    </row>
    <row r="26" spans="2:10" x14ac:dyDescent="0.25">
      <c r="B26" s="8" t="s">
        <v>3032</v>
      </c>
      <c r="C26" s="56" t="s">
        <v>1376</v>
      </c>
      <c r="D26" s="53" t="s">
        <v>3033</v>
      </c>
      <c r="E26" s="6" t="s">
        <v>534</v>
      </c>
      <c r="F26" s="19">
        <v>100</v>
      </c>
      <c r="G26" s="24">
        <v>1052.1099999999999</v>
      </c>
      <c r="H26" s="24">
        <v>6.34</v>
      </c>
      <c r="I26" s="31">
        <v>4.8399000000000001</v>
      </c>
      <c r="J26" s="35" t="s">
        <v>514</v>
      </c>
    </row>
    <row r="27" spans="2:10" x14ac:dyDescent="0.25">
      <c r="B27" s="8" t="s">
        <v>3034</v>
      </c>
      <c r="C27" s="56" t="s">
        <v>601</v>
      </c>
      <c r="D27" s="53" t="s">
        <v>3035</v>
      </c>
      <c r="E27" s="6" t="s">
        <v>534</v>
      </c>
      <c r="F27" s="19">
        <v>100</v>
      </c>
      <c r="G27" s="24">
        <v>1037.1400000000001</v>
      </c>
      <c r="H27" s="24">
        <v>6.25</v>
      </c>
      <c r="I27" s="31">
        <v>4.9400000000000004</v>
      </c>
      <c r="J27" s="35" t="s">
        <v>514</v>
      </c>
    </row>
    <row r="28" spans="2:10" x14ac:dyDescent="0.25">
      <c r="B28" s="8" t="s">
        <v>2646</v>
      </c>
      <c r="C28" s="56" t="s">
        <v>53</v>
      </c>
      <c r="D28" s="53" t="s">
        <v>2647</v>
      </c>
      <c r="E28" s="6" t="s">
        <v>534</v>
      </c>
      <c r="F28" s="19">
        <v>80</v>
      </c>
      <c r="G28" s="24">
        <v>840.59</v>
      </c>
      <c r="H28" s="24">
        <v>5.0599999999999996</v>
      </c>
      <c r="I28" s="31">
        <v>4.53</v>
      </c>
      <c r="J28" s="35"/>
    </row>
    <row r="29" spans="2:10" x14ac:dyDescent="0.25">
      <c r="B29" s="8" t="s">
        <v>3018</v>
      </c>
      <c r="C29" s="56" t="s">
        <v>2421</v>
      </c>
      <c r="D29" s="53" t="s">
        <v>3019</v>
      </c>
      <c r="E29" s="6" t="s">
        <v>534</v>
      </c>
      <c r="F29" s="19">
        <v>70</v>
      </c>
      <c r="G29" s="24">
        <v>736.72</v>
      </c>
      <c r="H29" s="24">
        <v>4.4400000000000004</v>
      </c>
      <c r="I29" s="31">
        <v>5.23</v>
      </c>
      <c r="J29" s="35" t="s">
        <v>514</v>
      </c>
    </row>
    <row r="30" spans="2:10" x14ac:dyDescent="0.25">
      <c r="B30" s="8" t="s">
        <v>2640</v>
      </c>
      <c r="C30" s="56" t="s">
        <v>2641</v>
      </c>
      <c r="D30" s="53" t="s">
        <v>2642</v>
      </c>
      <c r="E30" s="6" t="s">
        <v>2643</v>
      </c>
      <c r="F30" s="19">
        <v>40</v>
      </c>
      <c r="G30" s="24">
        <v>429.57</v>
      </c>
      <c r="H30" s="24">
        <v>2.59</v>
      </c>
      <c r="I30" s="31">
        <v>4.4598000000000004</v>
      </c>
      <c r="J30" s="35" t="s">
        <v>514</v>
      </c>
    </row>
    <row r="31" spans="2:10" x14ac:dyDescent="0.25">
      <c r="B31" s="8" t="s">
        <v>3036</v>
      </c>
      <c r="C31" s="56" t="s">
        <v>53</v>
      </c>
      <c r="D31" s="53" t="s">
        <v>3037</v>
      </c>
      <c r="E31" s="6" t="s">
        <v>534</v>
      </c>
      <c r="F31" s="19">
        <v>20</v>
      </c>
      <c r="G31" s="24">
        <v>207.83</v>
      </c>
      <c r="H31" s="24">
        <v>1.25</v>
      </c>
      <c r="I31" s="31">
        <v>4.8049999999999997</v>
      </c>
      <c r="J31" s="35" t="s">
        <v>514</v>
      </c>
    </row>
    <row r="32" spans="2:10" x14ac:dyDescent="0.25">
      <c r="C32" s="57" t="s">
        <v>35</v>
      </c>
      <c r="D32" s="53"/>
      <c r="E32" s="6"/>
      <c r="F32" s="19"/>
      <c r="G32" s="25">
        <v>15291.02</v>
      </c>
      <c r="H32" s="25">
        <v>92.11</v>
      </c>
      <c r="I32" s="31"/>
      <c r="J32" s="35"/>
    </row>
    <row r="33" spans="1:10" x14ac:dyDescent="0.25">
      <c r="C33" s="56"/>
      <c r="D33" s="53"/>
      <c r="E33" s="6"/>
      <c r="F33" s="19"/>
      <c r="G33" s="24"/>
      <c r="H33" s="24"/>
      <c r="I33" s="31"/>
      <c r="J33" s="35"/>
    </row>
    <row r="34" spans="1:10" x14ac:dyDescent="0.25">
      <c r="C34" s="57" t="s">
        <v>7</v>
      </c>
      <c r="D34" s="53"/>
      <c r="E34" s="6"/>
      <c r="F34" s="19"/>
      <c r="G34" s="24" t="s">
        <v>2</v>
      </c>
      <c r="H34" s="24" t="s">
        <v>2</v>
      </c>
      <c r="I34" s="31"/>
      <c r="J34" s="35"/>
    </row>
    <row r="35" spans="1:10" x14ac:dyDescent="0.25">
      <c r="C35" s="56"/>
      <c r="D35" s="53"/>
      <c r="E35" s="6"/>
      <c r="F35" s="19"/>
      <c r="G35" s="24"/>
      <c r="H35" s="24"/>
      <c r="I35" s="31"/>
      <c r="J35" s="35"/>
    </row>
    <row r="36" spans="1:10" x14ac:dyDescent="0.25">
      <c r="C36" s="57" t="s">
        <v>8</v>
      </c>
      <c r="D36" s="53"/>
      <c r="E36" s="6"/>
      <c r="F36" s="19"/>
      <c r="G36" s="24" t="s">
        <v>2</v>
      </c>
      <c r="H36" s="24" t="s">
        <v>2</v>
      </c>
      <c r="I36" s="31"/>
      <c r="J36" s="35"/>
    </row>
    <row r="37" spans="1:10" x14ac:dyDescent="0.25">
      <c r="C37" s="56"/>
      <c r="D37" s="53"/>
      <c r="E37" s="6"/>
      <c r="F37" s="19"/>
      <c r="G37" s="24"/>
      <c r="H37" s="24"/>
      <c r="I37" s="31"/>
      <c r="J37" s="35"/>
    </row>
    <row r="38" spans="1:10" x14ac:dyDescent="0.25">
      <c r="C38" s="57" t="s">
        <v>9</v>
      </c>
      <c r="D38" s="53"/>
      <c r="E38" s="6"/>
      <c r="F38" s="19"/>
      <c r="G38" s="24" t="s">
        <v>2</v>
      </c>
      <c r="H38" s="24" t="s">
        <v>2</v>
      </c>
      <c r="I38" s="31"/>
      <c r="J38" s="35"/>
    </row>
    <row r="39" spans="1:10" x14ac:dyDescent="0.25">
      <c r="C39" s="56"/>
      <c r="D39" s="53"/>
      <c r="E39" s="6"/>
      <c r="F39" s="19"/>
      <c r="G39" s="24"/>
      <c r="H39" s="24"/>
      <c r="I39" s="31"/>
      <c r="J39" s="35"/>
    </row>
    <row r="40" spans="1:10" x14ac:dyDescent="0.25">
      <c r="C40" s="57" t="s">
        <v>10</v>
      </c>
      <c r="D40" s="53"/>
      <c r="E40" s="6"/>
      <c r="F40" s="19"/>
      <c r="G40" s="24" t="s">
        <v>2</v>
      </c>
      <c r="H40" s="24" t="s">
        <v>2</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1248</v>
      </c>
      <c r="C46" s="56" t="s">
        <v>818</v>
      </c>
      <c r="D46" s="53" t="s">
        <v>1249</v>
      </c>
      <c r="E46" s="6" t="s">
        <v>1000</v>
      </c>
      <c r="F46" s="19">
        <v>700</v>
      </c>
      <c r="G46" s="24">
        <v>682.6</v>
      </c>
      <c r="H46" s="24">
        <v>4.1100000000000003</v>
      </c>
      <c r="I46" s="31">
        <v>3.8298999999999999</v>
      </c>
      <c r="J46" s="35" t="s">
        <v>514</v>
      </c>
    </row>
    <row r="47" spans="1:10" x14ac:dyDescent="0.25">
      <c r="B47" s="8" t="s">
        <v>1232</v>
      </c>
      <c r="C47" s="56" t="s">
        <v>818</v>
      </c>
      <c r="D47" s="53" t="s">
        <v>1233</v>
      </c>
      <c r="E47" s="6" t="s">
        <v>1000</v>
      </c>
      <c r="F47" s="19">
        <v>200</v>
      </c>
      <c r="G47" s="24">
        <v>194.61</v>
      </c>
      <c r="H47" s="24">
        <v>1.17</v>
      </c>
      <c r="I47" s="31">
        <v>3.83</v>
      </c>
      <c r="J47" s="35" t="s">
        <v>514</v>
      </c>
    </row>
    <row r="48" spans="1:10" x14ac:dyDescent="0.25">
      <c r="C48" s="57" t="s">
        <v>35</v>
      </c>
      <c r="D48" s="53"/>
      <c r="E48" s="6"/>
      <c r="F48" s="19"/>
      <c r="G48" s="25">
        <v>877.21</v>
      </c>
      <c r="H48" s="25">
        <v>5.28</v>
      </c>
      <c r="I48" s="31"/>
      <c r="J48" s="35"/>
    </row>
    <row r="49" spans="1:10" x14ac:dyDescent="0.25">
      <c r="C49" s="56"/>
      <c r="D49" s="53"/>
      <c r="E49" s="6"/>
      <c r="F49" s="19"/>
      <c r="G49" s="24"/>
      <c r="H49" s="24"/>
      <c r="I49" s="31"/>
      <c r="J49" s="35"/>
    </row>
    <row r="50" spans="1:10" x14ac:dyDescent="0.25">
      <c r="C50" s="57" t="s">
        <v>15</v>
      </c>
      <c r="D50" s="53"/>
      <c r="E50" s="6"/>
      <c r="F50" s="19"/>
      <c r="G50" s="24" t="s">
        <v>2</v>
      </c>
      <c r="H50" s="24" t="s">
        <v>2</v>
      </c>
      <c r="I50" s="31"/>
      <c r="J50" s="35"/>
    </row>
    <row r="51" spans="1:10" x14ac:dyDescent="0.25">
      <c r="C51" s="56"/>
      <c r="D51" s="53"/>
      <c r="E51" s="6"/>
      <c r="F51" s="19"/>
      <c r="G51" s="24"/>
      <c r="H51" s="24"/>
      <c r="I51" s="31"/>
      <c r="J51" s="35"/>
    </row>
    <row r="52" spans="1:10" x14ac:dyDescent="0.25">
      <c r="C52" s="57" t="s">
        <v>16</v>
      </c>
      <c r="D52" s="53"/>
      <c r="E52" s="6"/>
      <c r="F52" s="19"/>
      <c r="G52" s="24" t="s">
        <v>2</v>
      </c>
      <c r="H52" s="24" t="s">
        <v>2</v>
      </c>
      <c r="I52" s="31"/>
      <c r="J52" s="35"/>
    </row>
    <row r="53" spans="1:10" x14ac:dyDescent="0.25">
      <c r="C53" s="56"/>
      <c r="D53" s="53"/>
      <c r="E53" s="6"/>
      <c r="F53" s="19"/>
      <c r="G53" s="24"/>
      <c r="H53" s="24"/>
      <c r="I53" s="31"/>
      <c r="J53" s="35"/>
    </row>
    <row r="54" spans="1:10" x14ac:dyDescent="0.25">
      <c r="A54" s="10"/>
      <c r="B54" s="28"/>
      <c r="C54" s="58" t="s">
        <v>17</v>
      </c>
      <c r="D54" s="53"/>
      <c r="E54" s="6"/>
      <c r="F54" s="19"/>
      <c r="G54" s="24"/>
      <c r="H54" s="24"/>
      <c r="I54" s="31"/>
      <c r="J54" s="35"/>
    </row>
    <row r="55" spans="1:10" x14ac:dyDescent="0.25">
      <c r="A55" s="28"/>
      <c r="B55" s="28"/>
      <c r="C55" s="58" t="s">
        <v>18</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19</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20</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21</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C63" s="59" t="s">
        <v>22</v>
      </c>
      <c r="D63" s="53"/>
      <c r="E63" s="6"/>
      <c r="F63" s="19"/>
      <c r="G63" s="24"/>
      <c r="H63" s="24"/>
      <c r="I63" s="31"/>
      <c r="J63" s="35"/>
    </row>
    <row r="64" spans="1:10" x14ac:dyDescent="0.25">
      <c r="B64" s="8" t="s">
        <v>33</v>
      </c>
      <c r="C64" s="56" t="s">
        <v>34</v>
      </c>
      <c r="D64" s="53"/>
      <c r="E64" s="6"/>
      <c r="F64" s="19"/>
      <c r="G64" s="24">
        <v>98.11</v>
      </c>
      <c r="H64" s="24">
        <v>0.59</v>
      </c>
      <c r="I64" s="31"/>
      <c r="J64" s="35"/>
    </row>
    <row r="65" spans="1:10" x14ac:dyDescent="0.25">
      <c r="C65" s="57" t="s">
        <v>35</v>
      </c>
      <c r="D65" s="53"/>
      <c r="E65" s="6"/>
      <c r="F65" s="19"/>
      <c r="G65" s="25">
        <v>98.11</v>
      </c>
      <c r="H65" s="25">
        <v>0.59</v>
      </c>
      <c r="I65" s="31"/>
      <c r="J65" s="35"/>
    </row>
    <row r="66" spans="1:10" x14ac:dyDescent="0.25">
      <c r="C66" s="56"/>
      <c r="D66" s="53"/>
      <c r="E66" s="6"/>
      <c r="F66" s="19"/>
      <c r="G66" s="24"/>
      <c r="H66" s="24"/>
      <c r="I66" s="31"/>
      <c r="J66" s="35"/>
    </row>
    <row r="67" spans="1:10" x14ac:dyDescent="0.25">
      <c r="A67" s="10"/>
      <c r="B67" s="28"/>
      <c r="C67" s="58" t="s">
        <v>23</v>
      </c>
      <c r="D67" s="53"/>
      <c r="E67" s="6"/>
      <c r="F67" s="19"/>
      <c r="G67" s="24"/>
      <c r="H67" s="24"/>
      <c r="I67" s="31"/>
      <c r="J67" s="35"/>
    </row>
    <row r="68" spans="1:10" x14ac:dyDescent="0.25">
      <c r="A68" s="28"/>
      <c r="B68" s="28"/>
      <c r="C68" s="60" t="s">
        <v>3398</v>
      </c>
      <c r="D68" s="53"/>
      <c r="E68" s="6"/>
      <c r="F68" s="19"/>
      <c r="G68" s="24" t="s">
        <v>2</v>
      </c>
      <c r="H68" s="24" t="s">
        <v>2</v>
      </c>
      <c r="I68" s="31"/>
      <c r="J68" s="35"/>
    </row>
    <row r="69" spans="1:10" x14ac:dyDescent="0.25">
      <c r="B69" s="8"/>
      <c r="C69" s="56" t="s">
        <v>36</v>
      </c>
      <c r="D69" s="53"/>
      <c r="E69" s="6"/>
      <c r="F69" s="19"/>
      <c r="G69" s="24">
        <v>333.36</v>
      </c>
      <c r="H69" s="24">
        <v>2.0199999999999996</v>
      </c>
      <c r="I69" s="31"/>
      <c r="J69" s="35"/>
    </row>
    <row r="70" spans="1:10" x14ac:dyDescent="0.25">
      <c r="C70" s="57" t="s">
        <v>35</v>
      </c>
      <c r="D70" s="53"/>
      <c r="E70" s="6"/>
      <c r="F70" s="19"/>
      <c r="G70" s="25">
        <v>333.36</v>
      </c>
      <c r="H70" s="25">
        <v>2.0199999999999996</v>
      </c>
      <c r="I70" s="31"/>
      <c r="J70" s="35"/>
    </row>
    <row r="71" spans="1:10" x14ac:dyDescent="0.25">
      <c r="C71" s="56"/>
      <c r="D71" s="53"/>
      <c r="E71" s="6"/>
      <c r="F71" s="19"/>
      <c r="G71" s="24"/>
      <c r="H71" s="24"/>
      <c r="I71" s="31"/>
      <c r="J71" s="35"/>
    </row>
    <row r="72" spans="1:10" x14ac:dyDescent="0.25">
      <c r="C72" s="61" t="s">
        <v>37</v>
      </c>
      <c r="D72" s="54"/>
      <c r="E72" s="5"/>
      <c r="F72" s="20"/>
      <c r="G72" s="26">
        <v>16599.7</v>
      </c>
      <c r="H72" s="26">
        <f>SUMIFS(H:H,C:C,"Total")</f>
        <v>100</v>
      </c>
      <c r="I72" s="32"/>
      <c r="J72" s="36"/>
    </row>
    <row r="75" spans="1:10" x14ac:dyDescent="0.25">
      <c r="C75" s="1" t="s">
        <v>38</v>
      </c>
    </row>
    <row r="76" spans="1:10" x14ac:dyDescent="0.25">
      <c r="C76" s="2" t="s">
        <v>39</v>
      </c>
    </row>
    <row r="77" spans="1:10" x14ac:dyDescent="0.25">
      <c r="C77" s="2" t="s">
        <v>40</v>
      </c>
    </row>
    <row r="78" spans="1:10" x14ac:dyDescent="0.25">
      <c r="C78" s="2" t="s">
        <v>3430</v>
      </c>
    </row>
  </sheetData>
  <hyperlinks>
    <hyperlink ref="J2" location="'Index'!A1" display="'Index'!A1"/>
  </hyperlinks>
  <pageMargins left="0.7" right="0.7" top="0.75" bottom="0.75" header="0.3" footer="0.3"/>
  <pageSetup orientation="portrait" horizontalDpi="4294967293"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0"/>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3038</v>
      </c>
      <c r="J2" s="37" t="s">
        <v>3307</v>
      </c>
    </row>
    <row r="3" spans="1:10" ht="16.5" x14ac:dyDescent="0.3">
      <c r="C3" s="1" t="s">
        <v>24</v>
      </c>
      <c r="D3" s="21" t="s">
        <v>3039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1945</v>
      </c>
      <c r="C18" s="56" t="s">
        <v>1381</v>
      </c>
      <c r="D18" s="53" t="s">
        <v>1946</v>
      </c>
      <c r="E18" s="6" t="s">
        <v>1383</v>
      </c>
      <c r="F18" s="19">
        <v>80</v>
      </c>
      <c r="G18" s="24">
        <v>991.69</v>
      </c>
      <c r="H18" s="24">
        <v>9.14</v>
      </c>
      <c r="I18" s="31">
        <v>5.5</v>
      </c>
      <c r="J18" s="35" t="s">
        <v>514</v>
      </c>
    </row>
    <row r="19" spans="2:10" x14ac:dyDescent="0.25">
      <c r="B19" s="8" t="s">
        <v>2980</v>
      </c>
      <c r="C19" s="56" t="s">
        <v>1935</v>
      </c>
      <c r="D19" s="53" t="s">
        <v>2981</v>
      </c>
      <c r="E19" s="6" t="s">
        <v>911</v>
      </c>
      <c r="F19" s="19">
        <v>105</v>
      </c>
      <c r="G19" s="24">
        <v>963.77</v>
      </c>
      <c r="H19" s="24">
        <v>8.8800000000000008</v>
      </c>
      <c r="I19" s="31">
        <v>5.1999000000000004</v>
      </c>
      <c r="J19" s="35" t="s">
        <v>514</v>
      </c>
    </row>
    <row r="20" spans="2:10" x14ac:dyDescent="0.25">
      <c r="B20" s="8" t="s">
        <v>2778</v>
      </c>
      <c r="C20" s="56" t="s">
        <v>125</v>
      </c>
      <c r="D20" s="53" t="s">
        <v>2779</v>
      </c>
      <c r="E20" s="6" t="s">
        <v>534</v>
      </c>
      <c r="F20" s="19">
        <v>90</v>
      </c>
      <c r="G20" s="24">
        <v>944.31</v>
      </c>
      <c r="H20" s="24">
        <v>8.6999999999999993</v>
      </c>
      <c r="I20" s="31">
        <v>4.9649000000000001</v>
      </c>
      <c r="J20" s="35" t="s">
        <v>514</v>
      </c>
    </row>
    <row r="21" spans="2:10" x14ac:dyDescent="0.25">
      <c r="B21" s="8" t="s">
        <v>1872</v>
      </c>
      <c r="C21" s="56" t="s">
        <v>1376</v>
      </c>
      <c r="D21" s="53" t="s">
        <v>1873</v>
      </c>
      <c r="E21" s="6" t="s">
        <v>534</v>
      </c>
      <c r="F21" s="19">
        <v>80</v>
      </c>
      <c r="G21" s="24">
        <v>856.37</v>
      </c>
      <c r="H21" s="24">
        <v>7.89</v>
      </c>
      <c r="I21" s="31">
        <v>4.91</v>
      </c>
      <c r="J21" s="35" t="s">
        <v>514</v>
      </c>
    </row>
    <row r="22" spans="2:10" x14ac:dyDescent="0.25">
      <c r="B22" s="8" t="s">
        <v>3010</v>
      </c>
      <c r="C22" s="56" t="s">
        <v>1127</v>
      </c>
      <c r="D22" s="53" t="s">
        <v>3011</v>
      </c>
      <c r="E22" s="6" t="s">
        <v>534</v>
      </c>
      <c r="F22" s="19">
        <v>80</v>
      </c>
      <c r="G22" s="24">
        <v>844.42</v>
      </c>
      <c r="H22" s="24">
        <v>7.78</v>
      </c>
      <c r="I22" s="31">
        <v>5.0199999999999996</v>
      </c>
      <c r="J22" s="35" t="s">
        <v>514</v>
      </c>
    </row>
    <row r="23" spans="2:10" x14ac:dyDescent="0.25">
      <c r="B23" s="8" t="s">
        <v>2766</v>
      </c>
      <c r="C23" s="56" t="s">
        <v>1752</v>
      </c>
      <c r="D23" s="53" t="s">
        <v>2767</v>
      </c>
      <c r="E23" s="6" t="s">
        <v>911</v>
      </c>
      <c r="F23" s="19">
        <v>80</v>
      </c>
      <c r="G23" s="24">
        <v>841.04</v>
      </c>
      <c r="H23" s="24">
        <v>7.75</v>
      </c>
      <c r="I23" s="31">
        <v>4.46</v>
      </c>
      <c r="J23" s="35" t="s">
        <v>514</v>
      </c>
    </row>
    <row r="24" spans="2:10" x14ac:dyDescent="0.25">
      <c r="B24" s="8" t="s">
        <v>1744</v>
      </c>
      <c r="C24" s="56" t="s">
        <v>77</v>
      </c>
      <c r="D24" s="53" t="s">
        <v>1745</v>
      </c>
      <c r="E24" s="6" t="s">
        <v>534</v>
      </c>
      <c r="F24" s="19">
        <v>80</v>
      </c>
      <c r="G24" s="24">
        <v>840.95</v>
      </c>
      <c r="H24" s="24">
        <v>7.75</v>
      </c>
      <c r="I24" s="31">
        <v>4.6749999999999998</v>
      </c>
      <c r="J24" s="35" t="s">
        <v>514</v>
      </c>
    </row>
    <row r="25" spans="2:10" x14ac:dyDescent="0.25">
      <c r="B25" s="8" t="s">
        <v>2831</v>
      </c>
      <c r="C25" s="56" t="s">
        <v>1130</v>
      </c>
      <c r="D25" s="53" t="s">
        <v>2832</v>
      </c>
      <c r="E25" s="6" t="s">
        <v>911</v>
      </c>
      <c r="F25" s="19">
        <v>80</v>
      </c>
      <c r="G25" s="24">
        <v>837.52</v>
      </c>
      <c r="H25" s="24">
        <v>7.72</v>
      </c>
      <c r="I25" s="31">
        <v>4.8</v>
      </c>
      <c r="J25" s="35" t="s">
        <v>514</v>
      </c>
    </row>
    <row r="26" spans="2:10" x14ac:dyDescent="0.25">
      <c r="B26" s="8" t="s">
        <v>3036</v>
      </c>
      <c r="C26" s="56" t="s">
        <v>53</v>
      </c>
      <c r="D26" s="53" t="s">
        <v>3037</v>
      </c>
      <c r="E26" s="6" t="s">
        <v>534</v>
      </c>
      <c r="F26" s="19">
        <v>70</v>
      </c>
      <c r="G26" s="24">
        <v>727.4</v>
      </c>
      <c r="H26" s="24">
        <v>6.71</v>
      </c>
      <c r="I26" s="31">
        <v>4.8049999999999997</v>
      </c>
      <c r="J26" s="35" t="s">
        <v>514</v>
      </c>
    </row>
    <row r="27" spans="2:10" x14ac:dyDescent="0.25">
      <c r="B27" s="8" t="s">
        <v>2816</v>
      </c>
      <c r="C27" s="56" t="s">
        <v>909</v>
      </c>
      <c r="D27" s="53" t="s">
        <v>2817</v>
      </c>
      <c r="E27" s="6" t="s">
        <v>534</v>
      </c>
      <c r="F27" s="19">
        <v>60</v>
      </c>
      <c r="G27" s="24">
        <v>629.09</v>
      </c>
      <c r="H27" s="24">
        <v>5.8</v>
      </c>
      <c r="I27" s="31">
        <v>4.55</v>
      </c>
      <c r="J27" s="35" t="s">
        <v>514</v>
      </c>
    </row>
    <row r="28" spans="2:10" x14ac:dyDescent="0.25">
      <c r="B28" s="8" t="s">
        <v>1880</v>
      </c>
      <c r="C28" s="56" t="s">
        <v>601</v>
      </c>
      <c r="D28" s="53" t="s">
        <v>1881</v>
      </c>
      <c r="E28" s="6" t="s">
        <v>534</v>
      </c>
      <c r="F28" s="19">
        <v>50</v>
      </c>
      <c r="G28" s="24">
        <v>530.46</v>
      </c>
      <c r="H28" s="24">
        <v>4.8899999999999997</v>
      </c>
      <c r="I28" s="31">
        <v>4.9400000000000004</v>
      </c>
      <c r="J28" s="35" t="s">
        <v>514</v>
      </c>
    </row>
    <row r="29" spans="2:10" x14ac:dyDescent="0.25">
      <c r="B29" s="8" t="s">
        <v>2640</v>
      </c>
      <c r="C29" s="56" t="s">
        <v>2641</v>
      </c>
      <c r="D29" s="53" t="s">
        <v>2642</v>
      </c>
      <c r="E29" s="6" t="s">
        <v>2643</v>
      </c>
      <c r="F29" s="19">
        <v>40</v>
      </c>
      <c r="G29" s="24">
        <v>429.57</v>
      </c>
      <c r="H29" s="24">
        <v>3.96</v>
      </c>
      <c r="I29" s="31">
        <v>4.4598000000000004</v>
      </c>
      <c r="J29" s="35" t="s">
        <v>514</v>
      </c>
    </row>
    <row r="30" spans="2:10" x14ac:dyDescent="0.25">
      <c r="B30" s="8" t="s">
        <v>3018</v>
      </c>
      <c r="C30" s="56" t="s">
        <v>2421</v>
      </c>
      <c r="D30" s="53" t="s">
        <v>3019</v>
      </c>
      <c r="E30" s="6" t="s">
        <v>534</v>
      </c>
      <c r="F30" s="19">
        <v>30</v>
      </c>
      <c r="G30" s="24">
        <v>315.74</v>
      </c>
      <c r="H30" s="24">
        <v>2.91</v>
      </c>
      <c r="I30" s="31">
        <v>5.23</v>
      </c>
      <c r="J30" s="35" t="s">
        <v>514</v>
      </c>
    </row>
    <row r="31" spans="2:10" x14ac:dyDescent="0.25">
      <c r="B31" s="8" t="s">
        <v>1858</v>
      </c>
      <c r="C31" s="56" t="s">
        <v>909</v>
      </c>
      <c r="D31" s="53" t="s">
        <v>1859</v>
      </c>
      <c r="E31" s="6" t="s">
        <v>534</v>
      </c>
      <c r="F31" s="19">
        <v>20</v>
      </c>
      <c r="G31" s="24">
        <v>210.13</v>
      </c>
      <c r="H31" s="24">
        <v>1.94</v>
      </c>
      <c r="I31" s="31">
        <v>4.55</v>
      </c>
      <c r="J31" s="35" t="s">
        <v>514</v>
      </c>
    </row>
    <row r="32" spans="2:10" x14ac:dyDescent="0.25">
      <c r="C32" s="57" t="s">
        <v>35</v>
      </c>
      <c r="D32" s="53"/>
      <c r="E32" s="6"/>
      <c r="F32" s="19"/>
      <c r="G32" s="25">
        <v>9962.4599999999991</v>
      </c>
      <c r="H32" s="25">
        <v>91.82</v>
      </c>
      <c r="I32" s="31"/>
      <c r="J32" s="35"/>
    </row>
    <row r="33" spans="1:10" x14ac:dyDescent="0.25">
      <c r="C33" s="56"/>
      <c r="D33" s="53"/>
      <c r="E33" s="6"/>
      <c r="F33" s="19"/>
      <c r="G33" s="24"/>
      <c r="H33" s="24"/>
      <c r="I33" s="31"/>
      <c r="J33" s="35"/>
    </row>
    <row r="34" spans="1:10" x14ac:dyDescent="0.25">
      <c r="C34" s="57" t="s">
        <v>7</v>
      </c>
      <c r="D34" s="53"/>
      <c r="E34" s="6"/>
      <c r="F34" s="19"/>
      <c r="G34" s="24" t="s">
        <v>2</v>
      </c>
      <c r="H34" s="24" t="s">
        <v>2</v>
      </c>
      <c r="I34" s="31"/>
      <c r="J34" s="35"/>
    </row>
    <row r="35" spans="1:10" x14ac:dyDescent="0.25">
      <c r="C35" s="56"/>
      <c r="D35" s="53"/>
      <c r="E35" s="6"/>
      <c r="F35" s="19"/>
      <c r="G35" s="24"/>
      <c r="H35" s="24"/>
      <c r="I35" s="31"/>
      <c r="J35" s="35"/>
    </row>
    <row r="36" spans="1:10" x14ac:dyDescent="0.25">
      <c r="C36" s="57" t="s">
        <v>8</v>
      </c>
      <c r="D36" s="53"/>
      <c r="E36" s="6"/>
      <c r="F36" s="19"/>
      <c r="G36" s="24" t="s">
        <v>2</v>
      </c>
      <c r="H36" s="24" t="s">
        <v>2</v>
      </c>
      <c r="I36" s="31"/>
      <c r="J36" s="35"/>
    </row>
    <row r="37" spans="1:10" x14ac:dyDescent="0.25">
      <c r="C37" s="56"/>
      <c r="D37" s="53"/>
      <c r="E37" s="6"/>
      <c r="F37" s="19"/>
      <c r="G37" s="24"/>
      <c r="H37" s="24"/>
      <c r="I37" s="31"/>
      <c r="J37" s="35"/>
    </row>
    <row r="38" spans="1:10" x14ac:dyDescent="0.25">
      <c r="C38" s="57" t="s">
        <v>9</v>
      </c>
      <c r="D38" s="53"/>
      <c r="E38" s="6"/>
      <c r="F38" s="19"/>
      <c r="G38" s="24" t="s">
        <v>2</v>
      </c>
      <c r="H38" s="24" t="s">
        <v>2</v>
      </c>
      <c r="I38" s="31"/>
      <c r="J38" s="35"/>
    </row>
    <row r="39" spans="1:10" x14ac:dyDescent="0.25">
      <c r="C39" s="56"/>
      <c r="D39" s="53"/>
      <c r="E39" s="6"/>
      <c r="F39" s="19"/>
      <c r="G39" s="24"/>
      <c r="H39" s="24"/>
      <c r="I39" s="31"/>
      <c r="J39" s="35"/>
    </row>
    <row r="40" spans="1:10" x14ac:dyDescent="0.25">
      <c r="C40" s="57" t="s">
        <v>10</v>
      </c>
      <c r="D40" s="53"/>
      <c r="E40" s="6"/>
      <c r="F40" s="19"/>
      <c r="G40" s="24" t="s">
        <v>2</v>
      </c>
      <c r="H40" s="24" t="s">
        <v>2</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1232</v>
      </c>
      <c r="C46" s="56" t="s">
        <v>818</v>
      </c>
      <c r="D46" s="53" t="s">
        <v>1233</v>
      </c>
      <c r="E46" s="6" t="s">
        <v>1000</v>
      </c>
      <c r="F46" s="19">
        <v>500</v>
      </c>
      <c r="G46" s="24">
        <v>486.52</v>
      </c>
      <c r="H46" s="24">
        <v>4.4800000000000004</v>
      </c>
      <c r="I46" s="31">
        <v>3.83</v>
      </c>
      <c r="J46" s="35" t="s">
        <v>514</v>
      </c>
    </row>
    <row r="47" spans="1:10" x14ac:dyDescent="0.25">
      <c r="C47" s="57" t="s">
        <v>35</v>
      </c>
      <c r="D47" s="53"/>
      <c r="E47" s="6"/>
      <c r="F47" s="19"/>
      <c r="G47" s="25">
        <v>486.52</v>
      </c>
      <c r="H47" s="25">
        <v>4.4800000000000004</v>
      </c>
      <c r="I47" s="31"/>
      <c r="J47" s="35"/>
    </row>
    <row r="48" spans="1:10" x14ac:dyDescent="0.25">
      <c r="C48" s="56"/>
      <c r="D48" s="53"/>
      <c r="E48" s="6"/>
      <c r="F48" s="19"/>
      <c r="G48" s="24"/>
      <c r="H48" s="24"/>
      <c r="I48" s="31"/>
      <c r="J48" s="35"/>
    </row>
    <row r="49" spans="1:10" x14ac:dyDescent="0.25">
      <c r="C49" s="59" t="s">
        <v>15</v>
      </c>
      <c r="D49" s="53"/>
      <c r="E49" s="6"/>
      <c r="F49" s="19"/>
      <c r="G49" s="24"/>
      <c r="H49" s="24"/>
      <c r="I49" s="31"/>
      <c r="J49" s="35"/>
    </row>
    <row r="50" spans="1:10" x14ac:dyDescent="0.25">
      <c r="B50" s="8" t="s">
        <v>2599</v>
      </c>
      <c r="C50" s="56" t="s">
        <v>2600</v>
      </c>
      <c r="D50" s="53" t="s">
        <v>2601</v>
      </c>
      <c r="E50" s="6" t="s">
        <v>655</v>
      </c>
      <c r="F50" s="19">
        <v>100000</v>
      </c>
      <c r="G50" s="24">
        <v>96.62</v>
      </c>
      <c r="H50" s="24">
        <v>0.89</v>
      </c>
      <c r="I50" s="31">
        <v>3.65</v>
      </c>
      <c r="J50" s="35"/>
    </row>
    <row r="51" spans="1:10" x14ac:dyDescent="0.25">
      <c r="C51" s="57" t="s">
        <v>35</v>
      </c>
      <c r="D51" s="53"/>
      <c r="E51" s="6"/>
      <c r="F51" s="19"/>
      <c r="G51" s="25">
        <v>96.62</v>
      </c>
      <c r="H51" s="25">
        <v>0.89</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96.07</v>
      </c>
      <c r="H65" s="24">
        <v>0.89</v>
      </c>
      <c r="I65" s="31"/>
      <c r="J65" s="35"/>
    </row>
    <row r="66" spans="1:10" x14ac:dyDescent="0.25">
      <c r="C66" s="57" t="s">
        <v>35</v>
      </c>
      <c r="D66" s="53"/>
      <c r="E66" s="6"/>
      <c r="F66" s="19"/>
      <c r="G66" s="25">
        <v>96.07</v>
      </c>
      <c r="H66" s="25">
        <v>0.89</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206.84</v>
      </c>
      <c r="H70" s="24">
        <v>1.92</v>
      </c>
      <c r="I70" s="31"/>
      <c r="J70" s="35"/>
    </row>
    <row r="71" spans="1:10" x14ac:dyDescent="0.25">
      <c r="C71" s="57" t="s">
        <v>35</v>
      </c>
      <c r="D71" s="53"/>
      <c r="E71" s="6"/>
      <c r="F71" s="19"/>
      <c r="G71" s="25">
        <v>206.84</v>
      </c>
      <c r="H71" s="25">
        <v>1.92</v>
      </c>
      <c r="I71" s="31"/>
      <c r="J71" s="35"/>
    </row>
    <row r="72" spans="1:10" x14ac:dyDescent="0.25">
      <c r="C72" s="56"/>
      <c r="D72" s="53"/>
      <c r="E72" s="6"/>
      <c r="F72" s="19"/>
      <c r="G72" s="24"/>
      <c r="H72" s="24"/>
      <c r="I72" s="31"/>
      <c r="J72" s="35"/>
    </row>
    <row r="73" spans="1:10" x14ac:dyDescent="0.25">
      <c r="C73" s="61" t="s">
        <v>37</v>
      </c>
      <c r="D73" s="54"/>
      <c r="E73" s="5"/>
      <c r="F73" s="20"/>
      <c r="G73" s="26">
        <v>10848.51</v>
      </c>
      <c r="H73" s="26">
        <f>SUMIFS(H:H,C:C,"Total")</f>
        <v>100</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1"/>
  <dimension ref="A1:J8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2945</v>
      </c>
      <c r="J2" s="37" t="s">
        <v>3307</v>
      </c>
    </row>
    <row r="3" spans="1:10" ht="16.5" x14ac:dyDescent="0.3">
      <c r="C3" s="1" t="s">
        <v>24</v>
      </c>
      <c r="D3" s="21" t="s">
        <v>3040</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3010</v>
      </c>
      <c r="C18" s="56" t="s">
        <v>1127</v>
      </c>
      <c r="D18" s="53" t="s">
        <v>3011</v>
      </c>
      <c r="E18" s="6" t="s">
        <v>534</v>
      </c>
      <c r="F18" s="19">
        <v>130</v>
      </c>
      <c r="G18" s="24">
        <v>1372.18</v>
      </c>
      <c r="H18" s="24">
        <v>8.6199999999999992</v>
      </c>
      <c r="I18" s="31">
        <v>5.0199999999999996</v>
      </c>
      <c r="J18" s="35" t="s">
        <v>514</v>
      </c>
    </row>
    <row r="19" spans="2:10" x14ac:dyDescent="0.25">
      <c r="B19" s="8" t="s">
        <v>1945</v>
      </c>
      <c r="C19" s="56" t="s">
        <v>1381</v>
      </c>
      <c r="D19" s="53" t="s">
        <v>1946</v>
      </c>
      <c r="E19" s="6" t="s">
        <v>1383</v>
      </c>
      <c r="F19" s="19">
        <v>110</v>
      </c>
      <c r="G19" s="24">
        <v>1363.58</v>
      </c>
      <c r="H19" s="24">
        <v>8.57</v>
      </c>
      <c r="I19" s="31">
        <v>5.5</v>
      </c>
      <c r="J19" s="35" t="s">
        <v>514</v>
      </c>
    </row>
    <row r="20" spans="2:10" x14ac:dyDescent="0.25">
      <c r="B20" s="8" t="s">
        <v>2980</v>
      </c>
      <c r="C20" s="56" t="s">
        <v>1935</v>
      </c>
      <c r="D20" s="53" t="s">
        <v>2981</v>
      </c>
      <c r="E20" s="6" t="s">
        <v>911</v>
      </c>
      <c r="F20" s="19">
        <v>145</v>
      </c>
      <c r="G20" s="24">
        <v>1330.92</v>
      </c>
      <c r="H20" s="24">
        <v>8.36</v>
      </c>
      <c r="I20" s="31">
        <v>5.1999000000000004</v>
      </c>
      <c r="J20" s="35" t="s">
        <v>514</v>
      </c>
    </row>
    <row r="21" spans="2:10" x14ac:dyDescent="0.25">
      <c r="B21" s="8" t="s">
        <v>2831</v>
      </c>
      <c r="C21" s="56" t="s">
        <v>1130</v>
      </c>
      <c r="D21" s="53" t="s">
        <v>2832</v>
      </c>
      <c r="E21" s="6" t="s">
        <v>911</v>
      </c>
      <c r="F21" s="19">
        <v>120</v>
      </c>
      <c r="G21" s="24">
        <v>1256.28</v>
      </c>
      <c r="H21" s="24">
        <v>7.89</v>
      </c>
      <c r="I21" s="31">
        <v>4.8</v>
      </c>
      <c r="J21" s="35" t="s">
        <v>514</v>
      </c>
    </row>
    <row r="22" spans="2:10" x14ac:dyDescent="0.25">
      <c r="B22" s="8" t="s">
        <v>2947</v>
      </c>
      <c r="C22" s="56" t="s">
        <v>1143</v>
      </c>
      <c r="D22" s="53" t="s">
        <v>2948</v>
      </c>
      <c r="E22" s="6" t="s">
        <v>911</v>
      </c>
      <c r="F22" s="19">
        <v>110</v>
      </c>
      <c r="G22" s="24">
        <v>1147.6300000000001</v>
      </c>
      <c r="H22" s="24">
        <v>7.21</v>
      </c>
      <c r="I22" s="31">
        <v>5.54</v>
      </c>
      <c r="J22" s="35" t="s">
        <v>514</v>
      </c>
    </row>
    <row r="23" spans="2:10" x14ac:dyDescent="0.25">
      <c r="B23" s="8" t="s">
        <v>3036</v>
      </c>
      <c r="C23" s="56" t="s">
        <v>53</v>
      </c>
      <c r="D23" s="53" t="s">
        <v>3037</v>
      </c>
      <c r="E23" s="6" t="s">
        <v>534</v>
      </c>
      <c r="F23" s="19">
        <v>110</v>
      </c>
      <c r="G23" s="24">
        <v>1143.05</v>
      </c>
      <c r="H23" s="24">
        <v>7.18</v>
      </c>
      <c r="I23" s="31">
        <v>4.8049999999999997</v>
      </c>
      <c r="J23" s="35" t="s">
        <v>514</v>
      </c>
    </row>
    <row r="24" spans="2:10" x14ac:dyDescent="0.25">
      <c r="B24" s="8" t="s">
        <v>2766</v>
      </c>
      <c r="C24" s="56" t="s">
        <v>1752</v>
      </c>
      <c r="D24" s="53" t="s">
        <v>2767</v>
      </c>
      <c r="E24" s="6" t="s">
        <v>911</v>
      </c>
      <c r="F24" s="19">
        <v>100</v>
      </c>
      <c r="G24" s="24">
        <v>1051.3</v>
      </c>
      <c r="H24" s="24">
        <v>6.61</v>
      </c>
      <c r="I24" s="31">
        <v>4.46</v>
      </c>
      <c r="J24" s="35" t="s">
        <v>514</v>
      </c>
    </row>
    <row r="25" spans="2:10" x14ac:dyDescent="0.25">
      <c r="B25" s="8" t="s">
        <v>1958</v>
      </c>
      <c r="C25" s="56" t="s">
        <v>601</v>
      </c>
      <c r="D25" s="53" t="s">
        <v>1959</v>
      </c>
      <c r="E25" s="6" t="s">
        <v>534</v>
      </c>
      <c r="F25" s="19">
        <v>100</v>
      </c>
      <c r="G25" s="24">
        <v>1039.5899999999999</v>
      </c>
      <c r="H25" s="24">
        <v>6.53</v>
      </c>
      <c r="I25" s="31">
        <v>4.7649999999999997</v>
      </c>
      <c r="J25" s="35" t="s">
        <v>514</v>
      </c>
    </row>
    <row r="26" spans="2:10" x14ac:dyDescent="0.25">
      <c r="B26" s="8" t="s">
        <v>1744</v>
      </c>
      <c r="C26" s="56" t="s">
        <v>77</v>
      </c>
      <c r="D26" s="53" t="s">
        <v>1745</v>
      </c>
      <c r="E26" s="6" t="s">
        <v>534</v>
      </c>
      <c r="F26" s="19">
        <v>90</v>
      </c>
      <c r="G26" s="24">
        <v>946.06</v>
      </c>
      <c r="H26" s="24">
        <v>5.94</v>
      </c>
      <c r="I26" s="31">
        <v>4.6749999999999998</v>
      </c>
      <c r="J26" s="35" t="s">
        <v>514</v>
      </c>
    </row>
    <row r="27" spans="2:10" x14ac:dyDescent="0.25">
      <c r="B27" s="8" t="s">
        <v>2816</v>
      </c>
      <c r="C27" s="56" t="s">
        <v>909</v>
      </c>
      <c r="D27" s="53" t="s">
        <v>2817</v>
      </c>
      <c r="E27" s="6" t="s">
        <v>534</v>
      </c>
      <c r="F27" s="19">
        <v>70</v>
      </c>
      <c r="G27" s="24">
        <v>733.94</v>
      </c>
      <c r="H27" s="24">
        <v>4.6100000000000003</v>
      </c>
      <c r="I27" s="31">
        <v>4.55</v>
      </c>
      <c r="J27" s="35" t="s">
        <v>514</v>
      </c>
    </row>
    <row r="28" spans="2:10" x14ac:dyDescent="0.25">
      <c r="B28" s="8" t="s">
        <v>1862</v>
      </c>
      <c r="C28" s="56" t="s">
        <v>125</v>
      </c>
      <c r="D28" s="53" t="s">
        <v>1863</v>
      </c>
      <c r="E28" s="6" t="s">
        <v>534</v>
      </c>
      <c r="F28" s="19">
        <v>60</v>
      </c>
      <c r="G28" s="24">
        <v>628.41999999999996</v>
      </c>
      <c r="H28" s="24">
        <v>3.95</v>
      </c>
      <c r="I28" s="31">
        <v>5.0250000000000004</v>
      </c>
      <c r="J28" s="35" t="s">
        <v>514</v>
      </c>
    </row>
    <row r="29" spans="2:10" x14ac:dyDescent="0.25">
      <c r="B29" s="8" t="s">
        <v>2640</v>
      </c>
      <c r="C29" s="56" t="s">
        <v>2641</v>
      </c>
      <c r="D29" s="53" t="s">
        <v>2642</v>
      </c>
      <c r="E29" s="6" t="s">
        <v>2643</v>
      </c>
      <c r="F29" s="19">
        <v>50</v>
      </c>
      <c r="G29" s="24">
        <v>536.97</v>
      </c>
      <c r="H29" s="24">
        <v>3.37</v>
      </c>
      <c r="I29" s="31">
        <v>4.4598000000000004</v>
      </c>
      <c r="J29" s="35" t="s">
        <v>514</v>
      </c>
    </row>
    <row r="30" spans="2:10" x14ac:dyDescent="0.25">
      <c r="B30" s="8" t="s">
        <v>1872</v>
      </c>
      <c r="C30" s="56" t="s">
        <v>1376</v>
      </c>
      <c r="D30" s="53" t="s">
        <v>1873</v>
      </c>
      <c r="E30" s="6" t="s">
        <v>534</v>
      </c>
      <c r="F30" s="19">
        <v>50</v>
      </c>
      <c r="G30" s="24">
        <v>535.23</v>
      </c>
      <c r="H30" s="24">
        <v>3.36</v>
      </c>
      <c r="I30" s="31">
        <v>4.91</v>
      </c>
      <c r="J30" s="35" t="s">
        <v>514</v>
      </c>
    </row>
    <row r="31" spans="2:10" x14ac:dyDescent="0.25">
      <c r="B31" s="8" t="s">
        <v>3032</v>
      </c>
      <c r="C31" s="56" t="s">
        <v>1376</v>
      </c>
      <c r="D31" s="53" t="s">
        <v>3033</v>
      </c>
      <c r="E31" s="6" t="s">
        <v>534</v>
      </c>
      <c r="F31" s="19">
        <v>50</v>
      </c>
      <c r="G31" s="24">
        <v>526.04999999999995</v>
      </c>
      <c r="H31" s="24">
        <v>3.31</v>
      </c>
      <c r="I31" s="31">
        <v>4.8399000000000001</v>
      </c>
      <c r="J31" s="35" t="s">
        <v>514</v>
      </c>
    </row>
    <row r="32" spans="2:10" x14ac:dyDescent="0.25">
      <c r="B32" s="8" t="s">
        <v>3041</v>
      </c>
      <c r="C32" s="56" t="s">
        <v>909</v>
      </c>
      <c r="D32" s="53" t="s">
        <v>3042</v>
      </c>
      <c r="E32" s="6" t="s">
        <v>534</v>
      </c>
      <c r="F32" s="19">
        <v>50</v>
      </c>
      <c r="G32" s="24">
        <v>525.02</v>
      </c>
      <c r="H32" s="24">
        <v>3.3</v>
      </c>
      <c r="I32" s="31">
        <v>4.55</v>
      </c>
      <c r="J32" s="35" t="s">
        <v>514</v>
      </c>
    </row>
    <row r="33" spans="1:10" x14ac:dyDescent="0.25">
      <c r="B33" s="8" t="s">
        <v>2778</v>
      </c>
      <c r="C33" s="56" t="s">
        <v>125</v>
      </c>
      <c r="D33" s="53" t="s">
        <v>2779</v>
      </c>
      <c r="E33" s="6" t="s">
        <v>534</v>
      </c>
      <c r="F33" s="19">
        <v>20</v>
      </c>
      <c r="G33" s="24">
        <v>209.85</v>
      </c>
      <c r="H33" s="24">
        <v>1.32</v>
      </c>
      <c r="I33" s="31">
        <v>4.9649000000000001</v>
      </c>
      <c r="J33" s="35" t="s">
        <v>514</v>
      </c>
    </row>
    <row r="34" spans="1:10" x14ac:dyDescent="0.25">
      <c r="B34" s="8" t="s">
        <v>1880</v>
      </c>
      <c r="C34" s="56" t="s">
        <v>601</v>
      </c>
      <c r="D34" s="53" t="s">
        <v>1881</v>
      </c>
      <c r="E34" s="6" t="s">
        <v>534</v>
      </c>
      <c r="F34" s="19">
        <v>10</v>
      </c>
      <c r="G34" s="24">
        <v>106.09</v>
      </c>
      <c r="H34" s="24">
        <v>0.67</v>
      </c>
      <c r="I34" s="31">
        <v>4.9400000000000004</v>
      </c>
      <c r="J34" s="35" t="s">
        <v>514</v>
      </c>
    </row>
    <row r="35" spans="1:10" x14ac:dyDescent="0.25">
      <c r="B35" s="8" t="s">
        <v>1858</v>
      </c>
      <c r="C35" s="56" t="s">
        <v>909</v>
      </c>
      <c r="D35" s="53" t="s">
        <v>1859</v>
      </c>
      <c r="E35" s="6" t="s">
        <v>534</v>
      </c>
      <c r="F35" s="19">
        <v>10</v>
      </c>
      <c r="G35" s="24">
        <v>105.07</v>
      </c>
      <c r="H35" s="24">
        <v>0.66</v>
      </c>
      <c r="I35" s="31">
        <v>4.55</v>
      </c>
      <c r="J35" s="35" t="s">
        <v>514</v>
      </c>
    </row>
    <row r="36" spans="1:10" x14ac:dyDescent="0.25">
      <c r="B36" s="8" t="s">
        <v>1907</v>
      </c>
      <c r="C36" s="56" t="s">
        <v>1130</v>
      </c>
      <c r="D36" s="53" t="s">
        <v>1908</v>
      </c>
      <c r="E36" s="6" t="s">
        <v>911</v>
      </c>
      <c r="F36" s="19">
        <v>10</v>
      </c>
      <c r="G36" s="24">
        <v>104.64</v>
      </c>
      <c r="H36" s="24">
        <v>0.66</v>
      </c>
      <c r="I36" s="31">
        <v>4.8</v>
      </c>
      <c r="J36" s="35" t="s">
        <v>514</v>
      </c>
    </row>
    <row r="37" spans="1:10" x14ac:dyDescent="0.25">
      <c r="C37" s="57" t="s">
        <v>35</v>
      </c>
      <c r="D37" s="53"/>
      <c r="E37" s="6"/>
      <c r="F37" s="19"/>
      <c r="G37" s="25">
        <v>14661.87</v>
      </c>
      <c r="H37" s="25">
        <v>92.12</v>
      </c>
      <c r="I37" s="31"/>
      <c r="J37" s="35"/>
    </row>
    <row r="38" spans="1:10" x14ac:dyDescent="0.25">
      <c r="C38" s="56"/>
      <c r="D38" s="53"/>
      <c r="E38" s="6"/>
      <c r="F38" s="19"/>
      <c r="G38" s="24"/>
      <c r="H38" s="24"/>
      <c r="I38" s="31"/>
      <c r="J38" s="35"/>
    </row>
    <row r="39" spans="1:10" x14ac:dyDescent="0.25">
      <c r="C39" s="57" t="s">
        <v>7</v>
      </c>
      <c r="D39" s="53"/>
      <c r="E39" s="6"/>
      <c r="F39" s="19"/>
      <c r="G39" s="24" t="s">
        <v>2</v>
      </c>
      <c r="H39" s="24" t="s">
        <v>2</v>
      </c>
      <c r="I39" s="31"/>
      <c r="J39" s="35"/>
    </row>
    <row r="40" spans="1:10" x14ac:dyDescent="0.25">
      <c r="C40" s="56"/>
      <c r="D40" s="53"/>
      <c r="E40" s="6"/>
      <c r="F40" s="19"/>
      <c r="G40" s="24"/>
      <c r="H40" s="24"/>
      <c r="I40" s="31"/>
      <c r="J40" s="35"/>
    </row>
    <row r="41" spans="1:10" x14ac:dyDescent="0.25">
      <c r="C41" s="57" t="s">
        <v>8</v>
      </c>
      <c r="D41" s="53"/>
      <c r="E41" s="6"/>
      <c r="F41" s="19"/>
      <c r="G41" s="24" t="s">
        <v>2</v>
      </c>
      <c r="H41" s="24" t="s">
        <v>2</v>
      </c>
      <c r="I41" s="31"/>
      <c r="J41" s="35"/>
    </row>
    <row r="42" spans="1:10" x14ac:dyDescent="0.25">
      <c r="C42" s="56"/>
      <c r="D42" s="53"/>
      <c r="E42" s="6"/>
      <c r="F42" s="19"/>
      <c r="G42" s="24"/>
      <c r="H42" s="24"/>
      <c r="I42" s="31"/>
      <c r="J42" s="35"/>
    </row>
    <row r="43" spans="1:10" x14ac:dyDescent="0.25">
      <c r="C43" s="57" t="s">
        <v>9</v>
      </c>
      <c r="D43" s="53"/>
      <c r="E43" s="6"/>
      <c r="F43" s="19"/>
      <c r="G43" s="24" t="s">
        <v>2</v>
      </c>
      <c r="H43" s="24" t="s">
        <v>2</v>
      </c>
      <c r="I43" s="31"/>
      <c r="J43" s="35"/>
    </row>
    <row r="44" spans="1:10" x14ac:dyDescent="0.25">
      <c r="C44" s="56"/>
      <c r="D44" s="53"/>
      <c r="E44" s="6"/>
      <c r="F44" s="19"/>
      <c r="G44" s="24"/>
      <c r="H44" s="24"/>
      <c r="I44" s="31"/>
      <c r="J44" s="35"/>
    </row>
    <row r="45" spans="1:10" x14ac:dyDescent="0.25">
      <c r="C45" s="57" t="s">
        <v>10</v>
      </c>
      <c r="D45" s="53"/>
      <c r="E45" s="6"/>
      <c r="F45" s="19"/>
      <c r="G45" s="24" t="s">
        <v>2</v>
      </c>
      <c r="H45" s="24" t="s">
        <v>2</v>
      </c>
      <c r="I45" s="31"/>
      <c r="J45" s="35"/>
    </row>
    <row r="46" spans="1:10" x14ac:dyDescent="0.25">
      <c r="C46" s="56"/>
      <c r="D46" s="53"/>
      <c r="E46" s="6"/>
      <c r="F46" s="19"/>
      <c r="G46" s="24"/>
      <c r="H46" s="24"/>
      <c r="I46" s="31"/>
      <c r="J46" s="35"/>
    </row>
    <row r="47" spans="1:10" x14ac:dyDescent="0.25">
      <c r="A47" s="10"/>
      <c r="B47" s="28"/>
      <c r="C47" s="58" t="s">
        <v>11</v>
      </c>
      <c r="D47" s="53"/>
      <c r="E47" s="6"/>
      <c r="F47" s="19"/>
      <c r="G47" s="24"/>
      <c r="H47" s="24"/>
      <c r="I47" s="31"/>
      <c r="J47" s="35"/>
    </row>
    <row r="48" spans="1:10" x14ac:dyDescent="0.25">
      <c r="A48" s="28"/>
      <c r="B48" s="28"/>
      <c r="C48" s="58" t="s">
        <v>13</v>
      </c>
      <c r="D48" s="53"/>
      <c r="E48" s="6"/>
      <c r="F48" s="19"/>
      <c r="G48" s="24" t="s">
        <v>2</v>
      </c>
      <c r="H48" s="24" t="s">
        <v>2</v>
      </c>
      <c r="I48" s="31"/>
      <c r="J48" s="35"/>
    </row>
    <row r="49" spans="1:10" x14ac:dyDescent="0.25">
      <c r="A49" s="28"/>
      <c r="B49" s="28"/>
      <c r="C49" s="58"/>
      <c r="D49" s="53"/>
      <c r="E49" s="6"/>
      <c r="F49" s="19"/>
      <c r="G49" s="24"/>
      <c r="H49" s="24"/>
      <c r="I49" s="31"/>
      <c r="J49" s="35"/>
    </row>
    <row r="50" spans="1:10" x14ac:dyDescent="0.25">
      <c r="C50" s="59" t="s">
        <v>14</v>
      </c>
      <c r="D50" s="53"/>
      <c r="E50" s="6"/>
      <c r="F50" s="19"/>
      <c r="G50" s="24"/>
      <c r="H50" s="24"/>
      <c r="I50" s="31"/>
      <c r="J50" s="35"/>
    </row>
    <row r="51" spans="1:10" x14ac:dyDescent="0.25">
      <c r="B51" s="8" t="s">
        <v>1248</v>
      </c>
      <c r="C51" s="56" t="s">
        <v>818</v>
      </c>
      <c r="D51" s="53" t="s">
        <v>1249</v>
      </c>
      <c r="E51" s="6" t="s">
        <v>1000</v>
      </c>
      <c r="F51" s="19">
        <v>500</v>
      </c>
      <c r="G51" s="24">
        <v>487.57</v>
      </c>
      <c r="H51" s="24">
        <v>3.06</v>
      </c>
      <c r="I51" s="31">
        <v>3.8298999999999999</v>
      </c>
      <c r="J51" s="35" t="s">
        <v>514</v>
      </c>
    </row>
    <row r="52" spans="1:10" x14ac:dyDescent="0.25">
      <c r="B52" s="8" t="s">
        <v>1232</v>
      </c>
      <c r="C52" s="56" t="s">
        <v>818</v>
      </c>
      <c r="D52" s="53" t="s">
        <v>1233</v>
      </c>
      <c r="E52" s="6" t="s">
        <v>1000</v>
      </c>
      <c r="F52" s="19">
        <v>200</v>
      </c>
      <c r="G52" s="24">
        <v>194.61</v>
      </c>
      <c r="H52" s="24">
        <v>1.22</v>
      </c>
      <c r="I52" s="31">
        <v>3.83</v>
      </c>
      <c r="J52" s="35" t="s">
        <v>514</v>
      </c>
    </row>
    <row r="53" spans="1:10" x14ac:dyDescent="0.25">
      <c r="C53" s="57" t="s">
        <v>35</v>
      </c>
      <c r="D53" s="53"/>
      <c r="E53" s="6"/>
      <c r="F53" s="19"/>
      <c r="G53" s="25">
        <v>682.18</v>
      </c>
      <c r="H53" s="25">
        <v>4.28</v>
      </c>
      <c r="I53" s="31"/>
      <c r="J53" s="35"/>
    </row>
    <row r="54" spans="1:10" x14ac:dyDescent="0.25">
      <c r="C54" s="56"/>
      <c r="D54" s="53"/>
      <c r="E54" s="6"/>
      <c r="F54" s="19"/>
      <c r="G54" s="24"/>
      <c r="H54" s="24"/>
      <c r="I54" s="31"/>
      <c r="J54" s="35"/>
    </row>
    <row r="55" spans="1:10" x14ac:dyDescent="0.25">
      <c r="C55" s="59" t="s">
        <v>15</v>
      </c>
      <c r="D55" s="53"/>
      <c r="E55" s="6"/>
      <c r="F55" s="19"/>
      <c r="G55" s="24"/>
      <c r="H55" s="24"/>
      <c r="I55" s="31"/>
      <c r="J55" s="35"/>
    </row>
    <row r="56" spans="1:10" x14ac:dyDescent="0.25">
      <c r="B56" s="8" t="s">
        <v>2599</v>
      </c>
      <c r="C56" s="56" t="s">
        <v>2600</v>
      </c>
      <c r="D56" s="53" t="s">
        <v>2601</v>
      </c>
      <c r="E56" s="6" t="s">
        <v>655</v>
      </c>
      <c r="F56" s="19">
        <v>200000</v>
      </c>
      <c r="G56" s="24">
        <v>193.24</v>
      </c>
      <c r="H56" s="24">
        <v>1.21</v>
      </c>
      <c r="I56" s="31">
        <v>3.65</v>
      </c>
      <c r="J56" s="35"/>
    </row>
    <row r="57" spans="1:10" x14ac:dyDescent="0.25">
      <c r="C57" s="57" t="s">
        <v>35</v>
      </c>
      <c r="D57" s="53"/>
      <c r="E57" s="6"/>
      <c r="F57" s="19"/>
      <c r="G57" s="25">
        <v>193.24</v>
      </c>
      <c r="H57" s="25">
        <v>1.21</v>
      </c>
      <c r="I57" s="31"/>
      <c r="J57" s="35"/>
    </row>
    <row r="58" spans="1:10" x14ac:dyDescent="0.25">
      <c r="C58" s="56"/>
      <c r="D58" s="53"/>
      <c r="E58" s="6"/>
      <c r="F58" s="19"/>
      <c r="G58" s="24"/>
      <c r="H58" s="24"/>
      <c r="I58" s="31"/>
      <c r="J58" s="35"/>
    </row>
    <row r="59" spans="1:10" x14ac:dyDescent="0.25">
      <c r="C59" s="57" t="s">
        <v>16</v>
      </c>
      <c r="D59" s="53"/>
      <c r="E59" s="6"/>
      <c r="F59" s="19"/>
      <c r="G59" s="24" t="s">
        <v>2</v>
      </c>
      <c r="H59" s="24" t="s">
        <v>2</v>
      </c>
      <c r="I59" s="31"/>
      <c r="J59" s="35"/>
    </row>
    <row r="60" spans="1:10" x14ac:dyDescent="0.25">
      <c r="C60" s="56"/>
      <c r="D60" s="53"/>
      <c r="E60" s="6"/>
      <c r="F60" s="19"/>
      <c r="G60" s="24"/>
      <c r="H60" s="24"/>
      <c r="I60" s="31"/>
      <c r="J60" s="35"/>
    </row>
    <row r="61" spans="1:10" x14ac:dyDescent="0.25">
      <c r="A61" s="10"/>
      <c r="B61" s="28"/>
      <c r="C61" s="58" t="s">
        <v>17</v>
      </c>
      <c r="D61" s="53"/>
      <c r="E61" s="6"/>
      <c r="F61" s="19"/>
      <c r="G61" s="24"/>
      <c r="H61" s="24"/>
      <c r="I61" s="31"/>
      <c r="J61" s="35"/>
    </row>
    <row r="62" spans="1:10" x14ac:dyDescent="0.25">
      <c r="A62" s="28"/>
      <c r="B62" s="28"/>
      <c r="C62" s="58" t="s">
        <v>18</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A64" s="28"/>
      <c r="B64" s="28"/>
      <c r="C64" s="58" t="s">
        <v>19</v>
      </c>
      <c r="D64" s="53"/>
      <c r="E64" s="6"/>
      <c r="F64" s="19"/>
      <c r="G64" s="24" t="s">
        <v>2</v>
      </c>
      <c r="H64" s="24" t="s">
        <v>2</v>
      </c>
      <c r="I64" s="31"/>
      <c r="J64" s="35"/>
    </row>
    <row r="65" spans="1:10" x14ac:dyDescent="0.25">
      <c r="A65" s="28"/>
      <c r="B65" s="28"/>
      <c r="C65" s="58"/>
      <c r="D65" s="53"/>
      <c r="E65" s="6"/>
      <c r="F65" s="19"/>
      <c r="G65" s="24"/>
      <c r="H65" s="24"/>
      <c r="I65" s="31"/>
      <c r="J65" s="35"/>
    </row>
    <row r="66" spans="1:10" x14ac:dyDescent="0.25">
      <c r="A66" s="28"/>
      <c r="B66" s="28"/>
      <c r="C66" s="58" t="s">
        <v>20</v>
      </c>
      <c r="D66" s="53"/>
      <c r="E66" s="6"/>
      <c r="F66" s="19"/>
      <c r="G66" s="24" t="s">
        <v>2</v>
      </c>
      <c r="H66" s="24" t="s">
        <v>2</v>
      </c>
      <c r="I66" s="31"/>
      <c r="J66" s="35"/>
    </row>
    <row r="67" spans="1:10" x14ac:dyDescent="0.25">
      <c r="A67" s="28"/>
      <c r="B67" s="28"/>
      <c r="C67" s="58"/>
      <c r="D67" s="53"/>
      <c r="E67" s="6"/>
      <c r="F67" s="19"/>
      <c r="G67" s="24"/>
      <c r="H67" s="24"/>
      <c r="I67" s="31"/>
      <c r="J67" s="35"/>
    </row>
    <row r="68" spans="1:10" x14ac:dyDescent="0.25">
      <c r="A68" s="28"/>
      <c r="B68" s="28"/>
      <c r="C68" s="58" t="s">
        <v>21</v>
      </c>
      <c r="D68" s="53"/>
      <c r="E68" s="6"/>
      <c r="F68" s="19"/>
      <c r="G68" s="24" t="s">
        <v>2</v>
      </c>
      <c r="H68" s="24" t="s">
        <v>2</v>
      </c>
      <c r="I68" s="31"/>
      <c r="J68" s="35"/>
    </row>
    <row r="69" spans="1:10" x14ac:dyDescent="0.25">
      <c r="A69" s="28"/>
      <c r="B69" s="28"/>
      <c r="C69" s="58"/>
      <c r="D69" s="53"/>
      <c r="E69" s="6"/>
      <c r="F69" s="19"/>
      <c r="G69" s="24"/>
      <c r="H69" s="24"/>
      <c r="I69" s="31"/>
      <c r="J69" s="35"/>
    </row>
    <row r="70" spans="1:10" x14ac:dyDescent="0.25">
      <c r="C70" s="59" t="s">
        <v>22</v>
      </c>
      <c r="D70" s="53"/>
      <c r="E70" s="6"/>
      <c r="F70" s="19"/>
      <c r="G70" s="24"/>
      <c r="H70" s="24"/>
      <c r="I70" s="31"/>
      <c r="J70" s="35"/>
    </row>
    <row r="71" spans="1:10" x14ac:dyDescent="0.25">
      <c r="B71" s="8" t="s">
        <v>33</v>
      </c>
      <c r="C71" s="56" t="s">
        <v>34</v>
      </c>
      <c r="D71" s="53"/>
      <c r="E71" s="6"/>
      <c r="F71" s="19"/>
      <c r="G71" s="24">
        <v>81.31</v>
      </c>
      <c r="H71" s="24">
        <v>0.51</v>
      </c>
      <c r="I71" s="31"/>
      <c r="J71" s="35"/>
    </row>
    <row r="72" spans="1:10" x14ac:dyDescent="0.25">
      <c r="C72" s="57" t="s">
        <v>35</v>
      </c>
      <c r="D72" s="53"/>
      <c r="E72" s="6"/>
      <c r="F72" s="19"/>
      <c r="G72" s="25">
        <v>81.31</v>
      </c>
      <c r="H72" s="25">
        <v>0.51</v>
      </c>
      <c r="I72" s="31"/>
      <c r="J72" s="35"/>
    </row>
    <row r="73" spans="1:10" x14ac:dyDescent="0.25">
      <c r="C73" s="56"/>
      <c r="D73" s="53"/>
      <c r="E73" s="6"/>
      <c r="F73" s="19"/>
      <c r="G73" s="24"/>
      <c r="H73" s="24"/>
      <c r="I73" s="31"/>
      <c r="J73" s="35"/>
    </row>
    <row r="74" spans="1:10" x14ac:dyDescent="0.25">
      <c r="A74" s="10"/>
      <c r="B74" s="28"/>
      <c r="C74" s="58" t="s">
        <v>23</v>
      </c>
      <c r="D74" s="53"/>
      <c r="E74" s="6"/>
      <c r="F74" s="19"/>
      <c r="G74" s="24"/>
      <c r="H74" s="24"/>
      <c r="I74" s="31"/>
      <c r="J74" s="35"/>
    </row>
    <row r="75" spans="1:10" x14ac:dyDescent="0.25">
      <c r="A75" s="28"/>
      <c r="B75" s="28"/>
      <c r="C75" s="60" t="s">
        <v>3398</v>
      </c>
      <c r="D75" s="53"/>
      <c r="E75" s="6"/>
      <c r="F75" s="19"/>
      <c r="G75" s="24" t="s">
        <v>2</v>
      </c>
      <c r="H75" s="24" t="s">
        <v>2</v>
      </c>
      <c r="I75" s="31"/>
      <c r="J75" s="35"/>
    </row>
    <row r="76" spans="1:10" x14ac:dyDescent="0.25">
      <c r="B76" s="8"/>
      <c r="C76" s="56" t="s">
        <v>36</v>
      </c>
      <c r="D76" s="53"/>
      <c r="E76" s="6"/>
      <c r="F76" s="19"/>
      <c r="G76" s="24">
        <v>296.43</v>
      </c>
      <c r="H76" s="24">
        <v>1.8800000000000001</v>
      </c>
      <c r="I76" s="31"/>
      <c r="J76" s="35"/>
    </row>
    <row r="77" spans="1:10" x14ac:dyDescent="0.25">
      <c r="C77" s="57" t="s">
        <v>35</v>
      </c>
      <c r="D77" s="53"/>
      <c r="E77" s="6"/>
      <c r="F77" s="19"/>
      <c r="G77" s="25">
        <v>296.43</v>
      </c>
      <c r="H77" s="25">
        <v>1.8800000000000001</v>
      </c>
      <c r="I77" s="31"/>
      <c r="J77" s="35"/>
    </row>
    <row r="78" spans="1:10" x14ac:dyDescent="0.25">
      <c r="C78" s="56"/>
      <c r="D78" s="53"/>
      <c r="E78" s="6"/>
      <c r="F78" s="19"/>
      <c r="G78" s="24"/>
      <c r="H78" s="24"/>
      <c r="I78" s="31"/>
      <c r="J78" s="35"/>
    </row>
    <row r="79" spans="1:10" x14ac:dyDescent="0.25">
      <c r="C79" s="61" t="s">
        <v>37</v>
      </c>
      <c r="D79" s="54"/>
      <c r="E79" s="5"/>
      <c r="F79" s="20"/>
      <c r="G79" s="26">
        <v>15915.03</v>
      </c>
      <c r="H79" s="26">
        <f>SUMIFS(H:H,C:C,"Total")</f>
        <v>100</v>
      </c>
      <c r="I79" s="32"/>
      <c r="J79" s="36"/>
    </row>
    <row r="82" spans="3:3" x14ac:dyDescent="0.25">
      <c r="C82" s="1" t="s">
        <v>38</v>
      </c>
    </row>
    <row r="83" spans="3:3" x14ac:dyDescent="0.25">
      <c r="C83" s="2" t="s">
        <v>39</v>
      </c>
    </row>
    <row r="84" spans="3:3" x14ac:dyDescent="0.25">
      <c r="C84" s="2" t="s">
        <v>40</v>
      </c>
    </row>
    <row r="85" spans="3:3" x14ac:dyDescent="0.25">
      <c r="C85" s="2" t="s">
        <v>3430</v>
      </c>
    </row>
  </sheetData>
  <hyperlinks>
    <hyperlink ref="J2" location="'Index'!A1" display="'Index'!A1"/>
  </hyperlinks>
  <pageMargins left="0.7" right="0.7" top="0.75" bottom="0.75" header="0.3" footer="0.3"/>
  <pageSetup orientation="portrait" horizontalDpi="4294967293"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2"/>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3043</v>
      </c>
      <c r="J2" s="37" t="s">
        <v>3307</v>
      </c>
    </row>
    <row r="3" spans="1:10" ht="16.5" x14ac:dyDescent="0.3">
      <c r="C3" s="1" t="s">
        <v>24</v>
      </c>
      <c r="D3" s="21" t="s">
        <v>3044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1945</v>
      </c>
      <c r="C18" s="56" t="s">
        <v>1381</v>
      </c>
      <c r="D18" s="53" t="s">
        <v>1946</v>
      </c>
      <c r="E18" s="6" t="s">
        <v>1383</v>
      </c>
      <c r="F18" s="19">
        <v>70</v>
      </c>
      <c r="G18" s="24">
        <v>867.73</v>
      </c>
      <c r="H18" s="24">
        <v>8.4600000000000009</v>
      </c>
      <c r="I18" s="31">
        <v>5.5</v>
      </c>
      <c r="J18" s="35" t="s">
        <v>514</v>
      </c>
    </row>
    <row r="19" spans="2:10" x14ac:dyDescent="0.25">
      <c r="B19" s="8" t="s">
        <v>2640</v>
      </c>
      <c r="C19" s="56" t="s">
        <v>2641</v>
      </c>
      <c r="D19" s="53" t="s">
        <v>2642</v>
      </c>
      <c r="E19" s="6" t="s">
        <v>2643</v>
      </c>
      <c r="F19" s="19">
        <v>80</v>
      </c>
      <c r="G19" s="24">
        <v>859.15</v>
      </c>
      <c r="H19" s="24">
        <v>8.3699999999999992</v>
      </c>
      <c r="I19" s="31">
        <v>4.4598000000000004</v>
      </c>
      <c r="J19" s="35" t="s">
        <v>514</v>
      </c>
    </row>
    <row r="20" spans="2:10" x14ac:dyDescent="0.25">
      <c r="B20" s="8" t="s">
        <v>1880</v>
      </c>
      <c r="C20" s="56" t="s">
        <v>601</v>
      </c>
      <c r="D20" s="53" t="s">
        <v>1881</v>
      </c>
      <c r="E20" s="6" t="s">
        <v>534</v>
      </c>
      <c r="F20" s="19">
        <v>80</v>
      </c>
      <c r="G20" s="24">
        <v>848.73</v>
      </c>
      <c r="H20" s="24">
        <v>8.27</v>
      </c>
      <c r="I20" s="31">
        <v>4.9400000000000004</v>
      </c>
      <c r="J20" s="35" t="s">
        <v>514</v>
      </c>
    </row>
    <row r="21" spans="2:10" x14ac:dyDescent="0.25">
      <c r="B21" s="8" t="s">
        <v>1858</v>
      </c>
      <c r="C21" s="56" t="s">
        <v>909</v>
      </c>
      <c r="D21" s="53" t="s">
        <v>1859</v>
      </c>
      <c r="E21" s="6" t="s">
        <v>534</v>
      </c>
      <c r="F21" s="19">
        <v>80</v>
      </c>
      <c r="G21" s="24">
        <v>840.54</v>
      </c>
      <c r="H21" s="24">
        <v>8.19</v>
      </c>
      <c r="I21" s="31">
        <v>4.55</v>
      </c>
      <c r="J21" s="35" t="s">
        <v>514</v>
      </c>
    </row>
    <row r="22" spans="2:10" x14ac:dyDescent="0.25">
      <c r="B22" s="8" t="s">
        <v>1862</v>
      </c>
      <c r="C22" s="56" t="s">
        <v>125</v>
      </c>
      <c r="D22" s="53" t="s">
        <v>1863</v>
      </c>
      <c r="E22" s="6" t="s">
        <v>534</v>
      </c>
      <c r="F22" s="19">
        <v>80</v>
      </c>
      <c r="G22" s="24">
        <v>837.9</v>
      </c>
      <c r="H22" s="24">
        <v>8.17</v>
      </c>
      <c r="I22" s="31">
        <v>5.0250000000000004</v>
      </c>
      <c r="J22" s="35" t="s">
        <v>514</v>
      </c>
    </row>
    <row r="23" spans="2:10" x14ac:dyDescent="0.25">
      <c r="B23" s="8" t="s">
        <v>1907</v>
      </c>
      <c r="C23" s="56" t="s">
        <v>1130</v>
      </c>
      <c r="D23" s="53" t="s">
        <v>1908</v>
      </c>
      <c r="E23" s="6" t="s">
        <v>911</v>
      </c>
      <c r="F23" s="19">
        <v>80</v>
      </c>
      <c r="G23" s="24">
        <v>837.09</v>
      </c>
      <c r="H23" s="24">
        <v>8.16</v>
      </c>
      <c r="I23" s="31">
        <v>4.8</v>
      </c>
      <c r="J23" s="35" t="s">
        <v>514</v>
      </c>
    </row>
    <row r="24" spans="2:10" x14ac:dyDescent="0.25">
      <c r="B24" s="8" t="s">
        <v>2947</v>
      </c>
      <c r="C24" s="56" t="s">
        <v>1143</v>
      </c>
      <c r="D24" s="53" t="s">
        <v>2948</v>
      </c>
      <c r="E24" s="6" t="s">
        <v>911</v>
      </c>
      <c r="F24" s="19">
        <v>80</v>
      </c>
      <c r="G24" s="24">
        <v>834.64</v>
      </c>
      <c r="H24" s="24">
        <v>8.1300000000000008</v>
      </c>
      <c r="I24" s="31">
        <v>5.54</v>
      </c>
      <c r="J24" s="35" t="s">
        <v>514</v>
      </c>
    </row>
    <row r="25" spans="2:10" x14ac:dyDescent="0.25">
      <c r="B25" s="8" t="s">
        <v>2980</v>
      </c>
      <c r="C25" s="56" t="s">
        <v>1935</v>
      </c>
      <c r="D25" s="53" t="s">
        <v>2981</v>
      </c>
      <c r="E25" s="6" t="s">
        <v>911</v>
      </c>
      <c r="F25" s="19">
        <v>80</v>
      </c>
      <c r="G25" s="24">
        <v>734.3</v>
      </c>
      <c r="H25" s="24">
        <v>7.16</v>
      </c>
      <c r="I25" s="31">
        <v>5.1999000000000004</v>
      </c>
      <c r="J25" s="35" t="s">
        <v>514</v>
      </c>
    </row>
    <row r="26" spans="2:10" x14ac:dyDescent="0.25">
      <c r="B26" s="8" t="s">
        <v>1872</v>
      </c>
      <c r="C26" s="56" t="s">
        <v>1376</v>
      </c>
      <c r="D26" s="53" t="s">
        <v>1873</v>
      </c>
      <c r="E26" s="6" t="s">
        <v>534</v>
      </c>
      <c r="F26" s="19">
        <v>50</v>
      </c>
      <c r="G26" s="24">
        <v>535.23</v>
      </c>
      <c r="H26" s="24">
        <v>5.22</v>
      </c>
      <c r="I26" s="31">
        <v>4.91</v>
      </c>
      <c r="J26" s="35" t="s">
        <v>514</v>
      </c>
    </row>
    <row r="27" spans="2:10" x14ac:dyDescent="0.25">
      <c r="B27" s="8" t="s">
        <v>2766</v>
      </c>
      <c r="C27" s="56" t="s">
        <v>1752</v>
      </c>
      <c r="D27" s="53" t="s">
        <v>2767</v>
      </c>
      <c r="E27" s="6" t="s">
        <v>911</v>
      </c>
      <c r="F27" s="19">
        <v>50</v>
      </c>
      <c r="G27" s="24">
        <v>525.65</v>
      </c>
      <c r="H27" s="24">
        <v>5.12</v>
      </c>
      <c r="I27" s="31">
        <v>4.46</v>
      </c>
      <c r="J27" s="35" t="s">
        <v>514</v>
      </c>
    </row>
    <row r="28" spans="2:10" x14ac:dyDescent="0.25">
      <c r="B28" s="8" t="s">
        <v>1744</v>
      </c>
      <c r="C28" s="56" t="s">
        <v>77</v>
      </c>
      <c r="D28" s="53" t="s">
        <v>1745</v>
      </c>
      <c r="E28" s="6" t="s">
        <v>534</v>
      </c>
      <c r="F28" s="19">
        <v>50</v>
      </c>
      <c r="G28" s="24">
        <v>525.59</v>
      </c>
      <c r="H28" s="24">
        <v>5.12</v>
      </c>
      <c r="I28" s="31">
        <v>4.6749999999999998</v>
      </c>
      <c r="J28" s="35" t="s">
        <v>514</v>
      </c>
    </row>
    <row r="29" spans="2:10" x14ac:dyDescent="0.25">
      <c r="B29" s="8" t="s">
        <v>2855</v>
      </c>
      <c r="C29" s="56" t="s">
        <v>1127</v>
      </c>
      <c r="D29" s="53" t="s">
        <v>2856</v>
      </c>
      <c r="E29" s="6" t="s">
        <v>534</v>
      </c>
      <c r="F29" s="19">
        <v>50</v>
      </c>
      <c r="G29" s="24">
        <v>525.24</v>
      </c>
      <c r="H29" s="24">
        <v>5.12</v>
      </c>
      <c r="I29" s="31">
        <v>5.0999999999999996</v>
      </c>
      <c r="J29" s="35"/>
    </row>
    <row r="30" spans="2:10" x14ac:dyDescent="0.25">
      <c r="B30" s="8" t="s">
        <v>3036</v>
      </c>
      <c r="C30" s="56" t="s">
        <v>53</v>
      </c>
      <c r="D30" s="53" t="s">
        <v>3037</v>
      </c>
      <c r="E30" s="6" t="s">
        <v>534</v>
      </c>
      <c r="F30" s="19">
        <v>50</v>
      </c>
      <c r="G30" s="24">
        <v>519.57000000000005</v>
      </c>
      <c r="H30" s="24">
        <v>5.0599999999999996</v>
      </c>
      <c r="I30" s="31">
        <v>4.8049999999999997</v>
      </c>
      <c r="J30" s="35" t="s">
        <v>514</v>
      </c>
    </row>
    <row r="31" spans="2:10" x14ac:dyDescent="0.25">
      <c r="B31" s="8" t="s">
        <v>3010</v>
      </c>
      <c r="C31" s="56" t="s">
        <v>1127</v>
      </c>
      <c r="D31" s="53" t="s">
        <v>3011</v>
      </c>
      <c r="E31" s="6" t="s">
        <v>534</v>
      </c>
      <c r="F31" s="19">
        <v>10</v>
      </c>
      <c r="G31" s="24">
        <v>105.55</v>
      </c>
      <c r="H31" s="24">
        <v>1.03</v>
      </c>
      <c r="I31" s="31">
        <v>5.0199999999999996</v>
      </c>
      <c r="J31" s="35" t="s">
        <v>514</v>
      </c>
    </row>
    <row r="32" spans="2:10" x14ac:dyDescent="0.25">
      <c r="C32" s="57" t="s">
        <v>35</v>
      </c>
      <c r="D32" s="53"/>
      <c r="E32" s="6"/>
      <c r="F32" s="19"/>
      <c r="G32" s="25">
        <v>9396.91</v>
      </c>
      <c r="H32" s="25">
        <v>91.58</v>
      </c>
      <c r="I32" s="31"/>
      <c r="J32" s="35"/>
    </row>
    <row r="33" spans="1:10" x14ac:dyDescent="0.25">
      <c r="C33" s="56"/>
      <c r="D33" s="53"/>
      <c r="E33" s="6"/>
      <c r="F33" s="19"/>
      <c r="G33" s="24"/>
      <c r="H33" s="24"/>
      <c r="I33" s="31"/>
      <c r="J33" s="35"/>
    </row>
    <row r="34" spans="1:10" x14ac:dyDescent="0.25">
      <c r="C34" s="57" t="s">
        <v>7</v>
      </c>
      <c r="D34" s="53"/>
      <c r="E34" s="6"/>
      <c r="F34" s="19"/>
      <c r="G34" s="24" t="s">
        <v>2</v>
      </c>
      <c r="H34" s="24" t="s">
        <v>2</v>
      </c>
      <c r="I34" s="31"/>
      <c r="J34" s="35"/>
    </row>
    <row r="35" spans="1:10" x14ac:dyDescent="0.25">
      <c r="C35" s="56"/>
      <c r="D35" s="53"/>
      <c r="E35" s="6"/>
      <c r="F35" s="19"/>
      <c r="G35" s="24"/>
      <c r="H35" s="24"/>
      <c r="I35" s="31"/>
      <c r="J35" s="35"/>
    </row>
    <row r="36" spans="1:10" x14ac:dyDescent="0.25">
      <c r="C36" s="57" t="s">
        <v>8</v>
      </c>
      <c r="D36" s="53"/>
      <c r="E36" s="6"/>
      <c r="F36" s="19"/>
      <c r="G36" s="24" t="s">
        <v>2</v>
      </c>
      <c r="H36" s="24" t="s">
        <v>2</v>
      </c>
      <c r="I36" s="31"/>
      <c r="J36" s="35"/>
    </row>
    <row r="37" spans="1:10" x14ac:dyDescent="0.25">
      <c r="C37" s="56"/>
      <c r="D37" s="53"/>
      <c r="E37" s="6"/>
      <c r="F37" s="19"/>
      <c r="G37" s="24"/>
      <c r="H37" s="24"/>
      <c r="I37" s="31"/>
      <c r="J37" s="35"/>
    </row>
    <row r="38" spans="1:10" x14ac:dyDescent="0.25">
      <c r="C38" s="57" t="s">
        <v>9</v>
      </c>
      <c r="D38" s="53"/>
      <c r="E38" s="6"/>
      <c r="F38" s="19"/>
      <c r="G38" s="24" t="s">
        <v>2</v>
      </c>
      <c r="H38" s="24" t="s">
        <v>2</v>
      </c>
      <c r="I38" s="31"/>
      <c r="J38" s="35"/>
    </row>
    <row r="39" spans="1:10" x14ac:dyDescent="0.25">
      <c r="C39" s="56"/>
      <c r="D39" s="53"/>
      <c r="E39" s="6"/>
      <c r="F39" s="19"/>
      <c r="G39" s="24"/>
      <c r="H39" s="24"/>
      <c r="I39" s="31"/>
      <c r="J39" s="35"/>
    </row>
    <row r="40" spans="1:10" x14ac:dyDescent="0.25">
      <c r="C40" s="57" t="s">
        <v>10</v>
      </c>
      <c r="D40" s="53"/>
      <c r="E40" s="6"/>
      <c r="F40" s="19"/>
      <c r="G40" s="24" t="s">
        <v>2</v>
      </c>
      <c r="H40" s="24" t="s">
        <v>2</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1232</v>
      </c>
      <c r="C46" s="56" t="s">
        <v>818</v>
      </c>
      <c r="D46" s="53" t="s">
        <v>1233</v>
      </c>
      <c r="E46" s="6" t="s">
        <v>1000</v>
      </c>
      <c r="F46" s="19">
        <v>400</v>
      </c>
      <c r="G46" s="24">
        <v>389.22</v>
      </c>
      <c r="H46" s="24">
        <v>3.79</v>
      </c>
      <c r="I46" s="31">
        <v>3.83</v>
      </c>
      <c r="J46" s="35" t="s">
        <v>514</v>
      </c>
    </row>
    <row r="47" spans="1:10" x14ac:dyDescent="0.25">
      <c r="C47" s="57" t="s">
        <v>35</v>
      </c>
      <c r="D47" s="53"/>
      <c r="E47" s="6"/>
      <c r="F47" s="19"/>
      <c r="G47" s="25">
        <v>389.22</v>
      </c>
      <c r="H47" s="25">
        <v>3.79</v>
      </c>
      <c r="I47" s="31"/>
      <c r="J47" s="35"/>
    </row>
    <row r="48" spans="1:10" x14ac:dyDescent="0.25">
      <c r="C48" s="56"/>
      <c r="D48" s="53"/>
      <c r="E48" s="6"/>
      <c r="F48" s="19"/>
      <c r="G48" s="24"/>
      <c r="H48" s="24"/>
      <c r="I48" s="31"/>
      <c r="J48" s="35"/>
    </row>
    <row r="49" spans="1:10" x14ac:dyDescent="0.25">
      <c r="C49" s="59" t="s">
        <v>15</v>
      </c>
      <c r="D49" s="53"/>
      <c r="E49" s="6"/>
      <c r="F49" s="19"/>
      <c r="G49" s="24"/>
      <c r="H49" s="24"/>
      <c r="I49" s="31"/>
      <c r="J49" s="35"/>
    </row>
    <row r="50" spans="1:10" x14ac:dyDescent="0.25">
      <c r="B50" s="8" t="s">
        <v>2599</v>
      </c>
      <c r="C50" s="56" t="s">
        <v>2600</v>
      </c>
      <c r="D50" s="53" t="s">
        <v>2601</v>
      </c>
      <c r="E50" s="6" t="s">
        <v>655</v>
      </c>
      <c r="F50" s="19">
        <v>100000</v>
      </c>
      <c r="G50" s="24">
        <v>96.62</v>
      </c>
      <c r="H50" s="24">
        <v>0.94</v>
      </c>
      <c r="I50" s="31">
        <v>3.65</v>
      </c>
      <c r="J50" s="35"/>
    </row>
    <row r="51" spans="1:10" x14ac:dyDescent="0.25">
      <c r="C51" s="57" t="s">
        <v>35</v>
      </c>
      <c r="D51" s="53"/>
      <c r="E51" s="6"/>
      <c r="F51" s="19"/>
      <c r="G51" s="25">
        <v>96.62</v>
      </c>
      <c r="H51" s="25">
        <v>0.94</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173.86</v>
      </c>
      <c r="H65" s="24">
        <v>1.69</v>
      </c>
      <c r="I65" s="31"/>
      <c r="J65" s="35"/>
    </row>
    <row r="66" spans="1:10" x14ac:dyDescent="0.25">
      <c r="C66" s="57" t="s">
        <v>35</v>
      </c>
      <c r="D66" s="53"/>
      <c r="E66" s="6"/>
      <c r="F66" s="19"/>
      <c r="G66" s="25">
        <v>173.86</v>
      </c>
      <c r="H66" s="25">
        <v>1.69</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204.91</v>
      </c>
      <c r="H70" s="24">
        <v>2</v>
      </c>
      <c r="I70" s="31"/>
      <c r="J70" s="35"/>
    </row>
    <row r="71" spans="1:10" x14ac:dyDescent="0.25">
      <c r="C71" s="57" t="s">
        <v>35</v>
      </c>
      <c r="D71" s="53"/>
      <c r="E71" s="6"/>
      <c r="F71" s="19"/>
      <c r="G71" s="25">
        <v>204.91</v>
      </c>
      <c r="H71" s="25">
        <v>2</v>
      </c>
      <c r="I71" s="31"/>
      <c r="J71" s="35"/>
    </row>
    <row r="72" spans="1:10" x14ac:dyDescent="0.25">
      <c r="C72" s="56"/>
      <c r="D72" s="53"/>
      <c r="E72" s="6"/>
      <c r="F72" s="19"/>
      <c r="G72" s="24"/>
      <c r="H72" s="24"/>
      <c r="I72" s="31"/>
      <c r="J72" s="35"/>
    </row>
    <row r="73" spans="1:10" x14ac:dyDescent="0.25">
      <c r="C73" s="61" t="s">
        <v>37</v>
      </c>
      <c r="D73" s="54"/>
      <c r="E73" s="5"/>
      <c r="F73" s="20"/>
      <c r="G73" s="26">
        <v>10261.52</v>
      </c>
      <c r="H73" s="26">
        <f>SUMIFS(H:H,C:C,"Total")</f>
        <v>100</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3"/>
  <dimension ref="A1:J7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3045</v>
      </c>
      <c r="J2" s="37" t="s">
        <v>3307</v>
      </c>
    </row>
    <row r="3" spans="1:10" ht="16.5" x14ac:dyDescent="0.3">
      <c r="C3" s="1" t="s">
        <v>24</v>
      </c>
      <c r="D3" s="21" t="s">
        <v>3046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3047</v>
      </c>
      <c r="C18" s="56" t="s">
        <v>1950</v>
      </c>
      <c r="D18" s="53" t="s">
        <v>3048</v>
      </c>
      <c r="E18" s="6" t="s">
        <v>534</v>
      </c>
      <c r="F18" s="19">
        <v>100</v>
      </c>
      <c r="G18" s="24">
        <v>1143.29</v>
      </c>
      <c r="H18" s="24">
        <v>8.65</v>
      </c>
      <c r="I18" s="31">
        <v>5.7899000000000003</v>
      </c>
      <c r="J18" s="35" t="s">
        <v>514</v>
      </c>
    </row>
    <row r="19" spans="2:10" x14ac:dyDescent="0.25">
      <c r="B19" s="8" t="s">
        <v>2980</v>
      </c>
      <c r="C19" s="56" t="s">
        <v>1935</v>
      </c>
      <c r="D19" s="53" t="s">
        <v>2981</v>
      </c>
      <c r="E19" s="6" t="s">
        <v>911</v>
      </c>
      <c r="F19" s="19">
        <v>120</v>
      </c>
      <c r="G19" s="24">
        <v>1101.45</v>
      </c>
      <c r="H19" s="24">
        <v>8.33</v>
      </c>
      <c r="I19" s="31">
        <v>5.1999000000000004</v>
      </c>
      <c r="J19" s="35" t="s">
        <v>514</v>
      </c>
    </row>
    <row r="20" spans="2:10" x14ac:dyDescent="0.25">
      <c r="B20" s="8" t="s">
        <v>2636</v>
      </c>
      <c r="C20" s="56" t="s">
        <v>1752</v>
      </c>
      <c r="D20" s="53" t="s">
        <v>2637</v>
      </c>
      <c r="E20" s="6" t="s">
        <v>1314</v>
      </c>
      <c r="F20" s="19">
        <v>100</v>
      </c>
      <c r="G20" s="24">
        <v>1055.17</v>
      </c>
      <c r="H20" s="24">
        <v>7.98</v>
      </c>
      <c r="I20" s="31">
        <v>4.375</v>
      </c>
      <c r="J20" s="35" t="s">
        <v>514</v>
      </c>
    </row>
    <row r="21" spans="2:10" x14ac:dyDescent="0.25">
      <c r="B21" s="8" t="s">
        <v>1862</v>
      </c>
      <c r="C21" s="56" t="s">
        <v>125</v>
      </c>
      <c r="D21" s="53" t="s">
        <v>1863</v>
      </c>
      <c r="E21" s="6" t="s">
        <v>534</v>
      </c>
      <c r="F21" s="19">
        <v>100</v>
      </c>
      <c r="G21" s="24">
        <v>1047.3699999999999</v>
      </c>
      <c r="H21" s="24">
        <v>7.92</v>
      </c>
      <c r="I21" s="31">
        <v>5.0250000000000004</v>
      </c>
      <c r="J21" s="35" t="s">
        <v>514</v>
      </c>
    </row>
    <row r="22" spans="2:10" x14ac:dyDescent="0.25">
      <c r="B22" s="8" t="s">
        <v>1958</v>
      </c>
      <c r="C22" s="56" t="s">
        <v>601</v>
      </c>
      <c r="D22" s="53" t="s">
        <v>1959</v>
      </c>
      <c r="E22" s="6" t="s">
        <v>534</v>
      </c>
      <c r="F22" s="19">
        <v>100</v>
      </c>
      <c r="G22" s="24">
        <v>1039.5899999999999</v>
      </c>
      <c r="H22" s="24">
        <v>7.86</v>
      </c>
      <c r="I22" s="31">
        <v>4.7649999999999997</v>
      </c>
      <c r="J22" s="35" t="s">
        <v>514</v>
      </c>
    </row>
    <row r="23" spans="2:10" x14ac:dyDescent="0.25">
      <c r="B23" s="8" t="s">
        <v>3049</v>
      </c>
      <c r="C23" s="56" t="s">
        <v>1127</v>
      </c>
      <c r="D23" s="53" t="s">
        <v>3050</v>
      </c>
      <c r="E23" s="6" t="s">
        <v>534</v>
      </c>
      <c r="F23" s="19">
        <v>100</v>
      </c>
      <c r="G23" s="24">
        <v>1038.56</v>
      </c>
      <c r="H23" s="24">
        <v>7.85</v>
      </c>
      <c r="I23" s="31">
        <v>5.0199999999999996</v>
      </c>
      <c r="J23" s="35" t="s">
        <v>514</v>
      </c>
    </row>
    <row r="24" spans="2:10" x14ac:dyDescent="0.25">
      <c r="B24" s="8" t="s">
        <v>1878</v>
      </c>
      <c r="C24" s="56" t="s">
        <v>1130</v>
      </c>
      <c r="D24" s="53" t="s">
        <v>1879</v>
      </c>
      <c r="E24" s="6" t="s">
        <v>911</v>
      </c>
      <c r="F24" s="19">
        <v>90</v>
      </c>
      <c r="G24" s="24">
        <v>953.04</v>
      </c>
      <c r="H24" s="24">
        <v>7.21</v>
      </c>
      <c r="I24" s="31">
        <v>4.8</v>
      </c>
      <c r="J24" s="35" t="s">
        <v>514</v>
      </c>
    </row>
    <row r="25" spans="2:10" x14ac:dyDescent="0.25">
      <c r="B25" s="8" t="s">
        <v>1744</v>
      </c>
      <c r="C25" s="56" t="s">
        <v>77</v>
      </c>
      <c r="D25" s="53" t="s">
        <v>1745</v>
      </c>
      <c r="E25" s="6" t="s">
        <v>534</v>
      </c>
      <c r="F25" s="19">
        <v>90</v>
      </c>
      <c r="G25" s="24">
        <v>946.06</v>
      </c>
      <c r="H25" s="24">
        <v>7.15</v>
      </c>
      <c r="I25" s="31">
        <v>4.6749999999999998</v>
      </c>
      <c r="J25" s="35" t="s">
        <v>514</v>
      </c>
    </row>
    <row r="26" spans="2:10" x14ac:dyDescent="0.25">
      <c r="B26" s="8" t="s">
        <v>2646</v>
      </c>
      <c r="C26" s="56" t="s">
        <v>53</v>
      </c>
      <c r="D26" s="53" t="s">
        <v>2647</v>
      </c>
      <c r="E26" s="6" t="s">
        <v>534</v>
      </c>
      <c r="F26" s="19">
        <v>90</v>
      </c>
      <c r="G26" s="24">
        <v>945.66</v>
      </c>
      <c r="H26" s="24">
        <v>7.15</v>
      </c>
      <c r="I26" s="31">
        <v>4.53</v>
      </c>
      <c r="J26" s="35"/>
    </row>
    <row r="27" spans="2:10" x14ac:dyDescent="0.25">
      <c r="B27" s="8" t="s">
        <v>2640</v>
      </c>
      <c r="C27" s="56" t="s">
        <v>2641</v>
      </c>
      <c r="D27" s="53" t="s">
        <v>2642</v>
      </c>
      <c r="E27" s="6" t="s">
        <v>2643</v>
      </c>
      <c r="F27" s="19">
        <v>85</v>
      </c>
      <c r="G27" s="24">
        <v>912.85</v>
      </c>
      <c r="H27" s="24">
        <v>6.9</v>
      </c>
      <c r="I27" s="31">
        <v>4.4598000000000004</v>
      </c>
      <c r="J27" s="35" t="s">
        <v>514</v>
      </c>
    </row>
    <row r="28" spans="2:10" x14ac:dyDescent="0.25">
      <c r="B28" s="8" t="s">
        <v>1872</v>
      </c>
      <c r="C28" s="56" t="s">
        <v>1376</v>
      </c>
      <c r="D28" s="53" t="s">
        <v>1873</v>
      </c>
      <c r="E28" s="6" t="s">
        <v>534</v>
      </c>
      <c r="F28" s="19">
        <v>70</v>
      </c>
      <c r="G28" s="24">
        <v>749.32</v>
      </c>
      <c r="H28" s="24">
        <v>5.67</v>
      </c>
      <c r="I28" s="31">
        <v>4.91</v>
      </c>
      <c r="J28" s="35" t="s">
        <v>514</v>
      </c>
    </row>
    <row r="29" spans="2:10" x14ac:dyDescent="0.25">
      <c r="B29" s="8" t="s">
        <v>1858</v>
      </c>
      <c r="C29" s="56" t="s">
        <v>909</v>
      </c>
      <c r="D29" s="53" t="s">
        <v>1859</v>
      </c>
      <c r="E29" s="6" t="s">
        <v>534</v>
      </c>
      <c r="F29" s="19">
        <v>50</v>
      </c>
      <c r="G29" s="24">
        <v>525.34</v>
      </c>
      <c r="H29" s="24">
        <v>3.97</v>
      </c>
      <c r="I29" s="31">
        <v>4.55</v>
      </c>
      <c r="J29" s="35" t="s">
        <v>514</v>
      </c>
    </row>
    <row r="30" spans="2:10" x14ac:dyDescent="0.25">
      <c r="B30" s="8" t="s">
        <v>3041</v>
      </c>
      <c r="C30" s="56" t="s">
        <v>909</v>
      </c>
      <c r="D30" s="53" t="s">
        <v>3042</v>
      </c>
      <c r="E30" s="6" t="s">
        <v>534</v>
      </c>
      <c r="F30" s="19">
        <v>50</v>
      </c>
      <c r="G30" s="24">
        <v>525.02</v>
      </c>
      <c r="H30" s="24">
        <v>3.97</v>
      </c>
      <c r="I30" s="31">
        <v>4.55</v>
      </c>
      <c r="J30" s="35" t="s">
        <v>514</v>
      </c>
    </row>
    <row r="31" spans="2:10" x14ac:dyDescent="0.25">
      <c r="B31" s="8" t="s">
        <v>2947</v>
      </c>
      <c r="C31" s="56" t="s">
        <v>1143</v>
      </c>
      <c r="D31" s="53" t="s">
        <v>2948</v>
      </c>
      <c r="E31" s="6" t="s">
        <v>911</v>
      </c>
      <c r="F31" s="19">
        <v>10</v>
      </c>
      <c r="G31" s="24">
        <v>104.33</v>
      </c>
      <c r="H31" s="24">
        <v>0.79</v>
      </c>
      <c r="I31" s="31">
        <v>5.54</v>
      </c>
      <c r="J31" s="35" t="s">
        <v>514</v>
      </c>
    </row>
    <row r="32" spans="2:10" x14ac:dyDescent="0.25">
      <c r="C32" s="57" t="s">
        <v>35</v>
      </c>
      <c r="D32" s="53"/>
      <c r="E32" s="6"/>
      <c r="F32" s="19"/>
      <c r="G32" s="25">
        <v>12087.05</v>
      </c>
      <c r="H32" s="25">
        <v>91.4</v>
      </c>
      <c r="I32" s="31"/>
      <c r="J32" s="35"/>
    </row>
    <row r="33" spans="1:10" x14ac:dyDescent="0.25">
      <c r="C33" s="56"/>
      <c r="D33" s="53"/>
      <c r="E33" s="6"/>
      <c r="F33" s="19"/>
      <c r="G33" s="24"/>
      <c r="H33" s="24"/>
      <c r="I33" s="31"/>
      <c r="J33" s="35"/>
    </row>
    <row r="34" spans="1:10" x14ac:dyDescent="0.25">
      <c r="C34" s="57" t="s">
        <v>7</v>
      </c>
      <c r="D34" s="53"/>
      <c r="E34" s="6"/>
      <c r="F34" s="19"/>
      <c r="G34" s="24" t="s">
        <v>2</v>
      </c>
      <c r="H34" s="24" t="s">
        <v>2</v>
      </c>
      <c r="I34" s="31"/>
      <c r="J34" s="35"/>
    </row>
    <row r="35" spans="1:10" x14ac:dyDescent="0.25">
      <c r="C35" s="56"/>
      <c r="D35" s="53"/>
      <c r="E35" s="6"/>
      <c r="F35" s="19"/>
      <c r="G35" s="24"/>
      <c r="H35" s="24"/>
      <c r="I35" s="31"/>
      <c r="J35" s="35"/>
    </row>
    <row r="36" spans="1:10" x14ac:dyDescent="0.25">
      <c r="C36" s="57" t="s">
        <v>8</v>
      </c>
      <c r="D36" s="53"/>
      <c r="E36" s="6"/>
      <c r="F36" s="19"/>
      <c r="G36" s="24" t="s">
        <v>2</v>
      </c>
      <c r="H36" s="24" t="s">
        <v>2</v>
      </c>
      <c r="I36" s="31"/>
      <c r="J36" s="35"/>
    </row>
    <row r="37" spans="1:10" x14ac:dyDescent="0.25">
      <c r="C37" s="56"/>
      <c r="D37" s="53"/>
      <c r="E37" s="6"/>
      <c r="F37" s="19"/>
      <c r="G37" s="24"/>
      <c r="H37" s="24"/>
      <c r="I37" s="31"/>
      <c r="J37" s="35"/>
    </row>
    <row r="38" spans="1:10" x14ac:dyDescent="0.25">
      <c r="C38" s="57" t="s">
        <v>9</v>
      </c>
      <c r="D38" s="53"/>
      <c r="E38" s="6"/>
      <c r="F38" s="19"/>
      <c r="G38" s="24" t="s">
        <v>2</v>
      </c>
      <c r="H38" s="24" t="s">
        <v>2</v>
      </c>
      <c r="I38" s="31"/>
      <c r="J38" s="35"/>
    </row>
    <row r="39" spans="1:10" x14ac:dyDescent="0.25">
      <c r="C39" s="56"/>
      <c r="D39" s="53"/>
      <c r="E39" s="6"/>
      <c r="F39" s="19"/>
      <c r="G39" s="24"/>
      <c r="H39" s="24"/>
      <c r="I39" s="31"/>
      <c r="J39" s="35"/>
    </row>
    <row r="40" spans="1:10" x14ac:dyDescent="0.25">
      <c r="C40" s="57" t="s">
        <v>10</v>
      </c>
      <c r="D40" s="53"/>
      <c r="E40" s="6"/>
      <c r="F40" s="19"/>
      <c r="G40" s="24" t="s">
        <v>2</v>
      </c>
      <c r="H40" s="24" t="s">
        <v>2</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1232</v>
      </c>
      <c r="C46" s="56" t="s">
        <v>818</v>
      </c>
      <c r="D46" s="53" t="s">
        <v>1233</v>
      </c>
      <c r="E46" s="6" t="s">
        <v>1000</v>
      </c>
      <c r="F46" s="19">
        <v>500</v>
      </c>
      <c r="G46" s="24">
        <v>486.52</v>
      </c>
      <c r="H46" s="24">
        <v>3.68</v>
      </c>
      <c r="I46" s="31">
        <v>3.83</v>
      </c>
      <c r="J46" s="35" t="s">
        <v>514</v>
      </c>
    </row>
    <row r="47" spans="1:10" x14ac:dyDescent="0.25">
      <c r="B47" s="8" t="s">
        <v>2338</v>
      </c>
      <c r="C47" s="56" t="s">
        <v>2339</v>
      </c>
      <c r="D47" s="53" t="s">
        <v>2340</v>
      </c>
      <c r="E47" s="6" t="s">
        <v>992</v>
      </c>
      <c r="F47" s="19">
        <v>200</v>
      </c>
      <c r="G47" s="24">
        <v>195.55</v>
      </c>
      <c r="H47" s="24">
        <v>1.48</v>
      </c>
      <c r="I47" s="31">
        <v>5.65</v>
      </c>
      <c r="J47" s="35" t="s">
        <v>514</v>
      </c>
    </row>
    <row r="48" spans="1:10" x14ac:dyDescent="0.25">
      <c r="C48" s="57" t="s">
        <v>35</v>
      </c>
      <c r="D48" s="53"/>
      <c r="E48" s="6"/>
      <c r="F48" s="19"/>
      <c r="G48" s="25">
        <v>682.07</v>
      </c>
      <c r="H48" s="25">
        <v>5.16</v>
      </c>
      <c r="I48" s="31"/>
      <c r="J48" s="35"/>
    </row>
    <row r="49" spans="1:10" x14ac:dyDescent="0.25">
      <c r="C49" s="56"/>
      <c r="D49" s="53"/>
      <c r="E49" s="6"/>
      <c r="F49" s="19"/>
      <c r="G49" s="24"/>
      <c r="H49" s="24"/>
      <c r="I49" s="31"/>
      <c r="J49" s="35"/>
    </row>
    <row r="50" spans="1:10" x14ac:dyDescent="0.25">
      <c r="C50" s="57" t="s">
        <v>15</v>
      </c>
      <c r="D50" s="53"/>
      <c r="E50" s="6"/>
      <c r="F50" s="19"/>
      <c r="G50" s="24" t="s">
        <v>2</v>
      </c>
      <c r="H50" s="24" t="s">
        <v>2</v>
      </c>
      <c r="I50" s="31"/>
      <c r="J50" s="35"/>
    </row>
    <row r="51" spans="1:10" x14ac:dyDescent="0.25">
      <c r="C51" s="56"/>
      <c r="D51" s="53"/>
      <c r="E51" s="6"/>
      <c r="F51" s="19"/>
      <c r="G51" s="24"/>
      <c r="H51" s="24"/>
      <c r="I51" s="31"/>
      <c r="J51" s="35"/>
    </row>
    <row r="52" spans="1:10" x14ac:dyDescent="0.25">
      <c r="C52" s="57" t="s">
        <v>16</v>
      </c>
      <c r="D52" s="53"/>
      <c r="E52" s="6"/>
      <c r="F52" s="19"/>
      <c r="G52" s="24" t="s">
        <v>2</v>
      </c>
      <c r="H52" s="24" t="s">
        <v>2</v>
      </c>
      <c r="I52" s="31"/>
      <c r="J52" s="35"/>
    </row>
    <row r="53" spans="1:10" x14ac:dyDescent="0.25">
      <c r="C53" s="56"/>
      <c r="D53" s="53"/>
      <c r="E53" s="6"/>
      <c r="F53" s="19"/>
      <c r="G53" s="24"/>
      <c r="H53" s="24"/>
      <c r="I53" s="31"/>
      <c r="J53" s="35"/>
    </row>
    <row r="54" spans="1:10" x14ac:dyDescent="0.25">
      <c r="A54" s="10"/>
      <c r="B54" s="28"/>
      <c r="C54" s="58" t="s">
        <v>17</v>
      </c>
      <c r="D54" s="53"/>
      <c r="E54" s="6"/>
      <c r="F54" s="19"/>
      <c r="G54" s="24"/>
      <c r="H54" s="24"/>
      <c r="I54" s="31"/>
      <c r="J54" s="35"/>
    </row>
    <row r="55" spans="1:10" x14ac:dyDescent="0.25">
      <c r="A55" s="28"/>
      <c r="B55" s="28"/>
      <c r="C55" s="58" t="s">
        <v>18</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19</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20</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21</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C63" s="59" t="s">
        <v>22</v>
      </c>
      <c r="D63" s="53"/>
      <c r="E63" s="6"/>
      <c r="F63" s="19"/>
      <c r="G63" s="24"/>
      <c r="H63" s="24"/>
      <c r="I63" s="31"/>
      <c r="J63" s="35"/>
    </row>
    <row r="64" spans="1:10" x14ac:dyDescent="0.25">
      <c r="B64" s="8" t="s">
        <v>33</v>
      </c>
      <c r="C64" s="56" t="s">
        <v>34</v>
      </c>
      <c r="D64" s="53"/>
      <c r="E64" s="6"/>
      <c r="F64" s="19"/>
      <c r="G64" s="24">
        <v>116.56</v>
      </c>
      <c r="H64" s="24">
        <v>0.88</v>
      </c>
      <c r="I64" s="31"/>
      <c r="J64" s="35"/>
    </row>
    <row r="65" spans="1:10" x14ac:dyDescent="0.25">
      <c r="C65" s="57" t="s">
        <v>35</v>
      </c>
      <c r="D65" s="53"/>
      <c r="E65" s="6"/>
      <c r="F65" s="19"/>
      <c r="G65" s="25">
        <v>116.56</v>
      </c>
      <c r="H65" s="25">
        <v>0.88</v>
      </c>
      <c r="I65" s="31"/>
      <c r="J65" s="35"/>
    </row>
    <row r="66" spans="1:10" x14ac:dyDescent="0.25">
      <c r="C66" s="56"/>
      <c r="D66" s="53"/>
      <c r="E66" s="6"/>
      <c r="F66" s="19"/>
      <c r="G66" s="24"/>
      <c r="H66" s="24"/>
      <c r="I66" s="31"/>
      <c r="J66" s="35"/>
    </row>
    <row r="67" spans="1:10" x14ac:dyDescent="0.25">
      <c r="A67" s="10"/>
      <c r="B67" s="28"/>
      <c r="C67" s="58" t="s">
        <v>23</v>
      </c>
      <c r="D67" s="53"/>
      <c r="E67" s="6"/>
      <c r="F67" s="19"/>
      <c r="G67" s="24"/>
      <c r="H67" s="24"/>
      <c r="I67" s="31"/>
      <c r="J67" s="35"/>
    </row>
    <row r="68" spans="1:10" x14ac:dyDescent="0.25">
      <c r="A68" s="28"/>
      <c r="B68" s="28"/>
      <c r="C68" s="60" t="s">
        <v>3398</v>
      </c>
      <c r="D68" s="53"/>
      <c r="E68" s="6"/>
      <c r="F68" s="19"/>
      <c r="G68" s="24" t="s">
        <v>2</v>
      </c>
      <c r="H68" s="24" t="s">
        <v>2</v>
      </c>
      <c r="I68" s="31"/>
      <c r="J68" s="35"/>
    </row>
    <row r="69" spans="1:10" x14ac:dyDescent="0.25">
      <c r="B69" s="8"/>
      <c r="C69" s="56" t="s">
        <v>36</v>
      </c>
      <c r="D69" s="53"/>
      <c r="E69" s="6"/>
      <c r="F69" s="19"/>
      <c r="G69" s="24">
        <v>337.5</v>
      </c>
      <c r="H69" s="24">
        <v>2.5599999999999996</v>
      </c>
      <c r="I69" s="31"/>
      <c r="J69" s="35"/>
    </row>
    <row r="70" spans="1:10" x14ac:dyDescent="0.25">
      <c r="C70" s="57" t="s">
        <v>35</v>
      </c>
      <c r="D70" s="53"/>
      <c r="E70" s="6"/>
      <c r="F70" s="19"/>
      <c r="G70" s="25">
        <v>337.5</v>
      </c>
      <c r="H70" s="25">
        <v>2.5599999999999996</v>
      </c>
      <c r="I70" s="31"/>
      <c r="J70" s="35"/>
    </row>
    <row r="71" spans="1:10" x14ac:dyDescent="0.25">
      <c r="C71" s="56"/>
      <c r="D71" s="53"/>
      <c r="E71" s="6"/>
      <c r="F71" s="19"/>
      <c r="G71" s="24"/>
      <c r="H71" s="24"/>
      <c r="I71" s="31"/>
      <c r="J71" s="35"/>
    </row>
    <row r="72" spans="1:10" x14ac:dyDescent="0.25">
      <c r="C72" s="61" t="s">
        <v>37</v>
      </c>
      <c r="D72" s="54"/>
      <c r="E72" s="5"/>
      <c r="F72" s="20"/>
      <c r="G72" s="26">
        <v>13223.18</v>
      </c>
      <c r="H72" s="26">
        <f>SUMIFS(H:H,C:C,"Total")</f>
        <v>100</v>
      </c>
      <c r="I72" s="32"/>
      <c r="J72" s="36"/>
    </row>
    <row r="75" spans="1:10" x14ac:dyDescent="0.25">
      <c r="C75" s="1" t="s">
        <v>38</v>
      </c>
    </row>
    <row r="76" spans="1:10" x14ac:dyDescent="0.25">
      <c r="C76" s="2" t="s">
        <v>39</v>
      </c>
    </row>
    <row r="77" spans="1:10" x14ac:dyDescent="0.25">
      <c r="C77" s="2" t="s">
        <v>40</v>
      </c>
    </row>
    <row r="78" spans="1:10" x14ac:dyDescent="0.25">
      <c r="C78" s="2" t="s">
        <v>3430</v>
      </c>
    </row>
  </sheetData>
  <hyperlinks>
    <hyperlink ref="J2" location="'Index'!A1" display="'Index'!A1"/>
  </hyperlinks>
  <pageMargins left="0.7" right="0.7" top="0.75" bottom="0.75" header="0.3" footer="0.3"/>
  <pageSetup orientation="portrait" horizontalDpi="4294967293"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4"/>
  <dimension ref="A1:J7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3051</v>
      </c>
      <c r="J2" s="37" t="s">
        <v>3307</v>
      </c>
    </row>
    <row r="3" spans="1:10" ht="16.5" x14ac:dyDescent="0.3">
      <c r="C3" s="1" t="s">
        <v>24</v>
      </c>
      <c r="D3" s="21" t="s">
        <v>3052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3047</v>
      </c>
      <c r="C18" s="56" t="s">
        <v>1950</v>
      </c>
      <c r="D18" s="53" t="s">
        <v>3048</v>
      </c>
      <c r="E18" s="6" t="s">
        <v>534</v>
      </c>
      <c r="F18" s="19">
        <v>130</v>
      </c>
      <c r="G18" s="24">
        <v>1486.28</v>
      </c>
      <c r="H18" s="24">
        <v>9.16</v>
      </c>
      <c r="I18" s="31">
        <v>5.7899000000000003</v>
      </c>
      <c r="J18" s="35" t="s">
        <v>514</v>
      </c>
    </row>
    <row r="19" spans="2:10" x14ac:dyDescent="0.25">
      <c r="B19" s="8" t="s">
        <v>2784</v>
      </c>
      <c r="C19" s="56" t="s">
        <v>1752</v>
      </c>
      <c r="D19" s="53" t="s">
        <v>2785</v>
      </c>
      <c r="E19" s="6" t="s">
        <v>1314</v>
      </c>
      <c r="F19" s="19">
        <v>130</v>
      </c>
      <c r="G19" s="24">
        <v>1359.74</v>
      </c>
      <c r="H19" s="24">
        <v>8.3800000000000008</v>
      </c>
      <c r="I19" s="31">
        <v>4.6050000000000004</v>
      </c>
      <c r="J19" s="35" t="s">
        <v>514</v>
      </c>
    </row>
    <row r="20" spans="2:10" x14ac:dyDescent="0.25">
      <c r="B20" s="8" t="s">
        <v>2947</v>
      </c>
      <c r="C20" s="56" t="s">
        <v>1143</v>
      </c>
      <c r="D20" s="53" t="s">
        <v>2948</v>
      </c>
      <c r="E20" s="6" t="s">
        <v>911</v>
      </c>
      <c r="F20" s="19">
        <v>125</v>
      </c>
      <c r="G20" s="24">
        <v>1304.1199999999999</v>
      </c>
      <c r="H20" s="24">
        <v>8.0299999999999994</v>
      </c>
      <c r="I20" s="31">
        <v>5.54</v>
      </c>
      <c r="J20" s="35" t="s">
        <v>514</v>
      </c>
    </row>
    <row r="21" spans="2:10" x14ac:dyDescent="0.25">
      <c r="B21" s="8" t="s">
        <v>2640</v>
      </c>
      <c r="C21" s="56" t="s">
        <v>2641</v>
      </c>
      <c r="D21" s="53" t="s">
        <v>2642</v>
      </c>
      <c r="E21" s="6" t="s">
        <v>2643</v>
      </c>
      <c r="F21" s="19">
        <v>120</v>
      </c>
      <c r="G21" s="24">
        <v>1288.72</v>
      </c>
      <c r="H21" s="24">
        <v>7.94</v>
      </c>
      <c r="I21" s="31">
        <v>4.4598000000000004</v>
      </c>
      <c r="J21" s="35" t="s">
        <v>514</v>
      </c>
    </row>
    <row r="22" spans="2:10" x14ac:dyDescent="0.25">
      <c r="B22" s="8" t="s">
        <v>2831</v>
      </c>
      <c r="C22" s="56" t="s">
        <v>1130</v>
      </c>
      <c r="D22" s="53" t="s">
        <v>2832</v>
      </c>
      <c r="E22" s="6" t="s">
        <v>911</v>
      </c>
      <c r="F22" s="19">
        <v>120</v>
      </c>
      <c r="G22" s="24">
        <v>1256.28</v>
      </c>
      <c r="H22" s="24">
        <v>7.74</v>
      </c>
      <c r="I22" s="31">
        <v>4.8</v>
      </c>
      <c r="J22" s="35" t="s">
        <v>514</v>
      </c>
    </row>
    <row r="23" spans="2:10" x14ac:dyDescent="0.25">
      <c r="B23" s="8" t="s">
        <v>1958</v>
      </c>
      <c r="C23" s="56" t="s">
        <v>601</v>
      </c>
      <c r="D23" s="53" t="s">
        <v>1959</v>
      </c>
      <c r="E23" s="6" t="s">
        <v>534</v>
      </c>
      <c r="F23" s="19">
        <v>120</v>
      </c>
      <c r="G23" s="24">
        <v>1247.51</v>
      </c>
      <c r="H23" s="24">
        <v>7.69</v>
      </c>
      <c r="I23" s="31">
        <v>4.7649999999999997</v>
      </c>
      <c r="J23" s="35" t="s">
        <v>514</v>
      </c>
    </row>
    <row r="24" spans="2:10" x14ac:dyDescent="0.25">
      <c r="B24" s="8" t="s">
        <v>1872</v>
      </c>
      <c r="C24" s="56" t="s">
        <v>1376</v>
      </c>
      <c r="D24" s="53" t="s">
        <v>1873</v>
      </c>
      <c r="E24" s="6" t="s">
        <v>534</v>
      </c>
      <c r="F24" s="19">
        <v>110</v>
      </c>
      <c r="G24" s="24">
        <v>1177.51</v>
      </c>
      <c r="H24" s="24">
        <v>7.25</v>
      </c>
      <c r="I24" s="31">
        <v>4.91</v>
      </c>
      <c r="J24" s="35" t="s">
        <v>514</v>
      </c>
    </row>
    <row r="25" spans="2:10" x14ac:dyDescent="0.25">
      <c r="B25" s="8" t="s">
        <v>1744</v>
      </c>
      <c r="C25" s="56" t="s">
        <v>77</v>
      </c>
      <c r="D25" s="53" t="s">
        <v>1745</v>
      </c>
      <c r="E25" s="6" t="s">
        <v>534</v>
      </c>
      <c r="F25" s="19">
        <v>110</v>
      </c>
      <c r="G25" s="24">
        <v>1156.3</v>
      </c>
      <c r="H25" s="24">
        <v>7.12</v>
      </c>
      <c r="I25" s="31">
        <v>4.6749999999999998</v>
      </c>
      <c r="J25" s="35" t="s">
        <v>514</v>
      </c>
    </row>
    <row r="26" spans="2:10" x14ac:dyDescent="0.25">
      <c r="B26" s="8" t="s">
        <v>2646</v>
      </c>
      <c r="C26" s="56" t="s">
        <v>53</v>
      </c>
      <c r="D26" s="53" t="s">
        <v>2647</v>
      </c>
      <c r="E26" s="6" t="s">
        <v>534</v>
      </c>
      <c r="F26" s="19">
        <v>110</v>
      </c>
      <c r="G26" s="24">
        <v>1155.81</v>
      </c>
      <c r="H26" s="24">
        <v>7.12</v>
      </c>
      <c r="I26" s="31">
        <v>4.53</v>
      </c>
      <c r="J26" s="35"/>
    </row>
    <row r="27" spans="2:10" x14ac:dyDescent="0.25">
      <c r="B27" s="8" t="s">
        <v>3010</v>
      </c>
      <c r="C27" s="56" t="s">
        <v>1127</v>
      </c>
      <c r="D27" s="53" t="s">
        <v>3011</v>
      </c>
      <c r="E27" s="6" t="s">
        <v>534</v>
      </c>
      <c r="F27" s="19">
        <v>100</v>
      </c>
      <c r="G27" s="24">
        <v>1055.52</v>
      </c>
      <c r="H27" s="24">
        <v>6.5</v>
      </c>
      <c r="I27" s="31">
        <v>5.0199999999999996</v>
      </c>
      <c r="J27" s="35" t="s">
        <v>514</v>
      </c>
    </row>
    <row r="28" spans="2:10" x14ac:dyDescent="0.25">
      <c r="B28" s="8" t="s">
        <v>1858</v>
      </c>
      <c r="C28" s="56" t="s">
        <v>909</v>
      </c>
      <c r="D28" s="53" t="s">
        <v>1859</v>
      </c>
      <c r="E28" s="6" t="s">
        <v>534</v>
      </c>
      <c r="F28" s="19">
        <v>70</v>
      </c>
      <c r="G28" s="24">
        <v>735.47</v>
      </c>
      <c r="H28" s="24">
        <v>4.53</v>
      </c>
      <c r="I28" s="31">
        <v>4.55</v>
      </c>
      <c r="J28" s="35" t="s">
        <v>514</v>
      </c>
    </row>
    <row r="29" spans="2:10" x14ac:dyDescent="0.25">
      <c r="B29" s="8" t="s">
        <v>2816</v>
      </c>
      <c r="C29" s="56" t="s">
        <v>909</v>
      </c>
      <c r="D29" s="53" t="s">
        <v>2817</v>
      </c>
      <c r="E29" s="6" t="s">
        <v>534</v>
      </c>
      <c r="F29" s="19">
        <v>60</v>
      </c>
      <c r="G29" s="24">
        <v>629.09</v>
      </c>
      <c r="H29" s="24">
        <v>3.88</v>
      </c>
      <c r="I29" s="31">
        <v>4.55</v>
      </c>
      <c r="J29" s="35" t="s">
        <v>514</v>
      </c>
    </row>
    <row r="30" spans="2:10" x14ac:dyDescent="0.25">
      <c r="B30" s="8" t="s">
        <v>1862</v>
      </c>
      <c r="C30" s="56" t="s">
        <v>125</v>
      </c>
      <c r="D30" s="53" t="s">
        <v>1863</v>
      </c>
      <c r="E30" s="6" t="s">
        <v>534</v>
      </c>
      <c r="F30" s="19">
        <v>50</v>
      </c>
      <c r="G30" s="24">
        <v>523.69000000000005</v>
      </c>
      <c r="H30" s="24">
        <v>3.23</v>
      </c>
      <c r="I30" s="31">
        <v>5.0250000000000004</v>
      </c>
      <c r="J30" s="35" t="s">
        <v>514</v>
      </c>
    </row>
    <row r="31" spans="2:10" x14ac:dyDescent="0.25">
      <c r="B31" s="8" t="s">
        <v>2772</v>
      </c>
      <c r="C31" s="56" t="s">
        <v>857</v>
      </c>
      <c r="D31" s="53" t="s">
        <v>2773</v>
      </c>
      <c r="E31" s="6" t="s">
        <v>534</v>
      </c>
      <c r="F31" s="19">
        <v>40</v>
      </c>
      <c r="G31" s="24">
        <v>421.65</v>
      </c>
      <c r="H31" s="24">
        <v>2.6</v>
      </c>
      <c r="I31" s="31">
        <v>4.3</v>
      </c>
      <c r="J31" s="35"/>
    </row>
    <row r="32" spans="2:10" x14ac:dyDescent="0.25">
      <c r="C32" s="57" t="s">
        <v>35</v>
      </c>
      <c r="D32" s="53"/>
      <c r="E32" s="6"/>
      <c r="F32" s="19"/>
      <c r="G32" s="25">
        <v>14797.69</v>
      </c>
      <c r="H32" s="25">
        <v>91.17</v>
      </c>
      <c r="I32" s="31"/>
      <c r="J32" s="35"/>
    </row>
    <row r="33" spans="1:10" x14ac:dyDescent="0.25">
      <c r="C33" s="56"/>
      <c r="D33" s="53"/>
      <c r="E33" s="6"/>
      <c r="F33" s="19"/>
      <c r="G33" s="24"/>
      <c r="H33" s="24"/>
      <c r="I33" s="31"/>
      <c r="J33" s="35"/>
    </row>
    <row r="34" spans="1:10" x14ac:dyDescent="0.25">
      <c r="C34" s="57" t="s">
        <v>7</v>
      </c>
      <c r="D34" s="53"/>
      <c r="E34" s="6"/>
      <c r="F34" s="19"/>
      <c r="G34" s="24" t="s">
        <v>2</v>
      </c>
      <c r="H34" s="24" t="s">
        <v>2</v>
      </c>
      <c r="I34" s="31"/>
      <c r="J34" s="35"/>
    </row>
    <row r="35" spans="1:10" x14ac:dyDescent="0.25">
      <c r="C35" s="56"/>
      <c r="D35" s="53"/>
      <c r="E35" s="6"/>
      <c r="F35" s="19"/>
      <c r="G35" s="24"/>
      <c r="H35" s="24"/>
      <c r="I35" s="31"/>
      <c r="J35" s="35"/>
    </row>
    <row r="36" spans="1:10" x14ac:dyDescent="0.25">
      <c r="C36" s="57" t="s">
        <v>8</v>
      </c>
      <c r="D36" s="53"/>
      <c r="E36" s="6"/>
      <c r="F36" s="19"/>
      <c r="G36" s="24" t="s">
        <v>2</v>
      </c>
      <c r="H36" s="24" t="s">
        <v>2</v>
      </c>
      <c r="I36" s="31"/>
      <c r="J36" s="35"/>
    </row>
    <row r="37" spans="1:10" x14ac:dyDescent="0.25">
      <c r="C37" s="56"/>
      <c r="D37" s="53"/>
      <c r="E37" s="6"/>
      <c r="F37" s="19"/>
      <c r="G37" s="24"/>
      <c r="H37" s="24"/>
      <c r="I37" s="31"/>
      <c r="J37" s="35"/>
    </row>
    <row r="38" spans="1:10" x14ac:dyDescent="0.25">
      <c r="C38" s="57" t="s">
        <v>9</v>
      </c>
      <c r="D38" s="53"/>
      <c r="E38" s="6"/>
      <c r="F38" s="19"/>
      <c r="G38" s="24" t="s">
        <v>2</v>
      </c>
      <c r="H38" s="24" t="s">
        <v>2</v>
      </c>
      <c r="I38" s="31"/>
      <c r="J38" s="35"/>
    </row>
    <row r="39" spans="1:10" x14ac:dyDescent="0.25">
      <c r="C39" s="56"/>
      <c r="D39" s="53"/>
      <c r="E39" s="6"/>
      <c r="F39" s="19"/>
      <c r="G39" s="24"/>
      <c r="H39" s="24"/>
      <c r="I39" s="31"/>
      <c r="J39" s="35"/>
    </row>
    <row r="40" spans="1:10" x14ac:dyDescent="0.25">
      <c r="C40" s="57" t="s">
        <v>10</v>
      </c>
      <c r="D40" s="53"/>
      <c r="E40" s="6"/>
      <c r="F40" s="19"/>
      <c r="G40" s="24" t="s">
        <v>2</v>
      </c>
      <c r="H40" s="24" t="s">
        <v>2</v>
      </c>
      <c r="I40" s="31"/>
      <c r="J40" s="35"/>
    </row>
    <row r="41" spans="1:10" x14ac:dyDescent="0.25">
      <c r="C41" s="56"/>
      <c r="D41" s="53"/>
      <c r="E41" s="6"/>
      <c r="F41" s="19"/>
      <c r="G41" s="24"/>
      <c r="H41" s="24"/>
      <c r="I41" s="31"/>
      <c r="J41" s="35"/>
    </row>
    <row r="42" spans="1:10" x14ac:dyDescent="0.25">
      <c r="A42" s="10"/>
      <c r="B42" s="28"/>
      <c r="C42" s="58" t="s">
        <v>11</v>
      </c>
      <c r="D42" s="53"/>
      <c r="E42" s="6"/>
      <c r="F42" s="19"/>
      <c r="G42" s="24"/>
      <c r="H42" s="24"/>
      <c r="I42" s="31"/>
      <c r="J42" s="35"/>
    </row>
    <row r="43" spans="1:10" x14ac:dyDescent="0.25">
      <c r="A43" s="28"/>
      <c r="B43" s="28"/>
      <c r="C43" s="58" t="s">
        <v>13</v>
      </c>
      <c r="D43" s="53"/>
      <c r="E43" s="6"/>
      <c r="F43" s="19"/>
      <c r="G43" s="24" t="s">
        <v>2</v>
      </c>
      <c r="H43" s="24" t="s">
        <v>2</v>
      </c>
      <c r="I43" s="31"/>
      <c r="J43" s="35"/>
    </row>
    <row r="44" spans="1:10" x14ac:dyDescent="0.25">
      <c r="A44" s="28"/>
      <c r="B44" s="28"/>
      <c r="C44" s="58"/>
      <c r="D44" s="53"/>
      <c r="E44" s="6"/>
      <c r="F44" s="19"/>
      <c r="G44" s="24"/>
      <c r="H44" s="24"/>
      <c r="I44" s="31"/>
      <c r="J44" s="35"/>
    </row>
    <row r="45" spans="1:10" x14ac:dyDescent="0.25">
      <c r="C45" s="59" t="s">
        <v>14</v>
      </c>
      <c r="D45" s="53"/>
      <c r="E45" s="6"/>
      <c r="F45" s="19"/>
      <c r="G45" s="24"/>
      <c r="H45" s="24"/>
      <c r="I45" s="31"/>
      <c r="J45" s="35"/>
    </row>
    <row r="46" spans="1:10" x14ac:dyDescent="0.25">
      <c r="B46" s="8" t="s">
        <v>1232</v>
      </c>
      <c r="C46" s="56" t="s">
        <v>818</v>
      </c>
      <c r="D46" s="53" t="s">
        <v>1233</v>
      </c>
      <c r="E46" s="6" t="s">
        <v>1000</v>
      </c>
      <c r="F46" s="19">
        <v>800</v>
      </c>
      <c r="G46" s="24">
        <v>778.44</v>
      </c>
      <c r="H46" s="24">
        <v>4.8</v>
      </c>
      <c r="I46" s="31">
        <v>3.83</v>
      </c>
      <c r="J46" s="35" t="s">
        <v>514</v>
      </c>
    </row>
    <row r="47" spans="1:10" x14ac:dyDescent="0.25">
      <c r="C47" s="57" t="s">
        <v>35</v>
      </c>
      <c r="D47" s="53"/>
      <c r="E47" s="6"/>
      <c r="F47" s="19"/>
      <c r="G47" s="25">
        <v>778.44</v>
      </c>
      <c r="H47" s="25">
        <v>4.8</v>
      </c>
      <c r="I47" s="31"/>
      <c r="J47" s="35"/>
    </row>
    <row r="48" spans="1:10" x14ac:dyDescent="0.25">
      <c r="C48" s="56"/>
      <c r="D48" s="53"/>
      <c r="E48" s="6"/>
      <c r="F48" s="19"/>
      <c r="G48" s="24"/>
      <c r="H48" s="24"/>
      <c r="I48" s="31"/>
      <c r="J48" s="35"/>
    </row>
    <row r="49" spans="1:10" x14ac:dyDescent="0.25">
      <c r="C49" s="59" t="s">
        <v>15</v>
      </c>
      <c r="D49" s="53"/>
      <c r="E49" s="6"/>
      <c r="F49" s="19"/>
      <c r="G49" s="24"/>
      <c r="H49" s="24"/>
      <c r="I49" s="31"/>
      <c r="J49" s="35"/>
    </row>
    <row r="50" spans="1:10" x14ac:dyDescent="0.25">
      <c r="B50" s="8" t="s">
        <v>2599</v>
      </c>
      <c r="C50" s="56" t="s">
        <v>2600</v>
      </c>
      <c r="D50" s="53" t="s">
        <v>2601</v>
      </c>
      <c r="E50" s="6" t="s">
        <v>655</v>
      </c>
      <c r="F50" s="19">
        <v>200000</v>
      </c>
      <c r="G50" s="24">
        <v>193.24</v>
      </c>
      <c r="H50" s="24">
        <v>1.19</v>
      </c>
      <c r="I50" s="31">
        <v>3.65</v>
      </c>
      <c r="J50" s="35"/>
    </row>
    <row r="51" spans="1:10" x14ac:dyDescent="0.25">
      <c r="C51" s="57" t="s">
        <v>35</v>
      </c>
      <c r="D51" s="53"/>
      <c r="E51" s="6"/>
      <c r="F51" s="19"/>
      <c r="G51" s="25">
        <v>193.24</v>
      </c>
      <c r="H51" s="25">
        <v>1.19</v>
      </c>
      <c r="I51" s="31"/>
      <c r="J51" s="35"/>
    </row>
    <row r="52" spans="1:10" x14ac:dyDescent="0.25">
      <c r="C52" s="56"/>
      <c r="D52" s="53"/>
      <c r="E52" s="6"/>
      <c r="F52" s="19"/>
      <c r="G52" s="24"/>
      <c r="H52" s="24"/>
      <c r="I52" s="31"/>
      <c r="J52" s="35"/>
    </row>
    <row r="53" spans="1:10" x14ac:dyDescent="0.25">
      <c r="C53" s="57" t="s">
        <v>16</v>
      </c>
      <c r="D53" s="53"/>
      <c r="E53" s="6"/>
      <c r="F53" s="19"/>
      <c r="G53" s="24" t="s">
        <v>2</v>
      </c>
      <c r="H53" s="24" t="s">
        <v>2</v>
      </c>
      <c r="I53" s="31"/>
      <c r="J53" s="35"/>
    </row>
    <row r="54" spans="1:10" x14ac:dyDescent="0.25">
      <c r="C54" s="56"/>
      <c r="D54" s="53"/>
      <c r="E54" s="6"/>
      <c r="F54" s="19"/>
      <c r="G54" s="24"/>
      <c r="H54" s="24"/>
      <c r="I54" s="31"/>
      <c r="J54" s="35"/>
    </row>
    <row r="55" spans="1:10" x14ac:dyDescent="0.25">
      <c r="A55" s="10"/>
      <c r="B55" s="28"/>
      <c r="C55" s="58" t="s">
        <v>17</v>
      </c>
      <c r="D55" s="53"/>
      <c r="E55" s="6"/>
      <c r="F55" s="19"/>
      <c r="G55" s="24"/>
      <c r="H55" s="24"/>
      <c r="I55" s="31"/>
      <c r="J55" s="35"/>
    </row>
    <row r="56" spans="1:10" x14ac:dyDescent="0.25">
      <c r="A56" s="28"/>
      <c r="B56" s="28"/>
      <c r="C56" s="58" t="s">
        <v>18</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19</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20</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A62" s="28"/>
      <c r="B62" s="28"/>
      <c r="C62" s="58" t="s">
        <v>21</v>
      </c>
      <c r="D62" s="53"/>
      <c r="E62" s="6"/>
      <c r="F62" s="19"/>
      <c r="G62" s="24" t="s">
        <v>2</v>
      </c>
      <c r="H62" s="24" t="s">
        <v>2</v>
      </c>
      <c r="I62" s="31"/>
      <c r="J62" s="35"/>
    </row>
    <row r="63" spans="1:10" x14ac:dyDescent="0.25">
      <c r="A63" s="28"/>
      <c r="B63" s="28"/>
      <c r="C63" s="58"/>
      <c r="D63" s="53"/>
      <c r="E63" s="6"/>
      <c r="F63" s="19"/>
      <c r="G63" s="24"/>
      <c r="H63" s="24"/>
      <c r="I63" s="31"/>
      <c r="J63" s="35"/>
    </row>
    <row r="64" spans="1:10" x14ac:dyDescent="0.25">
      <c r="C64" s="59" t="s">
        <v>22</v>
      </c>
      <c r="D64" s="53"/>
      <c r="E64" s="6"/>
      <c r="F64" s="19"/>
      <c r="G64" s="24"/>
      <c r="H64" s="24"/>
      <c r="I64" s="31"/>
      <c r="J64" s="35"/>
    </row>
    <row r="65" spans="1:10" x14ac:dyDescent="0.25">
      <c r="B65" s="8" t="s">
        <v>33</v>
      </c>
      <c r="C65" s="56" t="s">
        <v>34</v>
      </c>
      <c r="D65" s="53"/>
      <c r="E65" s="6"/>
      <c r="F65" s="19"/>
      <c r="G65" s="24">
        <v>81.93</v>
      </c>
      <c r="H65" s="24">
        <v>0.5</v>
      </c>
      <c r="I65" s="31"/>
      <c r="J65" s="35"/>
    </row>
    <row r="66" spans="1:10" x14ac:dyDescent="0.25">
      <c r="C66" s="57" t="s">
        <v>35</v>
      </c>
      <c r="D66" s="53"/>
      <c r="E66" s="6"/>
      <c r="F66" s="19"/>
      <c r="G66" s="25">
        <v>81.93</v>
      </c>
      <c r="H66" s="25">
        <v>0.5</v>
      </c>
      <c r="I66" s="31"/>
      <c r="J66" s="35"/>
    </row>
    <row r="67" spans="1:10" x14ac:dyDescent="0.25">
      <c r="C67" s="56"/>
      <c r="D67" s="53"/>
      <c r="E67" s="6"/>
      <c r="F67" s="19"/>
      <c r="G67" s="24"/>
      <c r="H67" s="24"/>
      <c r="I67" s="31"/>
      <c r="J67" s="35"/>
    </row>
    <row r="68" spans="1:10" x14ac:dyDescent="0.25">
      <c r="A68" s="10"/>
      <c r="B68" s="28"/>
      <c r="C68" s="58" t="s">
        <v>23</v>
      </c>
      <c r="D68" s="53"/>
      <c r="E68" s="6"/>
      <c r="F68" s="19"/>
      <c r="G68" s="24"/>
      <c r="H68" s="24"/>
      <c r="I68" s="31"/>
      <c r="J68" s="35"/>
    </row>
    <row r="69" spans="1:10" x14ac:dyDescent="0.25">
      <c r="A69" s="28"/>
      <c r="B69" s="28"/>
      <c r="C69" s="60" t="s">
        <v>3398</v>
      </c>
      <c r="D69" s="53"/>
      <c r="E69" s="6"/>
      <c r="F69" s="19"/>
      <c r="G69" s="24" t="s">
        <v>2</v>
      </c>
      <c r="H69" s="24" t="s">
        <v>2</v>
      </c>
      <c r="I69" s="31"/>
      <c r="J69" s="35"/>
    </row>
    <row r="70" spans="1:10" x14ac:dyDescent="0.25">
      <c r="B70" s="8"/>
      <c r="C70" s="56" t="s">
        <v>36</v>
      </c>
      <c r="D70" s="53"/>
      <c r="E70" s="6"/>
      <c r="F70" s="19"/>
      <c r="G70" s="24">
        <v>380.15</v>
      </c>
      <c r="H70" s="24">
        <v>2.34</v>
      </c>
      <c r="I70" s="31"/>
      <c r="J70" s="35"/>
    </row>
    <row r="71" spans="1:10" x14ac:dyDescent="0.25">
      <c r="C71" s="57" t="s">
        <v>35</v>
      </c>
      <c r="D71" s="53"/>
      <c r="E71" s="6"/>
      <c r="F71" s="19"/>
      <c r="G71" s="25">
        <v>380.15</v>
      </c>
      <c r="H71" s="25">
        <v>2.34</v>
      </c>
      <c r="I71" s="31"/>
      <c r="J71" s="35"/>
    </row>
    <row r="72" spans="1:10" x14ac:dyDescent="0.25">
      <c r="C72" s="56"/>
      <c r="D72" s="53"/>
      <c r="E72" s="6"/>
      <c r="F72" s="19"/>
      <c r="G72" s="24"/>
      <c r="H72" s="24"/>
      <c r="I72" s="31"/>
      <c r="J72" s="35"/>
    </row>
    <row r="73" spans="1:10" x14ac:dyDescent="0.25">
      <c r="C73" s="61" t="s">
        <v>37</v>
      </c>
      <c r="D73" s="54"/>
      <c r="E73" s="5"/>
      <c r="F73" s="20"/>
      <c r="G73" s="26">
        <v>16231.45</v>
      </c>
      <c r="H73" s="26">
        <f>SUMIFS(H:H,C:C,"Total")</f>
        <v>100</v>
      </c>
      <c r="I73" s="32"/>
      <c r="J73" s="36"/>
    </row>
    <row r="76" spans="1:10" x14ac:dyDescent="0.25">
      <c r="C76" s="1" t="s">
        <v>38</v>
      </c>
    </row>
    <row r="77" spans="1:10" x14ac:dyDescent="0.25">
      <c r="C77" s="2" t="s">
        <v>39</v>
      </c>
    </row>
    <row r="78" spans="1:10" x14ac:dyDescent="0.25">
      <c r="C78" s="2" t="s">
        <v>40</v>
      </c>
    </row>
    <row r="79" spans="1:10" x14ac:dyDescent="0.25">
      <c r="C79" s="2" t="s">
        <v>3430</v>
      </c>
    </row>
  </sheetData>
  <hyperlinks>
    <hyperlink ref="J2" location="'Index'!A1" display="'Index'!A1"/>
  </hyperlinks>
  <pageMargins left="0.7" right="0.7" top="0.75" bottom="0.75" header="0.3" footer="0.3"/>
  <pageSetup orientation="portrait" horizontalDpi="4294967293"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5"/>
  <dimension ref="A1:J7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3053</v>
      </c>
      <c r="J2" s="37" t="s">
        <v>3307</v>
      </c>
    </row>
    <row r="3" spans="1:10" ht="16.5" x14ac:dyDescent="0.3">
      <c r="C3" s="1" t="s">
        <v>24</v>
      </c>
      <c r="D3" s="21" t="s">
        <v>3054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3047</v>
      </c>
      <c r="C18" s="56" t="s">
        <v>1950</v>
      </c>
      <c r="D18" s="53" t="s">
        <v>3048</v>
      </c>
      <c r="E18" s="6" t="s">
        <v>534</v>
      </c>
      <c r="F18" s="19">
        <v>100</v>
      </c>
      <c r="G18" s="24">
        <v>1143.29</v>
      </c>
      <c r="H18" s="24">
        <v>8.74</v>
      </c>
      <c r="I18" s="31">
        <v>5.7899000000000003</v>
      </c>
      <c r="J18" s="35" t="s">
        <v>514</v>
      </c>
    </row>
    <row r="19" spans="2:10" x14ac:dyDescent="0.25">
      <c r="B19" s="8" t="s">
        <v>1872</v>
      </c>
      <c r="C19" s="56" t="s">
        <v>1376</v>
      </c>
      <c r="D19" s="53" t="s">
        <v>1873</v>
      </c>
      <c r="E19" s="6" t="s">
        <v>534</v>
      </c>
      <c r="F19" s="19">
        <v>100</v>
      </c>
      <c r="G19" s="24">
        <v>1070.46</v>
      </c>
      <c r="H19" s="24">
        <v>8.18</v>
      </c>
      <c r="I19" s="31">
        <v>4.91</v>
      </c>
      <c r="J19" s="35" t="s">
        <v>514</v>
      </c>
    </row>
    <row r="20" spans="2:10" x14ac:dyDescent="0.25">
      <c r="B20" s="8" t="s">
        <v>1880</v>
      </c>
      <c r="C20" s="56" t="s">
        <v>601</v>
      </c>
      <c r="D20" s="53" t="s">
        <v>1881</v>
      </c>
      <c r="E20" s="6" t="s">
        <v>534</v>
      </c>
      <c r="F20" s="19">
        <v>100</v>
      </c>
      <c r="G20" s="24">
        <v>1060.9100000000001</v>
      </c>
      <c r="H20" s="24">
        <v>8.11</v>
      </c>
      <c r="I20" s="31">
        <v>4.9400000000000004</v>
      </c>
      <c r="J20" s="35" t="s">
        <v>514</v>
      </c>
    </row>
    <row r="21" spans="2:10" x14ac:dyDescent="0.25">
      <c r="B21" s="8" t="s">
        <v>1862</v>
      </c>
      <c r="C21" s="56" t="s">
        <v>125</v>
      </c>
      <c r="D21" s="53" t="s">
        <v>1863</v>
      </c>
      <c r="E21" s="6" t="s">
        <v>534</v>
      </c>
      <c r="F21" s="19">
        <v>100</v>
      </c>
      <c r="G21" s="24">
        <v>1047.3699999999999</v>
      </c>
      <c r="H21" s="24">
        <v>8.01</v>
      </c>
      <c r="I21" s="31">
        <v>5.0250000000000004</v>
      </c>
      <c r="J21" s="35" t="s">
        <v>514</v>
      </c>
    </row>
    <row r="22" spans="2:10" x14ac:dyDescent="0.25">
      <c r="B22" s="8" t="s">
        <v>2831</v>
      </c>
      <c r="C22" s="56" t="s">
        <v>1130</v>
      </c>
      <c r="D22" s="53" t="s">
        <v>2832</v>
      </c>
      <c r="E22" s="6" t="s">
        <v>911</v>
      </c>
      <c r="F22" s="19">
        <v>100</v>
      </c>
      <c r="G22" s="24">
        <v>1046.9000000000001</v>
      </c>
      <c r="H22" s="24">
        <v>8</v>
      </c>
      <c r="I22" s="31">
        <v>4.8</v>
      </c>
      <c r="J22" s="35" t="s">
        <v>514</v>
      </c>
    </row>
    <row r="23" spans="2:10" x14ac:dyDescent="0.25">
      <c r="B23" s="8" t="s">
        <v>1900</v>
      </c>
      <c r="C23" s="56" t="s">
        <v>909</v>
      </c>
      <c r="D23" s="53" t="s">
        <v>1901</v>
      </c>
      <c r="E23" s="6" t="s">
        <v>534</v>
      </c>
      <c r="F23" s="19">
        <v>100</v>
      </c>
      <c r="G23" s="24">
        <v>1043.54</v>
      </c>
      <c r="H23" s="24">
        <v>7.98</v>
      </c>
      <c r="I23" s="31">
        <v>4.66</v>
      </c>
      <c r="J23" s="35" t="s">
        <v>514</v>
      </c>
    </row>
    <row r="24" spans="2:10" x14ac:dyDescent="0.25">
      <c r="B24" s="8" t="s">
        <v>2837</v>
      </c>
      <c r="C24" s="56" t="s">
        <v>1752</v>
      </c>
      <c r="D24" s="53" t="s">
        <v>2838</v>
      </c>
      <c r="E24" s="6" t="s">
        <v>1314</v>
      </c>
      <c r="F24" s="19">
        <v>100</v>
      </c>
      <c r="G24" s="24">
        <v>1041.24</v>
      </c>
      <c r="H24" s="24">
        <v>7.96</v>
      </c>
      <c r="I24" s="31">
        <v>4.6050000000000004</v>
      </c>
      <c r="J24" s="35" t="s">
        <v>514</v>
      </c>
    </row>
    <row r="25" spans="2:10" x14ac:dyDescent="0.25">
      <c r="B25" s="8" t="s">
        <v>2640</v>
      </c>
      <c r="C25" s="56" t="s">
        <v>2641</v>
      </c>
      <c r="D25" s="53" t="s">
        <v>2642</v>
      </c>
      <c r="E25" s="6" t="s">
        <v>2643</v>
      </c>
      <c r="F25" s="19">
        <v>95</v>
      </c>
      <c r="G25" s="24">
        <v>1020.24</v>
      </c>
      <c r="H25" s="24">
        <v>7.8</v>
      </c>
      <c r="I25" s="31">
        <v>4.4598000000000004</v>
      </c>
      <c r="J25" s="35" t="s">
        <v>514</v>
      </c>
    </row>
    <row r="26" spans="2:10" x14ac:dyDescent="0.25">
      <c r="B26" s="8" t="s">
        <v>2947</v>
      </c>
      <c r="C26" s="56" t="s">
        <v>1143</v>
      </c>
      <c r="D26" s="53" t="s">
        <v>2948</v>
      </c>
      <c r="E26" s="6" t="s">
        <v>911</v>
      </c>
      <c r="F26" s="19">
        <v>95</v>
      </c>
      <c r="G26" s="24">
        <v>991.13</v>
      </c>
      <c r="H26" s="24">
        <v>7.58</v>
      </c>
      <c r="I26" s="31">
        <v>5.54</v>
      </c>
      <c r="J26" s="35" t="s">
        <v>514</v>
      </c>
    </row>
    <row r="27" spans="2:10" x14ac:dyDescent="0.25">
      <c r="B27" s="8" t="s">
        <v>1744</v>
      </c>
      <c r="C27" s="56" t="s">
        <v>77</v>
      </c>
      <c r="D27" s="53" t="s">
        <v>1745</v>
      </c>
      <c r="E27" s="6" t="s">
        <v>534</v>
      </c>
      <c r="F27" s="19">
        <v>90</v>
      </c>
      <c r="G27" s="24">
        <v>946.06</v>
      </c>
      <c r="H27" s="24">
        <v>7.23</v>
      </c>
      <c r="I27" s="31">
        <v>4.6749999999999998</v>
      </c>
      <c r="J27" s="35" t="s">
        <v>514</v>
      </c>
    </row>
    <row r="28" spans="2:10" x14ac:dyDescent="0.25">
      <c r="B28" s="8" t="s">
        <v>3036</v>
      </c>
      <c r="C28" s="56" t="s">
        <v>53</v>
      </c>
      <c r="D28" s="53" t="s">
        <v>3037</v>
      </c>
      <c r="E28" s="6" t="s">
        <v>534</v>
      </c>
      <c r="F28" s="19">
        <v>90</v>
      </c>
      <c r="G28" s="24">
        <v>935.23</v>
      </c>
      <c r="H28" s="24">
        <v>7.15</v>
      </c>
      <c r="I28" s="31">
        <v>4.8049999999999997</v>
      </c>
      <c r="J28" s="35" t="s">
        <v>514</v>
      </c>
    </row>
    <row r="29" spans="2:10" x14ac:dyDescent="0.25">
      <c r="B29" s="8" t="s">
        <v>3010</v>
      </c>
      <c r="C29" s="56" t="s">
        <v>1127</v>
      </c>
      <c r="D29" s="53" t="s">
        <v>3011</v>
      </c>
      <c r="E29" s="6" t="s">
        <v>534</v>
      </c>
      <c r="F29" s="19">
        <v>50</v>
      </c>
      <c r="G29" s="24">
        <v>527.76</v>
      </c>
      <c r="H29" s="24">
        <v>4.04</v>
      </c>
      <c r="I29" s="31">
        <v>5.0199999999999996</v>
      </c>
      <c r="J29" s="35" t="s">
        <v>514</v>
      </c>
    </row>
    <row r="30" spans="2:10" x14ac:dyDescent="0.25">
      <c r="C30" s="57" t="s">
        <v>35</v>
      </c>
      <c r="D30" s="53"/>
      <c r="E30" s="6"/>
      <c r="F30" s="19"/>
      <c r="G30" s="25">
        <v>11874.13</v>
      </c>
      <c r="H30" s="25">
        <v>90.78</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1:10" x14ac:dyDescent="0.25">
      <c r="C33" s="56"/>
      <c r="D33" s="53"/>
      <c r="E33" s="6"/>
      <c r="F33" s="19"/>
      <c r="G33" s="24"/>
      <c r="H33" s="24"/>
      <c r="I33" s="31"/>
      <c r="J33" s="35"/>
    </row>
    <row r="34" spans="1:10" x14ac:dyDescent="0.25">
      <c r="C34" s="57" t="s">
        <v>8</v>
      </c>
      <c r="D34" s="53"/>
      <c r="E34" s="6"/>
      <c r="F34" s="19"/>
      <c r="G34" s="24" t="s">
        <v>2</v>
      </c>
      <c r="H34" s="24" t="s">
        <v>2</v>
      </c>
      <c r="I34" s="31"/>
      <c r="J34" s="35"/>
    </row>
    <row r="35" spans="1:10" x14ac:dyDescent="0.25">
      <c r="C35" s="56"/>
      <c r="D35" s="53"/>
      <c r="E35" s="6"/>
      <c r="F35" s="19"/>
      <c r="G35" s="24"/>
      <c r="H35" s="24"/>
      <c r="I35" s="31"/>
      <c r="J35" s="35"/>
    </row>
    <row r="36" spans="1:10" x14ac:dyDescent="0.25">
      <c r="C36" s="57" t="s">
        <v>9</v>
      </c>
      <c r="D36" s="53"/>
      <c r="E36" s="6"/>
      <c r="F36" s="19"/>
      <c r="G36" s="24" t="s">
        <v>2</v>
      </c>
      <c r="H36" s="24" t="s">
        <v>2</v>
      </c>
      <c r="I36" s="31"/>
      <c r="J36" s="35"/>
    </row>
    <row r="37" spans="1:10" x14ac:dyDescent="0.25">
      <c r="C37" s="56"/>
      <c r="D37" s="53"/>
      <c r="E37" s="6"/>
      <c r="F37" s="19"/>
      <c r="G37" s="24"/>
      <c r="H37" s="24"/>
      <c r="I37" s="31"/>
      <c r="J37" s="35"/>
    </row>
    <row r="38" spans="1:10" x14ac:dyDescent="0.25">
      <c r="C38" s="57" t="s">
        <v>10</v>
      </c>
      <c r="D38" s="53"/>
      <c r="E38" s="6"/>
      <c r="F38" s="19"/>
      <c r="G38" s="24" t="s">
        <v>2</v>
      </c>
      <c r="H38" s="24" t="s">
        <v>2</v>
      </c>
      <c r="I38" s="31"/>
      <c r="J38" s="35"/>
    </row>
    <row r="39" spans="1:10" x14ac:dyDescent="0.25">
      <c r="C39" s="56"/>
      <c r="D39" s="53"/>
      <c r="E39" s="6"/>
      <c r="F39" s="19"/>
      <c r="G39" s="24"/>
      <c r="H39" s="24"/>
      <c r="I39" s="31"/>
      <c r="J39" s="35"/>
    </row>
    <row r="40" spans="1:10" x14ac:dyDescent="0.25">
      <c r="A40" s="10"/>
      <c r="B40" s="28"/>
      <c r="C40" s="58" t="s">
        <v>11</v>
      </c>
      <c r="D40" s="53"/>
      <c r="E40" s="6"/>
      <c r="F40" s="19"/>
      <c r="G40" s="24"/>
      <c r="H40" s="24"/>
      <c r="I40" s="31"/>
      <c r="J40" s="35"/>
    </row>
    <row r="41" spans="1:10" x14ac:dyDescent="0.25">
      <c r="A41" s="28"/>
      <c r="B41" s="28"/>
      <c r="C41" s="58" t="s">
        <v>13</v>
      </c>
      <c r="D41" s="53"/>
      <c r="E41" s="6"/>
      <c r="F41" s="19"/>
      <c r="G41" s="24" t="s">
        <v>2</v>
      </c>
      <c r="H41" s="24" t="s">
        <v>2</v>
      </c>
      <c r="I41" s="31"/>
      <c r="J41" s="35"/>
    </row>
    <row r="42" spans="1:10" x14ac:dyDescent="0.25">
      <c r="A42" s="28"/>
      <c r="B42" s="28"/>
      <c r="C42" s="58"/>
      <c r="D42" s="53"/>
      <c r="E42" s="6"/>
      <c r="F42" s="19"/>
      <c r="G42" s="24"/>
      <c r="H42" s="24"/>
      <c r="I42" s="31"/>
      <c r="J42" s="35"/>
    </row>
    <row r="43" spans="1:10" x14ac:dyDescent="0.25">
      <c r="C43" s="59" t="s">
        <v>14</v>
      </c>
      <c r="D43" s="53"/>
      <c r="E43" s="6"/>
      <c r="F43" s="19"/>
      <c r="G43" s="24"/>
      <c r="H43" s="24"/>
      <c r="I43" s="31"/>
      <c r="J43" s="35"/>
    </row>
    <row r="44" spans="1:10" x14ac:dyDescent="0.25">
      <c r="B44" s="8" t="s">
        <v>1232</v>
      </c>
      <c r="C44" s="56" t="s">
        <v>818</v>
      </c>
      <c r="D44" s="53" t="s">
        <v>1233</v>
      </c>
      <c r="E44" s="6" t="s">
        <v>1000</v>
      </c>
      <c r="F44" s="19">
        <v>500</v>
      </c>
      <c r="G44" s="24">
        <v>486.52</v>
      </c>
      <c r="H44" s="24">
        <v>3.72</v>
      </c>
      <c r="I44" s="31">
        <v>3.83</v>
      </c>
      <c r="J44" s="35" t="s">
        <v>514</v>
      </c>
    </row>
    <row r="45" spans="1:10" x14ac:dyDescent="0.25">
      <c r="C45" s="57" t="s">
        <v>35</v>
      </c>
      <c r="D45" s="53"/>
      <c r="E45" s="6"/>
      <c r="F45" s="19"/>
      <c r="G45" s="25">
        <v>486.52</v>
      </c>
      <c r="H45" s="25">
        <v>3.72</v>
      </c>
      <c r="I45" s="31"/>
      <c r="J45" s="35"/>
    </row>
    <row r="46" spans="1:10" x14ac:dyDescent="0.25">
      <c r="C46" s="56"/>
      <c r="D46" s="53"/>
      <c r="E46" s="6"/>
      <c r="F46" s="19"/>
      <c r="G46" s="24"/>
      <c r="H46" s="24"/>
      <c r="I46" s="31"/>
      <c r="J46" s="35"/>
    </row>
    <row r="47" spans="1:10" x14ac:dyDescent="0.25">
      <c r="C47" s="59" t="s">
        <v>15</v>
      </c>
      <c r="D47" s="53"/>
      <c r="E47" s="6"/>
      <c r="F47" s="19"/>
      <c r="G47" s="24"/>
      <c r="H47" s="24"/>
      <c r="I47" s="31"/>
      <c r="J47" s="35"/>
    </row>
    <row r="48" spans="1:10" x14ac:dyDescent="0.25">
      <c r="B48" s="8" t="s">
        <v>2599</v>
      </c>
      <c r="C48" s="56" t="s">
        <v>2600</v>
      </c>
      <c r="D48" s="53" t="s">
        <v>2601</v>
      </c>
      <c r="E48" s="6" t="s">
        <v>655</v>
      </c>
      <c r="F48" s="19">
        <v>400000</v>
      </c>
      <c r="G48" s="24">
        <v>386.47</v>
      </c>
      <c r="H48" s="24">
        <v>2.95</v>
      </c>
      <c r="I48" s="31">
        <v>3.65</v>
      </c>
      <c r="J48" s="35"/>
    </row>
    <row r="49" spans="1:10" x14ac:dyDescent="0.25">
      <c r="C49" s="57" t="s">
        <v>35</v>
      </c>
      <c r="D49" s="53"/>
      <c r="E49" s="6"/>
      <c r="F49" s="19"/>
      <c r="G49" s="25">
        <v>386.47</v>
      </c>
      <c r="H49" s="25">
        <v>2.95</v>
      </c>
      <c r="I49" s="31"/>
      <c r="J49" s="35"/>
    </row>
    <row r="50" spans="1:10" x14ac:dyDescent="0.25">
      <c r="C50" s="56"/>
      <c r="D50" s="53"/>
      <c r="E50" s="6"/>
      <c r="F50" s="19"/>
      <c r="G50" s="24"/>
      <c r="H50" s="24"/>
      <c r="I50" s="31"/>
      <c r="J50" s="35"/>
    </row>
    <row r="51" spans="1:10" x14ac:dyDescent="0.25">
      <c r="C51" s="57" t="s">
        <v>16</v>
      </c>
      <c r="D51" s="53"/>
      <c r="E51" s="6"/>
      <c r="F51" s="19"/>
      <c r="G51" s="24" t="s">
        <v>2</v>
      </c>
      <c r="H51" s="24" t="s">
        <v>2</v>
      </c>
      <c r="I51" s="31"/>
      <c r="J51" s="35"/>
    </row>
    <row r="52" spans="1:10" x14ac:dyDescent="0.25">
      <c r="C52" s="56"/>
      <c r="D52" s="53"/>
      <c r="E52" s="6"/>
      <c r="F52" s="19"/>
      <c r="G52" s="24"/>
      <c r="H52" s="24"/>
      <c r="I52" s="31"/>
      <c r="J52" s="35"/>
    </row>
    <row r="53" spans="1:10" x14ac:dyDescent="0.25">
      <c r="A53" s="10"/>
      <c r="B53" s="28"/>
      <c r="C53" s="58" t="s">
        <v>17</v>
      </c>
      <c r="D53" s="53"/>
      <c r="E53" s="6"/>
      <c r="F53" s="19"/>
      <c r="G53" s="24"/>
      <c r="H53" s="24"/>
      <c r="I53" s="31"/>
      <c r="J53" s="35"/>
    </row>
    <row r="54" spans="1:10" x14ac:dyDescent="0.25">
      <c r="A54" s="28"/>
      <c r="B54" s="28"/>
      <c r="C54" s="58" t="s">
        <v>18</v>
      </c>
      <c r="D54" s="53"/>
      <c r="E54" s="6"/>
      <c r="F54" s="19"/>
      <c r="G54" s="24" t="s">
        <v>2</v>
      </c>
      <c r="H54" s="24" t="s">
        <v>2</v>
      </c>
      <c r="I54" s="31"/>
      <c r="J54" s="35"/>
    </row>
    <row r="55" spans="1:10" x14ac:dyDescent="0.25">
      <c r="A55" s="28"/>
      <c r="B55" s="28"/>
      <c r="C55" s="58"/>
      <c r="D55" s="53"/>
      <c r="E55" s="6"/>
      <c r="F55" s="19"/>
      <c r="G55" s="24"/>
      <c r="H55" s="24"/>
      <c r="I55" s="31"/>
      <c r="J55" s="35"/>
    </row>
    <row r="56" spans="1:10" x14ac:dyDescent="0.25">
      <c r="A56" s="28"/>
      <c r="B56" s="28"/>
      <c r="C56" s="58" t="s">
        <v>19</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20</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21</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C62" s="59" t="s">
        <v>22</v>
      </c>
      <c r="D62" s="53"/>
      <c r="E62" s="6"/>
      <c r="F62" s="19"/>
      <c r="G62" s="24"/>
      <c r="H62" s="24"/>
      <c r="I62" s="31"/>
      <c r="J62" s="35"/>
    </row>
    <row r="63" spans="1:10" x14ac:dyDescent="0.25">
      <c r="B63" s="8" t="s">
        <v>33</v>
      </c>
      <c r="C63" s="56" t="s">
        <v>34</v>
      </c>
      <c r="D63" s="53"/>
      <c r="E63" s="6"/>
      <c r="F63" s="19"/>
      <c r="G63" s="24">
        <v>68.790000000000006</v>
      </c>
      <c r="H63" s="24">
        <v>0.53</v>
      </c>
      <c r="I63" s="31"/>
      <c r="J63" s="35"/>
    </row>
    <row r="64" spans="1:10" x14ac:dyDescent="0.25">
      <c r="C64" s="57" t="s">
        <v>35</v>
      </c>
      <c r="D64" s="53"/>
      <c r="E64" s="6"/>
      <c r="F64" s="19"/>
      <c r="G64" s="25">
        <v>68.790000000000006</v>
      </c>
      <c r="H64" s="25">
        <v>0.53</v>
      </c>
      <c r="I64" s="31"/>
      <c r="J64" s="35"/>
    </row>
    <row r="65" spans="1:10" x14ac:dyDescent="0.25">
      <c r="C65" s="56"/>
      <c r="D65" s="53"/>
      <c r="E65" s="6"/>
      <c r="F65" s="19"/>
      <c r="G65" s="24"/>
      <c r="H65" s="24"/>
      <c r="I65" s="31"/>
      <c r="J65" s="35"/>
    </row>
    <row r="66" spans="1:10" x14ac:dyDescent="0.25">
      <c r="A66" s="10"/>
      <c r="B66" s="28"/>
      <c r="C66" s="58" t="s">
        <v>23</v>
      </c>
      <c r="D66" s="53"/>
      <c r="E66" s="6"/>
      <c r="F66" s="19"/>
      <c r="G66" s="24"/>
      <c r="H66" s="24"/>
      <c r="I66" s="31"/>
      <c r="J66" s="35"/>
    </row>
    <row r="67" spans="1:10" x14ac:dyDescent="0.25">
      <c r="A67" s="28"/>
      <c r="B67" s="28"/>
      <c r="C67" s="60" t="s">
        <v>3398</v>
      </c>
      <c r="D67" s="53"/>
      <c r="E67" s="6"/>
      <c r="F67" s="19"/>
      <c r="G67" s="24" t="s">
        <v>2</v>
      </c>
      <c r="H67" s="24" t="s">
        <v>2</v>
      </c>
      <c r="I67" s="31"/>
      <c r="J67" s="35"/>
    </row>
    <row r="68" spans="1:10" x14ac:dyDescent="0.25">
      <c r="B68" s="8"/>
      <c r="C68" s="56" t="s">
        <v>36</v>
      </c>
      <c r="D68" s="53"/>
      <c r="E68" s="6"/>
      <c r="F68" s="19"/>
      <c r="G68" s="24">
        <v>263.43</v>
      </c>
      <c r="H68" s="24">
        <v>2.0199999999999996</v>
      </c>
      <c r="I68" s="31"/>
      <c r="J68" s="35"/>
    </row>
    <row r="69" spans="1:10" x14ac:dyDescent="0.25">
      <c r="C69" s="57" t="s">
        <v>35</v>
      </c>
      <c r="D69" s="53"/>
      <c r="E69" s="6"/>
      <c r="F69" s="19"/>
      <c r="G69" s="25">
        <v>263.43</v>
      </c>
      <c r="H69" s="25">
        <v>2.0199999999999996</v>
      </c>
      <c r="I69" s="31"/>
      <c r="J69" s="35"/>
    </row>
    <row r="70" spans="1:10" x14ac:dyDescent="0.25">
      <c r="C70" s="56"/>
      <c r="D70" s="53"/>
      <c r="E70" s="6"/>
      <c r="F70" s="19"/>
      <c r="G70" s="24"/>
      <c r="H70" s="24"/>
      <c r="I70" s="31"/>
      <c r="J70" s="35"/>
    </row>
    <row r="71" spans="1:10" x14ac:dyDescent="0.25">
      <c r="C71" s="61" t="s">
        <v>37</v>
      </c>
      <c r="D71" s="54"/>
      <c r="E71" s="5"/>
      <c r="F71" s="20"/>
      <c r="G71" s="26">
        <v>13079.34</v>
      </c>
      <c r="H71" s="26">
        <f>SUMIFS(H:H,C:C,"Total")</f>
        <v>100</v>
      </c>
      <c r="I71" s="32"/>
      <c r="J71" s="36"/>
    </row>
    <row r="74" spans="1:10" x14ac:dyDescent="0.25">
      <c r="C74" s="1" t="s">
        <v>38</v>
      </c>
    </row>
    <row r="75" spans="1:10" x14ac:dyDescent="0.25">
      <c r="C75" s="2" t="s">
        <v>39</v>
      </c>
    </row>
    <row r="76" spans="1:10" x14ac:dyDescent="0.25">
      <c r="C76" s="2" t="s">
        <v>40</v>
      </c>
    </row>
    <row r="77" spans="1:10" x14ac:dyDescent="0.25">
      <c r="C77" s="2" t="s">
        <v>3430</v>
      </c>
    </row>
  </sheetData>
  <hyperlinks>
    <hyperlink ref="J2" location="'Index'!A1" display="'Index'!A1"/>
  </hyperlinks>
  <pageMargins left="0.7" right="0.7" top="0.75" bottom="0.75" header="0.3" footer="0.3"/>
  <pageSetup orientation="portrait" horizontalDpi="4294967293"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6"/>
  <dimension ref="A1:J8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3055</v>
      </c>
      <c r="J2" s="37" t="s">
        <v>3307</v>
      </c>
    </row>
    <row r="3" spans="1:10" ht="16.5" x14ac:dyDescent="0.3">
      <c r="C3" s="1" t="s">
        <v>24</v>
      </c>
      <c r="D3" s="21" t="s">
        <v>3056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3047</v>
      </c>
      <c r="C18" s="56" t="s">
        <v>1950</v>
      </c>
      <c r="D18" s="53" t="s">
        <v>3048</v>
      </c>
      <c r="E18" s="6" t="s">
        <v>534</v>
      </c>
      <c r="F18" s="19">
        <v>100</v>
      </c>
      <c r="G18" s="24">
        <v>1143.29</v>
      </c>
      <c r="H18" s="24">
        <v>8.83</v>
      </c>
      <c r="I18" s="31">
        <v>5.7899000000000003</v>
      </c>
      <c r="J18" s="35" t="s">
        <v>514</v>
      </c>
    </row>
    <row r="19" spans="2:10" x14ac:dyDescent="0.25">
      <c r="B19" s="8" t="s">
        <v>1880</v>
      </c>
      <c r="C19" s="56" t="s">
        <v>601</v>
      </c>
      <c r="D19" s="53" t="s">
        <v>1881</v>
      </c>
      <c r="E19" s="6" t="s">
        <v>534</v>
      </c>
      <c r="F19" s="19">
        <v>100</v>
      </c>
      <c r="G19" s="24">
        <v>1060.9100000000001</v>
      </c>
      <c r="H19" s="24">
        <v>8.19</v>
      </c>
      <c r="I19" s="31">
        <v>4.9400000000000004</v>
      </c>
      <c r="J19" s="35" t="s">
        <v>514</v>
      </c>
    </row>
    <row r="20" spans="2:10" x14ac:dyDescent="0.25">
      <c r="B20" s="8" t="s">
        <v>2784</v>
      </c>
      <c r="C20" s="56" t="s">
        <v>1752</v>
      </c>
      <c r="D20" s="53" t="s">
        <v>2785</v>
      </c>
      <c r="E20" s="6" t="s">
        <v>1314</v>
      </c>
      <c r="F20" s="19">
        <v>100</v>
      </c>
      <c r="G20" s="24">
        <v>1045.95</v>
      </c>
      <c r="H20" s="24">
        <v>8.08</v>
      </c>
      <c r="I20" s="31">
        <v>4.6050000000000004</v>
      </c>
      <c r="J20" s="35" t="s">
        <v>514</v>
      </c>
    </row>
    <row r="21" spans="2:10" x14ac:dyDescent="0.25">
      <c r="B21" s="8" t="s">
        <v>1900</v>
      </c>
      <c r="C21" s="56" t="s">
        <v>909</v>
      </c>
      <c r="D21" s="53" t="s">
        <v>1901</v>
      </c>
      <c r="E21" s="6" t="s">
        <v>534</v>
      </c>
      <c r="F21" s="19">
        <v>100</v>
      </c>
      <c r="G21" s="24">
        <v>1043.54</v>
      </c>
      <c r="H21" s="24">
        <v>8.06</v>
      </c>
      <c r="I21" s="31">
        <v>4.66</v>
      </c>
      <c r="J21" s="35" t="s">
        <v>514</v>
      </c>
    </row>
    <row r="22" spans="2:10" x14ac:dyDescent="0.25">
      <c r="B22" s="8" t="s">
        <v>2153</v>
      </c>
      <c r="C22" s="56" t="s">
        <v>1376</v>
      </c>
      <c r="D22" s="53" t="s">
        <v>2154</v>
      </c>
      <c r="E22" s="6" t="s">
        <v>534</v>
      </c>
      <c r="F22" s="19">
        <v>100</v>
      </c>
      <c r="G22" s="24">
        <v>1037.02</v>
      </c>
      <c r="H22" s="24">
        <v>8.01</v>
      </c>
      <c r="I22" s="31">
        <v>4.97</v>
      </c>
      <c r="J22" s="35" t="s">
        <v>514</v>
      </c>
    </row>
    <row r="23" spans="2:10" x14ac:dyDescent="0.25">
      <c r="B23" s="8" t="s">
        <v>3036</v>
      </c>
      <c r="C23" s="56" t="s">
        <v>53</v>
      </c>
      <c r="D23" s="53" t="s">
        <v>3037</v>
      </c>
      <c r="E23" s="6" t="s">
        <v>534</v>
      </c>
      <c r="F23" s="19">
        <v>90</v>
      </c>
      <c r="G23" s="24">
        <v>935.23</v>
      </c>
      <c r="H23" s="24">
        <v>7.22</v>
      </c>
      <c r="I23" s="31">
        <v>4.8049999999999997</v>
      </c>
      <c r="J23" s="35" t="s">
        <v>514</v>
      </c>
    </row>
    <row r="24" spans="2:10" x14ac:dyDescent="0.25">
      <c r="B24" s="8" t="s">
        <v>2640</v>
      </c>
      <c r="C24" s="56" t="s">
        <v>2641</v>
      </c>
      <c r="D24" s="53" t="s">
        <v>2642</v>
      </c>
      <c r="E24" s="6" t="s">
        <v>2643</v>
      </c>
      <c r="F24" s="19">
        <v>80</v>
      </c>
      <c r="G24" s="24">
        <v>859.15</v>
      </c>
      <c r="H24" s="24">
        <v>6.63</v>
      </c>
      <c r="I24" s="31">
        <v>4.4598000000000004</v>
      </c>
      <c r="J24" s="35" t="s">
        <v>514</v>
      </c>
    </row>
    <row r="25" spans="2:10" x14ac:dyDescent="0.25">
      <c r="B25" s="8" t="s">
        <v>1744</v>
      </c>
      <c r="C25" s="56" t="s">
        <v>77</v>
      </c>
      <c r="D25" s="53" t="s">
        <v>1745</v>
      </c>
      <c r="E25" s="6" t="s">
        <v>534</v>
      </c>
      <c r="F25" s="19">
        <v>80</v>
      </c>
      <c r="G25" s="24">
        <v>840.95</v>
      </c>
      <c r="H25" s="24">
        <v>6.49</v>
      </c>
      <c r="I25" s="31">
        <v>4.6749999999999998</v>
      </c>
      <c r="J25" s="35" t="s">
        <v>514</v>
      </c>
    </row>
    <row r="26" spans="2:10" x14ac:dyDescent="0.25">
      <c r="B26" s="8" t="s">
        <v>3057</v>
      </c>
      <c r="C26" s="56" t="s">
        <v>1143</v>
      </c>
      <c r="D26" s="53" t="s">
        <v>3058</v>
      </c>
      <c r="E26" s="6" t="s">
        <v>534</v>
      </c>
      <c r="F26" s="19">
        <v>80000</v>
      </c>
      <c r="G26" s="24">
        <v>840.05</v>
      </c>
      <c r="H26" s="24">
        <v>6.49</v>
      </c>
      <c r="I26" s="31">
        <v>5.5899000000000001</v>
      </c>
      <c r="J26" s="35" t="s">
        <v>514</v>
      </c>
    </row>
    <row r="27" spans="2:10" x14ac:dyDescent="0.25">
      <c r="B27" s="8" t="s">
        <v>1878</v>
      </c>
      <c r="C27" s="56" t="s">
        <v>1130</v>
      </c>
      <c r="D27" s="53" t="s">
        <v>1879</v>
      </c>
      <c r="E27" s="6" t="s">
        <v>911</v>
      </c>
      <c r="F27" s="19">
        <v>65</v>
      </c>
      <c r="G27" s="24">
        <v>688.31</v>
      </c>
      <c r="H27" s="24">
        <v>5.32</v>
      </c>
      <c r="I27" s="31">
        <v>4.8</v>
      </c>
      <c r="J27" s="35" t="s">
        <v>514</v>
      </c>
    </row>
    <row r="28" spans="2:10" x14ac:dyDescent="0.25">
      <c r="B28" s="8" t="s">
        <v>1862</v>
      </c>
      <c r="C28" s="56" t="s">
        <v>125</v>
      </c>
      <c r="D28" s="53" t="s">
        <v>1863</v>
      </c>
      <c r="E28" s="6" t="s">
        <v>534</v>
      </c>
      <c r="F28" s="19">
        <v>60</v>
      </c>
      <c r="G28" s="24">
        <v>628.41999999999996</v>
      </c>
      <c r="H28" s="24">
        <v>4.8499999999999996</v>
      </c>
      <c r="I28" s="31">
        <v>5.0250000000000004</v>
      </c>
      <c r="J28" s="35" t="s">
        <v>514</v>
      </c>
    </row>
    <row r="29" spans="2:10" x14ac:dyDescent="0.25">
      <c r="B29" s="8" t="s">
        <v>2716</v>
      </c>
      <c r="C29" s="56" t="s">
        <v>1127</v>
      </c>
      <c r="D29" s="53" t="s">
        <v>2717</v>
      </c>
      <c r="E29" s="6" t="s">
        <v>534</v>
      </c>
      <c r="F29" s="19">
        <v>50</v>
      </c>
      <c r="G29" s="24">
        <v>603.95000000000005</v>
      </c>
      <c r="H29" s="24">
        <v>4.66</v>
      </c>
      <c r="I29" s="31">
        <v>5.0199999999999996</v>
      </c>
      <c r="J29" s="35" t="s">
        <v>514</v>
      </c>
    </row>
    <row r="30" spans="2:10" x14ac:dyDescent="0.25">
      <c r="B30" s="8" t="s">
        <v>3049</v>
      </c>
      <c r="C30" s="56" t="s">
        <v>1127</v>
      </c>
      <c r="D30" s="53" t="s">
        <v>3050</v>
      </c>
      <c r="E30" s="6" t="s">
        <v>534</v>
      </c>
      <c r="F30" s="19">
        <v>50</v>
      </c>
      <c r="G30" s="24">
        <v>519.28</v>
      </c>
      <c r="H30" s="24">
        <v>4.01</v>
      </c>
      <c r="I30" s="31">
        <v>5.0199999999999996</v>
      </c>
      <c r="J30" s="35" t="s">
        <v>514</v>
      </c>
    </row>
    <row r="31" spans="2:10" x14ac:dyDescent="0.25">
      <c r="B31" s="8" t="s">
        <v>2831</v>
      </c>
      <c r="C31" s="56" t="s">
        <v>1130</v>
      </c>
      <c r="D31" s="53" t="s">
        <v>2832</v>
      </c>
      <c r="E31" s="6" t="s">
        <v>911</v>
      </c>
      <c r="F31" s="19">
        <v>30</v>
      </c>
      <c r="G31" s="24">
        <v>314.07</v>
      </c>
      <c r="H31" s="24">
        <v>2.4300000000000002</v>
      </c>
      <c r="I31" s="31">
        <v>4.8</v>
      </c>
      <c r="J31" s="35" t="s">
        <v>514</v>
      </c>
    </row>
    <row r="32" spans="2:10" x14ac:dyDescent="0.25">
      <c r="B32" s="8" t="s">
        <v>3018</v>
      </c>
      <c r="C32" s="56" t="s">
        <v>2421</v>
      </c>
      <c r="D32" s="53" t="s">
        <v>3019</v>
      </c>
      <c r="E32" s="6" t="s">
        <v>534</v>
      </c>
      <c r="F32" s="19">
        <v>20</v>
      </c>
      <c r="G32" s="24">
        <v>210.49</v>
      </c>
      <c r="H32" s="24">
        <v>1.63</v>
      </c>
      <c r="I32" s="31">
        <v>5.23</v>
      </c>
      <c r="J32" s="35" t="s">
        <v>514</v>
      </c>
    </row>
    <row r="33" spans="1:10" x14ac:dyDescent="0.25">
      <c r="B33" s="8" t="s">
        <v>2947</v>
      </c>
      <c r="C33" s="56" t="s">
        <v>1143</v>
      </c>
      <c r="D33" s="53" t="s">
        <v>2948</v>
      </c>
      <c r="E33" s="6" t="s">
        <v>911</v>
      </c>
      <c r="F33" s="19">
        <v>10</v>
      </c>
      <c r="G33" s="24">
        <v>104.33</v>
      </c>
      <c r="H33" s="24">
        <v>0.81</v>
      </c>
      <c r="I33" s="31">
        <v>5.54</v>
      </c>
      <c r="J33" s="35" t="s">
        <v>514</v>
      </c>
    </row>
    <row r="34" spans="1:10" x14ac:dyDescent="0.25">
      <c r="B34" s="8" t="s">
        <v>3059</v>
      </c>
      <c r="C34" s="56" t="s">
        <v>1230</v>
      </c>
      <c r="D34" s="53" t="s">
        <v>3060</v>
      </c>
      <c r="E34" s="6" t="s">
        <v>534</v>
      </c>
      <c r="F34" s="19">
        <v>5</v>
      </c>
      <c r="G34" s="24">
        <v>54.02</v>
      </c>
      <c r="H34" s="24">
        <v>0.42</v>
      </c>
      <c r="I34" s="31">
        <v>4.6900000000000004</v>
      </c>
      <c r="J34" s="35" t="s">
        <v>514</v>
      </c>
    </row>
    <row r="35" spans="1:10" x14ac:dyDescent="0.25">
      <c r="C35" s="57" t="s">
        <v>35</v>
      </c>
      <c r="D35" s="53"/>
      <c r="E35" s="6"/>
      <c r="F35" s="19"/>
      <c r="G35" s="25">
        <v>11928.96</v>
      </c>
      <c r="H35" s="25">
        <v>92.13</v>
      </c>
      <c r="I35" s="31"/>
      <c r="J35" s="35"/>
    </row>
    <row r="36" spans="1:10" x14ac:dyDescent="0.25">
      <c r="C36" s="56"/>
      <c r="D36" s="53"/>
      <c r="E36" s="6"/>
      <c r="F36" s="19"/>
      <c r="G36" s="24"/>
      <c r="H36" s="24"/>
      <c r="I36" s="31"/>
      <c r="J36" s="35"/>
    </row>
    <row r="37" spans="1:10" x14ac:dyDescent="0.25">
      <c r="C37" s="57" t="s">
        <v>7</v>
      </c>
      <c r="D37" s="53"/>
      <c r="E37" s="6"/>
      <c r="F37" s="19"/>
      <c r="G37" s="24" t="s">
        <v>2</v>
      </c>
      <c r="H37" s="24" t="s">
        <v>2</v>
      </c>
      <c r="I37" s="31"/>
      <c r="J37" s="35"/>
    </row>
    <row r="38" spans="1:10" x14ac:dyDescent="0.25">
      <c r="C38" s="56"/>
      <c r="D38" s="53"/>
      <c r="E38" s="6"/>
      <c r="F38" s="19"/>
      <c r="G38" s="24"/>
      <c r="H38" s="24"/>
      <c r="I38" s="31"/>
      <c r="J38" s="35"/>
    </row>
    <row r="39" spans="1:10" x14ac:dyDescent="0.25">
      <c r="C39" s="57" t="s">
        <v>8</v>
      </c>
      <c r="D39" s="53"/>
      <c r="E39" s="6"/>
      <c r="F39" s="19"/>
      <c r="G39" s="24" t="s">
        <v>2</v>
      </c>
      <c r="H39" s="24" t="s">
        <v>2</v>
      </c>
      <c r="I39" s="31"/>
      <c r="J39" s="35"/>
    </row>
    <row r="40" spans="1:10" x14ac:dyDescent="0.25">
      <c r="C40" s="56"/>
      <c r="D40" s="53"/>
      <c r="E40" s="6"/>
      <c r="F40" s="19"/>
      <c r="G40" s="24"/>
      <c r="H40" s="24"/>
      <c r="I40" s="31"/>
      <c r="J40" s="35"/>
    </row>
    <row r="41" spans="1:10" x14ac:dyDescent="0.25">
      <c r="C41" s="57" t="s">
        <v>9</v>
      </c>
      <c r="D41" s="53"/>
      <c r="E41" s="6"/>
      <c r="F41" s="19"/>
      <c r="G41" s="24" t="s">
        <v>2</v>
      </c>
      <c r="H41" s="24" t="s">
        <v>2</v>
      </c>
      <c r="I41" s="31"/>
      <c r="J41" s="35"/>
    </row>
    <row r="42" spans="1:10" x14ac:dyDescent="0.25">
      <c r="C42" s="56"/>
      <c r="D42" s="53"/>
      <c r="E42" s="6"/>
      <c r="F42" s="19"/>
      <c r="G42" s="24"/>
      <c r="H42" s="24"/>
      <c r="I42" s="31"/>
      <c r="J42" s="35"/>
    </row>
    <row r="43" spans="1:10" x14ac:dyDescent="0.25">
      <c r="C43" s="57" t="s">
        <v>10</v>
      </c>
      <c r="D43" s="53"/>
      <c r="E43" s="6"/>
      <c r="F43" s="19"/>
      <c r="G43" s="24" t="s">
        <v>2</v>
      </c>
      <c r="H43" s="24" t="s">
        <v>2</v>
      </c>
      <c r="I43" s="31"/>
      <c r="J43" s="35"/>
    </row>
    <row r="44" spans="1:10" x14ac:dyDescent="0.25">
      <c r="C44" s="56"/>
      <c r="D44" s="53"/>
      <c r="E44" s="6"/>
      <c r="F44" s="19"/>
      <c r="G44" s="24"/>
      <c r="H44" s="24"/>
      <c r="I44" s="31"/>
      <c r="J44" s="35"/>
    </row>
    <row r="45" spans="1:10" x14ac:dyDescent="0.25">
      <c r="A45" s="10"/>
      <c r="B45" s="28"/>
      <c r="C45" s="58" t="s">
        <v>11</v>
      </c>
      <c r="D45" s="53"/>
      <c r="E45" s="6"/>
      <c r="F45" s="19"/>
      <c r="G45" s="24"/>
      <c r="H45" s="24"/>
      <c r="I45" s="31"/>
      <c r="J45" s="35"/>
    </row>
    <row r="46" spans="1:10" x14ac:dyDescent="0.25">
      <c r="A46" s="28"/>
      <c r="B46" s="28"/>
      <c r="C46" s="58" t="s">
        <v>13</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C48" s="59" t="s">
        <v>14</v>
      </c>
      <c r="D48" s="53"/>
      <c r="E48" s="6"/>
      <c r="F48" s="19"/>
      <c r="G48" s="24"/>
      <c r="H48" s="24"/>
      <c r="I48" s="31"/>
      <c r="J48" s="35"/>
    </row>
    <row r="49" spans="1:10" x14ac:dyDescent="0.25">
      <c r="B49" s="8" t="s">
        <v>1232</v>
      </c>
      <c r="C49" s="56" t="s">
        <v>818</v>
      </c>
      <c r="D49" s="53" t="s">
        <v>1233</v>
      </c>
      <c r="E49" s="6" t="s">
        <v>1000</v>
      </c>
      <c r="F49" s="19">
        <v>300</v>
      </c>
      <c r="G49" s="24">
        <v>291.91000000000003</v>
      </c>
      <c r="H49" s="24">
        <v>2.25</v>
      </c>
      <c r="I49" s="31">
        <v>3.83</v>
      </c>
      <c r="J49" s="35" t="s">
        <v>514</v>
      </c>
    </row>
    <row r="50" spans="1:10" x14ac:dyDescent="0.25">
      <c r="C50" s="57" t="s">
        <v>35</v>
      </c>
      <c r="D50" s="53"/>
      <c r="E50" s="6"/>
      <c r="F50" s="19"/>
      <c r="G50" s="25">
        <v>291.91000000000003</v>
      </c>
      <c r="H50" s="25">
        <v>2.25</v>
      </c>
      <c r="I50" s="31"/>
      <c r="J50" s="35"/>
    </row>
    <row r="51" spans="1:10" x14ac:dyDescent="0.25">
      <c r="C51" s="56"/>
      <c r="D51" s="53"/>
      <c r="E51" s="6"/>
      <c r="F51" s="19"/>
      <c r="G51" s="24"/>
      <c r="H51" s="24"/>
      <c r="I51" s="31"/>
      <c r="J51" s="35"/>
    </row>
    <row r="52" spans="1:10" x14ac:dyDescent="0.25">
      <c r="C52" s="57" t="s">
        <v>15</v>
      </c>
      <c r="D52" s="53"/>
      <c r="E52" s="6"/>
      <c r="F52" s="19"/>
      <c r="G52" s="24" t="s">
        <v>2</v>
      </c>
      <c r="H52" s="24" t="s">
        <v>2</v>
      </c>
      <c r="I52" s="31"/>
      <c r="J52" s="35"/>
    </row>
    <row r="53" spans="1:10" x14ac:dyDescent="0.25">
      <c r="C53" s="56"/>
      <c r="D53" s="53"/>
      <c r="E53" s="6"/>
      <c r="F53" s="19"/>
      <c r="G53" s="24"/>
      <c r="H53" s="24"/>
      <c r="I53" s="31"/>
      <c r="J53" s="35"/>
    </row>
    <row r="54" spans="1:10" x14ac:dyDescent="0.25">
      <c r="C54" s="57" t="s">
        <v>16</v>
      </c>
      <c r="D54" s="53"/>
      <c r="E54" s="6"/>
      <c r="F54" s="19"/>
      <c r="G54" s="24" t="s">
        <v>2</v>
      </c>
      <c r="H54" s="24" t="s">
        <v>2</v>
      </c>
      <c r="I54" s="31"/>
      <c r="J54" s="35"/>
    </row>
    <row r="55" spans="1:10" x14ac:dyDescent="0.25">
      <c r="C55" s="56"/>
      <c r="D55" s="53"/>
      <c r="E55" s="6"/>
      <c r="F55" s="19"/>
      <c r="G55" s="24"/>
      <c r="H55" s="24"/>
      <c r="I55" s="31"/>
      <c r="J55" s="35"/>
    </row>
    <row r="56" spans="1:10" x14ac:dyDescent="0.25">
      <c r="A56" s="10"/>
      <c r="B56" s="28"/>
      <c r="C56" s="58" t="s">
        <v>17</v>
      </c>
      <c r="D56" s="53"/>
      <c r="E56" s="6"/>
      <c r="F56" s="19"/>
      <c r="G56" s="24"/>
      <c r="H56" s="24"/>
      <c r="I56" s="31"/>
      <c r="J56" s="35"/>
    </row>
    <row r="57" spans="1:10" x14ac:dyDescent="0.25">
      <c r="A57" s="28"/>
      <c r="B57" s="28"/>
      <c r="C57" s="58" t="s">
        <v>18</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19</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A61" s="28"/>
      <c r="B61" s="28"/>
      <c r="C61" s="58" t="s">
        <v>20</v>
      </c>
      <c r="D61" s="53"/>
      <c r="E61" s="6"/>
      <c r="F61" s="19"/>
      <c r="G61" s="24" t="s">
        <v>2</v>
      </c>
      <c r="H61" s="24" t="s">
        <v>2</v>
      </c>
      <c r="I61" s="31"/>
      <c r="J61" s="35"/>
    </row>
    <row r="62" spans="1:10" x14ac:dyDescent="0.25">
      <c r="A62" s="28"/>
      <c r="B62" s="28"/>
      <c r="C62" s="58"/>
      <c r="D62" s="53"/>
      <c r="E62" s="6"/>
      <c r="F62" s="19"/>
      <c r="G62" s="24"/>
      <c r="H62" s="24"/>
      <c r="I62" s="31"/>
      <c r="J62" s="35"/>
    </row>
    <row r="63" spans="1:10" x14ac:dyDescent="0.25">
      <c r="A63" s="28"/>
      <c r="B63" s="28"/>
      <c r="C63" s="58" t="s">
        <v>21</v>
      </c>
      <c r="D63" s="53"/>
      <c r="E63" s="6"/>
      <c r="F63" s="19"/>
      <c r="G63" s="24" t="s">
        <v>2</v>
      </c>
      <c r="H63" s="24" t="s">
        <v>2</v>
      </c>
      <c r="I63" s="31"/>
      <c r="J63" s="35"/>
    </row>
    <row r="64" spans="1:10" x14ac:dyDescent="0.25">
      <c r="A64" s="28"/>
      <c r="B64" s="28"/>
      <c r="C64" s="58"/>
      <c r="D64" s="53"/>
      <c r="E64" s="6"/>
      <c r="F64" s="19"/>
      <c r="G64" s="24"/>
      <c r="H64" s="24"/>
      <c r="I64" s="31"/>
      <c r="J64" s="35"/>
    </row>
    <row r="65" spans="1:10" x14ac:dyDescent="0.25">
      <c r="C65" s="59" t="s">
        <v>22</v>
      </c>
      <c r="D65" s="53"/>
      <c r="E65" s="6"/>
      <c r="F65" s="19"/>
      <c r="G65" s="24"/>
      <c r="H65" s="24"/>
      <c r="I65" s="31"/>
      <c r="J65" s="35"/>
    </row>
    <row r="66" spans="1:10" x14ac:dyDescent="0.25">
      <c r="B66" s="8" t="s">
        <v>33</v>
      </c>
      <c r="C66" s="56" t="s">
        <v>34</v>
      </c>
      <c r="D66" s="53"/>
      <c r="E66" s="6"/>
      <c r="F66" s="19"/>
      <c r="G66" s="24">
        <v>503.26</v>
      </c>
      <c r="H66" s="24">
        <v>3.89</v>
      </c>
      <c r="I66" s="31"/>
      <c r="J66" s="35"/>
    </row>
    <row r="67" spans="1:10" x14ac:dyDescent="0.25">
      <c r="C67" s="57" t="s">
        <v>35</v>
      </c>
      <c r="D67" s="53"/>
      <c r="E67" s="6"/>
      <c r="F67" s="19"/>
      <c r="G67" s="25">
        <v>503.26</v>
      </c>
      <c r="H67" s="25">
        <v>3.89</v>
      </c>
      <c r="I67" s="31"/>
      <c r="J67" s="35"/>
    </row>
    <row r="68" spans="1:10" x14ac:dyDescent="0.25">
      <c r="C68" s="56"/>
      <c r="D68" s="53"/>
      <c r="E68" s="6"/>
      <c r="F68" s="19"/>
      <c r="G68" s="24"/>
      <c r="H68" s="24"/>
      <c r="I68" s="31"/>
      <c r="J68" s="35"/>
    </row>
    <row r="69" spans="1:10" x14ac:dyDescent="0.25">
      <c r="A69" s="10"/>
      <c r="B69" s="28"/>
      <c r="C69" s="58" t="s">
        <v>23</v>
      </c>
      <c r="D69" s="53"/>
      <c r="E69" s="6"/>
      <c r="F69" s="19"/>
      <c r="G69" s="24"/>
      <c r="H69" s="24"/>
      <c r="I69" s="31"/>
      <c r="J69" s="35"/>
    </row>
    <row r="70" spans="1:10" x14ac:dyDescent="0.25">
      <c r="A70" s="28"/>
      <c r="B70" s="28"/>
      <c r="C70" s="60" t="s">
        <v>3398</v>
      </c>
      <c r="D70" s="53"/>
      <c r="E70" s="6"/>
      <c r="F70" s="19"/>
      <c r="G70" s="24" t="s">
        <v>2</v>
      </c>
      <c r="H70" s="24" t="s">
        <v>2</v>
      </c>
      <c r="I70" s="31"/>
      <c r="J70" s="35"/>
    </row>
    <row r="71" spans="1:10" x14ac:dyDescent="0.25">
      <c r="B71" s="8"/>
      <c r="C71" s="56" t="s">
        <v>36</v>
      </c>
      <c r="D71" s="53"/>
      <c r="E71" s="6"/>
      <c r="F71" s="19"/>
      <c r="G71" s="24">
        <v>225.23</v>
      </c>
      <c r="H71" s="24">
        <v>1.73</v>
      </c>
      <c r="I71" s="31"/>
      <c r="J71" s="35"/>
    </row>
    <row r="72" spans="1:10" x14ac:dyDescent="0.25">
      <c r="C72" s="57" t="s">
        <v>35</v>
      </c>
      <c r="D72" s="53"/>
      <c r="E72" s="6"/>
      <c r="F72" s="19"/>
      <c r="G72" s="25">
        <v>225.23</v>
      </c>
      <c r="H72" s="25">
        <v>1.73</v>
      </c>
      <c r="I72" s="31"/>
      <c r="J72" s="35"/>
    </row>
    <row r="73" spans="1:10" x14ac:dyDescent="0.25">
      <c r="C73" s="56"/>
      <c r="D73" s="53"/>
      <c r="E73" s="6"/>
      <c r="F73" s="19"/>
      <c r="G73" s="24"/>
      <c r="H73" s="24"/>
      <c r="I73" s="31"/>
      <c r="J73" s="35"/>
    </row>
    <row r="74" spans="1:10" x14ac:dyDescent="0.25">
      <c r="C74" s="61" t="s">
        <v>37</v>
      </c>
      <c r="D74" s="54"/>
      <c r="E74" s="5"/>
      <c r="F74" s="20"/>
      <c r="G74" s="26">
        <v>12949.36</v>
      </c>
      <c r="H74" s="26">
        <f>SUMIFS(H:H,C:C,"Total")</f>
        <v>100</v>
      </c>
      <c r="I74" s="32"/>
      <c r="J74" s="36"/>
    </row>
    <row r="77" spans="1:10" x14ac:dyDescent="0.25">
      <c r="C77" s="1" t="s">
        <v>38</v>
      </c>
    </row>
    <row r="78" spans="1:10" x14ac:dyDescent="0.25">
      <c r="C78" s="2" t="s">
        <v>39</v>
      </c>
    </row>
    <row r="79" spans="1:10" x14ac:dyDescent="0.25">
      <c r="C79" s="2" t="s">
        <v>40</v>
      </c>
    </row>
    <row r="80" spans="1:10" x14ac:dyDescent="0.25">
      <c r="C80" s="2" t="s">
        <v>3430</v>
      </c>
    </row>
  </sheetData>
  <hyperlinks>
    <hyperlink ref="J2" location="'Index'!A1" display="'Index'!A1"/>
  </hyperlinks>
  <pageMargins left="0.7" right="0.7" top="0.75" bottom="0.75" header="0.3" footer="0.3"/>
  <pageSetup orientation="portrait" horizontalDpi="4294967293"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7"/>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3061</v>
      </c>
      <c r="J2" s="37" t="s">
        <v>3307</v>
      </c>
    </row>
    <row r="3" spans="1:10" ht="16.5" x14ac:dyDescent="0.3">
      <c r="C3" s="1" t="s">
        <v>24</v>
      </c>
      <c r="D3" s="21" t="s">
        <v>3062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3034</v>
      </c>
      <c r="C18" s="56" t="s">
        <v>601</v>
      </c>
      <c r="D18" s="53" t="s">
        <v>3035</v>
      </c>
      <c r="E18" s="6" t="s">
        <v>534</v>
      </c>
      <c r="F18" s="19">
        <v>90</v>
      </c>
      <c r="G18" s="24">
        <v>933.43</v>
      </c>
      <c r="H18" s="24">
        <v>8.6199999999999992</v>
      </c>
      <c r="I18" s="31">
        <v>4.9400000000000004</v>
      </c>
      <c r="J18" s="35" t="s">
        <v>514</v>
      </c>
    </row>
    <row r="19" spans="2:10" x14ac:dyDescent="0.25">
      <c r="B19" s="8" t="s">
        <v>3047</v>
      </c>
      <c r="C19" s="56" t="s">
        <v>1950</v>
      </c>
      <c r="D19" s="53" t="s">
        <v>3048</v>
      </c>
      <c r="E19" s="6" t="s">
        <v>534</v>
      </c>
      <c r="F19" s="19">
        <v>80</v>
      </c>
      <c r="G19" s="24">
        <v>914.64</v>
      </c>
      <c r="H19" s="24">
        <v>8.4499999999999993</v>
      </c>
      <c r="I19" s="31">
        <v>5.7899000000000003</v>
      </c>
      <c r="J19" s="35" t="s">
        <v>514</v>
      </c>
    </row>
    <row r="20" spans="2:10" x14ac:dyDescent="0.25">
      <c r="B20" s="8" t="s">
        <v>1878</v>
      </c>
      <c r="C20" s="56" t="s">
        <v>1130</v>
      </c>
      <c r="D20" s="53" t="s">
        <v>1879</v>
      </c>
      <c r="E20" s="6" t="s">
        <v>911</v>
      </c>
      <c r="F20" s="19">
        <v>80</v>
      </c>
      <c r="G20" s="24">
        <v>847.14</v>
      </c>
      <c r="H20" s="24">
        <v>7.82</v>
      </c>
      <c r="I20" s="31">
        <v>4.8</v>
      </c>
      <c r="J20" s="35" t="s">
        <v>514</v>
      </c>
    </row>
    <row r="21" spans="2:10" x14ac:dyDescent="0.25">
      <c r="B21" s="8" t="s">
        <v>3010</v>
      </c>
      <c r="C21" s="56" t="s">
        <v>1127</v>
      </c>
      <c r="D21" s="53" t="s">
        <v>3011</v>
      </c>
      <c r="E21" s="6" t="s">
        <v>534</v>
      </c>
      <c r="F21" s="19">
        <v>80</v>
      </c>
      <c r="G21" s="24">
        <v>844.42</v>
      </c>
      <c r="H21" s="24">
        <v>7.8</v>
      </c>
      <c r="I21" s="31">
        <v>5.0199999999999996</v>
      </c>
      <c r="J21" s="35" t="s">
        <v>514</v>
      </c>
    </row>
    <row r="22" spans="2:10" x14ac:dyDescent="0.25">
      <c r="B22" s="8" t="s">
        <v>3057</v>
      </c>
      <c r="C22" s="56" t="s">
        <v>1143</v>
      </c>
      <c r="D22" s="53" t="s">
        <v>3058</v>
      </c>
      <c r="E22" s="6" t="s">
        <v>534</v>
      </c>
      <c r="F22" s="19">
        <v>80000</v>
      </c>
      <c r="G22" s="24">
        <v>840.05</v>
      </c>
      <c r="H22" s="24">
        <v>7.76</v>
      </c>
      <c r="I22" s="31">
        <v>5.5899000000000001</v>
      </c>
      <c r="J22" s="35" t="s">
        <v>514</v>
      </c>
    </row>
    <row r="23" spans="2:10" x14ac:dyDescent="0.25">
      <c r="B23" s="8" t="s">
        <v>1862</v>
      </c>
      <c r="C23" s="56" t="s">
        <v>125</v>
      </c>
      <c r="D23" s="53" t="s">
        <v>1863</v>
      </c>
      <c r="E23" s="6" t="s">
        <v>534</v>
      </c>
      <c r="F23" s="19">
        <v>80</v>
      </c>
      <c r="G23" s="24">
        <v>837.9</v>
      </c>
      <c r="H23" s="24">
        <v>7.74</v>
      </c>
      <c r="I23" s="31">
        <v>5.0250000000000004</v>
      </c>
      <c r="J23" s="35" t="s">
        <v>514</v>
      </c>
    </row>
    <row r="24" spans="2:10" x14ac:dyDescent="0.25">
      <c r="B24" s="8" t="s">
        <v>1900</v>
      </c>
      <c r="C24" s="56" t="s">
        <v>909</v>
      </c>
      <c r="D24" s="53" t="s">
        <v>1901</v>
      </c>
      <c r="E24" s="6" t="s">
        <v>534</v>
      </c>
      <c r="F24" s="19">
        <v>80</v>
      </c>
      <c r="G24" s="24">
        <v>834.83</v>
      </c>
      <c r="H24" s="24">
        <v>7.71</v>
      </c>
      <c r="I24" s="31">
        <v>4.66</v>
      </c>
      <c r="J24" s="35" t="s">
        <v>514</v>
      </c>
    </row>
    <row r="25" spans="2:10" x14ac:dyDescent="0.25">
      <c r="B25" s="8" t="s">
        <v>2153</v>
      </c>
      <c r="C25" s="56" t="s">
        <v>1376</v>
      </c>
      <c r="D25" s="53" t="s">
        <v>2154</v>
      </c>
      <c r="E25" s="6" t="s">
        <v>534</v>
      </c>
      <c r="F25" s="19">
        <v>80</v>
      </c>
      <c r="G25" s="24">
        <v>829.61</v>
      </c>
      <c r="H25" s="24">
        <v>7.66</v>
      </c>
      <c r="I25" s="31">
        <v>4.97</v>
      </c>
      <c r="J25" s="35" t="s">
        <v>514</v>
      </c>
    </row>
    <row r="26" spans="2:10" x14ac:dyDescent="0.25">
      <c r="B26" s="8" t="s">
        <v>2640</v>
      </c>
      <c r="C26" s="56" t="s">
        <v>2641</v>
      </c>
      <c r="D26" s="53" t="s">
        <v>2642</v>
      </c>
      <c r="E26" s="6" t="s">
        <v>2643</v>
      </c>
      <c r="F26" s="19">
        <v>75</v>
      </c>
      <c r="G26" s="24">
        <v>805.45</v>
      </c>
      <c r="H26" s="24">
        <v>7.44</v>
      </c>
      <c r="I26" s="31">
        <v>4.4598000000000004</v>
      </c>
      <c r="J26" s="35" t="s">
        <v>514</v>
      </c>
    </row>
    <row r="27" spans="2:10" x14ac:dyDescent="0.25">
      <c r="B27" s="8" t="s">
        <v>2784</v>
      </c>
      <c r="C27" s="56" t="s">
        <v>1752</v>
      </c>
      <c r="D27" s="53" t="s">
        <v>2785</v>
      </c>
      <c r="E27" s="6" t="s">
        <v>1314</v>
      </c>
      <c r="F27" s="19">
        <v>70</v>
      </c>
      <c r="G27" s="24">
        <v>732.17</v>
      </c>
      <c r="H27" s="24">
        <v>6.76</v>
      </c>
      <c r="I27" s="31">
        <v>4.6050000000000004</v>
      </c>
      <c r="J27" s="35" t="s">
        <v>514</v>
      </c>
    </row>
    <row r="28" spans="2:10" x14ac:dyDescent="0.25">
      <c r="B28" s="8" t="s">
        <v>3036</v>
      </c>
      <c r="C28" s="56" t="s">
        <v>53</v>
      </c>
      <c r="D28" s="53" t="s">
        <v>3037</v>
      </c>
      <c r="E28" s="6" t="s">
        <v>534</v>
      </c>
      <c r="F28" s="19">
        <v>70</v>
      </c>
      <c r="G28" s="24">
        <v>727.4</v>
      </c>
      <c r="H28" s="24">
        <v>6.72</v>
      </c>
      <c r="I28" s="31">
        <v>4.8049999999999997</v>
      </c>
      <c r="J28" s="35" t="s">
        <v>514</v>
      </c>
    </row>
    <row r="29" spans="2:10" x14ac:dyDescent="0.25">
      <c r="B29" s="8" t="s">
        <v>1744</v>
      </c>
      <c r="C29" s="56" t="s">
        <v>77</v>
      </c>
      <c r="D29" s="53" t="s">
        <v>1745</v>
      </c>
      <c r="E29" s="6" t="s">
        <v>534</v>
      </c>
      <c r="F29" s="19">
        <v>50</v>
      </c>
      <c r="G29" s="24">
        <v>525.59</v>
      </c>
      <c r="H29" s="24">
        <v>4.8499999999999996</v>
      </c>
      <c r="I29" s="31">
        <v>4.6749999999999998</v>
      </c>
      <c r="J29" s="35" t="s">
        <v>514</v>
      </c>
    </row>
    <row r="30" spans="2:10" x14ac:dyDescent="0.25">
      <c r="B30" s="8" t="s">
        <v>1947</v>
      </c>
      <c r="C30" s="56" t="s">
        <v>172</v>
      </c>
      <c r="D30" s="53" t="s">
        <v>1948</v>
      </c>
      <c r="E30" s="6" t="s">
        <v>534</v>
      </c>
      <c r="F30" s="19">
        <v>25</v>
      </c>
      <c r="G30" s="24">
        <v>258.86</v>
      </c>
      <c r="H30" s="24">
        <v>2.39</v>
      </c>
      <c r="I30" s="31">
        <v>4.8455000000000004</v>
      </c>
      <c r="J30" s="35" t="s">
        <v>514</v>
      </c>
    </row>
    <row r="31" spans="2:10" x14ac:dyDescent="0.25">
      <c r="C31" s="57" t="s">
        <v>35</v>
      </c>
      <c r="D31" s="53"/>
      <c r="E31" s="6"/>
      <c r="F31" s="19"/>
      <c r="G31" s="25">
        <v>9931.49</v>
      </c>
      <c r="H31" s="25">
        <v>91.72</v>
      </c>
      <c r="I31" s="31"/>
      <c r="J31" s="35"/>
    </row>
    <row r="32" spans="2:10" x14ac:dyDescent="0.25">
      <c r="C32" s="56"/>
      <c r="D32" s="53"/>
      <c r="E32" s="6"/>
      <c r="F32" s="19"/>
      <c r="G32" s="24"/>
      <c r="H32" s="24"/>
      <c r="I32" s="31"/>
      <c r="J32" s="35"/>
    </row>
    <row r="33" spans="1:10" x14ac:dyDescent="0.25">
      <c r="C33" s="57" t="s">
        <v>7</v>
      </c>
      <c r="D33" s="53"/>
      <c r="E33" s="6"/>
      <c r="F33" s="19"/>
      <c r="G33" s="24" t="s">
        <v>2</v>
      </c>
      <c r="H33" s="24" t="s">
        <v>2</v>
      </c>
      <c r="I33" s="31"/>
      <c r="J33" s="35"/>
    </row>
    <row r="34" spans="1:10" x14ac:dyDescent="0.25">
      <c r="C34" s="56"/>
      <c r="D34" s="53"/>
      <c r="E34" s="6"/>
      <c r="F34" s="19"/>
      <c r="G34" s="24"/>
      <c r="H34" s="24"/>
      <c r="I34" s="31"/>
      <c r="J34" s="35"/>
    </row>
    <row r="35" spans="1:10" x14ac:dyDescent="0.25">
      <c r="C35" s="57" t="s">
        <v>8</v>
      </c>
      <c r="D35" s="53"/>
      <c r="E35" s="6"/>
      <c r="F35" s="19"/>
      <c r="G35" s="24" t="s">
        <v>2</v>
      </c>
      <c r="H35" s="24" t="s">
        <v>2</v>
      </c>
      <c r="I35" s="31"/>
      <c r="J35" s="35"/>
    </row>
    <row r="36" spans="1:10" x14ac:dyDescent="0.25">
      <c r="C36" s="56"/>
      <c r="D36" s="53"/>
      <c r="E36" s="6"/>
      <c r="F36" s="19"/>
      <c r="G36" s="24"/>
      <c r="H36" s="24"/>
      <c r="I36" s="31"/>
      <c r="J36" s="35"/>
    </row>
    <row r="37" spans="1:10" x14ac:dyDescent="0.25">
      <c r="C37" s="57" t="s">
        <v>9</v>
      </c>
      <c r="D37" s="53"/>
      <c r="E37" s="6"/>
      <c r="F37" s="19"/>
      <c r="G37" s="24" t="s">
        <v>2</v>
      </c>
      <c r="H37" s="24" t="s">
        <v>2</v>
      </c>
      <c r="I37" s="31"/>
      <c r="J37" s="35"/>
    </row>
    <row r="38" spans="1:10" x14ac:dyDescent="0.25">
      <c r="C38" s="56"/>
      <c r="D38" s="53"/>
      <c r="E38" s="6"/>
      <c r="F38" s="19"/>
      <c r="G38" s="24"/>
      <c r="H38" s="24"/>
      <c r="I38" s="31"/>
      <c r="J38" s="35"/>
    </row>
    <row r="39" spans="1:10" x14ac:dyDescent="0.25">
      <c r="C39" s="57" t="s">
        <v>10</v>
      </c>
      <c r="D39" s="53"/>
      <c r="E39" s="6"/>
      <c r="F39" s="19"/>
      <c r="G39" s="24" t="s">
        <v>2</v>
      </c>
      <c r="H39" s="24" t="s">
        <v>2</v>
      </c>
      <c r="I39" s="31"/>
      <c r="J39" s="35"/>
    </row>
    <row r="40" spans="1:10" x14ac:dyDescent="0.25">
      <c r="C40" s="56"/>
      <c r="D40" s="53"/>
      <c r="E40" s="6"/>
      <c r="F40" s="19"/>
      <c r="G40" s="24"/>
      <c r="H40" s="24"/>
      <c r="I40" s="31"/>
      <c r="J40" s="35"/>
    </row>
    <row r="41" spans="1:10" x14ac:dyDescent="0.25">
      <c r="A41" s="10"/>
      <c r="B41" s="28"/>
      <c r="C41" s="58" t="s">
        <v>11</v>
      </c>
      <c r="D41" s="53"/>
      <c r="E41" s="6"/>
      <c r="F41" s="19"/>
      <c r="G41" s="24"/>
      <c r="H41" s="24"/>
      <c r="I41" s="31"/>
      <c r="J41" s="35"/>
    </row>
    <row r="42" spans="1:10" x14ac:dyDescent="0.25">
      <c r="A42" s="28"/>
      <c r="B42" s="28"/>
      <c r="C42" s="58" t="s">
        <v>13</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C44" s="59" t="s">
        <v>14</v>
      </c>
      <c r="D44" s="53"/>
      <c r="E44" s="6"/>
      <c r="F44" s="19"/>
      <c r="G44" s="24"/>
      <c r="H44" s="24"/>
      <c r="I44" s="31"/>
      <c r="J44" s="35"/>
    </row>
    <row r="45" spans="1:10" x14ac:dyDescent="0.25">
      <c r="B45" s="8" t="s">
        <v>1232</v>
      </c>
      <c r="C45" s="56" t="s">
        <v>818</v>
      </c>
      <c r="D45" s="53" t="s">
        <v>1233</v>
      </c>
      <c r="E45" s="6" t="s">
        <v>1000</v>
      </c>
      <c r="F45" s="19">
        <v>300</v>
      </c>
      <c r="G45" s="24">
        <v>291.91000000000003</v>
      </c>
      <c r="H45" s="24">
        <v>2.7</v>
      </c>
      <c r="I45" s="31">
        <v>3.83</v>
      </c>
      <c r="J45" s="35" t="s">
        <v>514</v>
      </c>
    </row>
    <row r="46" spans="1:10" x14ac:dyDescent="0.25">
      <c r="C46" s="57" t="s">
        <v>35</v>
      </c>
      <c r="D46" s="53"/>
      <c r="E46" s="6"/>
      <c r="F46" s="19"/>
      <c r="G46" s="25">
        <v>291.91000000000003</v>
      </c>
      <c r="H46" s="25">
        <v>2.7</v>
      </c>
      <c r="I46" s="31"/>
      <c r="J46" s="35"/>
    </row>
    <row r="47" spans="1:10" x14ac:dyDescent="0.25">
      <c r="C47" s="56"/>
      <c r="D47" s="53"/>
      <c r="E47" s="6"/>
      <c r="F47" s="19"/>
      <c r="G47" s="24"/>
      <c r="H47" s="24"/>
      <c r="I47" s="31"/>
      <c r="J47" s="35"/>
    </row>
    <row r="48" spans="1: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430.35</v>
      </c>
      <c r="H62" s="24">
        <v>3.97</v>
      </c>
      <c r="I62" s="31"/>
      <c r="J62" s="35"/>
    </row>
    <row r="63" spans="1:10" x14ac:dyDescent="0.25">
      <c r="C63" s="57" t="s">
        <v>35</v>
      </c>
      <c r="D63" s="53"/>
      <c r="E63" s="6"/>
      <c r="F63" s="19"/>
      <c r="G63" s="25">
        <v>430.35</v>
      </c>
      <c r="H63" s="25">
        <v>3.97</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175.59</v>
      </c>
      <c r="H67" s="24">
        <v>1.61</v>
      </c>
      <c r="I67" s="31"/>
      <c r="J67" s="35"/>
    </row>
    <row r="68" spans="1:10" x14ac:dyDescent="0.25">
      <c r="C68" s="57" t="s">
        <v>35</v>
      </c>
      <c r="D68" s="53"/>
      <c r="E68" s="6"/>
      <c r="F68" s="19"/>
      <c r="G68" s="25">
        <v>175.59</v>
      </c>
      <c r="H68" s="25">
        <v>1.61</v>
      </c>
      <c r="I68" s="31"/>
      <c r="J68" s="35"/>
    </row>
    <row r="69" spans="1:10" x14ac:dyDescent="0.25">
      <c r="C69" s="56"/>
      <c r="D69" s="53"/>
      <c r="E69" s="6"/>
      <c r="F69" s="19"/>
      <c r="G69" s="24"/>
      <c r="H69" s="24"/>
      <c r="I69" s="31"/>
      <c r="J69" s="35"/>
    </row>
    <row r="70" spans="1:10" x14ac:dyDescent="0.25">
      <c r="C70" s="61" t="s">
        <v>37</v>
      </c>
      <c r="D70" s="54"/>
      <c r="E70" s="5"/>
      <c r="F70" s="20"/>
      <c r="G70" s="26">
        <v>10829.34</v>
      </c>
      <c r="H70" s="26">
        <f>SUMIFS(H:H,C:C,"Total")</f>
        <v>100</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8"/>
  <dimension ref="A1:J12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681</v>
      </c>
      <c r="J2" s="37" t="s">
        <v>3307</v>
      </c>
    </row>
    <row r="3" spans="1:10" ht="16.5" x14ac:dyDescent="0.3">
      <c r="C3" s="1" t="s">
        <v>24</v>
      </c>
      <c r="D3" s="21" t="s">
        <v>3063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3404</v>
      </c>
      <c r="G10" s="24">
        <v>103.75</v>
      </c>
      <c r="H10" s="24">
        <v>0.84</v>
      </c>
      <c r="I10" s="31"/>
      <c r="J10" s="35"/>
    </row>
    <row r="11" spans="1:10" x14ac:dyDescent="0.25">
      <c r="B11" s="8" t="s">
        <v>143</v>
      </c>
      <c r="C11" s="56" t="s">
        <v>144</v>
      </c>
      <c r="D11" s="53" t="s">
        <v>145</v>
      </c>
      <c r="E11" s="6" t="s">
        <v>146</v>
      </c>
      <c r="F11" s="19">
        <v>3980</v>
      </c>
      <c r="G11" s="24">
        <v>87.69</v>
      </c>
      <c r="H11" s="24">
        <v>0.71</v>
      </c>
      <c r="I11" s="31"/>
      <c r="J11" s="35"/>
    </row>
    <row r="12" spans="1:10" x14ac:dyDescent="0.25">
      <c r="B12" s="8" t="s">
        <v>868</v>
      </c>
      <c r="C12" s="56" t="s">
        <v>869</v>
      </c>
      <c r="D12" s="53" t="s">
        <v>870</v>
      </c>
      <c r="E12" s="6" t="s">
        <v>94</v>
      </c>
      <c r="F12" s="19">
        <v>10418</v>
      </c>
      <c r="G12" s="24">
        <v>84.54</v>
      </c>
      <c r="H12" s="24">
        <v>0.69</v>
      </c>
      <c r="I12" s="31"/>
      <c r="J12" s="35"/>
    </row>
    <row r="13" spans="1:10" x14ac:dyDescent="0.25">
      <c r="B13" s="8" t="s">
        <v>1576</v>
      </c>
      <c r="C13" s="56" t="s">
        <v>1577</v>
      </c>
      <c r="D13" s="53" t="s">
        <v>1578</v>
      </c>
      <c r="E13" s="6" t="s">
        <v>90</v>
      </c>
      <c r="F13" s="19">
        <v>15105</v>
      </c>
      <c r="G13" s="24">
        <v>77.12</v>
      </c>
      <c r="H13" s="24">
        <v>0.63</v>
      </c>
      <c r="I13" s="31"/>
      <c r="J13" s="35"/>
    </row>
    <row r="14" spans="1:10" x14ac:dyDescent="0.25">
      <c r="B14" s="8" t="s">
        <v>1579</v>
      </c>
      <c r="C14" s="56" t="s">
        <v>1580</v>
      </c>
      <c r="D14" s="53" t="s">
        <v>1581</v>
      </c>
      <c r="E14" s="6" t="s">
        <v>90</v>
      </c>
      <c r="F14" s="19">
        <v>10104</v>
      </c>
      <c r="G14" s="24">
        <v>73.25</v>
      </c>
      <c r="H14" s="24">
        <v>0.6</v>
      </c>
      <c r="I14" s="31"/>
      <c r="J14" s="35"/>
    </row>
    <row r="15" spans="1:10" x14ac:dyDescent="0.25">
      <c r="B15" s="8" t="s">
        <v>115</v>
      </c>
      <c r="C15" s="56" t="s">
        <v>116</v>
      </c>
      <c r="D15" s="53" t="s">
        <v>117</v>
      </c>
      <c r="E15" s="6" t="s">
        <v>94</v>
      </c>
      <c r="F15" s="19">
        <v>5342</v>
      </c>
      <c r="G15" s="24">
        <v>69.42</v>
      </c>
      <c r="H15" s="24">
        <v>0.56999999999999995</v>
      </c>
      <c r="I15" s="31"/>
      <c r="J15" s="35"/>
    </row>
    <row r="16" spans="1:10" x14ac:dyDescent="0.25">
      <c r="B16" s="8" t="s">
        <v>130</v>
      </c>
      <c r="C16" s="56" t="s">
        <v>131</v>
      </c>
      <c r="D16" s="53" t="s">
        <v>132</v>
      </c>
      <c r="E16" s="6" t="s">
        <v>47</v>
      </c>
      <c r="F16" s="19">
        <v>1865</v>
      </c>
      <c r="G16" s="24">
        <v>67.790000000000006</v>
      </c>
      <c r="H16" s="24">
        <v>0.55000000000000004</v>
      </c>
      <c r="I16" s="31"/>
      <c r="J16" s="35"/>
    </row>
    <row r="17" spans="2:10" x14ac:dyDescent="0.25">
      <c r="B17" s="8" t="s">
        <v>158</v>
      </c>
      <c r="C17" s="56" t="s">
        <v>159</v>
      </c>
      <c r="D17" s="53" t="s">
        <v>160</v>
      </c>
      <c r="E17" s="6" t="s">
        <v>111</v>
      </c>
      <c r="F17" s="19">
        <v>6414</v>
      </c>
      <c r="G17" s="24">
        <v>64.61</v>
      </c>
      <c r="H17" s="24">
        <v>0.53</v>
      </c>
      <c r="I17" s="31"/>
      <c r="J17" s="35"/>
    </row>
    <row r="18" spans="2:10" x14ac:dyDescent="0.25">
      <c r="B18" s="8" t="s">
        <v>769</v>
      </c>
      <c r="C18" s="56" t="s">
        <v>770</v>
      </c>
      <c r="D18" s="53" t="s">
        <v>771</v>
      </c>
      <c r="E18" s="6" t="s">
        <v>111</v>
      </c>
      <c r="F18" s="19">
        <v>7513</v>
      </c>
      <c r="G18" s="24">
        <v>59.84</v>
      </c>
      <c r="H18" s="24">
        <v>0.49</v>
      </c>
      <c r="I18" s="31"/>
      <c r="J18" s="35"/>
    </row>
    <row r="19" spans="2:10" x14ac:dyDescent="0.25">
      <c r="B19" s="8" t="s">
        <v>1582</v>
      </c>
      <c r="C19" s="56" t="s">
        <v>1583</v>
      </c>
      <c r="D19" s="53" t="s">
        <v>1584</v>
      </c>
      <c r="E19" s="6" t="s">
        <v>195</v>
      </c>
      <c r="F19" s="19">
        <v>4072</v>
      </c>
      <c r="G19" s="24">
        <v>58.4</v>
      </c>
      <c r="H19" s="24">
        <v>0.48</v>
      </c>
      <c r="I19" s="31"/>
      <c r="J19" s="35"/>
    </row>
    <row r="20" spans="2:10" x14ac:dyDescent="0.25">
      <c r="B20" s="8" t="s">
        <v>439</v>
      </c>
      <c r="C20" s="56" t="s">
        <v>440</v>
      </c>
      <c r="D20" s="53" t="s">
        <v>441</v>
      </c>
      <c r="E20" s="6" t="s">
        <v>111</v>
      </c>
      <c r="F20" s="19">
        <v>11860</v>
      </c>
      <c r="G20" s="24">
        <v>53.1</v>
      </c>
      <c r="H20" s="24">
        <v>0.43</v>
      </c>
      <c r="I20" s="31"/>
      <c r="J20" s="35"/>
    </row>
    <row r="21" spans="2:10" x14ac:dyDescent="0.25">
      <c r="B21" s="8" t="s">
        <v>87</v>
      </c>
      <c r="C21" s="56" t="s">
        <v>88</v>
      </c>
      <c r="D21" s="53" t="s">
        <v>89</v>
      </c>
      <c r="E21" s="6" t="s">
        <v>90</v>
      </c>
      <c r="F21" s="19">
        <v>3560</v>
      </c>
      <c r="G21" s="24">
        <v>51.03</v>
      </c>
      <c r="H21" s="24">
        <v>0.42</v>
      </c>
      <c r="I21" s="31"/>
      <c r="J21" s="35"/>
    </row>
    <row r="22" spans="2:10" x14ac:dyDescent="0.25">
      <c r="B22" s="8" t="s">
        <v>398</v>
      </c>
      <c r="C22" s="56" t="s">
        <v>399</v>
      </c>
      <c r="D22" s="53" t="s">
        <v>400</v>
      </c>
      <c r="E22" s="6" t="s">
        <v>90</v>
      </c>
      <c r="F22" s="19">
        <v>13795</v>
      </c>
      <c r="G22" s="24">
        <v>50.08</v>
      </c>
      <c r="H22" s="24">
        <v>0.41</v>
      </c>
      <c r="I22" s="31"/>
      <c r="J22" s="35"/>
    </row>
    <row r="23" spans="2:10" x14ac:dyDescent="0.25">
      <c r="B23" s="8" t="s">
        <v>1585</v>
      </c>
      <c r="C23" s="56" t="s">
        <v>1586</v>
      </c>
      <c r="D23" s="53" t="s">
        <v>1587</v>
      </c>
      <c r="E23" s="6" t="s">
        <v>83</v>
      </c>
      <c r="F23" s="19">
        <v>6689</v>
      </c>
      <c r="G23" s="24">
        <v>45.34</v>
      </c>
      <c r="H23" s="24">
        <v>0.37</v>
      </c>
      <c r="I23" s="31"/>
      <c r="J23" s="35"/>
    </row>
    <row r="24" spans="2:10" x14ac:dyDescent="0.25">
      <c r="B24" s="8" t="s">
        <v>1354</v>
      </c>
      <c r="C24" s="56" t="s">
        <v>1355</v>
      </c>
      <c r="D24" s="53" t="s">
        <v>1356</v>
      </c>
      <c r="E24" s="6" t="s">
        <v>826</v>
      </c>
      <c r="F24" s="19">
        <v>20034</v>
      </c>
      <c r="G24" s="24">
        <v>44.21</v>
      </c>
      <c r="H24" s="24">
        <v>0.36</v>
      </c>
      <c r="I24" s="31"/>
      <c r="J24" s="35"/>
    </row>
    <row r="25" spans="2:10" x14ac:dyDescent="0.25">
      <c r="B25" s="8" t="s">
        <v>324</v>
      </c>
      <c r="C25" s="56" t="s">
        <v>325</v>
      </c>
      <c r="D25" s="53" t="s">
        <v>326</v>
      </c>
      <c r="E25" s="6" t="s">
        <v>41</v>
      </c>
      <c r="F25" s="19">
        <v>19625</v>
      </c>
      <c r="G25" s="24">
        <v>42.59</v>
      </c>
      <c r="H25" s="24">
        <v>0.35</v>
      </c>
      <c r="I25" s="31"/>
      <c r="J25" s="35"/>
    </row>
    <row r="26" spans="2:10" x14ac:dyDescent="0.25">
      <c r="B26" s="8" t="s">
        <v>442</v>
      </c>
      <c r="C26" s="56" t="s">
        <v>443</v>
      </c>
      <c r="D26" s="53" t="s">
        <v>444</v>
      </c>
      <c r="E26" s="6" t="s">
        <v>90</v>
      </c>
      <c r="F26" s="19">
        <v>7958</v>
      </c>
      <c r="G26" s="24">
        <v>41.05</v>
      </c>
      <c r="H26" s="24">
        <v>0.33</v>
      </c>
      <c r="I26" s="31"/>
      <c r="J26" s="35"/>
    </row>
    <row r="27" spans="2:10" x14ac:dyDescent="0.25">
      <c r="B27" s="8" t="s">
        <v>161</v>
      </c>
      <c r="C27" s="56" t="s">
        <v>162</v>
      </c>
      <c r="D27" s="53" t="s">
        <v>163</v>
      </c>
      <c r="E27" s="6" t="s">
        <v>94</v>
      </c>
      <c r="F27" s="19">
        <v>9589</v>
      </c>
      <c r="G27" s="24">
        <v>40.36</v>
      </c>
      <c r="H27" s="24">
        <v>0.33</v>
      </c>
      <c r="I27" s="31"/>
      <c r="J27" s="35"/>
    </row>
    <row r="28" spans="2:10" x14ac:dyDescent="0.25">
      <c r="B28" s="8" t="s">
        <v>1592</v>
      </c>
      <c r="C28" s="56" t="s">
        <v>1593</v>
      </c>
      <c r="D28" s="53" t="s">
        <v>1594</v>
      </c>
      <c r="E28" s="6" t="s">
        <v>90</v>
      </c>
      <c r="F28" s="19">
        <v>6486</v>
      </c>
      <c r="G28" s="24">
        <v>37.86</v>
      </c>
      <c r="H28" s="24">
        <v>0.31</v>
      </c>
      <c r="I28" s="31"/>
      <c r="J28" s="35"/>
    </row>
    <row r="29" spans="2:10" x14ac:dyDescent="0.25">
      <c r="B29" s="8" t="s">
        <v>1595</v>
      </c>
      <c r="C29" s="56" t="s">
        <v>1596</v>
      </c>
      <c r="D29" s="53" t="s">
        <v>1597</v>
      </c>
      <c r="E29" s="6" t="s">
        <v>94</v>
      </c>
      <c r="F29" s="19">
        <v>3012</v>
      </c>
      <c r="G29" s="24">
        <v>37.76</v>
      </c>
      <c r="H29" s="24">
        <v>0.31</v>
      </c>
      <c r="I29" s="31"/>
      <c r="J29" s="35"/>
    </row>
    <row r="30" spans="2:10" x14ac:dyDescent="0.25">
      <c r="B30" s="8" t="s">
        <v>1598</v>
      </c>
      <c r="C30" s="56" t="s">
        <v>1599</v>
      </c>
      <c r="D30" s="53" t="s">
        <v>1600</v>
      </c>
      <c r="E30" s="6" t="s">
        <v>196</v>
      </c>
      <c r="F30" s="19">
        <v>32055</v>
      </c>
      <c r="G30" s="24">
        <v>36.82</v>
      </c>
      <c r="H30" s="24">
        <v>0.3</v>
      </c>
      <c r="I30" s="31"/>
      <c r="J30" s="35"/>
    </row>
    <row r="31" spans="2:10" x14ac:dyDescent="0.25">
      <c r="B31" s="8" t="s">
        <v>177</v>
      </c>
      <c r="C31" s="56" t="s">
        <v>178</v>
      </c>
      <c r="D31" s="53" t="s">
        <v>179</v>
      </c>
      <c r="E31" s="6" t="s">
        <v>111</v>
      </c>
      <c r="F31" s="19">
        <v>1311</v>
      </c>
      <c r="G31" s="24">
        <v>36.71</v>
      </c>
      <c r="H31" s="24">
        <v>0.3</v>
      </c>
      <c r="I31" s="31"/>
      <c r="J31" s="35"/>
    </row>
    <row r="32" spans="2:10" x14ac:dyDescent="0.25">
      <c r="B32" s="8" t="s">
        <v>1601</v>
      </c>
      <c r="C32" s="56" t="s">
        <v>1602</v>
      </c>
      <c r="D32" s="53" t="s">
        <v>1603</v>
      </c>
      <c r="E32" s="6" t="s">
        <v>826</v>
      </c>
      <c r="F32" s="19">
        <v>9349</v>
      </c>
      <c r="G32" s="24">
        <v>36.159999999999997</v>
      </c>
      <c r="H32" s="24">
        <v>0.28999999999999998</v>
      </c>
      <c r="I32" s="31"/>
      <c r="J32" s="35"/>
    </row>
    <row r="33" spans="2:10" x14ac:dyDescent="0.25">
      <c r="B33" s="8" t="s">
        <v>805</v>
      </c>
      <c r="C33" s="56" t="s">
        <v>806</v>
      </c>
      <c r="D33" s="53" t="s">
        <v>807</v>
      </c>
      <c r="E33" s="6" t="s">
        <v>55</v>
      </c>
      <c r="F33" s="19">
        <v>19945</v>
      </c>
      <c r="G33" s="24">
        <v>36.03</v>
      </c>
      <c r="H33" s="24">
        <v>0.28999999999999998</v>
      </c>
      <c r="I33" s="31"/>
      <c r="J33" s="35"/>
    </row>
    <row r="34" spans="2:10" x14ac:dyDescent="0.25">
      <c r="B34" s="8" t="s">
        <v>1604</v>
      </c>
      <c r="C34" s="56" t="s">
        <v>1605</v>
      </c>
      <c r="D34" s="53" t="s">
        <v>1606</v>
      </c>
      <c r="E34" s="6" t="s">
        <v>94</v>
      </c>
      <c r="F34" s="19">
        <v>1478</v>
      </c>
      <c r="G34" s="24">
        <v>33.549999999999997</v>
      </c>
      <c r="H34" s="24">
        <v>0.27</v>
      </c>
      <c r="I34" s="31"/>
      <c r="J34" s="35"/>
    </row>
    <row r="35" spans="2:10" x14ac:dyDescent="0.25">
      <c r="B35" s="8" t="s">
        <v>69</v>
      </c>
      <c r="C35" s="56" t="s">
        <v>70</v>
      </c>
      <c r="D35" s="53" t="s">
        <v>71</v>
      </c>
      <c r="E35" s="6" t="s">
        <v>72</v>
      </c>
      <c r="F35" s="19">
        <v>155</v>
      </c>
      <c r="G35" s="24">
        <v>33.07</v>
      </c>
      <c r="H35" s="24">
        <v>0.27</v>
      </c>
      <c r="I35" s="31"/>
      <c r="J35" s="35"/>
    </row>
    <row r="36" spans="2:10" x14ac:dyDescent="0.25">
      <c r="B36" s="8" t="s">
        <v>229</v>
      </c>
      <c r="C36" s="56" t="s">
        <v>230</v>
      </c>
      <c r="D36" s="53" t="s">
        <v>231</v>
      </c>
      <c r="E36" s="6" t="s">
        <v>94</v>
      </c>
      <c r="F36" s="19">
        <v>2892</v>
      </c>
      <c r="G36" s="24">
        <v>32.74</v>
      </c>
      <c r="H36" s="24">
        <v>0.27</v>
      </c>
      <c r="I36" s="31"/>
      <c r="J36" s="35"/>
    </row>
    <row r="37" spans="2:10" x14ac:dyDescent="0.25">
      <c r="B37" s="8" t="s">
        <v>1607</v>
      </c>
      <c r="C37" s="56" t="s">
        <v>1608</v>
      </c>
      <c r="D37" s="53" t="s">
        <v>1609</v>
      </c>
      <c r="E37" s="6" t="s">
        <v>94</v>
      </c>
      <c r="F37" s="19">
        <v>1338</v>
      </c>
      <c r="G37" s="24">
        <v>32.299999999999997</v>
      </c>
      <c r="H37" s="24">
        <v>0.26</v>
      </c>
      <c r="I37" s="31"/>
      <c r="J37" s="35"/>
    </row>
    <row r="38" spans="2:10" x14ac:dyDescent="0.25">
      <c r="B38" s="8" t="s">
        <v>139</v>
      </c>
      <c r="C38" s="56" t="s">
        <v>140</v>
      </c>
      <c r="D38" s="53" t="s">
        <v>141</v>
      </c>
      <c r="E38" s="6" t="s">
        <v>142</v>
      </c>
      <c r="F38" s="19">
        <v>2570</v>
      </c>
      <c r="G38" s="24">
        <v>32.1</v>
      </c>
      <c r="H38" s="24">
        <v>0.26</v>
      </c>
      <c r="I38" s="31"/>
      <c r="J38" s="35"/>
    </row>
    <row r="39" spans="2:10" x14ac:dyDescent="0.25">
      <c r="B39" s="8" t="s">
        <v>370</v>
      </c>
      <c r="C39" s="56" t="s">
        <v>371</v>
      </c>
      <c r="D39" s="53" t="s">
        <v>372</v>
      </c>
      <c r="E39" s="6" t="s">
        <v>41</v>
      </c>
      <c r="F39" s="19">
        <v>2257</v>
      </c>
      <c r="G39" s="24">
        <v>31.45</v>
      </c>
      <c r="H39" s="24">
        <v>0.26</v>
      </c>
      <c r="I39" s="31"/>
      <c r="J39" s="35"/>
    </row>
    <row r="40" spans="2:10" x14ac:dyDescent="0.25">
      <c r="B40" s="8" t="s">
        <v>899</v>
      </c>
      <c r="C40" s="56" t="s">
        <v>900</v>
      </c>
      <c r="D40" s="53" t="s">
        <v>901</v>
      </c>
      <c r="E40" s="6" t="s">
        <v>196</v>
      </c>
      <c r="F40" s="19">
        <v>228</v>
      </c>
      <c r="G40" s="24">
        <v>31.3</v>
      </c>
      <c r="H40" s="24">
        <v>0.25</v>
      </c>
      <c r="I40" s="31"/>
      <c r="J40" s="35"/>
    </row>
    <row r="41" spans="2:10" x14ac:dyDescent="0.25">
      <c r="B41" s="8" t="s">
        <v>2242</v>
      </c>
      <c r="C41" s="56" t="s">
        <v>938</v>
      </c>
      <c r="D41" s="53" t="s">
        <v>2243</v>
      </c>
      <c r="E41" s="6" t="s">
        <v>94</v>
      </c>
      <c r="F41" s="19">
        <v>5002</v>
      </c>
      <c r="G41" s="24">
        <v>30.98</v>
      </c>
      <c r="H41" s="24">
        <v>0.25</v>
      </c>
      <c r="I41" s="31"/>
      <c r="J41" s="35"/>
    </row>
    <row r="42" spans="2:10" x14ac:dyDescent="0.25">
      <c r="B42" s="8" t="s">
        <v>1610</v>
      </c>
      <c r="C42" s="56" t="s">
        <v>1611</v>
      </c>
      <c r="D42" s="53" t="s">
        <v>1612</v>
      </c>
      <c r="E42" s="6" t="s">
        <v>254</v>
      </c>
      <c r="F42" s="19">
        <v>2378</v>
      </c>
      <c r="G42" s="24">
        <v>30.07</v>
      </c>
      <c r="H42" s="24">
        <v>0.24</v>
      </c>
      <c r="I42" s="31"/>
      <c r="J42" s="35"/>
    </row>
    <row r="43" spans="2:10" x14ac:dyDescent="0.25">
      <c r="B43" s="8" t="s">
        <v>255</v>
      </c>
      <c r="C43" s="56" t="s">
        <v>256</v>
      </c>
      <c r="D43" s="53" t="s">
        <v>257</v>
      </c>
      <c r="E43" s="6" t="s">
        <v>51</v>
      </c>
      <c r="F43" s="19">
        <v>10753</v>
      </c>
      <c r="G43" s="24">
        <v>29.36</v>
      </c>
      <c r="H43" s="24">
        <v>0.24</v>
      </c>
      <c r="I43" s="31"/>
      <c r="J43" s="35"/>
    </row>
    <row r="44" spans="2:10" x14ac:dyDescent="0.25">
      <c r="B44" s="8" t="s">
        <v>469</v>
      </c>
      <c r="C44" s="56" t="s">
        <v>470</v>
      </c>
      <c r="D44" s="53" t="s">
        <v>471</v>
      </c>
      <c r="E44" s="6" t="s">
        <v>90</v>
      </c>
      <c r="F44" s="19">
        <v>2966</v>
      </c>
      <c r="G44" s="24">
        <v>28.36</v>
      </c>
      <c r="H44" s="24">
        <v>0.23</v>
      </c>
      <c r="I44" s="31"/>
      <c r="J44" s="35"/>
    </row>
    <row r="45" spans="2:10" x14ac:dyDescent="0.25">
      <c r="B45" s="8" t="s">
        <v>1613</v>
      </c>
      <c r="C45" s="56" t="s">
        <v>1614</v>
      </c>
      <c r="D45" s="53" t="s">
        <v>1615</v>
      </c>
      <c r="E45" s="6" t="s">
        <v>111</v>
      </c>
      <c r="F45" s="19">
        <v>6837</v>
      </c>
      <c r="G45" s="24">
        <v>27.01</v>
      </c>
      <c r="H45" s="24">
        <v>0.22</v>
      </c>
      <c r="I45" s="31"/>
      <c r="J45" s="35"/>
    </row>
    <row r="46" spans="2:10" x14ac:dyDescent="0.25">
      <c r="B46" s="8" t="s">
        <v>1616</v>
      </c>
      <c r="C46" s="56" t="s">
        <v>601</v>
      </c>
      <c r="D46" s="53" t="s">
        <v>1617</v>
      </c>
      <c r="E46" s="6" t="s">
        <v>94</v>
      </c>
      <c r="F46" s="19">
        <v>31030</v>
      </c>
      <c r="G46" s="24">
        <v>26.75</v>
      </c>
      <c r="H46" s="24">
        <v>0.22</v>
      </c>
      <c r="I46" s="31"/>
      <c r="J46" s="35"/>
    </row>
    <row r="47" spans="2:10" x14ac:dyDescent="0.25">
      <c r="B47" s="8" t="s">
        <v>1618</v>
      </c>
      <c r="C47" s="56" t="s">
        <v>1619</v>
      </c>
      <c r="D47" s="53" t="s">
        <v>1620</v>
      </c>
      <c r="E47" s="6" t="s">
        <v>142</v>
      </c>
      <c r="F47" s="19">
        <v>7324</v>
      </c>
      <c r="G47" s="24">
        <v>26.73</v>
      </c>
      <c r="H47" s="24">
        <v>0.22</v>
      </c>
      <c r="I47" s="31"/>
      <c r="J47" s="35"/>
    </row>
    <row r="48" spans="2:10" x14ac:dyDescent="0.25">
      <c r="B48" s="8" t="s">
        <v>294</v>
      </c>
      <c r="C48" s="56" t="s">
        <v>295</v>
      </c>
      <c r="D48" s="53" t="s">
        <v>296</v>
      </c>
      <c r="E48" s="6" t="s">
        <v>274</v>
      </c>
      <c r="F48" s="19">
        <v>16530</v>
      </c>
      <c r="G48" s="24">
        <v>25.23</v>
      </c>
      <c r="H48" s="24">
        <v>0.21</v>
      </c>
      <c r="I48" s="31"/>
      <c r="J48" s="35"/>
    </row>
    <row r="49" spans="2:10" x14ac:dyDescent="0.25">
      <c r="B49" s="8" t="s">
        <v>415</v>
      </c>
      <c r="C49" s="56" t="s">
        <v>416</v>
      </c>
      <c r="D49" s="53" t="s">
        <v>417</v>
      </c>
      <c r="E49" s="6" t="s">
        <v>90</v>
      </c>
      <c r="F49" s="19">
        <v>251</v>
      </c>
      <c r="G49" s="24">
        <v>24.97</v>
      </c>
      <c r="H49" s="24">
        <v>0.2</v>
      </c>
      <c r="I49" s="31"/>
      <c r="J49" s="35"/>
    </row>
    <row r="50" spans="2:10" x14ac:dyDescent="0.25">
      <c r="B50" s="8" t="s">
        <v>454</v>
      </c>
      <c r="C50" s="56" t="s">
        <v>455</v>
      </c>
      <c r="D50" s="53" t="s">
        <v>456</v>
      </c>
      <c r="E50" s="6" t="s">
        <v>111</v>
      </c>
      <c r="F50" s="19">
        <v>142</v>
      </c>
      <c r="G50" s="24">
        <v>23.41</v>
      </c>
      <c r="H50" s="24">
        <v>0.19</v>
      </c>
      <c r="I50" s="31"/>
      <c r="J50" s="35"/>
    </row>
    <row r="51" spans="2:10" x14ac:dyDescent="0.25">
      <c r="B51" s="8" t="s">
        <v>1621</v>
      </c>
      <c r="C51" s="56" t="s">
        <v>1622</v>
      </c>
      <c r="D51" s="53" t="s">
        <v>1623</v>
      </c>
      <c r="E51" s="6" t="s">
        <v>94</v>
      </c>
      <c r="F51" s="19">
        <v>2759</v>
      </c>
      <c r="G51" s="24">
        <v>23.39</v>
      </c>
      <c r="H51" s="24">
        <v>0.19</v>
      </c>
      <c r="I51" s="31"/>
      <c r="J51" s="35"/>
    </row>
    <row r="52" spans="2:10" x14ac:dyDescent="0.25">
      <c r="B52" s="8" t="s">
        <v>1624</v>
      </c>
      <c r="C52" s="56" t="s">
        <v>1625</v>
      </c>
      <c r="D52" s="53" t="s">
        <v>1626</v>
      </c>
      <c r="E52" s="6" t="s">
        <v>886</v>
      </c>
      <c r="F52" s="19">
        <v>24537</v>
      </c>
      <c r="G52" s="24">
        <v>20.18</v>
      </c>
      <c r="H52" s="24">
        <v>0.16</v>
      </c>
      <c r="I52" s="31"/>
      <c r="J52" s="35"/>
    </row>
    <row r="53" spans="2:10" x14ac:dyDescent="0.25">
      <c r="B53" s="8" t="s">
        <v>463</v>
      </c>
      <c r="C53" s="56" t="s">
        <v>464</v>
      </c>
      <c r="D53" s="53" t="s">
        <v>465</v>
      </c>
      <c r="E53" s="6" t="s">
        <v>47</v>
      </c>
      <c r="F53" s="19">
        <v>620</v>
      </c>
      <c r="G53" s="24">
        <v>19.05</v>
      </c>
      <c r="H53" s="24">
        <v>0.16</v>
      </c>
      <c r="I53" s="31"/>
      <c r="J53" s="35"/>
    </row>
    <row r="54" spans="2:10" x14ac:dyDescent="0.25">
      <c r="B54" s="8" t="s">
        <v>1627</v>
      </c>
      <c r="C54" s="56" t="s">
        <v>1628</v>
      </c>
      <c r="D54" s="53" t="s">
        <v>1629</v>
      </c>
      <c r="E54" s="6" t="s">
        <v>261</v>
      </c>
      <c r="F54" s="19">
        <v>7345</v>
      </c>
      <c r="G54" s="24">
        <v>17.760000000000002</v>
      </c>
      <c r="H54" s="24">
        <v>0.14000000000000001</v>
      </c>
      <c r="I54" s="31"/>
      <c r="J54" s="35"/>
    </row>
    <row r="55" spans="2:10" x14ac:dyDescent="0.25">
      <c r="B55" s="8" t="s">
        <v>1630</v>
      </c>
      <c r="C55" s="56" t="s">
        <v>1631</v>
      </c>
      <c r="D55" s="53" t="s">
        <v>1632</v>
      </c>
      <c r="E55" s="6" t="s">
        <v>170</v>
      </c>
      <c r="F55" s="19">
        <v>6772</v>
      </c>
      <c r="G55" s="24">
        <v>14.22</v>
      </c>
      <c r="H55" s="24">
        <v>0.12</v>
      </c>
      <c r="I55" s="31"/>
      <c r="J55" s="35"/>
    </row>
    <row r="56" spans="2:10" x14ac:dyDescent="0.25">
      <c r="B56" s="8" t="s">
        <v>893</v>
      </c>
      <c r="C56" s="56" t="s">
        <v>894</v>
      </c>
      <c r="D56" s="53" t="s">
        <v>895</v>
      </c>
      <c r="E56" s="6" t="s">
        <v>261</v>
      </c>
      <c r="F56" s="19">
        <v>67081</v>
      </c>
      <c r="G56" s="24">
        <v>13.55</v>
      </c>
      <c r="H56" s="24">
        <v>0.11</v>
      </c>
      <c r="I56" s="31"/>
      <c r="J56" s="35"/>
    </row>
    <row r="57" spans="2:10" x14ac:dyDescent="0.25">
      <c r="B57" s="8" t="s">
        <v>817</v>
      </c>
      <c r="C57" s="56" t="s">
        <v>818</v>
      </c>
      <c r="D57" s="53" t="s">
        <v>819</v>
      </c>
      <c r="E57" s="6" t="s">
        <v>51</v>
      </c>
      <c r="F57" s="19">
        <v>32091</v>
      </c>
      <c r="G57" s="24">
        <v>13.17</v>
      </c>
      <c r="H57" s="24">
        <v>0.11</v>
      </c>
      <c r="I57" s="31"/>
      <c r="J57" s="35"/>
    </row>
    <row r="58" spans="2:10" x14ac:dyDescent="0.25">
      <c r="B58" s="8" t="s">
        <v>401</v>
      </c>
      <c r="C58" s="56" t="s">
        <v>402</v>
      </c>
      <c r="D58" s="53" t="s">
        <v>403</v>
      </c>
      <c r="E58" s="6" t="s">
        <v>51</v>
      </c>
      <c r="F58" s="19">
        <v>35193</v>
      </c>
      <c r="G58" s="24">
        <v>10.050000000000001</v>
      </c>
      <c r="H58" s="24">
        <v>0.08</v>
      </c>
      <c r="I58" s="31"/>
      <c r="J58" s="35"/>
    </row>
    <row r="59" spans="2:10" x14ac:dyDescent="0.25">
      <c r="B59" s="8" t="s">
        <v>1633</v>
      </c>
      <c r="C59" s="56" t="s">
        <v>1634</v>
      </c>
      <c r="D59" s="53" t="s">
        <v>1635</v>
      </c>
      <c r="E59" s="6" t="s">
        <v>94</v>
      </c>
      <c r="F59" s="19">
        <v>6561</v>
      </c>
      <c r="G59" s="24">
        <v>7.93</v>
      </c>
      <c r="H59" s="24">
        <v>0.06</v>
      </c>
      <c r="I59" s="31"/>
      <c r="J59" s="35"/>
    </row>
    <row r="60" spans="2:10" x14ac:dyDescent="0.25">
      <c r="C60" s="57" t="s">
        <v>35</v>
      </c>
      <c r="D60" s="53"/>
      <c r="E60" s="6"/>
      <c r="F60" s="19"/>
      <c r="G60" s="25">
        <v>1974.19</v>
      </c>
      <c r="H60" s="25">
        <v>16.079999999999998</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C67" s="59" t="s">
        <v>6</v>
      </c>
      <c r="D67" s="53"/>
      <c r="E67" s="6"/>
      <c r="F67" s="19"/>
      <c r="G67" s="24"/>
      <c r="H67" s="24"/>
      <c r="I67" s="31"/>
      <c r="J67" s="35"/>
    </row>
    <row r="68" spans="1:10" x14ac:dyDescent="0.25">
      <c r="B68" s="8" t="s">
        <v>3064</v>
      </c>
      <c r="C68" s="56" t="s">
        <v>854</v>
      </c>
      <c r="D68" s="53" t="s">
        <v>3065</v>
      </c>
      <c r="E68" s="6" t="s">
        <v>534</v>
      </c>
      <c r="F68" s="19">
        <v>80</v>
      </c>
      <c r="G68" s="24">
        <v>1094.71</v>
      </c>
      <c r="H68" s="24">
        <v>8.91</v>
      </c>
      <c r="I68" s="31">
        <v>4.9649999999999999</v>
      </c>
      <c r="J68" s="35" t="s">
        <v>514</v>
      </c>
    </row>
    <row r="69" spans="1:10" x14ac:dyDescent="0.25">
      <c r="B69" s="8" t="s">
        <v>3066</v>
      </c>
      <c r="C69" s="56" t="s">
        <v>601</v>
      </c>
      <c r="D69" s="53" t="s">
        <v>3067</v>
      </c>
      <c r="E69" s="6" t="s">
        <v>534</v>
      </c>
      <c r="F69" s="19">
        <v>100</v>
      </c>
      <c r="G69" s="24">
        <v>1086.3399999999999</v>
      </c>
      <c r="H69" s="24">
        <v>8.85</v>
      </c>
      <c r="I69" s="31">
        <v>5.4950000000000001</v>
      </c>
      <c r="J69" s="35" t="s">
        <v>514</v>
      </c>
    </row>
    <row r="70" spans="1:10" x14ac:dyDescent="0.25">
      <c r="B70" s="8" t="s">
        <v>1905</v>
      </c>
      <c r="C70" s="56" t="s">
        <v>909</v>
      </c>
      <c r="D70" s="53" t="s">
        <v>1906</v>
      </c>
      <c r="E70" s="6" t="s">
        <v>534</v>
      </c>
      <c r="F70" s="19">
        <v>100</v>
      </c>
      <c r="G70" s="24">
        <v>1074.6300000000001</v>
      </c>
      <c r="H70" s="24">
        <v>8.75</v>
      </c>
      <c r="I70" s="31">
        <v>5.01</v>
      </c>
      <c r="J70" s="35"/>
    </row>
    <row r="71" spans="1:10" x14ac:dyDescent="0.25">
      <c r="B71" s="8" t="s">
        <v>2835</v>
      </c>
      <c r="C71" s="56" t="s">
        <v>125</v>
      </c>
      <c r="D71" s="53" t="s">
        <v>2836</v>
      </c>
      <c r="E71" s="6" t="s">
        <v>534</v>
      </c>
      <c r="F71" s="19">
        <v>100</v>
      </c>
      <c r="G71" s="24">
        <v>1041.6199999999999</v>
      </c>
      <c r="H71" s="24">
        <v>8.48</v>
      </c>
      <c r="I71" s="31">
        <v>5.0250000000000004</v>
      </c>
      <c r="J71" s="35" t="s">
        <v>514</v>
      </c>
    </row>
    <row r="72" spans="1:10" x14ac:dyDescent="0.25">
      <c r="B72" s="8" t="s">
        <v>2841</v>
      </c>
      <c r="C72" s="56" t="s">
        <v>1130</v>
      </c>
      <c r="D72" s="53" t="s">
        <v>2842</v>
      </c>
      <c r="E72" s="6" t="s">
        <v>911</v>
      </c>
      <c r="F72" s="19">
        <v>100</v>
      </c>
      <c r="G72" s="24">
        <v>1041.23</v>
      </c>
      <c r="H72" s="24">
        <v>8.48</v>
      </c>
      <c r="I72" s="31">
        <v>4.88</v>
      </c>
      <c r="J72" s="35" t="s">
        <v>514</v>
      </c>
    </row>
    <row r="73" spans="1:10" x14ac:dyDescent="0.25">
      <c r="B73" s="8" t="s">
        <v>1748</v>
      </c>
      <c r="C73" s="56" t="s">
        <v>1749</v>
      </c>
      <c r="D73" s="53" t="s">
        <v>1750</v>
      </c>
      <c r="E73" s="6" t="s">
        <v>911</v>
      </c>
      <c r="F73" s="19">
        <v>100</v>
      </c>
      <c r="G73" s="24">
        <v>1039.18</v>
      </c>
      <c r="H73" s="24">
        <v>8.4600000000000009</v>
      </c>
      <c r="I73" s="31">
        <v>5.1607000000000003</v>
      </c>
      <c r="J73" s="35" t="s">
        <v>514</v>
      </c>
    </row>
    <row r="74" spans="1:10" x14ac:dyDescent="0.25">
      <c r="B74" s="8" t="s">
        <v>2806</v>
      </c>
      <c r="C74" s="56" t="s">
        <v>1376</v>
      </c>
      <c r="D74" s="53" t="s">
        <v>2807</v>
      </c>
      <c r="E74" s="6" t="s">
        <v>534</v>
      </c>
      <c r="F74" s="19">
        <v>55</v>
      </c>
      <c r="G74" s="24">
        <v>580.58000000000004</v>
      </c>
      <c r="H74" s="24">
        <v>4.7300000000000004</v>
      </c>
      <c r="I74" s="31">
        <v>5.43</v>
      </c>
      <c r="J74" s="35" t="s">
        <v>514</v>
      </c>
    </row>
    <row r="75" spans="1:10" x14ac:dyDescent="0.25">
      <c r="B75" s="8" t="s">
        <v>2804</v>
      </c>
      <c r="C75" s="56" t="s">
        <v>1376</v>
      </c>
      <c r="D75" s="53" t="s">
        <v>2805</v>
      </c>
      <c r="E75" s="6" t="s">
        <v>534</v>
      </c>
      <c r="F75" s="19">
        <v>50</v>
      </c>
      <c r="G75" s="24">
        <v>536.71</v>
      </c>
      <c r="H75" s="24">
        <v>4.37</v>
      </c>
      <c r="I75" s="31">
        <v>5.6</v>
      </c>
      <c r="J75" s="35" t="s">
        <v>514</v>
      </c>
    </row>
    <row r="76" spans="1:10" x14ac:dyDescent="0.25">
      <c r="B76" s="8" t="s">
        <v>2758</v>
      </c>
      <c r="C76" s="56" t="s">
        <v>77</v>
      </c>
      <c r="D76" s="53" t="s">
        <v>2759</v>
      </c>
      <c r="E76" s="6" t="s">
        <v>534</v>
      </c>
      <c r="F76" s="19">
        <v>50</v>
      </c>
      <c r="G76" s="24">
        <v>523.47</v>
      </c>
      <c r="H76" s="24">
        <v>4.26</v>
      </c>
      <c r="I76" s="31">
        <v>5.2249999999999996</v>
      </c>
      <c r="J76" s="35" t="s">
        <v>514</v>
      </c>
    </row>
    <row r="77" spans="1:10" x14ac:dyDescent="0.25">
      <c r="B77" s="8" t="s">
        <v>2988</v>
      </c>
      <c r="C77" s="56" t="s">
        <v>53</v>
      </c>
      <c r="D77" s="53" t="s">
        <v>2989</v>
      </c>
      <c r="E77" s="6" t="s">
        <v>534</v>
      </c>
      <c r="F77" s="19">
        <v>50</v>
      </c>
      <c r="G77" s="24">
        <v>522.29999999999995</v>
      </c>
      <c r="H77" s="24">
        <v>4.25</v>
      </c>
      <c r="I77" s="31">
        <v>4.88</v>
      </c>
      <c r="J77" s="35"/>
    </row>
    <row r="78" spans="1:10" x14ac:dyDescent="0.25">
      <c r="B78" s="8" t="s">
        <v>1911</v>
      </c>
      <c r="C78" s="56" t="s">
        <v>857</v>
      </c>
      <c r="D78" s="53" t="s">
        <v>1912</v>
      </c>
      <c r="E78" s="6" t="s">
        <v>534</v>
      </c>
      <c r="F78" s="19">
        <v>50</v>
      </c>
      <c r="G78" s="24">
        <v>518.12</v>
      </c>
      <c r="H78" s="24">
        <v>4.22</v>
      </c>
      <c r="I78" s="31">
        <v>4.9800000000000004</v>
      </c>
      <c r="J78" s="35" t="s">
        <v>514</v>
      </c>
    </row>
    <row r="79" spans="1:10" x14ac:dyDescent="0.25">
      <c r="B79" s="8" t="s">
        <v>1947</v>
      </c>
      <c r="C79" s="56" t="s">
        <v>172</v>
      </c>
      <c r="D79" s="53" t="s">
        <v>1948</v>
      </c>
      <c r="E79" s="6" t="s">
        <v>534</v>
      </c>
      <c r="F79" s="19">
        <v>20</v>
      </c>
      <c r="G79" s="24">
        <v>207.09</v>
      </c>
      <c r="H79" s="24">
        <v>1.69</v>
      </c>
      <c r="I79" s="31">
        <v>4.8455000000000004</v>
      </c>
      <c r="J79" s="35" t="s">
        <v>514</v>
      </c>
    </row>
    <row r="80" spans="1:10" x14ac:dyDescent="0.25">
      <c r="C80" s="57" t="s">
        <v>35</v>
      </c>
      <c r="D80" s="53"/>
      <c r="E80" s="6"/>
      <c r="F80" s="19"/>
      <c r="G80" s="25">
        <v>9265.98</v>
      </c>
      <c r="H80" s="25">
        <v>75.45</v>
      </c>
      <c r="I80" s="31"/>
      <c r="J80" s="35"/>
    </row>
    <row r="81" spans="2:10" x14ac:dyDescent="0.25">
      <c r="C81" s="56"/>
      <c r="D81" s="53"/>
      <c r="E81" s="6"/>
      <c r="F81" s="19"/>
      <c r="G81" s="24"/>
      <c r="H81" s="24"/>
      <c r="I81" s="31"/>
      <c r="J81" s="35"/>
    </row>
    <row r="82" spans="2:10" x14ac:dyDescent="0.25">
      <c r="C82" s="57" t="s">
        <v>7</v>
      </c>
      <c r="D82" s="53"/>
      <c r="E82" s="6"/>
      <c r="F82" s="19"/>
      <c r="G82" s="24" t="s">
        <v>2</v>
      </c>
      <c r="H82" s="24" t="s">
        <v>2</v>
      </c>
      <c r="I82" s="31"/>
      <c r="J82" s="35"/>
    </row>
    <row r="83" spans="2:10" x14ac:dyDescent="0.25">
      <c r="C83" s="56"/>
      <c r="D83" s="53"/>
      <c r="E83" s="6"/>
      <c r="F83" s="19"/>
      <c r="G83" s="24"/>
      <c r="H83" s="24"/>
      <c r="I83" s="31"/>
      <c r="J83" s="35"/>
    </row>
    <row r="84" spans="2:10" x14ac:dyDescent="0.25">
      <c r="C84" s="57" t="s">
        <v>8</v>
      </c>
      <c r="D84" s="53"/>
      <c r="E84" s="6"/>
      <c r="F84" s="19"/>
      <c r="G84" s="24" t="s">
        <v>2</v>
      </c>
      <c r="H84" s="24" t="s">
        <v>2</v>
      </c>
      <c r="I84" s="31"/>
      <c r="J84" s="35"/>
    </row>
    <row r="85" spans="2:10" x14ac:dyDescent="0.25">
      <c r="C85" s="56"/>
      <c r="D85" s="53"/>
      <c r="E85" s="6"/>
      <c r="F85" s="19"/>
      <c r="G85" s="24"/>
      <c r="H85" s="24"/>
      <c r="I85" s="31"/>
      <c r="J85" s="35"/>
    </row>
    <row r="86" spans="2:10" x14ac:dyDescent="0.25">
      <c r="C86" s="57" t="s">
        <v>9</v>
      </c>
      <c r="D86" s="53"/>
      <c r="E86" s="6"/>
      <c r="F86" s="19"/>
      <c r="G86" s="24" t="s">
        <v>2</v>
      </c>
      <c r="H86" s="24" t="s">
        <v>2</v>
      </c>
      <c r="I86" s="31"/>
      <c r="J86" s="35"/>
    </row>
    <row r="87" spans="2:10" x14ac:dyDescent="0.25">
      <c r="C87" s="56"/>
      <c r="D87" s="53"/>
      <c r="E87" s="6"/>
      <c r="F87" s="19"/>
      <c r="G87" s="24"/>
      <c r="H87" s="24"/>
      <c r="I87" s="31"/>
      <c r="J87" s="35"/>
    </row>
    <row r="88" spans="2:10" x14ac:dyDescent="0.25">
      <c r="C88" s="59" t="s">
        <v>10</v>
      </c>
      <c r="D88" s="53"/>
      <c r="E88" s="6"/>
      <c r="F88" s="19"/>
      <c r="G88" s="24"/>
      <c r="H88" s="24"/>
      <c r="I88" s="31"/>
      <c r="J88" s="35"/>
    </row>
    <row r="89" spans="2:10" x14ac:dyDescent="0.25">
      <c r="B89" s="8" t="s">
        <v>2995</v>
      </c>
      <c r="C89" s="56" t="s">
        <v>2996</v>
      </c>
      <c r="D89" s="53" t="s">
        <v>2997</v>
      </c>
      <c r="E89" s="6" t="s">
        <v>655</v>
      </c>
      <c r="F89" s="19">
        <v>550000</v>
      </c>
      <c r="G89" s="24">
        <v>589.14</v>
      </c>
      <c r="H89" s="24">
        <v>4.8</v>
      </c>
      <c r="I89" s="31">
        <v>5.2473999999999998</v>
      </c>
      <c r="J89" s="35"/>
    </row>
    <row r="90" spans="2:10" x14ac:dyDescent="0.25">
      <c r="C90" s="57" t="s">
        <v>35</v>
      </c>
      <c r="D90" s="53"/>
      <c r="E90" s="6"/>
      <c r="F90" s="19"/>
      <c r="G90" s="25">
        <v>589.14</v>
      </c>
      <c r="H90" s="25">
        <v>4.8</v>
      </c>
      <c r="I90" s="31"/>
      <c r="J90" s="35"/>
    </row>
    <row r="91" spans="2:10" x14ac:dyDescent="0.25">
      <c r="C91" s="56"/>
      <c r="D91" s="53"/>
      <c r="E91" s="6"/>
      <c r="F91" s="19"/>
      <c r="G91" s="24"/>
      <c r="H91" s="24"/>
      <c r="I91" s="31"/>
      <c r="J91" s="35"/>
    </row>
    <row r="92" spans="2:10" x14ac:dyDescent="0.25">
      <c r="C92" s="57" t="s">
        <v>11</v>
      </c>
      <c r="D92" s="53"/>
      <c r="E92" s="6"/>
      <c r="F92" s="19"/>
      <c r="G92" s="24"/>
      <c r="H92" s="24"/>
      <c r="I92" s="31"/>
      <c r="J92" s="35"/>
    </row>
    <row r="93" spans="2:10" x14ac:dyDescent="0.25">
      <c r="C93" s="56"/>
      <c r="D93" s="53"/>
      <c r="E93" s="6"/>
      <c r="F93" s="19"/>
      <c r="G93" s="24"/>
      <c r="H93" s="24"/>
      <c r="I93" s="31"/>
      <c r="J93" s="35"/>
    </row>
    <row r="94" spans="2:10" x14ac:dyDescent="0.25">
      <c r="C94" s="57" t="s">
        <v>13</v>
      </c>
      <c r="D94" s="53"/>
      <c r="E94" s="6"/>
      <c r="F94" s="19"/>
      <c r="G94" s="24" t="s">
        <v>2</v>
      </c>
      <c r="H94" s="24" t="s">
        <v>2</v>
      </c>
      <c r="I94" s="31"/>
      <c r="J94" s="35"/>
    </row>
    <row r="95" spans="2:10" x14ac:dyDescent="0.25">
      <c r="C95" s="56"/>
      <c r="D95" s="53"/>
      <c r="E95" s="6"/>
      <c r="F95" s="19"/>
      <c r="G95" s="24"/>
      <c r="H95" s="24"/>
      <c r="I95" s="31"/>
      <c r="J95" s="35"/>
    </row>
    <row r="96" spans="2:10" x14ac:dyDescent="0.25">
      <c r="C96" s="57" t="s">
        <v>14</v>
      </c>
      <c r="D96" s="53"/>
      <c r="E96" s="6"/>
      <c r="F96" s="19"/>
      <c r="G96" s="24" t="s">
        <v>2</v>
      </c>
      <c r="H96" s="24" t="s">
        <v>2</v>
      </c>
      <c r="I96" s="31"/>
      <c r="J96" s="35"/>
    </row>
    <row r="97" spans="1:10" x14ac:dyDescent="0.25">
      <c r="C97" s="56"/>
      <c r="D97" s="53"/>
      <c r="E97" s="6"/>
      <c r="F97" s="19"/>
      <c r="G97" s="24"/>
      <c r="H97" s="24"/>
      <c r="I97" s="31"/>
      <c r="J97" s="35"/>
    </row>
    <row r="98" spans="1:10" x14ac:dyDescent="0.25">
      <c r="C98" s="57" t="s">
        <v>15</v>
      </c>
      <c r="D98" s="53"/>
      <c r="E98" s="6"/>
      <c r="F98" s="19"/>
      <c r="G98" s="24" t="s">
        <v>2</v>
      </c>
      <c r="H98" s="24" t="s">
        <v>2</v>
      </c>
      <c r="I98" s="31"/>
      <c r="J98" s="35"/>
    </row>
    <row r="99" spans="1:10" x14ac:dyDescent="0.25">
      <c r="C99" s="56"/>
      <c r="D99" s="53"/>
      <c r="E99" s="6"/>
      <c r="F99" s="19"/>
      <c r="G99" s="24"/>
      <c r="H99" s="24"/>
      <c r="I99" s="31"/>
      <c r="J99" s="35"/>
    </row>
    <row r="100" spans="1:10" x14ac:dyDescent="0.25">
      <c r="C100" s="57" t="s">
        <v>16</v>
      </c>
      <c r="D100" s="53"/>
      <c r="E100" s="6"/>
      <c r="F100" s="19"/>
      <c r="G100" s="24" t="s">
        <v>2</v>
      </c>
      <c r="H100" s="24" t="s">
        <v>2</v>
      </c>
      <c r="I100" s="31"/>
      <c r="J100" s="35"/>
    </row>
    <row r="101" spans="1:10" x14ac:dyDescent="0.25">
      <c r="C101" s="56"/>
      <c r="D101" s="53"/>
      <c r="E101" s="6"/>
      <c r="F101" s="19"/>
      <c r="G101" s="24"/>
      <c r="H101" s="24"/>
      <c r="I101" s="31"/>
      <c r="J101" s="35"/>
    </row>
    <row r="102" spans="1:10" x14ac:dyDescent="0.25">
      <c r="A102" s="10"/>
      <c r="B102" s="28"/>
      <c r="C102" s="58" t="s">
        <v>17</v>
      </c>
      <c r="D102" s="53"/>
      <c r="E102" s="6"/>
      <c r="F102" s="19"/>
      <c r="G102" s="24"/>
      <c r="H102" s="24"/>
      <c r="I102" s="31"/>
      <c r="J102" s="35"/>
    </row>
    <row r="103" spans="1:10" x14ac:dyDescent="0.25">
      <c r="A103" s="28"/>
      <c r="B103" s="28"/>
      <c r="C103" s="58" t="s">
        <v>18</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A105" s="28"/>
      <c r="B105" s="28"/>
      <c r="C105" s="58" t="s">
        <v>19</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A107" s="28"/>
      <c r="B107" s="28"/>
      <c r="C107" s="58" t="s">
        <v>20</v>
      </c>
      <c r="D107" s="53"/>
      <c r="E107" s="6"/>
      <c r="F107" s="19"/>
      <c r="G107" s="24" t="s">
        <v>2</v>
      </c>
      <c r="H107" s="24" t="s">
        <v>2</v>
      </c>
      <c r="I107" s="31"/>
      <c r="J107" s="35"/>
    </row>
    <row r="108" spans="1:10" x14ac:dyDescent="0.25">
      <c r="A108" s="28"/>
      <c r="B108" s="28"/>
      <c r="C108" s="58"/>
      <c r="D108" s="53"/>
      <c r="E108" s="6"/>
      <c r="F108" s="19"/>
      <c r="G108" s="24"/>
      <c r="H108" s="24"/>
      <c r="I108" s="31"/>
      <c r="J108" s="35"/>
    </row>
    <row r="109" spans="1:10" x14ac:dyDescent="0.25">
      <c r="A109" s="28"/>
      <c r="B109" s="28"/>
      <c r="C109" s="58" t="s">
        <v>21</v>
      </c>
      <c r="D109" s="53"/>
      <c r="E109" s="6"/>
      <c r="F109" s="19"/>
      <c r="G109" s="24" t="s">
        <v>2</v>
      </c>
      <c r="H109" s="24" t="s">
        <v>2</v>
      </c>
      <c r="I109" s="31"/>
      <c r="J109" s="35"/>
    </row>
    <row r="110" spans="1:10" x14ac:dyDescent="0.25">
      <c r="A110" s="28"/>
      <c r="B110" s="28"/>
      <c r="C110" s="58"/>
      <c r="D110" s="53"/>
      <c r="E110" s="6"/>
      <c r="F110" s="19"/>
      <c r="G110" s="24"/>
      <c r="H110" s="24"/>
      <c r="I110" s="31"/>
      <c r="J110" s="35"/>
    </row>
    <row r="111" spans="1:10" x14ac:dyDescent="0.25">
      <c r="C111" s="59" t="s">
        <v>22</v>
      </c>
      <c r="D111" s="53"/>
      <c r="E111" s="6"/>
      <c r="F111" s="19"/>
      <c r="G111" s="24"/>
      <c r="H111" s="24"/>
      <c r="I111" s="31"/>
      <c r="J111" s="35"/>
    </row>
    <row r="112" spans="1:10" x14ac:dyDescent="0.25">
      <c r="B112" s="8" t="s">
        <v>33</v>
      </c>
      <c r="C112" s="56" t="s">
        <v>34</v>
      </c>
      <c r="D112" s="53"/>
      <c r="E112" s="6"/>
      <c r="F112" s="19"/>
      <c r="G112" s="24">
        <v>117.3</v>
      </c>
      <c r="H112" s="24">
        <v>0.96</v>
      </c>
      <c r="I112" s="31"/>
      <c r="J112" s="35"/>
    </row>
    <row r="113" spans="1:10" x14ac:dyDescent="0.25">
      <c r="C113" s="57" t="s">
        <v>35</v>
      </c>
      <c r="D113" s="53"/>
      <c r="E113" s="6"/>
      <c r="F113" s="19"/>
      <c r="G113" s="25">
        <v>117.3</v>
      </c>
      <c r="H113" s="25">
        <v>0.96</v>
      </c>
      <c r="I113" s="31"/>
      <c r="J113" s="35"/>
    </row>
    <row r="114" spans="1:10" x14ac:dyDescent="0.25">
      <c r="C114" s="56"/>
      <c r="D114" s="53"/>
      <c r="E114" s="6"/>
      <c r="F114" s="19"/>
      <c r="G114" s="24"/>
      <c r="H114" s="24"/>
      <c r="I114" s="31"/>
      <c r="J114" s="35"/>
    </row>
    <row r="115" spans="1:10" x14ac:dyDescent="0.25">
      <c r="A115" s="10"/>
      <c r="B115" s="28"/>
      <c r="C115" s="58" t="s">
        <v>23</v>
      </c>
      <c r="D115" s="53"/>
      <c r="E115" s="6"/>
      <c r="F115" s="19"/>
      <c r="G115" s="24"/>
      <c r="H115" s="24"/>
      <c r="I115" s="31"/>
      <c r="J115" s="35"/>
    </row>
    <row r="116" spans="1:10" x14ac:dyDescent="0.25">
      <c r="A116" s="28"/>
      <c r="B116" s="28"/>
      <c r="C116" s="60" t="s">
        <v>3398</v>
      </c>
      <c r="D116" s="53"/>
      <c r="E116" s="6"/>
      <c r="F116" s="19"/>
      <c r="G116" s="24" t="s">
        <v>2</v>
      </c>
      <c r="H116" s="24" t="s">
        <v>2</v>
      </c>
      <c r="I116" s="31"/>
      <c r="J116" s="35"/>
    </row>
    <row r="117" spans="1:10" x14ac:dyDescent="0.25">
      <c r="B117" s="8"/>
      <c r="C117" s="56" t="s">
        <v>36</v>
      </c>
      <c r="D117" s="53"/>
      <c r="E117" s="6"/>
      <c r="F117" s="19"/>
      <c r="G117" s="24">
        <v>335.27</v>
      </c>
      <c r="H117" s="24">
        <v>2.71</v>
      </c>
      <c r="I117" s="31"/>
      <c r="J117" s="35"/>
    </row>
    <row r="118" spans="1:10" x14ac:dyDescent="0.25">
      <c r="C118" s="57" t="s">
        <v>35</v>
      </c>
      <c r="D118" s="53"/>
      <c r="E118" s="6"/>
      <c r="F118" s="19"/>
      <c r="G118" s="25">
        <v>335.27</v>
      </c>
      <c r="H118" s="25">
        <v>2.71</v>
      </c>
      <c r="I118" s="31"/>
      <c r="J118" s="35"/>
    </row>
    <row r="119" spans="1:10" x14ac:dyDescent="0.25">
      <c r="C119" s="56"/>
      <c r="D119" s="53"/>
      <c r="E119" s="6"/>
      <c r="F119" s="19"/>
      <c r="G119" s="24"/>
      <c r="H119" s="24"/>
      <c r="I119" s="31"/>
      <c r="J119" s="35"/>
    </row>
    <row r="120" spans="1:10" x14ac:dyDescent="0.25">
      <c r="C120" s="61" t="s">
        <v>37</v>
      </c>
      <c r="D120" s="54"/>
      <c r="E120" s="5"/>
      <c r="F120" s="20"/>
      <c r="G120" s="26">
        <v>12281.88</v>
      </c>
      <c r="H120" s="26">
        <f>SUMIFS(H:H,C:C,"Total")</f>
        <v>99.999999999999986</v>
      </c>
      <c r="I120" s="32"/>
      <c r="J120" s="36"/>
    </row>
    <row r="123" spans="1:10" x14ac:dyDescent="0.25">
      <c r="C123" s="1" t="s">
        <v>38</v>
      </c>
    </row>
    <row r="124" spans="1:10" x14ac:dyDescent="0.25">
      <c r="C124" s="2" t="s">
        <v>39</v>
      </c>
    </row>
    <row r="125" spans="1:10" x14ac:dyDescent="0.25">
      <c r="C125" s="2" t="s">
        <v>40</v>
      </c>
    </row>
    <row r="126" spans="1:10" x14ac:dyDescent="0.25">
      <c r="C126" s="2" t="s">
        <v>3430</v>
      </c>
    </row>
  </sheetData>
  <hyperlinks>
    <hyperlink ref="J2" location="'Index'!A1" display="'Index'!A1"/>
  </hyperlinks>
  <pageMargins left="0.7" right="0.7" top="0.75" bottom="0.75" header="0.3" footer="0.3"/>
  <pageSetup orientation="portrait" horizontalDpi="4294967293"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9"/>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3068</v>
      </c>
      <c r="J2" s="37" t="s">
        <v>3307</v>
      </c>
    </row>
    <row r="3" spans="1:10" ht="16.5" x14ac:dyDescent="0.3">
      <c r="C3" s="1" t="s">
        <v>24</v>
      </c>
      <c r="D3" s="21" t="s">
        <v>3069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1880</v>
      </c>
      <c r="C18" s="56" t="s">
        <v>601</v>
      </c>
      <c r="D18" s="53" t="s">
        <v>1881</v>
      </c>
      <c r="E18" s="6" t="s">
        <v>534</v>
      </c>
      <c r="F18" s="19">
        <v>80</v>
      </c>
      <c r="G18" s="24">
        <v>848.73</v>
      </c>
      <c r="H18" s="24">
        <v>8.26</v>
      </c>
      <c r="I18" s="31">
        <v>4.9400000000000004</v>
      </c>
      <c r="J18" s="35" t="s">
        <v>514</v>
      </c>
    </row>
    <row r="19" spans="2:10" x14ac:dyDescent="0.25">
      <c r="B19" s="8" t="s">
        <v>3057</v>
      </c>
      <c r="C19" s="56" t="s">
        <v>1143</v>
      </c>
      <c r="D19" s="53" t="s">
        <v>3058</v>
      </c>
      <c r="E19" s="6" t="s">
        <v>534</v>
      </c>
      <c r="F19" s="19">
        <v>80000</v>
      </c>
      <c r="G19" s="24">
        <v>840.05</v>
      </c>
      <c r="H19" s="24">
        <v>8.17</v>
      </c>
      <c r="I19" s="31">
        <v>5.5899000000000001</v>
      </c>
      <c r="J19" s="35" t="s">
        <v>514</v>
      </c>
    </row>
    <row r="20" spans="2:10" x14ac:dyDescent="0.25">
      <c r="B20" s="8" t="s">
        <v>3070</v>
      </c>
      <c r="C20" s="56" t="s">
        <v>2421</v>
      </c>
      <c r="D20" s="53" t="s">
        <v>3071</v>
      </c>
      <c r="E20" s="6" t="s">
        <v>534</v>
      </c>
      <c r="F20" s="19">
        <v>80</v>
      </c>
      <c r="G20" s="24">
        <v>838.87</v>
      </c>
      <c r="H20" s="24">
        <v>8.16</v>
      </c>
      <c r="I20" s="31">
        <v>5.2350000000000003</v>
      </c>
      <c r="J20" s="35" t="s">
        <v>514</v>
      </c>
    </row>
    <row r="21" spans="2:10" x14ac:dyDescent="0.25">
      <c r="B21" s="8" t="s">
        <v>2784</v>
      </c>
      <c r="C21" s="56" t="s">
        <v>1752</v>
      </c>
      <c r="D21" s="53" t="s">
        <v>2785</v>
      </c>
      <c r="E21" s="6" t="s">
        <v>1314</v>
      </c>
      <c r="F21" s="19">
        <v>80</v>
      </c>
      <c r="G21" s="24">
        <v>836.76</v>
      </c>
      <c r="H21" s="24">
        <v>8.14</v>
      </c>
      <c r="I21" s="31">
        <v>4.6050000000000004</v>
      </c>
      <c r="J21" s="35" t="s">
        <v>514</v>
      </c>
    </row>
    <row r="22" spans="2:10" x14ac:dyDescent="0.25">
      <c r="B22" s="8" t="s">
        <v>1887</v>
      </c>
      <c r="C22" s="56" t="s">
        <v>909</v>
      </c>
      <c r="D22" s="53" t="s">
        <v>1888</v>
      </c>
      <c r="E22" s="6" t="s">
        <v>534</v>
      </c>
      <c r="F22" s="19">
        <v>80</v>
      </c>
      <c r="G22" s="24">
        <v>834.09</v>
      </c>
      <c r="H22" s="24">
        <v>8.11</v>
      </c>
      <c r="I22" s="31">
        <v>4.66</v>
      </c>
      <c r="J22" s="35" t="s">
        <v>514</v>
      </c>
    </row>
    <row r="23" spans="2:10" x14ac:dyDescent="0.25">
      <c r="B23" s="8" t="s">
        <v>2835</v>
      </c>
      <c r="C23" s="56" t="s">
        <v>125</v>
      </c>
      <c r="D23" s="53" t="s">
        <v>2836</v>
      </c>
      <c r="E23" s="6" t="s">
        <v>534</v>
      </c>
      <c r="F23" s="19">
        <v>80</v>
      </c>
      <c r="G23" s="24">
        <v>833.29</v>
      </c>
      <c r="H23" s="24">
        <v>8.11</v>
      </c>
      <c r="I23" s="31">
        <v>5.0250000000000004</v>
      </c>
      <c r="J23" s="35" t="s">
        <v>514</v>
      </c>
    </row>
    <row r="24" spans="2:10" x14ac:dyDescent="0.25">
      <c r="B24" s="8" t="s">
        <v>2640</v>
      </c>
      <c r="C24" s="56" t="s">
        <v>2641</v>
      </c>
      <c r="D24" s="53" t="s">
        <v>2642</v>
      </c>
      <c r="E24" s="6" t="s">
        <v>2643</v>
      </c>
      <c r="F24" s="19">
        <v>75</v>
      </c>
      <c r="G24" s="24">
        <v>805.45</v>
      </c>
      <c r="H24" s="24">
        <v>7.83</v>
      </c>
      <c r="I24" s="31">
        <v>4.4598000000000004</v>
      </c>
      <c r="J24" s="35" t="s">
        <v>514</v>
      </c>
    </row>
    <row r="25" spans="2:10" x14ac:dyDescent="0.25">
      <c r="B25" s="8" t="s">
        <v>1744</v>
      </c>
      <c r="C25" s="56" t="s">
        <v>77</v>
      </c>
      <c r="D25" s="53" t="s">
        <v>1745</v>
      </c>
      <c r="E25" s="6" t="s">
        <v>534</v>
      </c>
      <c r="F25" s="19">
        <v>70</v>
      </c>
      <c r="G25" s="24">
        <v>735.83</v>
      </c>
      <c r="H25" s="24">
        <v>7.16</v>
      </c>
      <c r="I25" s="31">
        <v>4.6749999999999998</v>
      </c>
      <c r="J25" s="35" t="s">
        <v>514</v>
      </c>
    </row>
    <row r="26" spans="2:10" x14ac:dyDescent="0.25">
      <c r="B26" s="8" t="s">
        <v>1907</v>
      </c>
      <c r="C26" s="56" t="s">
        <v>1130</v>
      </c>
      <c r="D26" s="53" t="s">
        <v>1908</v>
      </c>
      <c r="E26" s="6" t="s">
        <v>911</v>
      </c>
      <c r="F26" s="19">
        <v>70</v>
      </c>
      <c r="G26" s="24">
        <v>732.46</v>
      </c>
      <c r="H26" s="24">
        <v>7.12</v>
      </c>
      <c r="I26" s="31">
        <v>4.8</v>
      </c>
      <c r="J26" s="35" t="s">
        <v>514</v>
      </c>
    </row>
    <row r="27" spans="2:10" x14ac:dyDescent="0.25">
      <c r="B27" s="8" t="s">
        <v>2153</v>
      </c>
      <c r="C27" s="56" t="s">
        <v>1376</v>
      </c>
      <c r="D27" s="53" t="s">
        <v>2154</v>
      </c>
      <c r="E27" s="6" t="s">
        <v>534</v>
      </c>
      <c r="F27" s="19">
        <v>70</v>
      </c>
      <c r="G27" s="24">
        <v>725.91</v>
      </c>
      <c r="H27" s="24">
        <v>7.06</v>
      </c>
      <c r="I27" s="31">
        <v>4.97</v>
      </c>
      <c r="J27" s="35" t="s">
        <v>514</v>
      </c>
    </row>
    <row r="28" spans="2:10" x14ac:dyDescent="0.25">
      <c r="B28" s="8" t="s">
        <v>3036</v>
      </c>
      <c r="C28" s="56" t="s">
        <v>53</v>
      </c>
      <c r="D28" s="53" t="s">
        <v>3037</v>
      </c>
      <c r="E28" s="6" t="s">
        <v>534</v>
      </c>
      <c r="F28" s="19">
        <v>60</v>
      </c>
      <c r="G28" s="24">
        <v>623.48</v>
      </c>
      <c r="H28" s="24">
        <v>6.06</v>
      </c>
      <c r="I28" s="31">
        <v>4.8049999999999997</v>
      </c>
      <c r="J28" s="35" t="s">
        <v>514</v>
      </c>
    </row>
    <row r="29" spans="2:10" x14ac:dyDescent="0.25">
      <c r="B29" s="8" t="s">
        <v>2855</v>
      </c>
      <c r="C29" s="56" t="s">
        <v>1127</v>
      </c>
      <c r="D29" s="53" t="s">
        <v>2856</v>
      </c>
      <c r="E29" s="6" t="s">
        <v>534</v>
      </c>
      <c r="F29" s="19">
        <v>40</v>
      </c>
      <c r="G29" s="24">
        <v>420.19</v>
      </c>
      <c r="H29" s="24">
        <v>4.09</v>
      </c>
      <c r="I29" s="31">
        <v>5.0999999999999996</v>
      </c>
      <c r="J29" s="35"/>
    </row>
    <row r="30" spans="2:10" x14ac:dyDescent="0.25">
      <c r="B30" s="8" t="s">
        <v>2912</v>
      </c>
      <c r="C30" s="56" t="s">
        <v>854</v>
      </c>
      <c r="D30" s="53" t="s">
        <v>2913</v>
      </c>
      <c r="E30" s="6" t="s">
        <v>534</v>
      </c>
      <c r="F30" s="19">
        <v>24</v>
      </c>
      <c r="G30" s="24">
        <v>321.73</v>
      </c>
      <c r="H30" s="24">
        <v>3.13</v>
      </c>
      <c r="I30" s="31">
        <v>4.33</v>
      </c>
      <c r="J30" s="35" t="s">
        <v>514</v>
      </c>
    </row>
    <row r="31" spans="2:10" x14ac:dyDescent="0.25">
      <c r="C31" s="57" t="s">
        <v>35</v>
      </c>
      <c r="D31" s="53"/>
      <c r="E31" s="6"/>
      <c r="F31" s="19"/>
      <c r="G31" s="25">
        <v>9396.84</v>
      </c>
      <c r="H31" s="25">
        <v>91.4</v>
      </c>
      <c r="I31" s="31"/>
      <c r="J31" s="35"/>
    </row>
    <row r="32" spans="2:10" x14ac:dyDescent="0.25">
      <c r="C32" s="56"/>
      <c r="D32" s="53"/>
      <c r="E32" s="6"/>
      <c r="F32" s="19"/>
      <c r="G32" s="24"/>
      <c r="H32" s="24"/>
      <c r="I32" s="31"/>
      <c r="J32" s="35"/>
    </row>
    <row r="33" spans="1:10" x14ac:dyDescent="0.25">
      <c r="C33" s="57" t="s">
        <v>7</v>
      </c>
      <c r="D33" s="53"/>
      <c r="E33" s="6"/>
      <c r="F33" s="19"/>
      <c r="G33" s="24" t="s">
        <v>2</v>
      </c>
      <c r="H33" s="24" t="s">
        <v>2</v>
      </c>
      <c r="I33" s="31"/>
      <c r="J33" s="35"/>
    </row>
    <row r="34" spans="1:10" x14ac:dyDescent="0.25">
      <c r="C34" s="56"/>
      <c r="D34" s="53"/>
      <c r="E34" s="6"/>
      <c r="F34" s="19"/>
      <c r="G34" s="24"/>
      <c r="H34" s="24"/>
      <c r="I34" s="31"/>
      <c r="J34" s="35"/>
    </row>
    <row r="35" spans="1:10" x14ac:dyDescent="0.25">
      <c r="C35" s="57" t="s">
        <v>8</v>
      </c>
      <c r="D35" s="53"/>
      <c r="E35" s="6"/>
      <c r="F35" s="19"/>
      <c r="G35" s="24" t="s">
        <v>2</v>
      </c>
      <c r="H35" s="24" t="s">
        <v>2</v>
      </c>
      <c r="I35" s="31"/>
      <c r="J35" s="35"/>
    </row>
    <row r="36" spans="1:10" x14ac:dyDescent="0.25">
      <c r="C36" s="56"/>
      <c r="D36" s="53"/>
      <c r="E36" s="6"/>
      <c r="F36" s="19"/>
      <c r="G36" s="24"/>
      <c r="H36" s="24"/>
      <c r="I36" s="31"/>
      <c r="J36" s="35"/>
    </row>
    <row r="37" spans="1:10" x14ac:dyDescent="0.25">
      <c r="C37" s="57" t="s">
        <v>9</v>
      </c>
      <c r="D37" s="53"/>
      <c r="E37" s="6"/>
      <c r="F37" s="19"/>
      <c r="G37" s="24" t="s">
        <v>2</v>
      </c>
      <c r="H37" s="24" t="s">
        <v>2</v>
      </c>
      <c r="I37" s="31"/>
      <c r="J37" s="35"/>
    </row>
    <row r="38" spans="1:10" x14ac:dyDescent="0.25">
      <c r="C38" s="56"/>
      <c r="D38" s="53"/>
      <c r="E38" s="6"/>
      <c r="F38" s="19"/>
      <c r="G38" s="24"/>
      <c r="H38" s="24"/>
      <c r="I38" s="31"/>
      <c r="J38" s="35"/>
    </row>
    <row r="39" spans="1:10" x14ac:dyDescent="0.25">
      <c r="C39" s="57" t="s">
        <v>10</v>
      </c>
      <c r="D39" s="53"/>
      <c r="E39" s="6"/>
      <c r="F39" s="19"/>
      <c r="G39" s="24" t="s">
        <v>2</v>
      </c>
      <c r="H39" s="24" t="s">
        <v>2</v>
      </c>
      <c r="I39" s="31"/>
      <c r="J39" s="35"/>
    </row>
    <row r="40" spans="1:10" x14ac:dyDescent="0.25">
      <c r="C40" s="56"/>
      <c r="D40" s="53"/>
      <c r="E40" s="6"/>
      <c r="F40" s="19"/>
      <c r="G40" s="24"/>
      <c r="H40" s="24"/>
      <c r="I40" s="31"/>
      <c r="J40" s="35"/>
    </row>
    <row r="41" spans="1:10" x14ac:dyDescent="0.25">
      <c r="A41" s="10"/>
      <c r="B41" s="28"/>
      <c r="C41" s="58" t="s">
        <v>11</v>
      </c>
      <c r="D41" s="53"/>
      <c r="E41" s="6"/>
      <c r="F41" s="19"/>
      <c r="G41" s="24"/>
      <c r="H41" s="24"/>
      <c r="I41" s="31"/>
      <c r="J41" s="35"/>
    </row>
    <row r="42" spans="1:10" x14ac:dyDescent="0.25">
      <c r="A42" s="28"/>
      <c r="B42" s="28"/>
      <c r="C42" s="58" t="s">
        <v>13</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C44" s="59" t="s">
        <v>14</v>
      </c>
      <c r="D44" s="53"/>
      <c r="E44" s="6"/>
      <c r="F44" s="19"/>
      <c r="G44" s="24"/>
      <c r="H44" s="24"/>
      <c r="I44" s="31"/>
      <c r="J44" s="35"/>
    </row>
    <row r="45" spans="1:10" x14ac:dyDescent="0.25">
      <c r="B45" s="8" t="s">
        <v>1232</v>
      </c>
      <c r="C45" s="56" t="s">
        <v>818</v>
      </c>
      <c r="D45" s="53" t="s">
        <v>1233</v>
      </c>
      <c r="E45" s="6" t="s">
        <v>1000</v>
      </c>
      <c r="F45" s="19">
        <v>200</v>
      </c>
      <c r="G45" s="24">
        <v>194.61</v>
      </c>
      <c r="H45" s="24">
        <v>1.89</v>
      </c>
      <c r="I45" s="31">
        <v>3.83</v>
      </c>
      <c r="J45" s="35" t="s">
        <v>514</v>
      </c>
    </row>
    <row r="46" spans="1:10" x14ac:dyDescent="0.25">
      <c r="C46" s="57" t="s">
        <v>35</v>
      </c>
      <c r="D46" s="53"/>
      <c r="E46" s="6"/>
      <c r="F46" s="19"/>
      <c r="G46" s="25">
        <v>194.61</v>
      </c>
      <c r="H46" s="25">
        <v>1.89</v>
      </c>
      <c r="I46" s="31"/>
      <c r="J46" s="35"/>
    </row>
    <row r="47" spans="1:10" x14ac:dyDescent="0.25">
      <c r="C47" s="56"/>
      <c r="D47" s="53"/>
      <c r="E47" s="6"/>
      <c r="F47" s="19"/>
      <c r="G47" s="24"/>
      <c r="H47" s="24"/>
      <c r="I47" s="31"/>
      <c r="J47" s="35"/>
    </row>
    <row r="48" spans="1: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542.51</v>
      </c>
      <c r="H62" s="24">
        <v>5.28</v>
      </c>
      <c r="I62" s="31"/>
      <c r="J62" s="35"/>
    </row>
    <row r="63" spans="1:10" x14ac:dyDescent="0.25">
      <c r="C63" s="57" t="s">
        <v>35</v>
      </c>
      <c r="D63" s="53"/>
      <c r="E63" s="6"/>
      <c r="F63" s="19"/>
      <c r="G63" s="25">
        <v>542.51</v>
      </c>
      <c r="H63" s="25">
        <v>5.28</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146.61000000000001</v>
      </c>
      <c r="H67" s="24">
        <v>1.43</v>
      </c>
      <c r="I67" s="31"/>
      <c r="J67" s="35"/>
    </row>
    <row r="68" spans="1:10" x14ac:dyDescent="0.25">
      <c r="C68" s="57" t="s">
        <v>35</v>
      </c>
      <c r="D68" s="53"/>
      <c r="E68" s="6"/>
      <c r="F68" s="19"/>
      <c r="G68" s="25">
        <v>146.61000000000001</v>
      </c>
      <c r="H68" s="25">
        <v>1.43</v>
      </c>
      <c r="I68" s="31"/>
      <c r="J68" s="35"/>
    </row>
    <row r="69" spans="1:10" x14ac:dyDescent="0.25">
      <c r="C69" s="56"/>
      <c r="D69" s="53"/>
      <c r="E69" s="6"/>
      <c r="F69" s="19"/>
      <c r="G69" s="24"/>
      <c r="H69" s="24"/>
      <c r="I69" s="31"/>
      <c r="J69" s="35"/>
    </row>
    <row r="70" spans="1:10" x14ac:dyDescent="0.25">
      <c r="C70" s="61" t="s">
        <v>37</v>
      </c>
      <c r="D70" s="54"/>
      <c r="E70" s="5"/>
      <c r="F70" s="20"/>
      <c r="G70" s="26">
        <v>10280.57</v>
      </c>
      <c r="H70" s="26">
        <f>SUMIFS(H:H,C:C,"Total")</f>
        <v>100.00000000000001</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0"/>
  <dimension ref="A1:J12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3072</v>
      </c>
      <c r="J2" s="37" t="s">
        <v>3307</v>
      </c>
    </row>
    <row r="3" spans="1:10" ht="16.5" x14ac:dyDescent="0.3">
      <c r="C3" s="1" t="s">
        <v>24</v>
      </c>
      <c r="D3" s="21" t="s">
        <v>3073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1348</v>
      </c>
      <c r="G10" s="24">
        <v>41.09</v>
      </c>
      <c r="H10" s="24">
        <v>0.84</v>
      </c>
      <c r="I10" s="31"/>
      <c r="J10" s="35"/>
    </row>
    <row r="11" spans="1:10" x14ac:dyDescent="0.25">
      <c r="B11" s="8" t="s">
        <v>143</v>
      </c>
      <c r="C11" s="56" t="s">
        <v>144</v>
      </c>
      <c r="D11" s="53" t="s">
        <v>145</v>
      </c>
      <c r="E11" s="6" t="s">
        <v>146</v>
      </c>
      <c r="F11" s="19">
        <v>1576</v>
      </c>
      <c r="G11" s="24">
        <v>34.72</v>
      </c>
      <c r="H11" s="24">
        <v>0.71</v>
      </c>
      <c r="I11" s="31"/>
      <c r="J11" s="35"/>
    </row>
    <row r="12" spans="1:10" x14ac:dyDescent="0.25">
      <c r="B12" s="8" t="s">
        <v>868</v>
      </c>
      <c r="C12" s="56" t="s">
        <v>869</v>
      </c>
      <c r="D12" s="53" t="s">
        <v>870</v>
      </c>
      <c r="E12" s="6" t="s">
        <v>94</v>
      </c>
      <c r="F12" s="19">
        <v>4125</v>
      </c>
      <c r="G12" s="24">
        <v>33.47</v>
      </c>
      <c r="H12" s="24">
        <v>0.68</v>
      </c>
      <c r="I12" s="31"/>
      <c r="J12" s="35"/>
    </row>
    <row r="13" spans="1:10" x14ac:dyDescent="0.25">
      <c r="B13" s="8" t="s">
        <v>1576</v>
      </c>
      <c r="C13" s="56" t="s">
        <v>1577</v>
      </c>
      <c r="D13" s="53" t="s">
        <v>1578</v>
      </c>
      <c r="E13" s="6" t="s">
        <v>90</v>
      </c>
      <c r="F13" s="19">
        <v>5980</v>
      </c>
      <c r="G13" s="24">
        <v>30.53</v>
      </c>
      <c r="H13" s="24">
        <v>0.62</v>
      </c>
      <c r="I13" s="31"/>
      <c r="J13" s="35"/>
    </row>
    <row r="14" spans="1:10" x14ac:dyDescent="0.25">
      <c r="B14" s="8" t="s">
        <v>1579</v>
      </c>
      <c r="C14" s="56" t="s">
        <v>1580</v>
      </c>
      <c r="D14" s="53" t="s">
        <v>1581</v>
      </c>
      <c r="E14" s="6" t="s">
        <v>90</v>
      </c>
      <c r="F14" s="19">
        <v>4000</v>
      </c>
      <c r="G14" s="24">
        <v>29</v>
      </c>
      <c r="H14" s="24">
        <v>0.59</v>
      </c>
      <c r="I14" s="31"/>
      <c r="J14" s="35"/>
    </row>
    <row r="15" spans="1:10" x14ac:dyDescent="0.25">
      <c r="B15" s="8" t="s">
        <v>115</v>
      </c>
      <c r="C15" s="56" t="s">
        <v>116</v>
      </c>
      <c r="D15" s="53" t="s">
        <v>117</v>
      </c>
      <c r="E15" s="6" t="s">
        <v>94</v>
      </c>
      <c r="F15" s="19">
        <v>2115</v>
      </c>
      <c r="G15" s="24">
        <v>27.48</v>
      </c>
      <c r="H15" s="24">
        <v>0.56000000000000005</v>
      </c>
      <c r="I15" s="31"/>
      <c r="J15" s="35"/>
    </row>
    <row r="16" spans="1:10" x14ac:dyDescent="0.25">
      <c r="B16" s="8" t="s">
        <v>130</v>
      </c>
      <c r="C16" s="56" t="s">
        <v>131</v>
      </c>
      <c r="D16" s="53" t="s">
        <v>132</v>
      </c>
      <c r="E16" s="6" t="s">
        <v>47</v>
      </c>
      <c r="F16" s="19">
        <v>739</v>
      </c>
      <c r="G16" s="24">
        <v>26.86</v>
      </c>
      <c r="H16" s="24">
        <v>0.55000000000000004</v>
      </c>
      <c r="I16" s="31"/>
      <c r="J16" s="35"/>
    </row>
    <row r="17" spans="2:10" x14ac:dyDescent="0.25">
      <c r="B17" s="8" t="s">
        <v>158</v>
      </c>
      <c r="C17" s="56" t="s">
        <v>159</v>
      </c>
      <c r="D17" s="53" t="s">
        <v>160</v>
      </c>
      <c r="E17" s="6" t="s">
        <v>111</v>
      </c>
      <c r="F17" s="19">
        <v>2539</v>
      </c>
      <c r="G17" s="24">
        <v>25.58</v>
      </c>
      <c r="H17" s="24">
        <v>0.52</v>
      </c>
      <c r="I17" s="31"/>
      <c r="J17" s="35"/>
    </row>
    <row r="18" spans="2:10" x14ac:dyDescent="0.25">
      <c r="B18" s="8" t="s">
        <v>769</v>
      </c>
      <c r="C18" s="56" t="s">
        <v>770</v>
      </c>
      <c r="D18" s="53" t="s">
        <v>771</v>
      </c>
      <c r="E18" s="6" t="s">
        <v>111</v>
      </c>
      <c r="F18" s="19">
        <v>2974</v>
      </c>
      <c r="G18" s="24">
        <v>23.69</v>
      </c>
      <c r="H18" s="24">
        <v>0.48</v>
      </c>
      <c r="I18" s="31"/>
      <c r="J18" s="35"/>
    </row>
    <row r="19" spans="2:10" x14ac:dyDescent="0.25">
      <c r="B19" s="8" t="s">
        <v>1582</v>
      </c>
      <c r="C19" s="56" t="s">
        <v>1583</v>
      </c>
      <c r="D19" s="53" t="s">
        <v>1584</v>
      </c>
      <c r="E19" s="6" t="s">
        <v>195</v>
      </c>
      <c r="F19" s="19">
        <v>1612</v>
      </c>
      <c r="G19" s="24">
        <v>23.12</v>
      </c>
      <c r="H19" s="24">
        <v>0.47</v>
      </c>
      <c r="I19" s="31"/>
      <c r="J19" s="35"/>
    </row>
    <row r="20" spans="2:10" x14ac:dyDescent="0.25">
      <c r="B20" s="8" t="s">
        <v>439</v>
      </c>
      <c r="C20" s="56" t="s">
        <v>440</v>
      </c>
      <c r="D20" s="53" t="s">
        <v>441</v>
      </c>
      <c r="E20" s="6" t="s">
        <v>111</v>
      </c>
      <c r="F20" s="19">
        <v>4696</v>
      </c>
      <c r="G20" s="24">
        <v>21.02</v>
      </c>
      <c r="H20" s="24">
        <v>0.43</v>
      </c>
      <c r="I20" s="31"/>
      <c r="J20" s="35"/>
    </row>
    <row r="21" spans="2:10" x14ac:dyDescent="0.25">
      <c r="B21" s="8" t="s">
        <v>87</v>
      </c>
      <c r="C21" s="56" t="s">
        <v>88</v>
      </c>
      <c r="D21" s="53" t="s">
        <v>89</v>
      </c>
      <c r="E21" s="6" t="s">
        <v>90</v>
      </c>
      <c r="F21" s="19">
        <v>1409</v>
      </c>
      <c r="G21" s="24">
        <v>20.2</v>
      </c>
      <c r="H21" s="24">
        <v>0.41</v>
      </c>
      <c r="I21" s="31"/>
      <c r="J21" s="35"/>
    </row>
    <row r="22" spans="2:10" x14ac:dyDescent="0.25">
      <c r="B22" s="8" t="s">
        <v>398</v>
      </c>
      <c r="C22" s="56" t="s">
        <v>399</v>
      </c>
      <c r="D22" s="53" t="s">
        <v>400</v>
      </c>
      <c r="E22" s="6" t="s">
        <v>90</v>
      </c>
      <c r="F22" s="19">
        <v>5461</v>
      </c>
      <c r="G22" s="24">
        <v>19.82</v>
      </c>
      <c r="H22" s="24">
        <v>0.4</v>
      </c>
      <c r="I22" s="31"/>
      <c r="J22" s="35"/>
    </row>
    <row r="23" spans="2:10" x14ac:dyDescent="0.25">
      <c r="B23" s="8" t="s">
        <v>1585</v>
      </c>
      <c r="C23" s="56" t="s">
        <v>1586</v>
      </c>
      <c r="D23" s="53" t="s">
        <v>1587</v>
      </c>
      <c r="E23" s="6" t="s">
        <v>83</v>
      </c>
      <c r="F23" s="19">
        <v>2648</v>
      </c>
      <c r="G23" s="24">
        <v>17.95</v>
      </c>
      <c r="H23" s="24">
        <v>0.37</v>
      </c>
      <c r="I23" s="31"/>
      <c r="J23" s="35"/>
    </row>
    <row r="24" spans="2:10" x14ac:dyDescent="0.25">
      <c r="B24" s="8" t="s">
        <v>1354</v>
      </c>
      <c r="C24" s="56" t="s">
        <v>1355</v>
      </c>
      <c r="D24" s="53" t="s">
        <v>1356</v>
      </c>
      <c r="E24" s="6" t="s">
        <v>826</v>
      </c>
      <c r="F24" s="19">
        <v>7932</v>
      </c>
      <c r="G24" s="24">
        <v>17.5</v>
      </c>
      <c r="H24" s="24">
        <v>0.36</v>
      </c>
      <c r="I24" s="31"/>
      <c r="J24" s="35"/>
    </row>
    <row r="25" spans="2:10" x14ac:dyDescent="0.25">
      <c r="B25" s="8" t="s">
        <v>324</v>
      </c>
      <c r="C25" s="56" t="s">
        <v>325</v>
      </c>
      <c r="D25" s="53" t="s">
        <v>326</v>
      </c>
      <c r="E25" s="6" t="s">
        <v>41</v>
      </c>
      <c r="F25" s="19">
        <v>7770</v>
      </c>
      <c r="G25" s="24">
        <v>16.86</v>
      </c>
      <c r="H25" s="24">
        <v>0.34</v>
      </c>
      <c r="I25" s="31"/>
      <c r="J25" s="35"/>
    </row>
    <row r="26" spans="2:10" x14ac:dyDescent="0.25">
      <c r="B26" s="8" t="s">
        <v>442</v>
      </c>
      <c r="C26" s="56" t="s">
        <v>443</v>
      </c>
      <c r="D26" s="53" t="s">
        <v>444</v>
      </c>
      <c r="E26" s="6" t="s">
        <v>90</v>
      </c>
      <c r="F26" s="19">
        <v>3151</v>
      </c>
      <c r="G26" s="24">
        <v>16.25</v>
      </c>
      <c r="H26" s="24">
        <v>0.33</v>
      </c>
      <c r="I26" s="31"/>
      <c r="J26" s="35"/>
    </row>
    <row r="27" spans="2:10" x14ac:dyDescent="0.25">
      <c r="B27" s="8" t="s">
        <v>161</v>
      </c>
      <c r="C27" s="56" t="s">
        <v>162</v>
      </c>
      <c r="D27" s="53" t="s">
        <v>163</v>
      </c>
      <c r="E27" s="6" t="s">
        <v>94</v>
      </c>
      <c r="F27" s="19">
        <v>3796</v>
      </c>
      <c r="G27" s="24">
        <v>15.98</v>
      </c>
      <c r="H27" s="24">
        <v>0.33</v>
      </c>
      <c r="I27" s="31"/>
      <c r="J27" s="35"/>
    </row>
    <row r="28" spans="2:10" x14ac:dyDescent="0.25">
      <c r="B28" s="8" t="s">
        <v>1592</v>
      </c>
      <c r="C28" s="56" t="s">
        <v>1593</v>
      </c>
      <c r="D28" s="53" t="s">
        <v>1594</v>
      </c>
      <c r="E28" s="6" t="s">
        <v>90</v>
      </c>
      <c r="F28" s="19">
        <v>2568</v>
      </c>
      <c r="G28" s="24">
        <v>14.99</v>
      </c>
      <c r="H28" s="24">
        <v>0.31</v>
      </c>
      <c r="I28" s="31"/>
      <c r="J28" s="35"/>
    </row>
    <row r="29" spans="2:10" x14ac:dyDescent="0.25">
      <c r="B29" s="8" t="s">
        <v>1595</v>
      </c>
      <c r="C29" s="56" t="s">
        <v>1596</v>
      </c>
      <c r="D29" s="53" t="s">
        <v>1597</v>
      </c>
      <c r="E29" s="6" t="s">
        <v>94</v>
      </c>
      <c r="F29" s="19">
        <v>1193</v>
      </c>
      <c r="G29" s="24">
        <v>14.95</v>
      </c>
      <c r="H29" s="24">
        <v>0.3</v>
      </c>
      <c r="I29" s="31"/>
      <c r="J29" s="35"/>
    </row>
    <row r="30" spans="2:10" x14ac:dyDescent="0.25">
      <c r="B30" s="8" t="s">
        <v>1598</v>
      </c>
      <c r="C30" s="56" t="s">
        <v>1599</v>
      </c>
      <c r="D30" s="53" t="s">
        <v>1600</v>
      </c>
      <c r="E30" s="6" t="s">
        <v>196</v>
      </c>
      <c r="F30" s="19">
        <v>12691</v>
      </c>
      <c r="G30" s="24">
        <v>14.58</v>
      </c>
      <c r="H30" s="24">
        <v>0.3</v>
      </c>
      <c r="I30" s="31"/>
      <c r="J30" s="35"/>
    </row>
    <row r="31" spans="2:10" x14ac:dyDescent="0.25">
      <c r="B31" s="8" t="s">
        <v>177</v>
      </c>
      <c r="C31" s="56" t="s">
        <v>178</v>
      </c>
      <c r="D31" s="53" t="s">
        <v>179</v>
      </c>
      <c r="E31" s="6" t="s">
        <v>111</v>
      </c>
      <c r="F31" s="19">
        <v>519</v>
      </c>
      <c r="G31" s="24">
        <v>14.53</v>
      </c>
      <c r="H31" s="24">
        <v>0.3</v>
      </c>
      <c r="I31" s="31"/>
      <c r="J31" s="35"/>
    </row>
    <row r="32" spans="2:10" x14ac:dyDescent="0.25">
      <c r="B32" s="8" t="s">
        <v>1601</v>
      </c>
      <c r="C32" s="56" t="s">
        <v>1602</v>
      </c>
      <c r="D32" s="53" t="s">
        <v>1603</v>
      </c>
      <c r="E32" s="6" t="s">
        <v>826</v>
      </c>
      <c r="F32" s="19">
        <v>3702</v>
      </c>
      <c r="G32" s="24">
        <v>14.32</v>
      </c>
      <c r="H32" s="24">
        <v>0.28999999999999998</v>
      </c>
      <c r="I32" s="31"/>
      <c r="J32" s="35"/>
    </row>
    <row r="33" spans="2:10" x14ac:dyDescent="0.25">
      <c r="B33" s="8" t="s">
        <v>805</v>
      </c>
      <c r="C33" s="56" t="s">
        <v>806</v>
      </c>
      <c r="D33" s="53" t="s">
        <v>807</v>
      </c>
      <c r="E33" s="6" t="s">
        <v>55</v>
      </c>
      <c r="F33" s="19">
        <v>7897</v>
      </c>
      <c r="G33" s="24">
        <v>14.27</v>
      </c>
      <c r="H33" s="24">
        <v>0.28999999999999998</v>
      </c>
      <c r="I33" s="31"/>
      <c r="J33" s="35"/>
    </row>
    <row r="34" spans="2:10" x14ac:dyDescent="0.25">
      <c r="B34" s="8" t="s">
        <v>1604</v>
      </c>
      <c r="C34" s="56" t="s">
        <v>1605</v>
      </c>
      <c r="D34" s="53" t="s">
        <v>1606</v>
      </c>
      <c r="E34" s="6" t="s">
        <v>94</v>
      </c>
      <c r="F34" s="19">
        <v>585</v>
      </c>
      <c r="G34" s="24">
        <v>13.28</v>
      </c>
      <c r="H34" s="24">
        <v>0.27</v>
      </c>
      <c r="I34" s="31"/>
      <c r="J34" s="35"/>
    </row>
    <row r="35" spans="2:10" x14ac:dyDescent="0.25">
      <c r="B35" s="8" t="s">
        <v>69</v>
      </c>
      <c r="C35" s="56" t="s">
        <v>70</v>
      </c>
      <c r="D35" s="53" t="s">
        <v>71</v>
      </c>
      <c r="E35" s="6" t="s">
        <v>72</v>
      </c>
      <c r="F35" s="19">
        <v>61</v>
      </c>
      <c r="G35" s="24">
        <v>13.01</v>
      </c>
      <c r="H35" s="24">
        <v>0.26</v>
      </c>
      <c r="I35" s="31"/>
      <c r="J35" s="35"/>
    </row>
    <row r="36" spans="2:10" x14ac:dyDescent="0.25">
      <c r="B36" s="8" t="s">
        <v>229</v>
      </c>
      <c r="C36" s="56" t="s">
        <v>230</v>
      </c>
      <c r="D36" s="53" t="s">
        <v>231</v>
      </c>
      <c r="E36" s="6" t="s">
        <v>94</v>
      </c>
      <c r="F36" s="19">
        <v>1145</v>
      </c>
      <c r="G36" s="24">
        <v>12.96</v>
      </c>
      <c r="H36" s="24">
        <v>0.26</v>
      </c>
      <c r="I36" s="31"/>
      <c r="J36" s="35"/>
    </row>
    <row r="37" spans="2:10" x14ac:dyDescent="0.25">
      <c r="B37" s="8" t="s">
        <v>1607</v>
      </c>
      <c r="C37" s="56" t="s">
        <v>1608</v>
      </c>
      <c r="D37" s="53" t="s">
        <v>1609</v>
      </c>
      <c r="E37" s="6" t="s">
        <v>94</v>
      </c>
      <c r="F37" s="19">
        <v>530</v>
      </c>
      <c r="G37" s="24">
        <v>12.79</v>
      </c>
      <c r="H37" s="24">
        <v>0.26</v>
      </c>
      <c r="I37" s="31"/>
      <c r="J37" s="35"/>
    </row>
    <row r="38" spans="2:10" x14ac:dyDescent="0.25">
      <c r="B38" s="8" t="s">
        <v>139</v>
      </c>
      <c r="C38" s="56" t="s">
        <v>140</v>
      </c>
      <c r="D38" s="53" t="s">
        <v>141</v>
      </c>
      <c r="E38" s="6" t="s">
        <v>142</v>
      </c>
      <c r="F38" s="19">
        <v>1017</v>
      </c>
      <c r="G38" s="24">
        <v>12.7</v>
      </c>
      <c r="H38" s="24">
        <v>0.26</v>
      </c>
      <c r="I38" s="31"/>
      <c r="J38" s="35"/>
    </row>
    <row r="39" spans="2:10" x14ac:dyDescent="0.25">
      <c r="B39" s="8" t="s">
        <v>370</v>
      </c>
      <c r="C39" s="56" t="s">
        <v>371</v>
      </c>
      <c r="D39" s="53" t="s">
        <v>372</v>
      </c>
      <c r="E39" s="6" t="s">
        <v>41</v>
      </c>
      <c r="F39" s="19">
        <v>894</v>
      </c>
      <c r="G39" s="24">
        <v>12.46</v>
      </c>
      <c r="H39" s="24">
        <v>0.25</v>
      </c>
      <c r="I39" s="31"/>
      <c r="J39" s="35"/>
    </row>
    <row r="40" spans="2:10" x14ac:dyDescent="0.25">
      <c r="B40" s="8" t="s">
        <v>899</v>
      </c>
      <c r="C40" s="56" t="s">
        <v>900</v>
      </c>
      <c r="D40" s="53" t="s">
        <v>901</v>
      </c>
      <c r="E40" s="6" t="s">
        <v>196</v>
      </c>
      <c r="F40" s="19">
        <v>90</v>
      </c>
      <c r="G40" s="24">
        <v>12.36</v>
      </c>
      <c r="H40" s="24">
        <v>0.25</v>
      </c>
      <c r="I40" s="31"/>
      <c r="J40" s="35"/>
    </row>
    <row r="41" spans="2:10" x14ac:dyDescent="0.25">
      <c r="B41" s="8" t="s">
        <v>2242</v>
      </c>
      <c r="C41" s="56" t="s">
        <v>938</v>
      </c>
      <c r="D41" s="53" t="s">
        <v>2243</v>
      </c>
      <c r="E41" s="6" t="s">
        <v>94</v>
      </c>
      <c r="F41" s="19">
        <v>1980</v>
      </c>
      <c r="G41" s="24">
        <v>12.26</v>
      </c>
      <c r="H41" s="24">
        <v>0.25</v>
      </c>
      <c r="I41" s="31"/>
      <c r="J41" s="35"/>
    </row>
    <row r="42" spans="2:10" x14ac:dyDescent="0.25">
      <c r="B42" s="8" t="s">
        <v>1610</v>
      </c>
      <c r="C42" s="56" t="s">
        <v>1611</v>
      </c>
      <c r="D42" s="53" t="s">
        <v>1612</v>
      </c>
      <c r="E42" s="6" t="s">
        <v>254</v>
      </c>
      <c r="F42" s="19">
        <v>942</v>
      </c>
      <c r="G42" s="24">
        <v>11.91</v>
      </c>
      <c r="H42" s="24">
        <v>0.24</v>
      </c>
      <c r="I42" s="31"/>
      <c r="J42" s="35"/>
    </row>
    <row r="43" spans="2:10" x14ac:dyDescent="0.25">
      <c r="B43" s="8" t="s">
        <v>255</v>
      </c>
      <c r="C43" s="56" t="s">
        <v>256</v>
      </c>
      <c r="D43" s="53" t="s">
        <v>257</v>
      </c>
      <c r="E43" s="6" t="s">
        <v>51</v>
      </c>
      <c r="F43" s="19">
        <v>4257</v>
      </c>
      <c r="G43" s="24">
        <v>11.62</v>
      </c>
      <c r="H43" s="24">
        <v>0.24</v>
      </c>
      <c r="I43" s="31"/>
      <c r="J43" s="35"/>
    </row>
    <row r="44" spans="2:10" x14ac:dyDescent="0.25">
      <c r="B44" s="8" t="s">
        <v>469</v>
      </c>
      <c r="C44" s="56" t="s">
        <v>470</v>
      </c>
      <c r="D44" s="53" t="s">
        <v>471</v>
      </c>
      <c r="E44" s="6" t="s">
        <v>90</v>
      </c>
      <c r="F44" s="19">
        <v>1174</v>
      </c>
      <c r="G44" s="24">
        <v>11.23</v>
      </c>
      <c r="H44" s="24">
        <v>0.23</v>
      </c>
      <c r="I44" s="31"/>
      <c r="J44" s="35"/>
    </row>
    <row r="45" spans="2:10" x14ac:dyDescent="0.25">
      <c r="B45" s="8" t="s">
        <v>1613</v>
      </c>
      <c r="C45" s="56" t="s">
        <v>1614</v>
      </c>
      <c r="D45" s="53" t="s">
        <v>1615</v>
      </c>
      <c r="E45" s="6" t="s">
        <v>111</v>
      </c>
      <c r="F45" s="19">
        <v>2707</v>
      </c>
      <c r="G45" s="24">
        <v>10.69</v>
      </c>
      <c r="H45" s="24">
        <v>0.22</v>
      </c>
      <c r="I45" s="31"/>
      <c r="J45" s="35"/>
    </row>
    <row r="46" spans="2:10" x14ac:dyDescent="0.25">
      <c r="B46" s="8" t="s">
        <v>1616</v>
      </c>
      <c r="C46" s="56" t="s">
        <v>601</v>
      </c>
      <c r="D46" s="53" t="s">
        <v>1617</v>
      </c>
      <c r="E46" s="6" t="s">
        <v>94</v>
      </c>
      <c r="F46" s="19">
        <v>12285</v>
      </c>
      <c r="G46" s="24">
        <v>10.59</v>
      </c>
      <c r="H46" s="24">
        <v>0.22</v>
      </c>
      <c r="I46" s="31"/>
      <c r="J46" s="35"/>
    </row>
    <row r="47" spans="2:10" x14ac:dyDescent="0.25">
      <c r="B47" s="8" t="s">
        <v>1618</v>
      </c>
      <c r="C47" s="56" t="s">
        <v>1619</v>
      </c>
      <c r="D47" s="53" t="s">
        <v>1620</v>
      </c>
      <c r="E47" s="6" t="s">
        <v>142</v>
      </c>
      <c r="F47" s="19">
        <v>2900</v>
      </c>
      <c r="G47" s="24">
        <v>10.58</v>
      </c>
      <c r="H47" s="24">
        <v>0.22</v>
      </c>
      <c r="I47" s="31"/>
      <c r="J47" s="35"/>
    </row>
    <row r="48" spans="2:10" x14ac:dyDescent="0.25">
      <c r="B48" s="8" t="s">
        <v>294</v>
      </c>
      <c r="C48" s="56" t="s">
        <v>295</v>
      </c>
      <c r="D48" s="53" t="s">
        <v>296</v>
      </c>
      <c r="E48" s="6" t="s">
        <v>274</v>
      </c>
      <c r="F48" s="19">
        <v>6545</v>
      </c>
      <c r="G48" s="24">
        <v>9.99</v>
      </c>
      <c r="H48" s="24">
        <v>0.2</v>
      </c>
      <c r="I48" s="31"/>
      <c r="J48" s="35"/>
    </row>
    <row r="49" spans="2:10" x14ac:dyDescent="0.25">
      <c r="B49" s="8" t="s">
        <v>415</v>
      </c>
      <c r="C49" s="56" t="s">
        <v>416</v>
      </c>
      <c r="D49" s="53" t="s">
        <v>417</v>
      </c>
      <c r="E49" s="6" t="s">
        <v>90</v>
      </c>
      <c r="F49" s="19">
        <v>100</v>
      </c>
      <c r="G49" s="24">
        <v>9.9499999999999993</v>
      </c>
      <c r="H49" s="24">
        <v>0.2</v>
      </c>
      <c r="I49" s="31"/>
      <c r="J49" s="35"/>
    </row>
    <row r="50" spans="2:10" x14ac:dyDescent="0.25">
      <c r="B50" s="8" t="s">
        <v>1621</v>
      </c>
      <c r="C50" s="56" t="s">
        <v>1622</v>
      </c>
      <c r="D50" s="53" t="s">
        <v>1623</v>
      </c>
      <c r="E50" s="6" t="s">
        <v>94</v>
      </c>
      <c r="F50" s="19">
        <v>1092</v>
      </c>
      <c r="G50" s="24">
        <v>9.26</v>
      </c>
      <c r="H50" s="24">
        <v>0.19</v>
      </c>
      <c r="I50" s="31"/>
      <c r="J50" s="35"/>
    </row>
    <row r="51" spans="2:10" x14ac:dyDescent="0.25">
      <c r="B51" s="8" t="s">
        <v>454</v>
      </c>
      <c r="C51" s="56" t="s">
        <v>455</v>
      </c>
      <c r="D51" s="53" t="s">
        <v>456</v>
      </c>
      <c r="E51" s="6" t="s">
        <v>111</v>
      </c>
      <c r="F51" s="19">
        <v>56</v>
      </c>
      <c r="G51" s="24">
        <v>9.23</v>
      </c>
      <c r="H51" s="24">
        <v>0.19</v>
      </c>
      <c r="I51" s="31"/>
      <c r="J51" s="35"/>
    </row>
    <row r="52" spans="2:10" x14ac:dyDescent="0.25">
      <c r="B52" s="8" t="s">
        <v>1624</v>
      </c>
      <c r="C52" s="56" t="s">
        <v>1625</v>
      </c>
      <c r="D52" s="53" t="s">
        <v>1626</v>
      </c>
      <c r="E52" s="6" t="s">
        <v>886</v>
      </c>
      <c r="F52" s="19">
        <v>9714</v>
      </c>
      <c r="G52" s="24">
        <v>7.99</v>
      </c>
      <c r="H52" s="24">
        <v>0.16</v>
      </c>
      <c r="I52" s="31"/>
      <c r="J52" s="35"/>
    </row>
    <row r="53" spans="2:10" x14ac:dyDescent="0.25">
      <c r="B53" s="8" t="s">
        <v>463</v>
      </c>
      <c r="C53" s="56" t="s">
        <v>464</v>
      </c>
      <c r="D53" s="53" t="s">
        <v>465</v>
      </c>
      <c r="E53" s="6" t="s">
        <v>47</v>
      </c>
      <c r="F53" s="19">
        <v>245</v>
      </c>
      <c r="G53" s="24">
        <v>7.53</v>
      </c>
      <c r="H53" s="24">
        <v>0.15</v>
      </c>
      <c r="I53" s="31"/>
      <c r="J53" s="35"/>
    </row>
    <row r="54" spans="2:10" x14ac:dyDescent="0.25">
      <c r="B54" s="8" t="s">
        <v>1627</v>
      </c>
      <c r="C54" s="56" t="s">
        <v>1628</v>
      </c>
      <c r="D54" s="53" t="s">
        <v>1629</v>
      </c>
      <c r="E54" s="6" t="s">
        <v>261</v>
      </c>
      <c r="F54" s="19">
        <v>2908</v>
      </c>
      <c r="G54" s="24">
        <v>7.03</v>
      </c>
      <c r="H54" s="24">
        <v>0.14000000000000001</v>
      </c>
      <c r="I54" s="31"/>
      <c r="J54" s="35"/>
    </row>
    <row r="55" spans="2:10" x14ac:dyDescent="0.25">
      <c r="B55" s="8" t="s">
        <v>1630</v>
      </c>
      <c r="C55" s="56" t="s">
        <v>1631</v>
      </c>
      <c r="D55" s="53" t="s">
        <v>1632</v>
      </c>
      <c r="E55" s="6" t="s">
        <v>170</v>
      </c>
      <c r="F55" s="19">
        <v>2681</v>
      </c>
      <c r="G55" s="24">
        <v>5.63</v>
      </c>
      <c r="H55" s="24">
        <v>0.11</v>
      </c>
      <c r="I55" s="31"/>
      <c r="J55" s="35"/>
    </row>
    <row r="56" spans="2:10" x14ac:dyDescent="0.25">
      <c r="B56" s="8" t="s">
        <v>893</v>
      </c>
      <c r="C56" s="56" t="s">
        <v>894</v>
      </c>
      <c r="D56" s="53" t="s">
        <v>895</v>
      </c>
      <c r="E56" s="6" t="s">
        <v>261</v>
      </c>
      <c r="F56" s="19">
        <v>26558</v>
      </c>
      <c r="G56" s="24">
        <v>5.36</v>
      </c>
      <c r="H56" s="24">
        <v>0.11</v>
      </c>
      <c r="I56" s="31"/>
      <c r="J56" s="35"/>
    </row>
    <row r="57" spans="2:10" x14ac:dyDescent="0.25">
      <c r="B57" s="8" t="s">
        <v>817</v>
      </c>
      <c r="C57" s="56" t="s">
        <v>818</v>
      </c>
      <c r="D57" s="53" t="s">
        <v>819</v>
      </c>
      <c r="E57" s="6" t="s">
        <v>51</v>
      </c>
      <c r="F57" s="19">
        <v>12705</v>
      </c>
      <c r="G57" s="24">
        <v>5.22</v>
      </c>
      <c r="H57" s="24">
        <v>0.11</v>
      </c>
      <c r="I57" s="31"/>
      <c r="J57" s="35"/>
    </row>
    <row r="58" spans="2:10" x14ac:dyDescent="0.25">
      <c r="B58" s="8" t="s">
        <v>401</v>
      </c>
      <c r="C58" s="56" t="s">
        <v>402</v>
      </c>
      <c r="D58" s="53" t="s">
        <v>403</v>
      </c>
      <c r="E58" s="6" t="s">
        <v>51</v>
      </c>
      <c r="F58" s="19">
        <v>13933</v>
      </c>
      <c r="G58" s="24">
        <v>3.98</v>
      </c>
      <c r="H58" s="24">
        <v>0.08</v>
      </c>
      <c r="I58" s="31"/>
      <c r="J58" s="35"/>
    </row>
    <row r="59" spans="2:10" x14ac:dyDescent="0.25">
      <c r="B59" s="8" t="s">
        <v>1633</v>
      </c>
      <c r="C59" s="56" t="s">
        <v>1634</v>
      </c>
      <c r="D59" s="53" t="s">
        <v>1635</v>
      </c>
      <c r="E59" s="6" t="s">
        <v>94</v>
      </c>
      <c r="F59" s="19">
        <v>2598</v>
      </c>
      <c r="G59" s="24">
        <v>3.14</v>
      </c>
      <c r="H59" s="24">
        <v>0.06</v>
      </c>
      <c r="I59" s="31"/>
      <c r="J59" s="35"/>
    </row>
    <row r="60" spans="2:10" x14ac:dyDescent="0.25">
      <c r="C60" s="57" t="s">
        <v>35</v>
      </c>
      <c r="D60" s="53"/>
      <c r="E60" s="6"/>
      <c r="F60" s="19"/>
      <c r="G60" s="25">
        <v>781.51</v>
      </c>
      <c r="H60" s="25">
        <v>15.91</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C67" s="59" t="s">
        <v>6</v>
      </c>
      <c r="D67" s="53"/>
      <c r="E67" s="6"/>
      <c r="F67" s="19"/>
      <c r="G67" s="24"/>
      <c r="H67" s="24"/>
      <c r="I67" s="31"/>
      <c r="J67" s="35"/>
    </row>
    <row r="68" spans="1:10" x14ac:dyDescent="0.25">
      <c r="B68" s="8" t="s">
        <v>1725</v>
      </c>
      <c r="C68" s="56" t="s">
        <v>806</v>
      </c>
      <c r="D68" s="53" t="s">
        <v>1726</v>
      </c>
      <c r="E68" s="6" t="s">
        <v>534</v>
      </c>
      <c r="F68" s="19">
        <v>40</v>
      </c>
      <c r="G68" s="24">
        <v>416.69</v>
      </c>
      <c r="H68" s="24">
        <v>8.48</v>
      </c>
      <c r="I68" s="31">
        <v>4.75</v>
      </c>
      <c r="J68" s="35" t="s">
        <v>514</v>
      </c>
    </row>
    <row r="69" spans="1:10" x14ac:dyDescent="0.25">
      <c r="B69" s="8" t="s">
        <v>3074</v>
      </c>
      <c r="C69" s="56" t="s">
        <v>1127</v>
      </c>
      <c r="D69" s="53" t="s">
        <v>3075</v>
      </c>
      <c r="E69" s="6" t="s">
        <v>534</v>
      </c>
      <c r="F69" s="19">
        <v>35</v>
      </c>
      <c r="G69" s="24">
        <v>376.23</v>
      </c>
      <c r="H69" s="24">
        <v>7.66</v>
      </c>
      <c r="I69" s="31">
        <v>5.6996000000000002</v>
      </c>
      <c r="J69" s="35" t="s">
        <v>514</v>
      </c>
    </row>
    <row r="70" spans="1:10" x14ac:dyDescent="0.25">
      <c r="B70" s="8" t="s">
        <v>1905</v>
      </c>
      <c r="C70" s="56" t="s">
        <v>909</v>
      </c>
      <c r="D70" s="53" t="s">
        <v>1906</v>
      </c>
      <c r="E70" s="6" t="s">
        <v>534</v>
      </c>
      <c r="F70" s="19">
        <v>35</v>
      </c>
      <c r="G70" s="24">
        <v>376.12</v>
      </c>
      <c r="H70" s="24">
        <v>7.66</v>
      </c>
      <c r="I70" s="31">
        <v>5.01</v>
      </c>
      <c r="J70" s="35"/>
    </row>
    <row r="71" spans="1:10" x14ac:dyDescent="0.25">
      <c r="B71" s="8" t="s">
        <v>1907</v>
      </c>
      <c r="C71" s="56" t="s">
        <v>1130</v>
      </c>
      <c r="D71" s="53" t="s">
        <v>1908</v>
      </c>
      <c r="E71" s="6" t="s">
        <v>911</v>
      </c>
      <c r="F71" s="19">
        <v>35</v>
      </c>
      <c r="G71" s="24">
        <v>366.23</v>
      </c>
      <c r="H71" s="24">
        <v>7.45</v>
      </c>
      <c r="I71" s="31">
        <v>4.8</v>
      </c>
      <c r="J71" s="35" t="s">
        <v>514</v>
      </c>
    </row>
    <row r="72" spans="1:10" x14ac:dyDescent="0.25">
      <c r="B72" s="8" t="s">
        <v>1860</v>
      </c>
      <c r="C72" s="56" t="s">
        <v>601</v>
      </c>
      <c r="D72" s="53" t="s">
        <v>1861</v>
      </c>
      <c r="E72" s="6" t="s">
        <v>534</v>
      </c>
      <c r="F72" s="19">
        <v>35</v>
      </c>
      <c r="G72" s="24">
        <v>365.41</v>
      </c>
      <c r="H72" s="24">
        <v>7.44</v>
      </c>
      <c r="I72" s="31">
        <v>5.0199999999999996</v>
      </c>
      <c r="J72" s="35"/>
    </row>
    <row r="73" spans="1:10" x14ac:dyDescent="0.25">
      <c r="B73" s="8" t="s">
        <v>1748</v>
      </c>
      <c r="C73" s="56" t="s">
        <v>1749</v>
      </c>
      <c r="D73" s="53" t="s">
        <v>1750</v>
      </c>
      <c r="E73" s="6" t="s">
        <v>911</v>
      </c>
      <c r="F73" s="19">
        <v>35</v>
      </c>
      <c r="G73" s="24">
        <v>363.71</v>
      </c>
      <c r="H73" s="24">
        <v>7.4</v>
      </c>
      <c r="I73" s="31">
        <v>5.1607000000000003</v>
      </c>
      <c r="J73" s="35" t="s">
        <v>514</v>
      </c>
    </row>
    <row r="74" spans="1:10" x14ac:dyDescent="0.25">
      <c r="B74" s="8" t="s">
        <v>3076</v>
      </c>
      <c r="C74" s="56" t="s">
        <v>1376</v>
      </c>
      <c r="D74" s="53" t="s">
        <v>3077</v>
      </c>
      <c r="E74" s="6" t="s">
        <v>534</v>
      </c>
      <c r="F74" s="19">
        <v>35</v>
      </c>
      <c r="G74" s="24">
        <v>363.18</v>
      </c>
      <c r="H74" s="24">
        <v>7.39</v>
      </c>
      <c r="I74" s="31">
        <v>5.0999999999999996</v>
      </c>
      <c r="J74" s="35" t="s">
        <v>514</v>
      </c>
    </row>
    <row r="75" spans="1:10" x14ac:dyDescent="0.25">
      <c r="B75" s="8" t="s">
        <v>1962</v>
      </c>
      <c r="C75" s="56" t="s">
        <v>854</v>
      </c>
      <c r="D75" s="53" t="s">
        <v>1963</v>
      </c>
      <c r="E75" s="6" t="s">
        <v>534</v>
      </c>
      <c r="F75" s="19">
        <v>24</v>
      </c>
      <c r="G75" s="24">
        <v>328.59</v>
      </c>
      <c r="H75" s="24">
        <v>6.69</v>
      </c>
      <c r="I75" s="31">
        <v>4.6649000000000003</v>
      </c>
      <c r="J75" s="35" t="s">
        <v>514</v>
      </c>
    </row>
    <row r="76" spans="1:10" x14ac:dyDescent="0.25">
      <c r="B76" s="8" t="s">
        <v>3059</v>
      </c>
      <c r="C76" s="56" t="s">
        <v>1230</v>
      </c>
      <c r="D76" s="53" t="s">
        <v>3060</v>
      </c>
      <c r="E76" s="6" t="s">
        <v>534</v>
      </c>
      <c r="F76" s="19">
        <v>25</v>
      </c>
      <c r="G76" s="24">
        <v>270.08999999999997</v>
      </c>
      <c r="H76" s="24">
        <v>5.5</v>
      </c>
      <c r="I76" s="31">
        <v>4.6900000000000004</v>
      </c>
      <c r="J76" s="35" t="s">
        <v>514</v>
      </c>
    </row>
    <row r="77" spans="1:10" x14ac:dyDescent="0.25">
      <c r="B77" s="8" t="s">
        <v>3057</v>
      </c>
      <c r="C77" s="56" t="s">
        <v>1143</v>
      </c>
      <c r="D77" s="53" t="s">
        <v>3058</v>
      </c>
      <c r="E77" s="6" t="s">
        <v>534</v>
      </c>
      <c r="F77" s="19">
        <v>20000</v>
      </c>
      <c r="G77" s="24">
        <v>210.01</v>
      </c>
      <c r="H77" s="24">
        <v>4.2699999999999996</v>
      </c>
      <c r="I77" s="31">
        <v>5.5899000000000001</v>
      </c>
      <c r="J77" s="35" t="s">
        <v>514</v>
      </c>
    </row>
    <row r="78" spans="1:10" x14ac:dyDescent="0.25">
      <c r="B78" s="8" t="s">
        <v>1864</v>
      </c>
      <c r="C78" s="56" t="s">
        <v>125</v>
      </c>
      <c r="D78" s="53" t="s">
        <v>1865</v>
      </c>
      <c r="E78" s="6" t="s">
        <v>534</v>
      </c>
      <c r="F78" s="19">
        <v>10</v>
      </c>
      <c r="G78" s="24">
        <v>105.22</v>
      </c>
      <c r="H78" s="24">
        <v>2.14</v>
      </c>
      <c r="I78" s="31">
        <v>4.76</v>
      </c>
      <c r="J78" s="35"/>
    </row>
    <row r="79" spans="1:10" x14ac:dyDescent="0.25">
      <c r="C79" s="57" t="s">
        <v>35</v>
      </c>
      <c r="D79" s="53"/>
      <c r="E79" s="6"/>
      <c r="F79" s="19"/>
      <c r="G79" s="25">
        <v>3541.48</v>
      </c>
      <c r="H79" s="25">
        <v>72.08</v>
      </c>
      <c r="I79" s="31"/>
      <c r="J79" s="35"/>
    </row>
    <row r="80" spans="1:10" x14ac:dyDescent="0.25">
      <c r="C80" s="56"/>
      <c r="D80" s="53"/>
      <c r="E80" s="6"/>
      <c r="F80" s="19"/>
      <c r="G80" s="24"/>
      <c r="H80" s="24"/>
      <c r="I80" s="31"/>
      <c r="J80" s="35"/>
    </row>
    <row r="81" spans="1:10" x14ac:dyDescent="0.25">
      <c r="C81" s="57" t="s">
        <v>7</v>
      </c>
      <c r="D81" s="53"/>
      <c r="E81" s="6"/>
      <c r="F81" s="19"/>
      <c r="G81" s="24" t="s">
        <v>2</v>
      </c>
      <c r="H81" s="24" t="s">
        <v>2</v>
      </c>
      <c r="I81" s="31"/>
      <c r="J81" s="35"/>
    </row>
    <row r="82" spans="1:10" x14ac:dyDescent="0.25">
      <c r="C82" s="56"/>
      <c r="D82" s="53"/>
      <c r="E82" s="6"/>
      <c r="F82" s="19"/>
      <c r="G82" s="24"/>
      <c r="H82" s="24"/>
      <c r="I82" s="31"/>
      <c r="J82" s="35"/>
    </row>
    <row r="83" spans="1:10" x14ac:dyDescent="0.25">
      <c r="C83" s="57" t="s">
        <v>8</v>
      </c>
      <c r="D83" s="53"/>
      <c r="E83" s="6"/>
      <c r="F83" s="19"/>
      <c r="G83" s="24" t="s">
        <v>2</v>
      </c>
      <c r="H83" s="24" t="s">
        <v>2</v>
      </c>
      <c r="I83" s="31"/>
      <c r="J83" s="35"/>
    </row>
    <row r="84" spans="1:10" x14ac:dyDescent="0.25">
      <c r="C84" s="56"/>
      <c r="D84" s="53"/>
      <c r="E84" s="6"/>
      <c r="F84" s="19"/>
      <c r="G84" s="24"/>
      <c r="H84" s="24"/>
      <c r="I84" s="31"/>
      <c r="J84" s="35"/>
    </row>
    <row r="85" spans="1:10" x14ac:dyDescent="0.25">
      <c r="C85" s="57" t="s">
        <v>9</v>
      </c>
      <c r="D85" s="53"/>
      <c r="E85" s="6"/>
      <c r="F85" s="19"/>
      <c r="G85" s="24" t="s">
        <v>2</v>
      </c>
      <c r="H85" s="24" t="s">
        <v>2</v>
      </c>
      <c r="I85" s="31"/>
      <c r="J85" s="35"/>
    </row>
    <row r="86" spans="1:10" x14ac:dyDescent="0.25">
      <c r="C86" s="56"/>
      <c r="D86" s="53"/>
      <c r="E86" s="6"/>
      <c r="F86" s="19"/>
      <c r="G86" s="24"/>
      <c r="H86" s="24"/>
      <c r="I86" s="31"/>
      <c r="J86" s="35"/>
    </row>
    <row r="87" spans="1:10" x14ac:dyDescent="0.25">
      <c r="C87" s="57" t="s">
        <v>10</v>
      </c>
      <c r="D87" s="53"/>
      <c r="E87" s="6"/>
      <c r="F87" s="19"/>
      <c r="G87" s="24" t="s">
        <v>2</v>
      </c>
      <c r="H87" s="24" t="s">
        <v>2</v>
      </c>
      <c r="I87" s="31"/>
      <c r="J87" s="35"/>
    </row>
    <row r="88" spans="1:10" x14ac:dyDescent="0.25">
      <c r="C88" s="56"/>
      <c r="D88" s="53"/>
      <c r="E88" s="6"/>
      <c r="F88" s="19"/>
      <c r="G88" s="24"/>
      <c r="H88" s="24"/>
      <c r="I88" s="31"/>
      <c r="J88" s="35"/>
    </row>
    <row r="89" spans="1:10" x14ac:dyDescent="0.25">
      <c r="A89" s="10"/>
      <c r="B89" s="28"/>
      <c r="C89" s="58" t="s">
        <v>11</v>
      </c>
      <c r="D89" s="53"/>
      <c r="E89" s="6"/>
      <c r="F89" s="19"/>
      <c r="G89" s="24"/>
      <c r="H89" s="24"/>
      <c r="I89" s="31"/>
      <c r="J89" s="35"/>
    </row>
    <row r="90" spans="1:10" x14ac:dyDescent="0.25">
      <c r="A90" s="28"/>
      <c r="B90" s="28"/>
      <c r="C90" s="58" t="s">
        <v>13</v>
      </c>
      <c r="D90" s="53"/>
      <c r="E90" s="6"/>
      <c r="F90" s="19"/>
      <c r="G90" s="24" t="s">
        <v>2</v>
      </c>
      <c r="H90" s="24" t="s">
        <v>2</v>
      </c>
      <c r="I90" s="31"/>
      <c r="J90" s="35"/>
    </row>
    <row r="91" spans="1:10" x14ac:dyDescent="0.25">
      <c r="A91" s="28"/>
      <c r="B91" s="28"/>
      <c r="C91" s="58"/>
      <c r="D91" s="53"/>
      <c r="E91" s="6"/>
      <c r="F91" s="19"/>
      <c r="G91" s="24"/>
      <c r="H91" s="24"/>
      <c r="I91" s="31"/>
      <c r="J91" s="35"/>
    </row>
    <row r="92" spans="1:10" x14ac:dyDescent="0.25">
      <c r="A92" s="28"/>
      <c r="B92" s="28"/>
      <c r="C92" s="58" t="s">
        <v>14</v>
      </c>
      <c r="D92" s="53"/>
      <c r="E92" s="6"/>
      <c r="F92" s="19"/>
      <c r="G92" s="24" t="s">
        <v>2</v>
      </c>
      <c r="H92" s="24" t="s">
        <v>2</v>
      </c>
      <c r="I92" s="31"/>
      <c r="J92" s="35"/>
    </row>
    <row r="93" spans="1:10" x14ac:dyDescent="0.25">
      <c r="A93" s="28"/>
      <c r="B93" s="28"/>
      <c r="C93" s="58"/>
      <c r="D93" s="53"/>
      <c r="E93" s="6"/>
      <c r="F93" s="19"/>
      <c r="G93" s="24"/>
      <c r="H93" s="24"/>
      <c r="I93" s="31"/>
      <c r="J93" s="35"/>
    </row>
    <row r="94" spans="1:10" x14ac:dyDescent="0.25">
      <c r="C94" s="59" t="s">
        <v>15</v>
      </c>
      <c r="D94" s="53"/>
      <c r="E94" s="6"/>
      <c r="F94" s="19"/>
      <c r="G94" s="24"/>
      <c r="H94" s="24"/>
      <c r="I94" s="31"/>
      <c r="J94" s="35"/>
    </row>
    <row r="95" spans="1:10" x14ac:dyDescent="0.25">
      <c r="B95" s="8" t="s">
        <v>2892</v>
      </c>
      <c r="C95" s="56" t="s">
        <v>2893</v>
      </c>
      <c r="D95" s="53" t="s">
        <v>2894</v>
      </c>
      <c r="E95" s="6" t="s">
        <v>655</v>
      </c>
      <c r="F95" s="19">
        <v>327300</v>
      </c>
      <c r="G95" s="24">
        <v>296.13</v>
      </c>
      <c r="H95" s="24">
        <v>6.03</v>
      </c>
      <c r="I95" s="31">
        <v>4.5771499999999996</v>
      </c>
      <c r="J95" s="35"/>
    </row>
    <row r="96" spans="1:10" x14ac:dyDescent="0.25">
      <c r="C96" s="57" t="s">
        <v>35</v>
      </c>
      <c r="D96" s="53"/>
      <c r="E96" s="6"/>
      <c r="F96" s="19"/>
      <c r="G96" s="25">
        <v>296.13</v>
      </c>
      <c r="H96" s="25">
        <v>6.03</v>
      </c>
      <c r="I96" s="31"/>
      <c r="J96" s="35"/>
    </row>
    <row r="97" spans="1:10" x14ac:dyDescent="0.25">
      <c r="C97" s="56"/>
      <c r="D97" s="53"/>
      <c r="E97" s="6"/>
      <c r="F97" s="19"/>
      <c r="G97" s="24"/>
      <c r="H97" s="24"/>
      <c r="I97" s="31"/>
      <c r="J97" s="35"/>
    </row>
    <row r="98" spans="1:10" x14ac:dyDescent="0.25">
      <c r="C98" s="57" t="s">
        <v>16</v>
      </c>
      <c r="D98" s="53"/>
      <c r="E98" s="6"/>
      <c r="F98" s="19"/>
      <c r="G98" s="24" t="s">
        <v>2</v>
      </c>
      <c r="H98" s="24" t="s">
        <v>2</v>
      </c>
      <c r="I98" s="31"/>
      <c r="J98" s="35"/>
    </row>
    <row r="99" spans="1:10" x14ac:dyDescent="0.25">
      <c r="C99" s="56"/>
      <c r="D99" s="53"/>
      <c r="E99" s="6"/>
      <c r="F99" s="19"/>
      <c r="G99" s="24"/>
      <c r="H99" s="24"/>
      <c r="I99" s="31"/>
      <c r="J99" s="35"/>
    </row>
    <row r="100" spans="1:10" x14ac:dyDescent="0.25">
      <c r="A100" s="10"/>
      <c r="B100" s="28"/>
      <c r="C100" s="58" t="s">
        <v>17</v>
      </c>
      <c r="D100" s="53"/>
      <c r="E100" s="6"/>
      <c r="F100" s="19"/>
      <c r="G100" s="24"/>
      <c r="H100" s="24"/>
      <c r="I100" s="31"/>
      <c r="J100" s="35"/>
    </row>
    <row r="101" spans="1:10" x14ac:dyDescent="0.25">
      <c r="A101" s="28"/>
      <c r="B101" s="28"/>
      <c r="C101" s="58" t="s">
        <v>18</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19</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A105" s="28"/>
      <c r="B105" s="28"/>
      <c r="C105" s="58" t="s">
        <v>20</v>
      </c>
      <c r="D105" s="53"/>
      <c r="E105" s="6"/>
      <c r="F105" s="19"/>
      <c r="G105" s="24" t="s">
        <v>2</v>
      </c>
      <c r="H105" s="24" t="s">
        <v>2</v>
      </c>
      <c r="I105" s="31"/>
      <c r="J105" s="35"/>
    </row>
    <row r="106" spans="1:10" x14ac:dyDescent="0.25">
      <c r="A106" s="28"/>
      <c r="B106" s="28"/>
      <c r="C106" s="58"/>
      <c r="D106" s="53"/>
      <c r="E106" s="6"/>
      <c r="F106" s="19"/>
      <c r="G106" s="24"/>
      <c r="H106" s="24"/>
      <c r="I106" s="31"/>
      <c r="J106" s="35"/>
    </row>
    <row r="107" spans="1:10" x14ac:dyDescent="0.25">
      <c r="A107" s="28"/>
      <c r="B107" s="28"/>
      <c r="C107" s="58" t="s">
        <v>21</v>
      </c>
      <c r="D107" s="53"/>
      <c r="E107" s="6"/>
      <c r="F107" s="19"/>
      <c r="G107" s="24" t="s">
        <v>2</v>
      </c>
      <c r="H107" s="24" t="s">
        <v>2</v>
      </c>
      <c r="I107" s="31"/>
      <c r="J107" s="35"/>
    </row>
    <row r="108" spans="1:10" x14ac:dyDescent="0.25">
      <c r="A108" s="28"/>
      <c r="B108" s="28"/>
      <c r="C108" s="58"/>
      <c r="D108" s="53"/>
      <c r="E108" s="6"/>
      <c r="F108" s="19"/>
      <c r="G108" s="24"/>
      <c r="H108" s="24"/>
      <c r="I108" s="31"/>
      <c r="J108" s="35"/>
    </row>
    <row r="109" spans="1:10" x14ac:dyDescent="0.25">
      <c r="C109" s="59" t="s">
        <v>22</v>
      </c>
      <c r="D109" s="53"/>
      <c r="E109" s="6"/>
      <c r="F109" s="19"/>
      <c r="G109" s="24"/>
      <c r="H109" s="24"/>
      <c r="I109" s="31"/>
      <c r="J109" s="35"/>
    </row>
    <row r="110" spans="1:10" x14ac:dyDescent="0.25">
      <c r="B110" s="8" t="s">
        <v>33</v>
      </c>
      <c r="C110" s="56" t="s">
        <v>34</v>
      </c>
      <c r="D110" s="53"/>
      <c r="E110" s="6"/>
      <c r="F110" s="19"/>
      <c r="G110" s="24">
        <v>161.80000000000001</v>
      </c>
      <c r="H110" s="24">
        <v>3.29</v>
      </c>
      <c r="I110" s="31"/>
      <c r="J110" s="35"/>
    </row>
    <row r="111" spans="1:10" x14ac:dyDescent="0.25">
      <c r="C111" s="57" t="s">
        <v>35</v>
      </c>
      <c r="D111" s="53"/>
      <c r="E111" s="6"/>
      <c r="F111" s="19"/>
      <c r="G111" s="25">
        <v>161.80000000000001</v>
      </c>
      <c r="H111" s="25">
        <v>3.29</v>
      </c>
      <c r="I111" s="31"/>
      <c r="J111" s="35"/>
    </row>
    <row r="112" spans="1:10" x14ac:dyDescent="0.25">
      <c r="C112" s="56"/>
      <c r="D112" s="53"/>
      <c r="E112" s="6"/>
      <c r="F112" s="19"/>
      <c r="G112" s="24"/>
      <c r="H112" s="24"/>
      <c r="I112" s="31"/>
      <c r="J112" s="35"/>
    </row>
    <row r="113" spans="1:10" x14ac:dyDescent="0.25">
      <c r="A113" s="10"/>
      <c r="B113" s="28"/>
      <c r="C113" s="58" t="s">
        <v>23</v>
      </c>
      <c r="D113" s="53"/>
      <c r="E113" s="6"/>
      <c r="F113" s="19"/>
      <c r="G113" s="24"/>
      <c r="H113" s="24"/>
      <c r="I113" s="31"/>
      <c r="J113" s="35"/>
    </row>
    <row r="114" spans="1:10" x14ac:dyDescent="0.25">
      <c r="A114" s="28"/>
      <c r="B114" s="28"/>
      <c r="C114" s="60" t="s">
        <v>3398</v>
      </c>
      <c r="D114" s="53"/>
      <c r="E114" s="6"/>
      <c r="F114" s="19"/>
      <c r="G114" s="24" t="s">
        <v>2</v>
      </c>
      <c r="H114" s="24" t="s">
        <v>2</v>
      </c>
      <c r="I114" s="31"/>
      <c r="J114" s="35"/>
    </row>
    <row r="115" spans="1:10" x14ac:dyDescent="0.25">
      <c r="B115" s="8"/>
      <c r="C115" s="56" t="s">
        <v>36</v>
      </c>
      <c r="D115" s="53"/>
      <c r="E115" s="6"/>
      <c r="F115" s="19"/>
      <c r="G115" s="24">
        <v>131.72999999999999</v>
      </c>
      <c r="H115" s="24">
        <v>2.69</v>
      </c>
      <c r="I115" s="31"/>
      <c r="J115" s="35"/>
    </row>
    <row r="116" spans="1:10" x14ac:dyDescent="0.25">
      <c r="C116" s="57" t="s">
        <v>35</v>
      </c>
      <c r="D116" s="53"/>
      <c r="E116" s="6"/>
      <c r="F116" s="19"/>
      <c r="G116" s="25">
        <v>131.72999999999999</v>
      </c>
      <c r="H116" s="25">
        <v>2.69</v>
      </c>
      <c r="I116" s="31"/>
      <c r="J116" s="35"/>
    </row>
    <row r="117" spans="1:10" x14ac:dyDescent="0.25">
      <c r="C117" s="56"/>
      <c r="D117" s="53"/>
      <c r="E117" s="6"/>
      <c r="F117" s="19"/>
      <c r="G117" s="24"/>
      <c r="H117" s="24"/>
      <c r="I117" s="31"/>
      <c r="J117" s="35"/>
    </row>
    <row r="118" spans="1:10" x14ac:dyDescent="0.25">
      <c r="C118" s="61" t="s">
        <v>37</v>
      </c>
      <c r="D118" s="54"/>
      <c r="E118" s="5"/>
      <c r="F118" s="20"/>
      <c r="G118" s="26">
        <v>4912.6499999999996</v>
      </c>
      <c r="H118" s="26">
        <f>SUMIFS(H:H,C:C,"Total")</f>
        <v>100</v>
      </c>
      <c r="I118" s="32"/>
      <c r="J118" s="36"/>
    </row>
    <row r="121" spans="1:10" x14ac:dyDescent="0.25">
      <c r="C121" s="1" t="s">
        <v>38</v>
      </c>
    </row>
    <row r="122" spans="1:10" x14ac:dyDescent="0.25">
      <c r="C122" s="2" t="s">
        <v>39</v>
      </c>
    </row>
    <row r="123" spans="1:10" x14ac:dyDescent="0.25">
      <c r="C123" s="2" t="s">
        <v>40</v>
      </c>
    </row>
    <row r="124" spans="1:10" x14ac:dyDescent="0.25">
      <c r="C124" s="2" t="s">
        <v>3430</v>
      </c>
    </row>
  </sheetData>
  <hyperlinks>
    <hyperlink ref="J2" location="'Index'!A1" display="'Index'!A1"/>
  </hyperlinks>
  <pageMargins left="0.7" right="0.7" top="0.75" bottom="0.75" header="0.3" footer="0.3"/>
  <pageSetup orientation="portrait" horizontalDpi="4294967293"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1"/>
  <dimension ref="A1:J77"/>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3078</v>
      </c>
      <c r="J2" s="37" t="s">
        <v>3307</v>
      </c>
    </row>
    <row r="3" spans="1:10" ht="16.5" x14ac:dyDescent="0.3">
      <c r="C3" s="1" t="s">
        <v>24</v>
      </c>
      <c r="D3" s="21" t="s">
        <v>3079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3076</v>
      </c>
      <c r="C18" s="56" t="s">
        <v>1376</v>
      </c>
      <c r="D18" s="53" t="s">
        <v>3077</v>
      </c>
      <c r="E18" s="6" t="s">
        <v>534</v>
      </c>
      <c r="F18" s="19">
        <v>70</v>
      </c>
      <c r="G18" s="24">
        <v>726.35</v>
      </c>
      <c r="H18" s="24">
        <v>8.7799999999999994</v>
      </c>
      <c r="I18" s="31">
        <v>5.0999999999999996</v>
      </c>
      <c r="J18" s="35" t="s">
        <v>514</v>
      </c>
    </row>
    <row r="19" spans="2:10" x14ac:dyDescent="0.25">
      <c r="B19" s="8" t="s">
        <v>3034</v>
      </c>
      <c r="C19" s="56" t="s">
        <v>601</v>
      </c>
      <c r="D19" s="53" t="s">
        <v>3035</v>
      </c>
      <c r="E19" s="6" t="s">
        <v>534</v>
      </c>
      <c r="F19" s="19">
        <v>70</v>
      </c>
      <c r="G19" s="24">
        <v>726</v>
      </c>
      <c r="H19" s="24">
        <v>8.7799999999999994</v>
      </c>
      <c r="I19" s="31">
        <v>4.9400000000000004</v>
      </c>
      <c r="J19" s="35" t="s">
        <v>514</v>
      </c>
    </row>
    <row r="20" spans="2:10" x14ac:dyDescent="0.25">
      <c r="B20" s="8" t="s">
        <v>1744</v>
      </c>
      <c r="C20" s="56" t="s">
        <v>77</v>
      </c>
      <c r="D20" s="53" t="s">
        <v>1745</v>
      </c>
      <c r="E20" s="6" t="s">
        <v>534</v>
      </c>
      <c r="F20" s="19">
        <v>65</v>
      </c>
      <c r="G20" s="24">
        <v>683.27</v>
      </c>
      <c r="H20" s="24">
        <v>8.26</v>
      </c>
      <c r="I20" s="31">
        <v>4.6749999999999998</v>
      </c>
      <c r="J20" s="35" t="s">
        <v>514</v>
      </c>
    </row>
    <row r="21" spans="2:10" x14ac:dyDescent="0.25">
      <c r="B21" s="8" t="s">
        <v>1907</v>
      </c>
      <c r="C21" s="56" t="s">
        <v>1130</v>
      </c>
      <c r="D21" s="53" t="s">
        <v>1908</v>
      </c>
      <c r="E21" s="6" t="s">
        <v>911</v>
      </c>
      <c r="F21" s="19">
        <v>65</v>
      </c>
      <c r="G21" s="24">
        <v>680.14</v>
      </c>
      <c r="H21" s="24">
        <v>8.2200000000000006</v>
      </c>
      <c r="I21" s="31">
        <v>4.8</v>
      </c>
      <c r="J21" s="35" t="s">
        <v>514</v>
      </c>
    </row>
    <row r="22" spans="2:10" x14ac:dyDescent="0.25">
      <c r="B22" s="8" t="s">
        <v>1887</v>
      </c>
      <c r="C22" s="56" t="s">
        <v>909</v>
      </c>
      <c r="D22" s="53" t="s">
        <v>1888</v>
      </c>
      <c r="E22" s="6" t="s">
        <v>534</v>
      </c>
      <c r="F22" s="19">
        <v>65</v>
      </c>
      <c r="G22" s="24">
        <v>677.7</v>
      </c>
      <c r="H22" s="24">
        <v>8.19</v>
      </c>
      <c r="I22" s="31">
        <v>4.66</v>
      </c>
      <c r="J22" s="35" t="s">
        <v>514</v>
      </c>
    </row>
    <row r="23" spans="2:10" x14ac:dyDescent="0.25">
      <c r="B23" s="8" t="s">
        <v>3036</v>
      </c>
      <c r="C23" s="56" t="s">
        <v>53</v>
      </c>
      <c r="D23" s="53" t="s">
        <v>3037</v>
      </c>
      <c r="E23" s="6" t="s">
        <v>534</v>
      </c>
      <c r="F23" s="19">
        <v>65</v>
      </c>
      <c r="G23" s="24">
        <v>675.44</v>
      </c>
      <c r="H23" s="24">
        <v>8.17</v>
      </c>
      <c r="I23" s="31">
        <v>4.8049999999999997</v>
      </c>
      <c r="J23" s="35" t="s">
        <v>514</v>
      </c>
    </row>
    <row r="24" spans="2:10" x14ac:dyDescent="0.25">
      <c r="B24" s="8" t="s">
        <v>3057</v>
      </c>
      <c r="C24" s="56" t="s">
        <v>1143</v>
      </c>
      <c r="D24" s="53" t="s">
        <v>3058</v>
      </c>
      <c r="E24" s="6" t="s">
        <v>534</v>
      </c>
      <c r="F24" s="19">
        <v>60000</v>
      </c>
      <c r="G24" s="24">
        <v>630.04</v>
      </c>
      <c r="H24" s="24">
        <v>7.62</v>
      </c>
      <c r="I24" s="31">
        <v>5.5899000000000001</v>
      </c>
      <c r="J24" s="35" t="s">
        <v>514</v>
      </c>
    </row>
    <row r="25" spans="2:10" x14ac:dyDescent="0.25">
      <c r="B25" s="8" t="s">
        <v>3080</v>
      </c>
      <c r="C25" s="56" t="s">
        <v>1127</v>
      </c>
      <c r="D25" s="53" t="s">
        <v>3081</v>
      </c>
      <c r="E25" s="6" t="s">
        <v>534</v>
      </c>
      <c r="F25" s="19">
        <v>60</v>
      </c>
      <c r="G25" s="24">
        <v>624.67999999999995</v>
      </c>
      <c r="H25" s="24">
        <v>7.55</v>
      </c>
      <c r="I25" s="31">
        <v>5.27</v>
      </c>
      <c r="J25" s="35"/>
    </row>
    <row r="26" spans="2:10" x14ac:dyDescent="0.25">
      <c r="B26" s="8" t="s">
        <v>1941</v>
      </c>
      <c r="C26" s="56" t="s">
        <v>1752</v>
      </c>
      <c r="D26" s="53" t="s">
        <v>1942</v>
      </c>
      <c r="E26" s="6" t="s">
        <v>1314</v>
      </c>
      <c r="F26" s="19">
        <v>50</v>
      </c>
      <c r="G26" s="24">
        <v>520.46</v>
      </c>
      <c r="H26" s="24">
        <v>6.29</v>
      </c>
      <c r="I26" s="31">
        <v>4.6050000000000004</v>
      </c>
      <c r="J26" s="35" t="s">
        <v>514</v>
      </c>
    </row>
    <row r="27" spans="2:10" x14ac:dyDescent="0.25">
      <c r="B27" s="8" t="s">
        <v>3082</v>
      </c>
      <c r="C27" s="56" t="s">
        <v>1935</v>
      </c>
      <c r="D27" s="53" t="s">
        <v>3083</v>
      </c>
      <c r="E27" s="6" t="s">
        <v>534</v>
      </c>
      <c r="F27" s="19">
        <v>50</v>
      </c>
      <c r="G27" s="24">
        <v>449.37</v>
      </c>
      <c r="H27" s="24">
        <v>5.43</v>
      </c>
      <c r="I27" s="31">
        <v>5.2901999999999996</v>
      </c>
      <c r="J27" s="35" t="s">
        <v>514</v>
      </c>
    </row>
    <row r="28" spans="2:10" x14ac:dyDescent="0.25">
      <c r="B28" s="8" t="s">
        <v>2835</v>
      </c>
      <c r="C28" s="56" t="s">
        <v>125</v>
      </c>
      <c r="D28" s="53" t="s">
        <v>2836</v>
      </c>
      <c r="E28" s="6" t="s">
        <v>534</v>
      </c>
      <c r="F28" s="19">
        <v>40</v>
      </c>
      <c r="G28" s="24">
        <v>416.65</v>
      </c>
      <c r="H28" s="24">
        <v>5.04</v>
      </c>
      <c r="I28" s="31">
        <v>5.0250000000000004</v>
      </c>
      <c r="J28" s="35" t="s">
        <v>514</v>
      </c>
    </row>
    <row r="29" spans="2:10" x14ac:dyDescent="0.25">
      <c r="B29" s="8" t="s">
        <v>2640</v>
      </c>
      <c r="C29" s="56" t="s">
        <v>2641</v>
      </c>
      <c r="D29" s="53" t="s">
        <v>2642</v>
      </c>
      <c r="E29" s="6" t="s">
        <v>2643</v>
      </c>
      <c r="F29" s="19">
        <v>28</v>
      </c>
      <c r="G29" s="24">
        <v>300.7</v>
      </c>
      <c r="H29" s="24">
        <v>3.64</v>
      </c>
      <c r="I29" s="31">
        <v>4.4598000000000004</v>
      </c>
      <c r="J29" s="35" t="s">
        <v>514</v>
      </c>
    </row>
    <row r="30" spans="2:10" x14ac:dyDescent="0.25">
      <c r="B30" s="8" t="s">
        <v>3070</v>
      </c>
      <c r="C30" s="56" t="s">
        <v>2421</v>
      </c>
      <c r="D30" s="53" t="s">
        <v>3071</v>
      </c>
      <c r="E30" s="6" t="s">
        <v>534</v>
      </c>
      <c r="F30" s="19">
        <v>20</v>
      </c>
      <c r="G30" s="24">
        <v>209.72</v>
      </c>
      <c r="H30" s="24">
        <v>2.54</v>
      </c>
      <c r="I30" s="31">
        <v>5.2350000000000003</v>
      </c>
      <c r="J30" s="35" t="s">
        <v>514</v>
      </c>
    </row>
    <row r="31" spans="2:10" x14ac:dyDescent="0.25">
      <c r="B31" s="8" t="s">
        <v>3084</v>
      </c>
      <c r="C31" s="56" t="s">
        <v>2655</v>
      </c>
      <c r="D31" s="53" t="s">
        <v>3085</v>
      </c>
      <c r="E31" s="6" t="s">
        <v>534</v>
      </c>
      <c r="F31" s="19">
        <v>20</v>
      </c>
      <c r="G31" s="24">
        <v>208.9</v>
      </c>
      <c r="H31" s="24">
        <v>2.5299999999999998</v>
      </c>
      <c r="I31" s="31">
        <v>4.4400000000000004</v>
      </c>
      <c r="J31" s="35" t="s">
        <v>514</v>
      </c>
    </row>
    <row r="32" spans="2:10" x14ac:dyDescent="0.25">
      <c r="B32" s="8" t="s">
        <v>1954</v>
      </c>
      <c r="C32" s="56" t="s">
        <v>854</v>
      </c>
      <c r="D32" s="53" t="s">
        <v>1955</v>
      </c>
      <c r="E32" s="6" t="s">
        <v>534</v>
      </c>
      <c r="F32" s="19">
        <v>8</v>
      </c>
      <c r="G32" s="24">
        <v>107.99</v>
      </c>
      <c r="H32" s="24">
        <v>1.31</v>
      </c>
      <c r="I32" s="31">
        <v>4.665</v>
      </c>
      <c r="J32" s="35" t="s">
        <v>514</v>
      </c>
    </row>
    <row r="33" spans="3:10" x14ac:dyDescent="0.25">
      <c r="C33" s="57" t="s">
        <v>35</v>
      </c>
      <c r="D33" s="53"/>
      <c r="E33" s="6"/>
      <c r="F33" s="19"/>
      <c r="G33" s="25">
        <v>7637.41</v>
      </c>
      <c r="H33" s="25">
        <v>92.35</v>
      </c>
      <c r="I33" s="31"/>
      <c r="J33" s="35"/>
    </row>
    <row r="34" spans="3:10" x14ac:dyDescent="0.25">
      <c r="C34" s="56"/>
      <c r="D34" s="53"/>
      <c r="E34" s="6"/>
      <c r="F34" s="19"/>
      <c r="G34" s="24"/>
      <c r="H34" s="24"/>
      <c r="I34" s="31"/>
      <c r="J34" s="35"/>
    </row>
    <row r="35" spans="3:10" x14ac:dyDescent="0.25">
      <c r="C35" s="57" t="s">
        <v>7</v>
      </c>
      <c r="D35" s="53"/>
      <c r="E35" s="6"/>
      <c r="F35" s="19"/>
      <c r="G35" s="24" t="s">
        <v>2</v>
      </c>
      <c r="H35" s="24" t="s">
        <v>2</v>
      </c>
      <c r="I35" s="31"/>
      <c r="J35" s="35"/>
    </row>
    <row r="36" spans="3:10" x14ac:dyDescent="0.25">
      <c r="C36" s="56"/>
      <c r="D36" s="53"/>
      <c r="E36" s="6"/>
      <c r="F36" s="19"/>
      <c r="G36" s="24"/>
      <c r="H36" s="24"/>
      <c r="I36" s="31"/>
      <c r="J36" s="35"/>
    </row>
    <row r="37" spans="3:10" x14ac:dyDescent="0.25">
      <c r="C37" s="57" t="s">
        <v>8</v>
      </c>
      <c r="D37" s="53"/>
      <c r="E37" s="6"/>
      <c r="F37" s="19"/>
      <c r="G37" s="24" t="s">
        <v>2</v>
      </c>
      <c r="H37" s="24" t="s">
        <v>2</v>
      </c>
      <c r="I37" s="31"/>
      <c r="J37" s="35"/>
    </row>
    <row r="38" spans="3:10" x14ac:dyDescent="0.25">
      <c r="C38" s="56"/>
      <c r="D38" s="53"/>
      <c r="E38" s="6"/>
      <c r="F38" s="19"/>
      <c r="G38" s="24"/>
      <c r="H38" s="24"/>
      <c r="I38" s="31"/>
      <c r="J38" s="35"/>
    </row>
    <row r="39" spans="3:10" x14ac:dyDescent="0.25">
      <c r="C39" s="57" t="s">
        <v>9</v>
      </c>
      <c r="D39" s="53"/>
      <c r="E39" s="6"/>
      <c r="F39" s="19"/>
      <c r="G39" s="24" t="s">
        <v>2</v>
      </c>
      <c r="H39" s="24" t="s">
        <v>2</v>
      </c>
      <c r="I39" s="31"/>
      <c r="J39" s="35"/>
    </row>
    <row r="40" spans="3:10" x14ac:dyDescent="0.25">
      <c r="C40" s="56"/>
      <c r="D40" s="53"/>
      <c r="E40" s="6"/>
      <c r="F40" s="19"/>
      <c r="G40" s="24"/>
      <c r="H40" s="24"/>
      <c r="I40" s="31"/>
      <c r="J40" s="35"/>
    </row>
    <row r="41" spans="3:10" x14ac:dyDescent="0.25">
      <c r="C41" s="57" t="s">
        <v>10</v>
      </c>
      <c r="D41" s="53"/>
      <c r="E41" s="6"/>
      <c r="F41" s="19"/>
      <c r="G41" s="24" t="s">
        <v>2</v>
      </c>
      <c r="H41" s="24" t="s">
        <v>2</v>
      </c>
      <c r="I41" s="31"/>
      <c r="J41" s="35"/>
    </row>
    <row r="42" spans="3:10" x14ac:dyDescent="0.25">
      <c r="C42" s="56"/>
      <c r="D42" s="53"/>
      <c r="E42" s="6"/>
      <c r="F42" s="19"/>
      <c r="G42" s="24"/>
      <c r="H42" s="24"/>
      <c r="I42" s="31"/>
      <c r="J42" s="35"/>
    </row>
    <row r="43" spans="3:10" x14ac:dyDescent="0.25">
      <c r="C43" s="57" t="s">
        <v>11</v>
      </c>
      <c r="D43" s="53"/>
      <c r="E43" s="6"/>
      <c r="F43" s="19"/>
      <c r="G43" s="24"/>
      <c r="H43" s="24"/>
      <c r="I43" s="31"/>
      <c r="J43" s="35"/>
    </row>
    <row r="44" spans="3:10" x14ac:dyDescent="0.25">
      <c r="C44" s="56"/>
      <c r="D44" s="53"/>
      <c r="E44" s="6"/>
      <c r="F44" s="19"/>
      <c r="G44" s="24"/>
      <c r="H44" s="24"/>
      <c r="I44" s="31"/>
      <c r="J44" s="35"/>
    </row>
    <row r="45" spans="3:10" x14ac:dyDescent="0.25">
      <c r="C45" s="57" t="s">
        <v>13</v>
      </c>
      <c r="D45" s="53"/>
      <c r="E45" s="6"/>
      <c r="F45" s="19"/>
      <c r="G45" s="24" t="s">
        <v>2</v>
      </c>
      <c r="H45" s="24" t="s">
        <v>2</v>
      </c>
      <c r="I45" s="31"/>
      <c r="J45" s="35"/>
    </row>
    <row r="46" spans="3:10" x14ac:dyDescent="0.25">
      <c r="C46" s="56"/>
      <c r="D46" s="53"/>
      <c r="E46" s="6"/>
      <c r="F46" s="19"/>
      <c r="G46" s="24"/>
      <c r="H46" s="24"/>
      <c r="I46" s="31"/>
      <c r="J46" s="35"/>
    </row>
    <row r="47" spans="3:10" x14ac:dyDescent="0.25">
      <c r="C47" s="57" t="s">
        <v>14</v>
      </c>
      <c r="D47" s="53"/>
      <c r="E47" s="6"/>
      <c r="F47" s="19"/>
      <c r="G47" s="24" t="s">
        <v>2</v>
      </c>
      <c r="H47" s="24" t="s">
        <v>2</v>
      </c>
      <c r="I47" s="31"/>
      <c r="J47" s="35"/>
    </row>
    <row r="48" spans="3:10" x14ac:dyDescent="0.25">
      <c r="C48" s="56"/>
      <c r="D48" s="53"/>
      <c r="E48" s="6"/>
      <c r="F48" s="19"/>
      <c r="G48" s="24"/>
      <c r="H48" s="24"/>
      <c r="I48" s="31"/>
      <c r="J48" s="35"/>
    </row>
    <row r="49" spans="1:10" x14ac:dyDescent="0.25">
      <c r="C49" s="57" t="s">
        <v>15</v>
      </c>
      <c r="D49" s="53"/>
      <c r="E49" s="6"/>
      <c r="F49" s="19"/>
      <c r="G49" s="24" t="s">
        <v>2</v>
      </c>
      <c r="H49" s="24" t="s">
        <v>2</v>
      </c>
      <c r="I49" s="31"/>
      <c r="J49" s="35"/>
    </row>
    <row r="50" spans="1:10" x14ac:dyDescent="0.25">
      <c r="C50" s="56"/>
      <c r="D50" s="53"/>
      <c r="E50" s="6"/>
      <c r="F50" s="19"/>
      <c r="G50" s="24"/>
      <c r="H50" s="24"/>
      <c r="I50" s="31"/>
      <c r="J50" s="35"/>
    </row>
    <row r="51" spans="1:10" x14ac:dyDescent="0.25">
      <c r="C51" s="57" t="s">
        <v>16</v>
      </c>
      <c r="D51" s="53"/>
      <c r="E51" s="6"/>
      <c r="F51" s="19"/>
      <c r="G51" s="24" t="s">
        <v>2</v>
      </c>
      <c r="H51" s="24" t="s">
        <v>2</v>
      </c>
      <c r="I51" s="31"/>
      <c r="J51" s="35"/>
    </row>
    <row r="52" spans="1:10" x14ac:dyDescent="0.25">
      <c r="C52" s="56"/>
      <c r="D52" s="53"/>
      <c r="E52" s="6"/>
      <c r="F52" s="19"/>
      <c r="G52" s="24"/>
      <c r="H52" s="24"/>
      <c r="I52" s="31"/>
      <c r="J52" s="35"/>
    </row>
    <row r="53" spans="1:10" x14ac:dyDescent="0.25">
      <c r="A53" s="10"/>
      <c r="B53" s="28"/>
      <c r="C53" s="58" t="s">
        <v>17</v>
      </c>
      <c r="D53" s="53"/>
      <c r="E53" s="6"/>
      <c r="F53" s="19"/>
      <c r="G53" s="24"/>
      <c r="H53" s="24"/>
      <c r="I53" s="31"/>
      <c r="J53" s="35"/>
    </row>
    <row r="54" spans="1:10" x14ac:dyDescent="0.25">
      <c r="A54" s="28"/>
      <c r="B54" s="28"/>
      <c r="C54" s="58" t="s">
        <v>18</v>
      </c>
      <c r="D54" s="53"/>
      <c r="E54" s="6"/>
      <c r="F54" s="19"/>
      <c r="G54" s="24" t="s">
        <v>2</v>
      </c>
      <c r="H54" s="24" t="s">
        <v>2</v>
      </c>
      <c r="I54" s="31"/>
      <c r="J54" s="35"/>
    </row>
    <row r="55" spans="1:10" x14ac:dyDescent="0.25">
      <c r="A55" s="28"/>
      <c r="B55" s="28"/>
      <c r="C55" s="58"/>
      <c r="D55" s="53"/>
      <c r="E55" s="6"/>
      <c r="F55" s="19"/>
      <c r="G55" s="24"/>
      <c r="H55" s="24"/>
      <c r="I55" s="31"/>
      <c r="J55" s="35"/>
    </row>
    <row r="56" spans="1:10" x14ac:dyDescent="0.25">
      <c r="A56" s="28"/>
      <c r="B56" s="28"/>
      <c r="C56" s="58" t="s">
        <v>19</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20</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A60" s="28"/>
      <c r="B60" s="28"/>
      <c r="C60" s="58" t="s">
        <v>21</v>
      </c>
      <c r="D60" s="53"/>
      <c r="E60" s="6"/>
      <c r="F60" s="19"/>
      <c r="G60" s="24" t="s">
        <v>2</v>
      </c>
      <c r="H60" s="24" t="s">
        <v>2</v>
      </c>
      <c r="I60" s="31"/>
      <c r="J60" s="35"/>
    </row>
    <row r="61" spans="1:10" x14ac:dyDescent="0.25">
      <c r="A61" s="28"/>
      <c r="B61" s="28"/>
      <c r="C61" s="58"/>
      <c r="D61" s="53"/>
      <c r="E61" s="6"/>
      <c r="F61" s="19"/>
      <c r="G61" s="24"/>
      <c r="H61" s="24"/>
      <c r="I61" s="31"/>
      <c r="J61" s="35"/>
    </row>
    <row r="62" spans="1:10" x14ac:dyDescent="0.25">
      <c r="C62" s="59" t="s">
        <v>22</v>
      </c>
      <c r="D62" s="53"/>
      <c r="E62" s="6"/>
      <c r="F62" s="19"/>
      <c r="G62" s="24"/>
      <c r="H62" s="24"/>
      <c r="I62" s="31"/>
      <c r="J62" s="35"/>
    </row>
    <row r="63" spans="1:10" x14ac:dyDescent="0.25">
      <c r="B63" s="8" t="s">
        <v>33</v>
      </c>
      <c r="C63" s="56" t="s">
        <v>34</v>
      </c>
      <c r="D63" s="53"/>
      <c r="E63" s="6"/>
      <c r="F63" s="19"/>
      <c r="G63" s="24">
        <v>475.88</v>
      </c>
      <c r="H63" s="24">
        <v>5.75</v>
      </c>
      <c r="I63" s="31"/>
      <c r="J63" s="35"/>
    </row>
    <row r="64" spans="1:10" x14ac:dyDescent="0.25">
      <c r="C64" s="57" t="s">
        <v>35</v>
      </c>
      <c r="D64" s="53"/>
      <c r="E64" s="6"/>
      <c r="F64" s="19"/>
      <c r="G64" s="25">
        <v>475.88</v>
      </c>
      <c r="H64" s="25">
        <v>5.75</v>
      </c>
      <c r="I64" s="31"/>
      <c r="J64" s="35"/>
    </row>
    <row r="65" spans="1:10" x14ac:dyDescent="0.25">
      <c r="C65" s="56"/>
      <c r="D65" s="53"/>
      <c r="E65" s="6"/>
      <c r="F65" s="19"/>
      <c r="G65" s="24"/>
      <c r="H65" s="24"/>
      <c r="I65" s="31"/>
      <c r="J65" s="35"/>
    </row>
    <row r="66" spans="1:10" x14ac:dyDescent="0.25">
      <c r="A66" s="10"/>
      <c r="B66" s="28"/>
      <c r="C66" s="58" t="s">
        <v>23</v>
      </c>
      <c r="D66" s="53"/>
      <c r="E66" s="6"/>
      <c r="F66" s="19"/>
      <c r="G66" s="24"/>
      <c r="H66" s="24"/>
      <c r="I66" s="31"/>
      <c r="J66" s="35"/>
    </row>
    <row r="67" spans="1:10" x14ac:dyDescent="0.25">
      <c r="A67" s="28"/>
      <c r="B67" s="28"/>
      <c r="C67" s="60" t="s">
        <v>3398</v>
      </c>
      <c r="D67" s="53"/>
      <c r="E67" s="6"/>
      <c r="F67" s="19"/>
      <c r="G67" s="24" t="s">
        <v>2</v>
      </c>
      <c r="H67" s="24" t="s">
        <v>2</v>
      </c>
      <c r="I67" s="31"/>
      <c r="J67" s="35"/>
    </row>
    <row r="68" spans="1:10" x14ac:dyDescent="0.25">
      <c r="B68" s="8"/>
      <c r="C68" s="56" t="s">
        <v>36</v>
      </c>
      <c r="D68" s="53"/>
      <c r="E68" s="6"/>
      <c r="F68" s="19"/>
      <c r="G68" s="24">
        <v>157.32</v>
      </c>
      <c r="H68" s="24">
        <v>1.9</v>
      </c>
      <c r="I68" s="31"/>
      <c r="J68" s="35"/>
    </row>
    <row r="69" spans="1:10" x14ac:dyDescent="0.25">
      <c r="C69" s="57" t="s">
        <v>35</v>
      </c>
      <c r="D69" s="53"/>
      <c r="E69" s="6"/>
      <c r="F69" s="19"/>
      <c r="G69" s="25">
        <v>157.32</v>
      </c>
      <c r="H69" s="25">
        <v>1.9</v>
      </c>
      <c r="I69" s="31"/>
      <c r="J69" s="35"/>
    </row>
    <row r="70" spans="1:10" x14ac:dyDescent="0.25">
      <c r="C70" s="56"/>
      <c r="D70" s="53"/>
      <c r="E70" s="6"/>
      <c r="F70" s="19"/>
      <c r="G70" s="24"/>
      <c r="H70" s="24"/>
      <c r="I70" s="31"/>
      <c r="J70" s="35"/>
    </row>
    <row r="71" spans="1:10" x14ac:dyDescent="0.25">
      <c r="C71" s="61" t="s">
        <v>37</v>
      </c>
      <c r="D71" s="54"/>
      <c r="E71" s="5"/>
      <c r="F71" s="20"/>
      <c r="G71" s="26">
        <v>8270.61</v>
      </c>
      <c r="H71" s="26">
        <f>SUMIFS(H:H,C:C,"Total")</f>
        <v>100</v>
      </c>
      <c r="I71" s="32"/>
      <c r="J71" s="36"/>
    </row>
    <row r="74" spans="1:10" x14ac:dyDescent="0.25">
      <c r="C74" s="1" t="s">
        <v>38</v>
      </c>
    </row>
    <row r="75" spans="1:10" x14ac:dyDescent="0.25">
      <c r="C75" s="2" t="s">
        <v>39</v>
      </c>
    </row>
    <row r="76" spans="1:10" x14ac:dyDescent="0.25">
      <c r="C76" s="2" t="s">
        <v>40</v>
      </c>
    </row>
    <row r="77" spans="1:10" x14ac:dyDescent="0.25">
      <c r="C77" s="2" t="s">
        <v>3430</v>
      </c>
    </row>
  </sheetData>
  <hyperlinks>
    <hyperlink ref="J2" location="'Index'!A1" display="'Index'!A1"/>
  </hyperlinks>
  <pageMargins left="0.7" right="0.7" top="0.75" bottom="0.75" header="0.3" footer="0.3"/>
  <pageSetup orientation="portrait" horizontalDpi="4294967293"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2"/>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3086</v>
      </c>
      <c r="J2" s="37" t="s">
        <v>3307</v>
      </c>
    </row>
    <row r="3" spans="1:10" ht="16.5" x14ac:dyDescent="0.3">
      <c r="C3" s="1" t="s">
        <v>24</v>
      </c>
      <c r="D3" s="21" t="s">
        <v>3087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3084</v>
      </c>
      <c r="C18" s="56" t="s">
        <v>2655</v>
      </c>
      <c r="D18" s="53" t="s">
        <v>3085</v>
      </c>
      <c r="E18" s="6" t="s">
        <v>534</v>
      </c>
      <c r="F18" s="19">
        <v>40</v>
      </c>
      <c r="G18" s="24">
        <v>417.8</v>
      </c>
      <c r="H18" s="24">
        <v>8.7200000000000006</v>
      </c>
      <c r="I18" s="31">
        <v>4.4400000000000004</v>
      </c>
      <c r="J18" s="35" t="s">
        <v>514</v>
      </c>
    </row>
    <row r="19" spans="2:10" x14ac:dyDescent="0.25">
      <c r="B19" s="8" t="s">
        <v>3076</v>
      </c>
      <c r="C19" s="56" t="s">
        <v>1376</v>
      </c>
      <c r="D19" s="53" t="s">
        <v>3077</v>
      </c>
      <c r="E19" s="6" t="s">
        <v>534</v>
      </c>
      <c r="F19" s="19">
        <v>40</v>
      </c>
      <c r="G19" s="24">
        <v>415.06</v>
      </c>
      <c r="H19" s="24">
        <v>8.66</v>
      </c>
      <c r="I19" s="31">
        <v>5.0999999999999996</v>
      </c>
      <c r="J19" s="35" t="s">
        <v>514</v>
      </c>
    </row>
    <row r="20" spans="2:10" x14ac:dyDescent="0.25">
      <c r="B20" s="8" t="s">
        <v>1907</v>
      </c>
      <c r="C20" s="56" t="s">
        <v>1130</v>
      </c>
      <c r="D20" s="53" t="s">
        <v>1908</v>
      </c>
      <c r="E20" s="6" t="s">
        <v>911</v>
      </c>
      <c r="F20" s="19">
        <v>35</v>
      </c>
      <c r="G20" s="24">
        <v>366.23</v>
      </c>
      <c r="H20" s="24">
        <v>7.64</v>
      </c>
      <c r="I20" s="31">
        <v>4.8</v>
      </c>
      <c r="J20" s="35" t="s">
        <v>514</v>
      </c>
    </row>
    <row r="21" spans="2:10" x14ac:dyDescent="0.25">
      <c r="B21" s="8" t="s">
        <v>1860</v>
      </c>
      <c r="C21" s="56" t="s">
        <v>601</v>
      </c>
      <c r="D21" s="53" t="s">
        <v>1861</v>
      </c>
      <c r="E21" s="6" t="s">
        <v>534</v>
      </c>
      <c r="F21" s="19">
        <v>35</v>
      </c>
      <c r="G21" s="24">
        <v>365.41</v>
      </c>
      <c r="H21" s="24">
        <v>7.63</v>
      </c>
      <c r="I21" s="31">
        <v>5.0199999999999996</v>
      </c>
      <c r="J21" s="35"/>
    </row>
    <row r="22" spans="2:10" x14ac:dyDescent="0.25">
      <c r="B22" s="8" t="s">
        <v>1887</v>
      </c>
      <c r="C22" s="56" t="s">
        <v>909</v>
      </c>
      <c r="D22" s="53" t="s">
        <v>1888</v>
      </c>
      <c r="E22" s="6" t="s">
        <v>534</v>
      </c>
      <c r="F22" s="19">
        <v>35</v>
      </c>
      <c r="G22" s="24">
        <v>364.92</v>
      </c>
      <c r="H22" s="24">
        <v>7.62</v>
      </c>
      <c r="I22" s="31">
        <v>4.66</v>
      </c>
      <c r="J22" s="35" t="s">
        <v>514</v>
      </c>
    </row>
    <row r="23" spans="2:10" x14ac:dyDescent="0.25">
      <c r="B23" s="8" t="s">
        <v>3080</v>
      </c>
      <c r="C23" s="56" t="s">
        <v>1127</v>
      </c>
      <c r="D23" s="53" t="s">
        <v>3081</v>
      </c>
      <c r="E23" s="6" t="s">
        <v>534</v>
      </c>
      <c r="F23" s="19">
        <v>35</v>
      </c>
      <c r="G23" s="24">
        <v>364.4</v>
      </c>
      <c r="H23" s="24">
        <v>7.6</v>
      </c>
      <c r="I23" s="31">
        <v>5.27</v>
      </c>
      <c r="J23" s="35"/>
    </row>
    <row r="24" spans="2:10" x14ac:dyDescent="0.25">
      <c r="B24" s="8" t="s">
        <v>1941</v>
      </c>
      <c r="C24" s="56" t="s">
        <v>1752</v>
      </c>
      <c r="D24" s="53" t="s">
        <v>1942</v>
      </c>
      <c r="E24" s="6" t="s">
        <v>1314</v>
      </c>
      <c r="F24" s="19">
        <v>35</v>
      </c>
      <c r="G24" s="24">
        <v>364.32</v>
      </c>
      <c r="H24" s="24">
        <v>7.6</v>
      </c>
      <c r="I24" s="31">
        <v>4.6050000000000004</v>
      </c>
      <c r="J24" s="35" t="s">
        <v>514</v>
      </c>
    </row>
    <row r="25" spans="2:10" x14ac:dyDescent="0.25">
      <c r="B25" s="8" t="s">
        <v>3036</v>
      </c>
      <c r="C25" s="56" t="s">
        <v>53</v>
      </c>
      <c r="D25" s="53" t="s">
        <v>3037</v>
      </c>
      <c r="E25" s="6" t="s">
        <v>534</v>
      </c>
      <c r="F25" s="19">
        <v>35</v>
      </c>
      <c r="G25" s="24">
        <v>363.7</v>
      </c>
      <c r="H25" s="24">
        <v>7.59</v>
      </c>
      <c r="I25" s="31">
        <v>4.8049999999999997</v>
      </c>
      <c r="J25" s="35" t="s">
        <v>514</v>
      </c>
    </row>
    <row r="26" spans="2:10" x14ac:dyDescent="0.25">
      <c r="B26" s="8" t="s">
        <v>2762</v>
      </c>
      <c r="C26" s="56" t="s">
        <v>1848</v>
      </c>
      <c r="D26" s="53" t="s">
        <v>2763</v>
      </c>
      <c r="E26" s="6" t="s">
        <v>551</v>
      </c>
      <c r="F26" s="19">
        <v>35</v>
      </c>
      <c r="G26" s="24">
        <v>362.11</v>
      </c>
      <c r="H26" s="24">
        <v>7.56</v>
      </c>
      <c r="I26" s="31">
        <v>5</v>
      </c>
      <c r="J26" s="35" t="s">
        <v>514</v>
      </c>
    </row>
    <row r="27" spans="2:10" x14ac:dyDescent="0.25">
      <c r="B27" s="8" t="s">
        <v>3057</v>
      </c>
      <c r="C27" s="56" t="s">
        <v>1143</v>
      </c>
      <c r="D27" s="53" t="s">
        <v>3058</v>
      </c>
      <c r="E27" s="6" t="s">
        <v>534</v>
      </c>
      <c r="F27" s="19">
        <v>30000</v>
      </c>
      <c r="G27" s="24">
        <v>315.02</v>
      </c>
      <c r="H27" s="24">
        <v>6.57</v>
      </c>
      <c r="I27" s="31">
        <v>5.5899000000000001</v>
      </c>
      <c r="J27" s="35" t="s">
        <v>514</v>
      </c>
    </row>
    <row r="28" spans="2:10" x14ac:dyDescent="0.25">
      <c r="B28" s="8" t="s">
        <v>3082</v>
      </c>
      <c r="C28" s="56" t="s">
        <v>1935</v>
      </c>
      <c r="D28" s="53" t="s">
        <v>3083</v>
      </c>
      <c r="E28" s="6" t="s">
        <v>534</v>
      </c>
      <c r="F28" s="19">
        <v>30</v>
      </c>
      <c r="G28" s="24">
        <v>269.62</v>
      </c>
      <c r="H28" s="24">
        <v>5.63</v>
      </c>
      <c r="I28" s="31">
        <v>5.2901999999999996</v>
      </c>
      <c r="J28" s="35" t="s">
        <v>514</v>
      </c>
    </row>
    <row r="29" spans="2:10" x14ac:dyDescent="0.25">
      <c r="B29" s="8" t="s">
        <v>3088</v>
      </c>
      <c r="C29" s="56" t="s">
        <v>953</v>
      </c>
      <c r="D29" s="53" t="s">
        <v>3089</v>
      </c>
      <c r="E29" s="6" t="s">
        <v>534</v>
      </c>
      <c r="F29" s="19">
        <v>20</v>
      </c>
      <c r="G29" s="24">
        <v>219.26</v>
      </c>
      <c r="H29" s="24">
        <v>4.58</v>
      </c>
      <c r="I29" s="31">
        <v>5.8402000000000003</v>
      </c>
      <c r="J29" s="35" t="s">
        <v>514</v>
      </c>
    </row>
    <row r="30" spans="2:10" x14ac:dyDescent="0.25">
      <c r="B30" s="8" t="s">
        <v>2835</v>
      </c>
      <c r="C30" s="56" t="s">
        <v>125</v>
      </c>
      <c r="D30" s="53" t="s">
        <v>2836</v>
      </c>
      <c r="E30" s="6" t="s">
        <v>534</v>
      </c>
      <c r="F30" s="19">
        <v>15</v>
      </c>
      <c r="G30" s="24">
        <v>156.24</v>
      </c>
      <c r="H30" s="24">
        <v>3.26</v>
      </c>
      <c r="I30" s="31">
        <v>5.0250000000000004</v>
      </c>
      <c r="J30" s="35" t="s">
        <v>514</v>
      </c>
    </row>
    <row r="31" spans="2:10" x14ac:dyDescent="0.25">
      <c r="B31" s="8" t="s">
        <v>3059</v>
      </c>
      <c r="C31" s="56" t="s">
        <v>1230</v>
      </c>
      <c r="D31" s="53" t="s">
        <v>3060</v>
      </c>
      <c r="E31" s="6" t="s">
        <v>534</v>
      </c>
      <c r="F31" s="19">
        <v>10</v>
      </c>
      <c r="G31" s="24">
        <v>108.03</v>
      </c>
      <c r="H31" s="24">
        <v>2.25</v>
      </c>
      <c r="I31" s="31">
        <v>4.6900000000000004</v>
      </c>
      <c r="J31" s="35" t="s">
        <v>514</v>
      </c>
    </row>
    <row r="32" spans="2:10" x14ac:dyDescent="0.25">
      <c r="C32" s="57" t="s">
        <v>35</v>
      </c>
      <c r="D32" s="53"/>
      <c r="E32" s="6"/>
      <c r="F32" s="19"/>
      <c r="G32" s="25">
        <v>4452.12</v>
      </c>
      <c r="H32" s="25">
        <v>92.91</v>
      </c>
      <c r="I32" s="31"/>
      <c r="J32" s="35"/>
    </row>
    <row r="33" spans="3:10" x14ac:dyDescent="0.25">
      <c r="C33" s="56"/>
      <c r="D33" s="53"/>
      <c r="E33" s="6"/>
      <c r="F33" s="19"/>
      <c r="G33" s="24"/>
      <c r="H33" s="24"/>
      <c r="I33" s="31"/>
      <c r="J33" s="35"/>
    </row>
    <row r="34" spans="3:10" x14ac:dyDescent="0.25">
      <c r="C34" s="57" t="s">
        <v>7</v>
      </c>
      <c r="D34" s="53"/>
      <c r="E34" s="6"/>
      <c r="F34" s="19"/>
      <c r="G34" s="24" t="s">
        <v>2</v>
      </c>
      <c r="H34" s="24" t="s">
        <v>2</v>
      </c>
      <c r="I34" s="31"/>
      <c r="J34" s="35"/>
    </row>
    <row r="35" spans="3:10" x14ac:dyDescent="0.25">
      <c r="C35" s="56"/>
      <c r="D35" s="53"/>
      <c r="E35" s="6"/>
      <c r="F35" s="19"/>
      <c r="G35" s="24"/>
      <c r="H35" s="24"/>
      <c r="I35" s="31"/>
      <c r="J35" s="35"/>
    </row>
    <row r="36" spans="3:10" x14ac:dyDescent="0.25">
      <c r="C36" s="57" t="s">
        <v>8</v>
      </c>
      <c r="D36" s="53"/>
      <c r="E36" s="6"/>
      <c r="F36" s="19"/>
      <c r="G36" s="24" t="s">
        <v>2</v>
      </c>
      <c r="H36" s="24" t="s">
        <v>2</v>
      </c>
      <c r="I36" s="31"/>
      <c r="J36" s="35"/>
    </row>
    <row r="37" spans="3:10" x14ac:dyDescent="0.25">
      <c r="C37" s="56"/>
      <c r="D37" s="53"/>
      <c r="E37" s="6"/>
      <c r="F37" s="19"/>
      <c r="G37" s="24"/>
      <c r="H37" s="24"/>
      <c r="I37" s="31"/>
      <c r="J37" s="35"/>
    </row>
    <row r="38" spans="3:10" x14ac:dyDescent="0.25">
      <c r="C38" s="57" t="s">
        <v>9</v>
      </c>
      <c r="D38" s="53"/>
      <c r="E38" s="6"/>
      <c r="F38" s="19"/>
      <c r="G38" s="24" t="s">
        <v>2</v>
      </c>
      <c r="H38" s="24" t="s">
        <v>2</v>
      </c>
      <c r="I38" s="31"/>
      <c r="J38" s="35"/>
    </row>
    <row r="39" spans="3:10" x14ac:dyDescent="0.25">
      <c r="C39" s="56"/>
      <c r="D39" s="53"/>
      <c r="E39" s="6"/>
      <c r="F39" s="19"/>
      <c r="G39" s="24"/>
      <c r="H39" s="24"/>
      <c r="I39" s="31"/>
      <c r="J39" s="35"/>
    </row>
    <row r="40" spans="3:10" x14ac:dyDescent="0.25">
      <c r="C40" s="57" t="s">
        <v>10</v>
      </c>
      <c r="D40" s="53"/>
      <c r="E40" s="6"/>
      <c r="F40" s="19"/>
      <c r="G40" s="24" t="s">
        <v>2</v>
      </c>
      <c r="H40" s="24" t="s">
        <v>2</v>
      </c>
      <c r="I40" s="31"/>
      <c r="J40" s="35"/>
    </row>
    <row r="41" spans="3:10" x14ac:dyDescent="0.25">
      <c r="C41" s="56"/>
      <c r="D41" s="53"/>
      <c r="E41" s="6"/>
      <c r="F41" s="19"/>
      <c r="G41" s="24"/>
      <c r="H41" s="24"/>
      <c r="I41" s="31"/>
      <c r="J41" s="35"/>
    </row>
    <row r="42" spans="3:10" x14ac:dyDescent="0.25">
      <c r="C42" s="57" t="s">
        <v>11</v>
      </c>
      <c r="D42" s="53"/>
      <c r="E42" s="6"/>
      <c r="F42" s="19"/>
      <c r="G42" s="24"/>
      <c r="H42" s="24"/>
      <c r="I42" s="31"/>
      <c r="J42" s="35"/>
    </row>
    <row r="43" spans="3:10" x14ac:dyDescent="0.25">
      <c r="C43" s="56"/>
      <c r="D43" s="53"/>
      <c r="E43" s="6"/>
      <c r="F43" s="19"/>
      <c r="G43" s="24"/>
      <c r="H43" s="24"/>
      <c r="I43" s="31"/>
      <c r="J43" s="35"/>
    </row>
    <row r="44" spans="3:10" x14ac:dyDescent="0.25">
      <c r="C44" s="57" t="s">
        <v>13</v>
      </c>
      <c r="D44" s="53"/>
      <c r="E44" s="6"/>
      <c r="F44" s="19"/>
      <c r="G44" s="24" t="s">
        <v>2</v>
      </c>
      <c r="H44" s="24" t="s">
        <v>2</v>
      </c>
      <c r="I44" s="31"/>
      <c r="J44" s="35"/>
    </row>
    <row r="45" spans="3:10" x14ac:dyDescent="0.25">
      <c r="C45" s="56"/>
      <c r="D45" s="53"/>
      <c r="E45" s="6"/>
      <c r="F45" s="19"/>
      <c r="G45" s="24"/>
      <c r="H45" s="24"/>
      <c r="I45" s="31"/>
      <c r="J45" s="35"/>
    </row>
    <row r="46" spans="3:10" x14ac:dyDescent="0.25">
      <c r="C46" s="57" t="s">
        <v>14</v>
      </c>
      <c r="D46" s="53"/>
      <c r="E46" s="6"/>
      <c r="F46" s="19"/>
      <c r="G46" s="24" t="s">
        <v>2</v>
      </c>
      <c r="H46" s="24" t="s">
        <v>2</v>
      </c>
      <c r="I46" s="31"/>
      <c r="J46" s="35"/>
    </row>
    <row r="47" spans="3:10" x14ac:dyDescent="0.25">
      <c r="C47" s="56"/>
      <c r="D47" s="53"/>
      <c r="E47" s="6"/>
      <c r="F47" s="19"/>
      <c r="G47" s="24"/>
      <c r="H47" s="24"/>
      <c r="I47" s="31"/>
      <c r="J47" s="35"/>
    </row>
    <row r="48" spans="3: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236.42</v>
      </c>
      <c r="H62" s="24">
        <v>4.93</v>
      </c>
      <c r="I62" s="31"/>
      <c r="J62" s="35"/>
    </row>
    <row r="63" spans="1:10" x14ac:dyDescent="0.25">
      <c r="C63" s="57" t="s">
        <v>35</v>
      </c>
      <c r="D63" s="53"/>
      <c r="E63" s="6"/>
      <c r="F63" s="19"/>
      <c r="G63" s="25">
        <v>236.42</v>
      </c>
      <c r="H63" s="25">
        <v>4.93</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103.49</v>
      </c>
      <c r="H67" s="24">
        <v>2.16</v>
      </c>
      <c r="I67" s="31"/>
      <c r="J67" s="35"/>
    </row>
    <row r="68" spans="1:10" x14ac:dyDescent="0.25">
      <c r="C68" s="57" t="s">
        <v>35</v>
      </c>
      <c r="D68" s="53"/>
      <c r="E68" s="6"/>
      <c r="F68" s="19"/>
      <c r="G68" s="25">
        <v>103.49</v>
      </c>
      <c r="H68" s="25">
        <v>2.16</v>
      </c>
      <c r="I68" s="31"/>
      <c r="J68" s="35"/>
    </row>
    <row r="69" spans="1:10" x14ac:dyDescent="0.25">
      <c r="C69" s="56"/>
      <c r="D69" s="53"/>
      <c r="E69" s="6"/>
      <c r="F69" s="19"/>
      <c r="G69" s="24"/>
      <c r="H69" s="24"/>
      <c r="I69" s="31"/>
      <c r="J69" s="35"/>
    </row>
    <row r="70" spans="1:10" x14ac:dyDescent="0.25">
      <c r="C70" s="61" t="s">
        <v>37</v>
      </c>
      <c r="D70" s="54"/>
      <c r="E70" s="5"/>
      <c r="F70" s="20"/>
      <c r="G70" s="26">
        <v>4792.03</v>
      </c>
      <c r="H70" s="26">
        <f>SUMIFS(H:H,C:C,"Total")</f>
        <v>100</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3"/>
  <dimension ref="A1:J7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3090</v>
      </c>
      <c r="J2" s="37" t="s">
        <v>3307</v>
      </c>
    </row>
    <row r="3" spans="1:10" ht="16.5" x14ac:dyDescent="0.3">
      <c r="C3" s="1" t="s">
        <v>24</v>
      </c>
      <c r="D3" s="21" t="s">
        <v>3091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3082</v>
      </c>
      <c r="C18" s="56" t="s">
        <v>1935</v>
      </c>
      <c r="D18" s="53" t="s">
        <v>3083</v>
      </c>
      <c r="E18" s="6" t="s">
        <v>534</v>
      </c>
      <c r="F18" s="19">
        <v>60</v>
      </c>
      <c r="G18" s="24">
        <v>539.24</v>
      </c>
      <c r="H18" s="24">
        <v>8.76</v>
      </c>
      <c r="I18" s="31">
        <v>5.2901999999999996</v>
      </c>
      <c r="J18" s="35" t="s">
        <v>514</v>
      </c>
    </row>
    <row r="19" spans="2:10" x14ac:dyDescent="0.25">
      <c r="B19" s="8" t="s">
        <v>3057</v>
      </c>
      <c r="C19" s="56" t="s">
        <v>1143</v>
      </c>
      <c r="D19" s="53" t="s">
        <v>3058</v>
      </c>
      <c r="E19" s="6" t="s">
        <v>534</v>
      </c>
      <c r="F19" s="19">
        <v>50000</v>
      </c>
      <c r="G19" s="24">
        <v>525.03</v>
      </c>
      <c r="H19" s="24">
        <v>8.5299999999999994</v>
      </c>
      <c r="I19" s="31">
        <v>5.5899000000000001</v>
      </c>
      <c r="J19" s="35" t="s">
        <v>514</v>
      </c>
    </row>
    <row r="20" spans="2:10" x14ac:dyDescent="0.25">
      <c r="B20" s="8" t="s">
        <v>2784</v>
      </c>
      <c r="C20" s="56" t="s">
        <v>1752</v>
      </c>
      <c r="D20" s="53" t="s">
        <v>2785</v>
      </c>
      <c r="E20" s="6" t="s">
        <v>1314</v>
      </c>
      <c r="F20" s="19">
        <v>50</v>
      </c>
      <c r="G20" s="24">
        <v>522.98</v>
      </c>
      <c r="H20" s="24">
        <v>8.49</v>
      </c>
      <c r="I20" s="31">
        <v>4.6050000000000004</v>
      </c>
      <c r="J20" s="35" t="s">
        <v>514</v>
      </c>
    </row>
    <row r="21" spans="2:10" x14ac:dyDescent="0.25">
      <c r="B21" s="8" t="s">
        <v>1860</v>
      </c>
      <c r="C21" s="56" t="s">
        <v>601</v>
      </c>
      <c r="D21" s="53" t="s">
        <v>1861</v>
      </c>
      <c r="E21" s="6" t="s">
        <v>534</v>
      </c>
      <c r="F21" s="19">
        <v>50</v>
      </c>
      <c r="G21" s="24">
        <v>522.02</v>
      </c>
      <c r="H21" s="24">
        <v>8.48</v>
      </c>
      <c r="I21" s="31">
        <v>5.0199999999999996</v>
      </c>
      <c r="J21" s="35"/>
    </row>
    <row r="22" spans="2:10" x14ac:dyDescent="0.25">
      <c r="B22" s="8" t="s">
        <v>1887</v>
      </c>
      <c r="C22" s="56" t="s">
        <v>909</v>
      </c>
      <c r="D22" s="53" t="s">
        <v>1888</v>
      </c>
      <c r="E22" s="6" t="s">
        <v>534</v>
      </c>
      <c r="F22" s="19">
        <v>50</v>
      </c>
      <c r="G22" s="24">
        <v>521.30999999999995</v>
      </c>
      <c r="H22" s="24">
        <v>8.4600000000000009</v>
      </c>
      <c r="I22" s="31">
        <v>4.66</v>
      </c>
      <c r="J22" s="35" t="s">
        <v>514</v>
      </c>
    </row>
    <row r="23" spans="2:10" x14ac:dyDescent="0.25">
      <c r="B23" s="8" t="s">
        <v>2835</v>
      </c>
      <c r="C23" s="56" t="s">
        <v>125</v>
      </c>
      <c r="D23" s="53" t="s">
        <v>2836</v>
      </c>
      <c r="E23" s="6" t="s">
        <v>534</v>
      </c>
      <c r="F23" s="19">
        <v>50</v>
      </c>
      <c r="G23" s="24">
        <v>520.80999999999995</v>
      </c>
      <c r="H23" s="24">
        <v>8.4600000000000009</v>
      </c>
      <c r="I23" s="31">
        <v>5.0250000000000004</v>
      </c>
      <c r="J23" s="35" t="s">
        <v>514</v>
      </c>
    </row>
    <row r="24" spans="2:10" x14ac:dyDescent="0.25">
      <c r="B24" s="8" t="s">
        <v>2762</v>
      </c>
      <c r="C24" s="56" t="s">
        <v>1848</v>
      </c>
      <c r="D24" s="53" t="s">
        <v>2763</v>
      </c>
      <c r="E24" s="6" t="s">
        <v>551</v>
      </c>
      <c r="F24" s="19">
        <v>50</v>
      </c>
      <c r="G24" s="24">
        <v>517.29999999999995</v>
      </c>
      <c r="H24" s="24">
        <v>8.4</v>
      </c>
      <c r="I24" s="31">
        <v>5</v>
      </c>
      <c r="J24" s="35" t="s">
        <v>514</v>
      </c>
    </row>
    <row r="25" spans="2:10" x14ac:dyDescent="0.25">
      <c r="B25" s="8" t="s">
        <v>1909</v>
      </c>
      <c r="C25" s="56" t="s">
        <v>1130</v>
      </c>
      <c r="D25" s="53" t="s">
        <v>1910</v>
      </c>
      <c r="E25" s="6" t="s">
        <v>911</v>
      </c>
      <c r="F25" s="19">
        <v>45</v>
      </c>
      <c r="G25" s="24">
        <v>468.45</v>
      </c>
      <c r="H25" s="24">
        <v>7.61</v>
      </c>
      <c r="I25" s="31">
        <v>4.88</v>
      </c>
      <c r="J25" s="35" t="s">
        <v>514</v>
      </c>
    </row>
    <row r="26" spans="2:10" x14ac:dyDescent="0.25">
      <c r="B26" s="8" t="s">
        <v>3076</v>
      </c>
      <c r="C26" s="56" t="s">
        <v>1376</v>
      </c>
      <c r="D26" s="53" t="s">
        <v>3077</v>
      </c>
      <c r="E26" s="6" t="s">
        <v>534</v>
      </c>
      <c r="F26" s="19">
        <v>45</v>
      </c>
      <c r="G26" s="24">
        <v>466.94</v>
      </c>
      <c r="H26" s="24">
        <v>7.58</v>
      </c>
      <c r="I26" s="31">
        <v>5.0999999999999996</v>
      </c>
      <c r="J26" s="35" t="s">
        <v>514</v>
      </c>
    </row>
    <row r="27" spans="2:10" x14ac:dyDescent="0.25">
      <c r="B27" s="8" t="s">
        <v>3036</v>
      </c>
      <c r="C27" s="56" t="s">
        <v>53</v>
      </c>
      <c r="D27" s="53" t="s">
        <v>3037</v>
      </c>
      <c r="E27" s="6" t="s">
        <v>534</v>
      </c>
      <c r="F27" s="19">
        <v>40</v>
      </c>
      <c r="G27" s="24">
        <v>415.66</v>
      </c>
      <c r="H27" s="24">
        <v>6.75</v>
      </c>
      <c r="I27" s="31">
        <v>4.8049999999999997</v>
      </c>
      <c r="J27" s="35" t="s">
        <v>514</v>
      </c>
    </row>
    <row r="28" spans="2:10" x14ac:dyDescent="0.25">
      <c r="B28" s="8" t="s">
        <v>1744</v>
      </c>
      <c r="C28" s="56" t="s">
        <v>77</v>
      </c>
      <c r="D28" s="53" t="s">
        <v>1745</v>
      </c>
      <c r="E28" s="6" t="s">
        <v>534</v>
      </c>
      <c r="F28" s="19">
        <v>30</v>
      </c>
      <c r="G28" s="24">
        <v>315.35000000000002</v>
      </c>
      <c r="H28" s="24">
        <v>5.12</v>
      </c>
      <c r="I28" s="31">
        <v>4.6749999999999998</v>
      </c>
      <c r="J28" s="35" t="s">
        <v>514</v>
      </c>
    </row>
    <row r="29" spans="2:10" x14ac:dyDescent="0.25">
      <c r="B29" s="8" t="s">
        <v>3084</v>
      </c>
      <c r="C29" s="56" t="s">
        <v>2655</v>
      </c>
      <c r="D29" s="53" t="s">
        <v>3085</v>
      </c>
      <c r="E29" s="6" t="s">
        <v>534</v>
      </c>
      <c r="F29" s="19">
        <v>20</v>
      </c>
      <c r="G29" s="24">
        <v>208.9</v>
      </c>
      <c r="H29" s="24">
        <v>3.39</v>
      </c>
      <c r="I29" s="31">
        <v>4.4400000000000004</v>
      </c>
      <c r="J29" s="35" t="s">
        <v>514</v>
      </c>
    </row>
    <row r="30" spans="2:10" x14ac:dyDescent="0.25">
      <c r="B30" s="8" t="s">
        <v>3080</v>
      </c>
      <c r="C30" s="56" t="s">
        <v>1127</v>
      </c>
      <c r="D30" s="53" t="s">
        <v>3081</v>
      </c>
      <c r="E30" s="6" t="s">
        <v>534</v>
      </c>
      <c r="F30" s="19">
        <v>15</v>
      </c>
      <c r="G30" s="24">
        <v>156.16999999999999</v>
      </c>
      <c r="H30" s="24">
        <v>2.54</v>
      </c>
      <c r="I30" s="31">
        <v>5.27</v>
      </c>
      <c r="J30" s="35"/>
    </row>
    <row r="31" spans="2:10" x14ac:dyDescent="0.25">
      <c r="C31" s="57" t="s">
        <v>35</v>
      </c>
      <c r="D31" s="53"/>
      <c r="E31" s="6"/>
      <c r="F31" s="19"/>
      <c r="G31" s="25">
        <v>5700.16</v>
      </c>
      <c r="H31" s="25">
        <v>92.57</v>
      </c>
      <c r="I31" s="31"/>
      <c r="J31" s="35"/>
    </row>
    <row r="32" spans="2:10" x14ac:dyDescent="0.25">
      <c r="C32" s="56"/>
      <c r="D32" s="53"/>
      <c r="E32" s="6"/>
      <c r="F32" s="19"/>
      <c r="G32" s="24"/>
      <c r="H32" s="24"/>
      <c r="I32" s="31"/>
      <c r="J32" s="35"/>
    </row>
    <row r="33" spans="3:10" x14ac:dyDescent="0.25">
      <c r="C33" s="57" t="s">
        <v>7</v>
      </c>
      <c r="D33" s="53"/>
      <c r="E33" s="6"/>
      <c r="F33" s="19"/>
      <c r="G33" s="24" t="s">
        <v>2</v>
      </c>
      <c r="H33" s="24" t="s">
        <v>2</v>
      </c>
      <c r="I33" s="31"/>
      <c r="J33" s="35"/>
    </row>
    <row r="34" spans="3:10" x14ac:dyDescent="0.25">
      <c r="C34" s="56"/>
      <c r="D34" s="53"/>
      <c r="E34" s="6"/>
      <c r="F34" s="19"/>
      <c r="G34" s="24"/>
      <c r="H34" s="24"/>
      <c r="I34" s="31"/>
      <c r="J34" s="35"/>
    </row>
    <row r="35" spans="3:10" x14ac:dyDescent="0.25">
      <c r="C35" s="57" t="s">
        <v>8</v>
      </c>
      <c r="D35" s="53"/>
      <c r="E35" s="6"/>
      <c r="F35" s="19"/>
      <c r="G35" s="24" t="s">
        <v>2</v>
      </c>
      <c r="H35" s="24" t="s">
        <v>2</v>
      </c>
      <c r="I35" s="31"/>
      <c r="J35" s="35"/>
    </row>
    <row r="36" spans="3:10" x14ac:dyDescent="0.25">
      <c r="C36" s="56"/>
      <c r="D36" s="53"/>
      <c r="E36" s="6"/>
      <c r="F36" s="19"/>
      <c r="G36" s="24"/>
      <c r="H36" s="24"/>
      <c r="I36" s="31"/>
      <c r="J36" s="35"/>
    </row>
    <row r="37" spans="3:10" x14ac:dyDescent="0.25">
      <c r="C37" s="57" t="s">
        <v>9</v>
      </c>
      <c r="D37" s="53"/>
      <c r="E37" s="6"/>
      <c r="F37" s="19"/>
      <c r="G37" s="24" t="s">
        <v>2</v>
      </c>
      <c r="H37" s="24" t="s">
        <v>2</v>
      </c>
      <c r="I37" s="31"/>
      <c r="J37" s="35"/>
    </row>
    <row r="38" spans="3:10" x14ac:dyDescent="0.25">
      <c r="C38" s="56"/>
      <c r="D38" s="53"/>
      <c r="E38" s="6"/>
      <c r="F38" s="19"/>
      <c r="G38" s="24"/>
      <c r="H38" s="24"/>
      <c r="I38" s="31"/>
      <c r="J38" s="35"/>
    </row>
    <row r="39" spans="3:10" x14ac:dyDescent="0.25">
      <c r="C39" s="57" t="s">
        <v>10</v>
      </c>
      <c r="D39" s="53"/>
      <c r="E39" s="6"/>
      <c r="F39" s="19"/>
      <c r="G39" s="24" t="s">
        <v>2</v>
      </c>
      <c r="H39" s="24" t="s">
        <v>2</v>
      </c>
      <c r="I39" s="31"/>
      <c r="J39" s="35"/>
    </row>
    <row r="40" spans="3:10" x14ac:dyDescent="0.25">
      <c r="C40" s="56"/>
      <c r="D40" s="53"/>
      <c r="E40" s="6"/>
      <c r="F40" s="19"/>
      <c r="G40" s="24"/>
      <c r="H40" s="24"/>
      <c r="I40" s="31"/>
      <c r="J40" s="35"/>
    </row>
    <row r="41" spans="3:10" x14ac:dyDescent="0.25">
      <c r="C41" s="57" t="s">
        <v>11</v>
      </c>
      <c r="D41" s="53"/>
      <c r="E41" s="6"/>
      <c r="F41" s="19"/>
      <c r="G41" s="24"/>
      <c r="H41" s="24"/>
      <c r="I41" s="31"/>
      <c r="J41" s="35"/>
    </row>
    <row r="42" spans="3:10" x14ac:dyDescent="0.25">
      <c r="C42" s="56"/>
      <c r="D42" s="53"/>
      <c r="E42" s="6"/>
      <c r="F42" s="19"/>
      <c r="G42" s="24"/>
      <c r="H42" s="24"/>
      <c r="I42" s="31"/>
      <c r="J42" s="35"/>
    </row>
    <row r="43" spans="3:10" x14ac:dyDescent="0.25">
      <c r="C43" s="57" t="s">
        <v>13</v>
      </c>
      <c r="D43" s="53"/>
      <c r="E43" s="6"/>
      <c r="F43" s="19"/>
      <c r="G43" s="24" t="s">
        <v>2</v>
      </c>
      <c r="H43" s="24" t="s">
        <v>2</v>
      </c>
      <c r="I43" s="31"/>
      <c r="J43" s="35"/>
    </row>
    <row r="44" spans="3:10" x14ac:dyDescent="0.25">
      <c r="C44" s="56"/>
      <c r="D44" s="53"/>
      <c r="E44" s="6"/>
      <c r="F44" s="19"/>
      <c r="G44" s="24"/>
      <c r="H44" s="24"/>
      <c r="I44" s="31"/>
      <c r="J44" s="35"/>
    </row>
    <row r="45" spans="3:10" x14ac:dyDescent="0.25">
      <c r="C45" s="57" t="s">
        <v>14</v>
      </c>
      <c r="D45" s="53"/>
      <c r="E45" s="6"/>
      <c r="F45" s="19"/>
      <c r="G45" s="24" t="s">
        <v>2</v>
      </c>
      <c r="H45" s="24" t="s">
        <v>2</v>
      </c>
      <c r="I45" s="31"/>
      <c r="J45" s="35"/>
    </row>
    <row r="46" spans="3:10" x14ac:dyDescent="0.25">
      <c r="C46" s="56"/>
      <c r="D46" s="53"/>
      <c r="E46" s="6"/>
      <c r="F46" s="19"/>
      <c r="G46" s="24"/>
      <c r="H46" s="24"/>
      <c r="I46" s="31"/>
      <c r="J46" s="35"/>
    </row>
    <row r="47" spans="3:10" x14ac:dyDescent="0.25">
      <c r="C47" s="57" t="s">
        <v>15</v>
      </c>
      <c r="D47" s="53"/>
      <c r="E47" s="6"/>
      <c r="F47" s="19"/>
      <c r="G47" s="24" t="s">
        <v>2</v>
      </c>
      <c r="H47" s="24" t="s">
        <v>2</v>
      </c>
      <c r="I47" s="31"/>
      <c r="J47" s="35"/>
    </row>
    <row r="48" spans="3:10" x14ac:dyDescent="0.25">
      <c r="C48" s="56"/>
      <c r="D48" s="53"/>
      <c r="E48" s="6"/>
      <c r="F48" s="19"/>
      <c r="G48" s="24"/>
      <c r="H48" s="24"/>
      <c r="I48" s="31"/>
      <c r="J48" s="35"/>
    </row>
    <row r="49" spans="1:10" x14ac:dyDescent="0.25">
      <c r="C49" s="57" t="s">
        <v>16</v>
      </c>
      <c r="D49" s="53"/>
      <c r="E49" s="6"/>
      <c r="F49" s="19"/>
      <c r="G49" s="24" t="s">
        <v>2</v>
      </c>
      <c r="H49" s="24" t="s">
        <v>2</v>
      </c>
      <c r="I49" s="31"/>
      <c r="J49" s="35"/>
    </row>
    <row r="50" spans="1:10" x14ac:dyDescent="0.25">
      <c r="C50" s="56"/>
      <c r="D50" s="53"/>
      <c r="E50" s="6"/>
      <c r="F50" s="19"/>
      <c r="G50" s="24"/>
      <c r="H50" s="24"/>
      <c r="I50" s="31"/>
      <c r="J50" s="35"/>
    </row>
    <row r="51" spans="1:10" x14ac:dyDescent="0.25">
      <c r="A51" s="10"/>
      <c r="B51" s="28"/>
      <c r="C51" s="58" t="s">
        <v>17</v>
      </c>
      <c r="D51" s="53"/>
      <c r="E51" s="6"/>
      <c r="F51" s="19"/>
      <c r="G51" s="24"/>
      <c r="H51" s="24"/>
      <c r="I51" s="31"/>
      <c r="J51" s="35"/>
    </row>
    <row r="52" spans="1:10" x14ac:dyDescent="0.25">
      <c r="A52" s="28"/>
      <c r="B52" s="28"/>
      <c r="C52" s="58" t="s">
        <v>18</v>
      </c>
      <c r="D52" s="53"/>
      <c r="E52" s="6"/>
      <c r="F52" s="19"/>
      <c r="G52" s="24" t="s">
        <v>2</v>
      </c>
      <c r="H52" s="24" t="s">
        <v>2</v>
      </c>
      <c r="I52" s="31"/>
      <c r="J52" s="35"/>
    </row>
    <row r="53" spans="1:10" x14ac:dyDescent="0.25">
      <c r="A53" s="28"/>
      <c r="B53" s="28"/>
      <c r="C53" s="58"/>
      <c r="D53" s="53"/>
      <c r="E53" s="6"/>
      <c r="F53" s="19"/>
      <c r="G53" s="24"/>
      <c r="H53" s="24"/>
      <c r="I53" s="31"/>
      <c r="J53" s="35"/>
    </row>
    <row r="54" spans="1:10" x14ac:dyDescent="0.25">
      <c r="A54" s="28"/>
      <c r="B54" s="28"/>
      <c r="C54" s="58" t="s">
        <v>19</v>
      </c>
      <c r="D54" s="53"/>
      <c r="E54" s="6"/>
      <c r="F54" s="19"/>
      <c r="G54" s="24" t="s">
        <v>2</v>
      </c>
      <c r="H54" s="24" t="s">
        <v>2</v>
      </c>
      <c r="I54" s="31"/>
      <c r="J54" s="35"/>
    </row>
    <row r="55" spans="1:10" x14ac:dyDescent="0.25">
      <c r="A55" s="28"/>
      <c r="B55" s="28"/>
      <c r="C55" s="58"/>
      <c r="D55" s="53"/>
      <c r="E55" s="6"/>
      <c r="F55" s="19"/>
      <c r="G55" s="24"/>
      <c r="H55" s="24"/>
      <c r="I55" s="31"/>
      <c r="J55" s="35"/>
    </row>
    <row r="56" spans="1:10" x14ac:dyDescent="0.25">
      <c r="A56" s="28"/>
      <c r="B56" s="28"/>
      <c r="C56" s="58" t="s">
        <v>20</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21</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C60" s="59" t="s">
        <v>22</v>
      </c>
      <c r="D60" s="53"/>
      <c r="E60" s="6"/>
      <c r="F60" s="19"/>
      <c r="G60" s="24"/>
      <c r="H60" s="24"/>
      <c r="I60" s="31"/>
      <c r="J60" s="35"/>
    </row>
    <row r="61" spans="1:10" x14ac:dyDescent="0.25">
      <c r="B61" s="8" t="s">
        <v>33</v>
      </c>
      <c r="C61" s="56" t="s">
        <v>34</v>
      </c>
      <c r="D61" s="53"/>
      <c r="E61" s="6"/>
      <c r="F61" s="19"/>
      <c r="G61" s="24">
        <v>308.74</v>
      </c>
      <c r="H61" s="24">
        <v>5.01</v>
      </c>
      <c r="I61" s="31"/>
      <c r="J61" s="35"/>
    </row>
    <row r="62" spans="1:10" x14ac:dyDescent="0.25">
      <c r="C62" s="57" t="s">
        <v>35</v>
      </c>
      <c r="D62" s="53"/>
      <c r="E62" s="6"/>
      <c r="F62" s="19"/>
      <c r="G62" s="25">
        <v>308.74</v>
      </c>
      <c r="H62" s="25">
        <v>5.01</v>
      </c>
      <c r="I62" s="31"/>
      <c r="J62" s="35"/>
    </row>
    <row r="63" spans="1:10" x14ac:dyDescent="0.25">
      <c r="C63" s="56"/>
      <c r="D63" s="53"/>
      <c r="E63" s="6"/>
      <c r="F63" s="19"/>
      <c r="G63" s="24"/>
      <c r="H63" s="24"/>
      <c r="I63" s="31"/>
      <c r="J63" s="35"/>
    </row>
    <row r="64" spans="1:10" x14ac:dyDescent="0.25">
      <c r="A64" s="10"/>
      <c r="B64" s="28"/>
      <c r="C64" s="58" t="s">
        <v>23</v>
      </c>
      <c r="D64" s="53"/>
      <c r="E64" s="6"/>
      <c r="F64" s="19"/>
      <c r="G64" s="24"/>
      <c r="H64" s="24"/>
      <c r="I64" s="31"/>
      <c r="J64" s="35"/>
    </row>
    <row r="65" spans="1:10" x14ac:dyDescent="0.25">
      <c r="A65" s="28"/>
      <c r="B65" s="28"/>
      <c r="C65" s="60" t="s">
        <v>3398</v>
      </c>
      <c r="D65" s="53"/>
      <c r="E65" s="6"/>
      <c r="F65" s="19"/>
      <c r="G65" s="24" t="s">
        <v>2</v>
      </c>
      <c r="H65" s="24" t="s">
        <v>2</v>
      </c>
      <c r="I65" s="31"/>
      <c r="J65" s="35"/>
    </row>
    <row r="66" spans="1:10" x14ac:dyDescent="0.25">
      <c r="B66" s="8"/>
      <c r="C66" s="56" t="s">
        <v>36</v>
      </c>
      <c r="D66" s="53"/>
      <c r="E66" s="6"/>
      <c r="F66" s="19"/>
      <c r="G66" s="24">
        <v>149.59</v>
      </c>
      <c r="H66" s="24">
        <v>2.4200000000000004</v>
      </c>
      <c r="I66" s="31"/>
      <c r="J66" s="35"/>
    </row>
    <row r="67" spans="1:10" x14ac:dyDescent="0.25">
      <c r="C67" s="57" t="s">
        <v>35</v>
      </c>
      <c r="D67" s="53"/>
      <c r="E67" s="6"/>
      <c r="F67" s="19"/>
      <c r="G67" s="25">
        <v>149.59</v>
      </c>
      <c r="H67" s="25">
        <v>2.4200000000000004</v>
      </c>
      <c r="I67" s="31"/>
      <c r="J67" s="35"/>
    </row>
    <row r="68" spans="1:10" x14ac:dyDescent="0.25">
      <c r="C68" s="56"/>
      <c r="D68" s="53"/>
      <c r="E68" s="6"/>
      <c r="F68" s="19"/>
      <c r="G68" s="24"/>
      <c r="H68" s="24"/>
      <c r="I68" s="31"/>
      <c r="J68" s="35"/>
    </row>
    <row r="69" spans="1:10" x14ac:dyDescent="0.25">
      <c r="C69" s="61" t="s">
        <v>37</v>
      </c>
      <c r="D69" s="54"/>
      <c r="E69" s="5"/>
      <c r="F69" s="20"/>
      <c r="G69" s="26">
        <v>6158.49</v>
      </c>
      <c r="H69" s="26">
        <f>SUMIFS(H:H,C:C,"Total")</f>
        <v>100</v>
      </c>
      <c r="I69" s="32"/>
      <c r="J69" s="36"/>
    </row>
    <row r="72" spans="1:10" x14ac:dyDescent="0.25">
      <c r="C72" s="1" t="s">
        <v>38</v>
      </c>
    </row>
    <row r="73" spans="1:10" x14ac:dyDescent="0.25">
      <c r="C73" s="2" t="s">
        <v>39</v>
      </c>
    </row>
    <row r="74" spans="1:10" x14ac:dyDescent="0.25">
      <c r="C74" s="2" t="s">
        <v>40</v>
      </c>
    </row>
    <row r="75" spans="1:10" x14ac:dyDescent="0.25">
      <c r="C75" s="2" t="s">
        <v>3430</v>
      </c>
    </row>
  </sheetData>
  <hyperlinks>
    <hyperlink ref="J2" location="'Index'!A1" display="'Index'!A1"/>
  </hyperlinks>
  <pageMargins left="0.7" right="0.7" top="0.75" bottom="0.75" header="0.3" footer="0.3"/>
  <pageSetup orientation="portrait" horizontalDpi="4294967293"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4"/>
  <dimension ref="A1:J7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3092</v>
      </c>
      <c r="J2" s="37" t="s">
        <v>3307</v>
      </c>
    </row>
    <row r="3" spans="1:10" ht="16.5" x14ac:dyDescent="0.3">
      <c r="C3" s="1" t="s">
        <v>24</v>
      </c>
      <c r="D3" s="21" t="s">
        <v>3093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1744</v>
      </c>
      <c r="C18" s="56" t="s">
        <v>77</v>
      </c>
      <c r="D18" s="53" t="s">
        <v>1745</v>
      </c>
      <c r="E18" s="6" t="s">
        <v>534</v>
      </c>
      <c r="F18" s="19">
        <v>50</v>
      </c>
      <c r="G18" s="24">
        <v>525.59</v>
      </c>
      <c r="H18" s="24">
        <v>8.65</v>
      </c>
      <c r="I18" s="31">
        <v>4.6749999999999998</v>
      </c>
      <c r="J18" s="35" t="s">
        <v>514</v>
      </c>
    </row>
    <row r="19" spans="2:10" x14ac:dyDescent="0.25">
      <c r="B19" s="8" t="s">
        <v>2988</v>
      </c>
      <c r="C19" s="56" t="s">
        <v>53</v>
      </c>
      <c r="D19" s="53" t="s">
        <v>2989</v>
      </c>
      <c r="E19" s="6" t="s">
        <v>534</v>
      </c>
      <c r="F19" s="19">
        <v>50</v>
      </c>
      <c r="G19" s="24">
        <v>522.29999999999995</v>
      </c>
      <c r="H19" s="24">
        <v>8.6</v>
      </c>
      <c r="I19" s="31">
        <v>4.88</v>
      </c>
      <c r="J19" s="35"/>
    </row>
    <row r="20" spans="2:10" x14ac:dyDescent="0.25">
      <c r="B20" s="8" t="s">
        <v>1909</v>
      </c>
      <c r="C20" s="56" t="s">
        <v>1130</v>
      </c>
      <c r="D20" s="53" t="s">
        <v>1910</v>
      </c>
      <c r="E20" s="6" t="s">
        <v>911</v>
      </c>
      <c r="F20" s="19">
        <v>50</v>
      </c>
      <c r="G20" s="24">
        <v>520.5</v>
      </c>
      <c r="H20" s="24">
        <v>8.57</v>
      </c>
      <c r="I20" s="31">
        <v>4.88</v>
      </c>
      <c r="J20" s="35" t="s">
        <v>514</v>
      </c>
    </row>
    <row r="21" spans="2:10" x14ac:dyDescent="0.25">
      <c r="B21" s="8" t="s">
        <v>1941</v>
      </c>
      <c r="C21" s="56" t="s">
        <v>1752</v>
      </c>
      <c r="D21" s="53" t="s">
        <v>1942</v>
      </c>
      <c r="E21" s="6" t="s">
        <v>1314</v>
      </c>
      <c r="F21" s="19">
        <v>50</v>
      </c>
      <c r="G21" s="24">
        <v>520.46</v>
      </c>
      <c r="H21" s="24">
        <v>8.57</v>
      </c>
      <c r="I21" s="31">
        <v>4.6050000000000004</v>
      </c>
      <c r="J21" s="35" t="s">
        <v>514</v>
      </c>
    </row>
    <row r="22" spans="2:10" x14ac:dyDescent="0.25">
      <c r="B22" s="8" t="s">
        <v>2174</v>
      </c>
      <c r="C22" s="56" t="s">
        <v>909</v>
      </c>
      <c r="D22" s="53" t="s">
        <v>2175</v>
      </c>
      <c r="E22" s="6" t="s">
        <v>534</v>
      </c>
      <c r="F22" s="19">
        <v>50</v>
      </c>
      <c r="G22" s="24">
        <v>519.09</v>
      </c>
      <c r="H22" s="24">
        <v>8.5399999999999991</v>
      </c>
      <c r="I22" s="31">
        <v>4.75</v>
      </c>
      <c r="J22" s="35" t="s">
        <v>514</v>
      </c>
    </row>
    <row r="23" spans="2:10" x14ac:dyDescent="0.25">
      <c r="B23" s="8" t="s">
        <v>3076</v>
      </c>
      <c r="C23" s="56" t="s">
        <v>1376</v>
      </c>
      <c r="D23" s="53" t="s">
        <v>3077</v>
      </c>
      <c r="E23" s="6" t="s">
        <v>534</v>
      </c>
      <c r="F23" s="19">
        <v>50</v>
      </c>
      <c r="G23" s="24">
        <v>518.82000000000005</v>
      </c>
      <c r="H23" s="24">
        <v>8.5399999999999991</v>
      </c>
      <c r="I23" s="31">
        <v>5.0999999999999996</v>
      </c>
      <c r="J23" s="35" t="s">
        <v>514</v>
      </c>
    </row>
    <row r="24" spans="2:10" x14ac:dyDescent="0.25">
      <c r="B24" s="8" t="s">
        <v>1860</v>
      </c>
      <c r="C24" s="56" t="s">
        <v>601</v>
      </c>
      <c r="D24" s="53" t="s">
        <v>1861</v>
      </c>
      <c r="E24" s="6" t="s">
        <v>534</v>
      </c>
      <c r="F24" s="19">
        <v>45</v>
      </c>
      <c r="G24" s="24">
        <v>469.81</v>
      </c>
      <c r="H24" s="24">
        <v>7.73</v>
      </c>
      <c r="I24" s="31">
        <v>5.0199999999999996</v>
      </c>
      <c r="J24" s="35"/>
    </row>
    <row r="25" spans="2:10" x14ac:dyDescent="0.25">
      <c r="B25" s="8" t="s">
        <v>3082</v>
      </c>
      <c r="C25" s="56" t="s">
        <v>1935</v>
      </c>
      <c r="D25" s="53" t="s">
        <v>3083</v>
      </c>
      <c r="E25" s="6" t="s">
        <v>534</v>
      </c>
      <c r="F25" s="19">
        <v>50</v>
      </c>
      <c r="G25" s="24">
        <v>449.37</v>
      </c>
      <c r="H25" s="24">
        <v>7.4</v>
      </c>
      <c r="I25" s="31">
        <v>5.2901999999999996</v>
      </c>
      <c r="J25" s="35" t="s">
        <v>514</v>
      </c>
    </row>
    <row r="26" spans="2:10" x14ac:dyDescent="0.25">
      <c r="B26" s="8" t="s">
        <v>1949</v>
      </c>
      <c r="C26" s="56" t="s">
        <v>1950</v>
      </c>
      <c r="D26" s="53" t="s">
        <v>1951</v>
      </c>
      <c r="E26" s="6" t="s">
        <v>534</v>
      </c>
      <c r="F26" s="19">
        <v>40</v>
      </c>
      <c r="G26" s="24">
        <v>440.48</v>
      </c>
      <c r="H26" s="24">
        <v>7.25</v>
      </c>
      <c r="I26" s="31">
        <v>5.8654000000000002</v>
      </c>
      <c r="J26" s="35" t="s">
        <v>514</v>
      </c>
    </row>
    <row r="27" spans="2:10" x14ac:dyDescent="0.25">
      <c r="B27" s="8" t="s">
        <v>2855</v>
      </c>
      <c r="C27" s="56" t="s">
        <v>1127</v>
      </c>
      <c r="D27" s="53" t="s">
        <v>2856</v>
      </c>
      <c r="E27" s="6" t="s">
        <v>534</v>
      </c>
      <c r="F27" s="19">
        <v>40</v>
      </c>
      <c r="G27" s="24">
        <v>420.19</v>
      </c>
      <c r="H27" s="24">
        <v>6.92</v>
      </c>
      <c r="I27" s="31">
        <v>5.0999999999999996</v>
      </c>
      <c r="J27" s="35"/>
    </row>
    <row r="28" spans="2:10" x14ac:dyDescent="0.25">
      <c r="B28" s="8" t="s">
        <v>2835</v>
      </c>
      <c r="C28" s="56" t="s">
        <v>125</v>
      </c>
      <c r="D28" s="53" t="s">
        <v>2836</v>
      </c>
      <c r="E28" s="6" t="s">
        <v>534</v>
      </c>
      <c r="F28" s="19">
        <v>40</v>
      </c>
      <c r="G28" s="24">
        <v>416.65</v>
      </c>
      <c r="H28" s="24">
        <v>6.86</v>
      </c>
      <c r="I28" s="31">
        <v>5.0250000000000004</v>
      </c>
      <c r="J28" s="35" t="s">
        <v>514</v>
      </c>
    </row>
    <row r="29" spans="2:10" x14ac:dyDescent="0.25">
      <c r="B29" s="8" t="s">
        <v>2762</v>
      </c>
      <c r="C29" s="56" t="s">
        <v>1848</v>
      </c>
      <c r="D29" s="53" t="s">
        <v>2763</v>
      </c>
      <c r="E29" s="6" t="s">
        <v>551</v>
      </c>
      <c r="F29" s="19">
        <v>25</v>
      </c>
      <c r="G29" s="24">
        <v>258.64999999999998</v>
      </c>
      <c r="H29" s="24">
        <v>4.26</v>
      </c>
      <c r="I29" s="31">
        <v>5</v>
      </c>
      <c r="J29" s="35" t="s">
        <v>514</v>
      </c>
    </row>
    <row r="30" spans="2:10" x14ac:dyDescent="0.25">
      <c r="B30" s="8" t="s">
        <v>3059</v>
      </c>
      <c r="C30" s="56" t="s">
        <v>1230</v>
      </c>
      <c r="D30" s="53" t="s">
        <v>3060</v>
      </c>
      <c r="E30" s="6" t="s">
        <v>534</v>
      </c>
      <c r="F30" s="19">
        <v>10</v>
      </c>
      <c r="G30" s="24">
        <v>108.03</v>
      </c>
      <c r="H30" s="24">
        <v>1.78</v>
      </c>
      <c r="I30" s="31">
        <v>4.6900000000000004</v>
      </c>
      <c r="J30" s="35" t="s">
        <v>514</v>
      </c>
    </row>
    <row r="31" spans="2:10" x14ac:dyDescent="0.25">
      <c r="C31" s="57" t="s">
        <v>35</v>
      </c>
      <c r="D31" s="53"/>
      <c r="E31" s="6"/>
      <c r="F31" s="19"/>
      <c r="G31" s="25">
        <v>5689.94</v>
      </c>
      <c r="H31" s="25">
        <v>93.67</v>
      </c>
      <c r="I31" s="31"/>
      <c r="J31" s="35"/>
    </row>
    <row r="32" spans="2:10" x14ac:dyDescent="0.25">
      <c r="C32" s="56"/>
      <c r="D32" s="53"/>
      <c r="E32" s="6"/>
      <c r="F32" s="19"/>
      <c r="G32" s="24"/>
      <c r="H32" s="24"/>
      <c r="I32" s="31"/>
      <c r="J32" s="35"/>
    </row>
    <row r="33" spans="3:10" x14ac:dyDescent="0.25">
      <c r="C33" s="57" t="s">
        <v>7</v>
      </c>
      <c r="D33" s="53"/>
      <c r="E33" s="6"/>
      <c r="F33" s="19"/>
      <c r="G33" s="24" t="s">
        <v>2</v>
      </c>
      <c r="H33" s="24" t="s">
        <v>2</v>
      </c>
      <c r="I33" s="31"/>
      <c r="J33" s="35"/>
    </row>
    <row r="34" spans="3:10" x14ac:dyDescent="0.25">
      <c r="C34" s="56"/>
      <c r="D34" s="53"/>
      <c r="E34" s="6"/>
      <c r="F34" s="19"/>
      <c r="G34" s="24"/>
      <c r="H34" s="24"/>
      <c r="I34" s="31"/>
      <c r="J34" s="35"/>
    </row>
    <row r="35" spans="3:10" x14ac:dyDescent="0.25">
      <c r="C35" s="57" t="s">
        <v>8</v>
      </c>
      <c r="D35" s="53"/>
      <c r="E35" s="6"/>
      <c r="F35" s="19"/>
      <c r="G35" s="24" t="s">
        <v>2</v>
      </c>
      <c r="H35" s="24" t="s">
        <v>2</v>
      </c>
      <c r="I35" s="31"/>
      <c r="J35" s="35"/>
    </row>
    <row r="36" spans="3:10" x14ac:dyDescent="0.25">
      <c r="C36" s="56"/>
      <c r="D36" s="53"/>
      <c r="E36" s="6"/>
      <c r="F36" s="19"/>
      <c r="G36" s="24"/>
      <c r="H36" s="24"/>
      <c r="I36" s="31"/>
      <c r="J36" s="35"/>
    </row>
    <row r="37" spans="3:10" x14ac:dyDescent="0.25">
      <c r="C37" s="57" t="s">
        <v>9</v>
      </c>
      <c r="D37" s="53"/>
      <c r="E37" s="6"/>
      <c r="F37" s="19"/>
      <c r="G37" s="24" t="s">
        <v>2</v>
      </c>
      <c r="H37" s="24" t="s">
        <v>2</v>
      </c>
      <c r="I37" s="31"/>
      <c r="J37" s="35"/>
    </row>
    <row r="38" spans="3:10" x14ac:dyDescent="0.25">
      <c r="C38" s="56"/>
      <c r="D38" s="53"/>
      <c r="E38" s="6"/>
      <c r="F38" s="19"/>
      <c r="G38" s="24"/>
      <c r="H38" s="24"/>
      <c r="I38" s="31"/>
      <c r="J38" s="35"/>
    </row>
    <row r="39" spans="3:10" x14ac:dyDescent="0.25">
      <c r="C39" s="57" t="s">
        <v>10</v>
      </c>
      <c r="D39" s="53"/>
      <c r="E39" s="6"/>
      <c r="F39" s="19"/>
      <c r="G39" s="24" t="s">
        <v>2</v>
      </c>
      <c r="H39" s="24" t="s">
        <v>2</v>
      </c>
      <c r="I39" s="31"/>
      <c r="J39" s="35"/>
    </row>
    <row r="40" spans="3:10" x14ac:dyDescent="0.25">
      <c r="C40" s="56"/>
      <c r="D40" s="53"/>
      <c r="E40" s="6"/>
      <c r="F40" s="19"/>
      <c r="G40" s="24"/>
      <c r="H40" s="24"/>
      <c r="I40" s="31"/>
      <c r="J40" s="35"/>
    </row>
    <row r="41" spans="3:10" x14ac:dyDescent="0.25">
      <c r="C41" s="57" t="s">
        <v>11</v>
      </c>
      <c r="D41" s="53"/>
      <c r="E41" s="6"/>
      <c r="F41" s="19"/>
      <c r="G41" s="24"/>
      <c r="H41" s="24"/>
      <c r="I41" s="31"/>
      <c r="J41" s="35"/>
    </row>
    <row r="42" spans="3:10" x14ac:dyDescent="0.25">
      <c r="C42" s="56"/>
      <c r="D42" s="53"/>
      <c r="E42" s="6"/>
      <c r="F42" s="19"/>
      <c r="G42" s="24"/>
      <c r="H42" s="24"/>
      <c r="I42" s="31"/>
      <c r="J42" s="35"/>
    </row>
    <row r="43" spans="3:10" x14ac:dyDescent="0.25">
      <c r="C43" s="57" t="s">
        <v>13</v>
      </c>
      <c r="D43" s="53"/>
      <c r="E43" s="6"/>
      <c r="F43" s="19"/>
      <c r="G43" s="24" t="s">
        <v>2</v>
      </c>
      <c r="H43" s="24" t="s">
        <v>2</v>
      </c>
      <c r="I43" s="31"/>
      <c r="J43" s="35"/>
    </row>
    <row r="44" spans="3:10" x14ac:dyDescent="0.25">
      <c r="C44" s="56"/>
      <c r="D44" s="53"/>
      <c r="E44" s="6"/>
      <c r="F44" s="19"/>
      <c r="G44" s="24"/>
      <c r="H44" s="24"/>
      <c r="I44" s="31"/>
      <c r="J44" s="35"/>
    </row>
    <row r="45" spans="3:10" x14ac:dyDescent="0.25">
      <c r="C45" s="57" t="s">
        <v>14</v>
      </c>
      <c r="D45" s="53"/>
      <c r="E45" s="6"/>
      <c r="F45" s="19"/>
      <c r="G45" s="24" t="s">
        <v>2</v>
      </c>
      <c r="H45" s="24" t="s">
        <v>2</v>
      </c>
      <c r="I45" s="31"/>
      <c r="J45" s="35"/>
    </row>
    <row r="46" spans="3:10" x14ac:dyDescent="0.25">
      <c r="C46" s="56"/>
      <c r="D46" s="53"/>
      <c r="E46" s="6"/>
      <c r="F46" s="19"/>
      <c r="G46" s="24"/>
      <c r="H46" s="24"/>
      <c r="I46" s="31"/>
      <c r="J46" s="35"/>
    </row>
    <row r="47" spans="3:10" x14ac:dyDescent="0.25">
      <c r="C47" s="57" t="s">
        <v>15</v>
      </c>
      <c r="D47" s="53"/>
      <c r="E47" s="6"/>
      <c r="F47" s="19"/>
      <c r="G47" s="24" t="s">
        <v>2</v>
      </c>
      <c r="H47" s="24" t="s">
        <v>2</v>
      </c>
      <c r="I47" s="31"/>
      <c r="J47" s="35"/>
    </row>
    <row r="48" spans="3:10" x14ac:dyDescent="0.25">
      <c r="C48" s="56"/>
      <c r="D48" s="53"/>
      <c r="E48" s="6"/>
      <c r="F48" s="19"/>
      <c r="G48" s="24"/>
      <c r="H48" s="24"/>
      <c r="I48" s="31"/>
      <c r="J48" s="35"/>
    </row>
    <row r="49" spans="1:10" x14ac:dyDescent="0.25">
      <c r="C49" s="57" t="s">
        <v>16</v>
      </c>
      <c r="D49" s="53"/>
      <c r="E49" s="6"/>
      <c r="F49" s="19"/>
      <c r="G49" s="24" t="s">
        <v>2</v>
      </c>
      <c r="H49" s="24" t="s">
        <v>2</v>
      </c>
      <c r="I49" s="31"/>
      <c r="J49" s="35"/>
    </row>
    <row r="50" spans="1:10" x14ac:dyDescent="0.25">
      <c r="C50" s="56"/>
      <c r="D50" s="53"/>
      <c r="E50" s="6"/>
      <c r="F50" s="19"/>
      <c r="G50" s="24"/>
      <c r="H50" s="24"/>
      <c r="I50" s="31"/>
      <c r="J50" s="35"/>
    </row>
    <row r="51" spans="1:10" x14ac:dyDescent="0.25">
      <c r="A51" s="10"/>
      <c r="B51" s="28"/>
      <c r="C51" s="58" t="s">
        <v>17</v>
      </c>
      <c r="D51" s="53"/>
      <c r="E51" s="6"/>
      <c r="F51" s="19"/>
      <c r="G51" s="24"/>
      <c r="H51" s="24"/>
      <c r="I51" s="31"/>
      <c r="J51" s="35"/>
    </row>
    <row r="52" spans="1:10" x14ac:dyDescent="0.25">
      <c r="A52" s="28"/>
      <c r="B52" s="28"/>
      <c r="C52" s="58" t="s">
        <v>18</v>
      </c>
      <c r="D52" s="53"/>
      <c r="E52" s="6"/>
      <c r="F52" s="19"/>
      <c r="G52" s="24" t="s">
        <v>2</v>
      </c>
      <c r="H52" s="24" t="s">
        <v>2</v>
      </c>
      <c r="I52" s="31"/>
      <c r="J52" s="35"/>
    </row>
    <row r="53" spans="1:10" x14ac:dyDescent="0.25">
      <c r="A53" s="28"/>
      <c r="B53" s="28"/>
      <c r="C53" s="58"/>
      <c r="D53" s="53"/>
      <c r="E53" s="6"/>
      <c r="F53" s="19"/>
      <c r="G53" s="24"/>
      <c r="H53" s="24"/>
      <c r="I53" s="31"/>
      <c r="J53" s="35"/>
    </row>
    <row r="54" spans="1:10" x14ac:dyDescent="0.25">
      <c r="A54" s="28"/>
      <c r="B54" s="28"/>
      <c r="C54" s="58" t="s">
        <v>19</v>
      </c>
      <c r="D54" s="53"/>
      <c r="E54" s="6"/>
      <c r="F54" s="19"/>
      <c r="G54" s="24" t="s">
        <v>2</v>
      </c>
      <c r="H54" s="24" t="s">
        <v>2</v>
      </c>
      <c r="I54" s="31"/>
      <c r="J54" s="35"/>
    </row>
    <row r="55" spans="1:10" x14ac:dyDescent="0.25">
      <c r="A55" s="28"/>
      <c r="B55" s="28"/>
      <c r="C55" s="58"/>
      <c r="D55" s="53"/>
      <c r="E55" s="6"/>
      <c r="F55" s="19"/>
      <c r="G55" s="24"/>
      <c r="H55" s="24"/>
      <c r="I55" s="31"/>
      <c r="J55" s="35"/>
    </row>
    <row r="56" spans="1:10" x14ac:dyDescent="0.25">
      <c r="A56" s="28"/>
      <c r="B56" s="28"/>
      <c r="C56" s="58" t="s">
        <v>20</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21</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C60" s="59" t="s">
        <v>22</v>
      </c>
      <c r="D60" s="53"/>
      <c r="E60" s="6"/>
      <c r="F60" s="19"/>
      <c r="G60" s="24"/>
      <c r="H60" s="24"/>
      <c r="I60" s="31"/>
      <c r="J60" s="35"/>
    </row>
    <row r="61" spans="1:10" x14ac:dyDescent="0.25">
      <c r="B61" s="8" t="s">
        <v>33</v>
      </c>
      <c r="C61" s="56" t="s">
        <v>34</v>
      </c>
      <c r="D61" s="53"/>
      <c r="E61" s="6"/>
      <c r="F61" s="19"/>
      <c r="G61" s="24">
        <v>201.01</v>
      </c>
      <c r="H61" s="24">
        <v>3.31</v>
      </c>
      <c r="I61" s="31"/>
      <c r="J61" s="35"/>
    </row>
    <row r="62" spans="1:10" x14ac:dyDescent="0.25">
      <c r="C62" s="57" t="s">
        <v>35</v>
      </c>
      <c r="D62" s="53"/>
      <c r="E62" s="6"/>
      <c r="F62" s="19"/>
      <c r="G62" s="25">
        <v>201.01</v>
      </c>
      <c r="H62" s="25">
        <v>3.31</v>
      </c>
      <c r="I62" s="31"/>
      <c r="J62" s="35"/>
    </row>
    <row r="63" spans="1:10" x14ac:dyDescent="0.25">
      <c r="C63" s="56"/>
      <c r="D63" s="53"/>
      <c r="E63" s="6"/>
      <c r="F63" s="19"/>
      <c r="G63" s="24"/>
      <c r="H63" s="24"/>
      <c r="I63" s="31"/>
      <c r="J63" s="35"/>
    </row>
    <row r="64" spans="1:10" x14ac:dyDescent="0.25">
      <c r="A64" s="10"/>
      <c r="B64" s="28"/>
      <c r="C64" s="58" t="s">
        <v>23</v>
      </c>
      <c r="D64" s="53"/>
      <c r="E64" s="6"/>
      <c r="F64" s="19"/>
      <c r="G64" s="24"/>
      <c r="H64" s="24"/>
      <c r="I64" s="31"/>
      <c r="J64" s="35"/>
    </row>
    <row r="65" spans="1:10" x14ac:dyDescent="0.25">
      <c r="A65" s="28"/>
      <c r="B65" s="28"/>
      <c r="C65" s="60" t="s">
        <v>3398</v>
      </c>
      <c r="D65" s="53"/>
      <c r="E65" s="6"/>
      <c r="F65" s="19"/>
      <c r="G65" s="24" t="s">
        <v>2</v>
      </c>
      <c r="H65" s="24" t="s">
        <v>2</v>
      </c>
      <c r="I65" s="31"/>
      <c r="J65" s="35"/>
    </row>
    <row r="66" spans="1:10" x14ac:dyDescent="0.25">
      <c r="B66" s="8"/>
      <c r="C66" s="56" t="s">
        <v>36</v>
      </c>
      <c r="D66" s="53"/>
      <c r="E66" s="6"/>
      <c r="F66" s="19"/>
      <c r="G66" s="24">
        <v>184.13</v>
      </c>
      <c r="H66" s="24">
        <v>3.02</v>
      </c>
      <c r="I66" s="31"/>
      <c r="J66" s="35"/>
    </row>
    <row r="67" spans="1:10" x14ac:dyDescent="0.25">
      <c r="C67" s="57" t="s">
        <v>35</v>
      </c>
      <c r="D67" s="53"/>
      <c r="E67" s="6"/>
      <c r="F67" s="19"/>
      <c r="G67" s="25">
        <v>184.13</v>
      </c>
      <c r="H67" s="25">
        <v>3.02</v>
      </c>
      <c r="I67" s="31"/>
      <c r="J67" s="35"/>
    </row>
    <row r="68" spans="1:10" x14ac:dyDescent="0.25">
      <c r="C68" s="56"/>
      <c r="D68" s="53"/>
      <c r="E68" s="6"/>
      <c r="F68" s="19"/>
      <c r="G68" s="24"/>
      <c r="H68" s="24"/>
      <c r="I68" s="31"/>
      <c r="J68" s="35"/>
    </row>
    <row r="69" spans="1:10" x14ac:dyDescent="0.25">
      <c r="C69" s="61" t="s">
        <v>37</v>
      </c>
      <c r="D69" s="54"/>
      <c r="E69" s="5"/>
      <c r="F69" s="20"/>
      <c r="G69" s="26">
        <v>6075.08</v>
      </c>
      <c r="H69" s="26">
        <f>SUMIFS(H:H,C:C,"Total")</f>
        <v>100</v>
      </c>
      <c r="I69" s="32"/>
      <c r="J69" s="36"/>
    </row>
    <row r="72" spans="1:10" x14ac:dyDescent="0.25">
      <c r="C72" s="1" t="s">
        <v>38</v>
      </c>
    </row>
    <row r="73" spans="1:10" x14ac:dyDescent="0.25">
      <c r="C73" s="2" t="s">
        <v>39</v>
      </c>
    </row>
    <row r="74" spans="1:10" x14ac:dyDescent="0.25">
      <c r="C74" s="2" t="s">
        <v>40</v>
      </c>
    </row>
    <row r="75" spans="1:10" x14ac:dyDescent="0.25">
      <c r="C75" s="2" t="s">
        <v>3430</v>
      </c>
    </row>
  </sheetData>
  <hyperlinks>
    <hyperlink ref="J2" location="'Index'!A1" display="'Index'!A1"/>
  </hyperlinks>
  <pageMargins left="0.7" right="0.7" top="0.75" bottom="0.75" header="0.3" footer="0.3"/>
  <pageSetup orientation="portrait" horizontalDpi="4294967293"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5"/>
  <dimension ref="A1:J7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3094</v>
      </c>
      <c r="J2" s="37" t="s">
        <v>3307</v>
      </c>
    </row>
    <row r="3" spans="1:10" ht="16.5" x14ac:dyDescent="0.3">
      <c r="C3" s="1" t="s">
        <v>24</v>
      </c>
      <c r="D3" s="21" t="s">
        <v>3095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1949</v>
      </c>
      <c r="C18" s="56" t="s">
        <v>1950</v>
      </c>
      <c r="D18" s="53" t="s">
        <v>1951</v>
      </c>
      <c r="E18" s="6" t="s">
        <v>534</v>
      </c>
      <c r="F18" s="19">
        <v>50</v>
      </c>
      <c r="G18" s="24">
        <v>550.6</v>
      </c>
      <c r="H18" s="24">
        <v>9.07</v>
      </c>
      <c r="I18" s="31">
        <v>5.8654000000000002</v>
      </c>
      <c r="J18" s="35" t="s">
        <v>514</v>
      </c>
    </row>
    <row r="19" spans="2:10" x14ac:dyDescent="0.25">
      <c r="B19" s="8" t="s">
        <v>1744</v>
      </c>
      <c r="C19" s="56" t="s">
        <v>77</v>
      </c>
      <c r="D19" s="53" t="s">
        <v>1745</v>
      </c>
      <c r="E19" s="6" t="s">
        <v>534</v>
      </c>
      <c r="F19" s="19">
        <v>50</v>
      </c>
      <c r="G19" s="24">
        <v>525.59</v>
      </c>
      <c r="H19" s="24">
        <v>8.66</v>
      </c>
      <c r="I19" s="31">
        <v>4.6749999999999998</v>
      </c>
      <c r="J19" s="35" t="s">
        <v>514</v>
      </c>
    </row>
    <row r="20" spans="2:10" x14ac:dyDescent="0.25">
      <c r="B20" s="8" t="s">
        <v>3096</v>
      </c>
      <c r="C20" s="56" t="s">
        <v>1127</v>
      </c>
      <c r="D20" s="53" t="s">
        <v>3097</v>
      </c>
      <c r="E20" s="6" t="s">
        <v>534</v>
      </c>
      <c r="F20" s="19">
        <v>50</v>
      </c>
      <c r="G20" s="24">
        <v>522.79</v>
      </c>
      <c r="H20" s="24">
        <v>8.6199999999999992</v>
      </c>
      <c r="I20" s="31">
        <v>5.2816999999999998</v>
      </c>
      <c r="J20" s="35" t="s">
        <v>514</v>
      </c>
    </row>
    <row r="21" spans="2:10" x14ac:dyDescent="0.25">
      <c r="B21" s="8" t="s">
        <v>2988</v>
      </c>
      <c r="C21" s="56" t="s">
        <v>53</v>
      </c>
      <c r="D21" s="53" t="s">
        <v>2989</v>
      </c>
      <c r="E21" s="6" t="s">
        <v>534</v>
      </c>
      <c r="F21" s="19">
        <v>50</v>
      </c>
      <c r="G21" s="24">
        <v>522.29999999999995</v>
      </c>
      <c r="H21" s="24">
        <v>8.61</v>
      </c>
      <c r="I21" s="31">
        <v>4.88</v>
      </c>
      <c r="J21" s="35"/>
    </row>
    <row r="22" spans="2:10" x14ac:dyDescent="0.25">
      <c r="B22" s="8" t="s">
        <v>1860</v>
      </c>
      <c r="C22" s="56" t="s">
        <v>601</v>
      </c>
      <c r="D22" s="53" t="s">
        <v>1861</v>
      </c>
      <c r="E22" s="6" t="s">
        <v>534</v>
      </c>
      <c r="F22" s="19">
        <v>50</v>
      </c>
      <c r="G22" s="24">
        <v>522.02</v>
      </c>
      <c r="H22" s="24">
        <v>8.6</v>
      </c>
      <c r="I22" s="31">
        <v>5.0199999999999996</v>
      </c>
      <c r="J22" s="35"/>
    </row>
    <row r="23" spans="2:10" x14ac:dyDescent="0.25">
      <c r="B23" s="8" t="s">
        <v>3098</v>
      </c>
      <c r="C23" s="56" t="s">
        <v>2421</v>
      </c>
      <c r="D23" s="53" t="s">
        <v>3099</v>
      </c>
      <c r="E23" s="6" t="s">
        <v>534</v>
      </c>
      <c r="F23" s="19">
        <v>50</v>
      </c>
      <c r="G23" s="24">
        <v>521.44000000000005</v>
      </c>
      <c r="H23" s="24">
        <v>8.59</v>
      </c>
      <c r="I23" s="31">
        <v>5.31</v>
      </c>
      <c r="J23" s="35" t="s">
        <v>514</v>
      </c>
    </row>
    <row r="24" spans="2:10" x14ac:dyDescent="0.25">
      <c r="B24" s="8" t="s">
        <v>1909</v>
      </c>
      <c r="C24" s="56" t="s">
        <v>1130</v>
      </c>
      <c r="D24" s="53" t="s">
        <v>1910</v>
      </c>
      <c r="E24" s="6" t="s">
        <v>911</v>
      </c>
      <c r="F24" s="19">
        <v>50</v>
      </c>
      <c r="G24" s="24">
        <v>520.5</v>
      </c>
      <c r="H24" s="24">
        <v>8.58</v>
      </c>
      <c r="I24" s="31">
        <v>4.88</v>
      </c>
      <c r="J24" s="35" t="s">
        <v>514</v>
      </c>
    </row>
    <row r="25" spans="2:10" x14ac:dyDescent="0.25">
      <c r="B25" s="8" t="s">
        <v>1941</v>
      </c>
      <c r="C25" s="56" t="s">
        <v>1752</v>
      </c>
      <c r="D25" s="53" t="s">
        <v>1942</v>
      </c>
      <c r="E25" s="6" t="s">
        <v>1314</v>
      </c>
      <c r="F25" s="19">
        <v>50</v>
      </c>
      <c r="G25" s="24">
        <v>520.46</v>
      </c>
      <c r="H25" s="24">
        <v>8.58</v>
      </c>
      <c r="I25" s="31">
        <v>4.6050000000000004</v>
      </c>
      <c r="J25" s="35" t="s">
        <v>514</v>
      </c>
    </row>
    <row r="26" spans="2:10" x14ac:dyDescent="0.25">
      <c r="B26" s="8" t="s">
        <v>2174</v>
      </c>
      <c r="C26" s="56" t="s">
        <v>909</v>
      </c>
      <c r="D26" s="53" t="s">
        <v>2175</v>
      </c>
      <c r="E26" s="6" t="s">
        <v>534</v>
      </c>
      <c r="F26" s="19">
        <v>50</v>
      </c>
      <c r="G26" s="24">
        <v>519.09</v>
      </c>
      <c r="H26" s="24">
        <v>8.56</v>
      </c>
      <c r="I26" s="31">
        <v>4.75</v>
      </c>
      <c r="J26" s="35" t="s">
        <v>514</v>
      </c>
    </row>
    <row r="27" spans="2:10" x14ac:dyDescent="0.25">
      <c r="B27" s="8" t="s">
        <v>2153</v>
      </c>
      <c r="C27" s="56" t="s">
        <v>1376</v>
      </c>
      <c r="D27" s="53" t="s">
        <v>2154</v>
      </c>
      <c r="E27" s="6" t="s">
        <v>534</v>
      </c>
      <c r="F27" s="19">
        <v>40</v>
      </c>
      <c r="G27" s="24">
        <v>414.81</v>
      </c>
      <c r="H27" s="24">
        <v>6.84</v>
      </c>
      <c r="I27" s="31">
        <v>4.97</v>
      </c>
      <c r="J27" s="35" t="s">
        <v>514</v>
      </c>
    </row>
    <row r="28" spans="2:10" x14ac:dyDescent="0.25">
      <c r="B28" s="8" t="s">
        <v>2762</v>
      </c>
      <c r="C28" s="56" t="s">
        <v>1848</v>
      </c>
      <c r="D28" s="53" t="s">
        <v>2763</v>
      </c>
      <c r="E28" s="6" t="s">
        <v>551</v>
      </c>
      <c r="F28" s="19">
        <v>30</v>
      </c>
      <c r="G28" s="24">
        <v>310.38</v>
      </c>
      <c r="H28" s="24">
        <v>5.12</v>
      </c>
      <c r="I28" s="31">
        <v>5</v>
      </c>
      <c r="J28" s="35" t="s">
        <v>514</v>
      </c>
    </row>
    <row r="29" spans="2:10" x14ac:dyDescent="0.25">
      <c r="B29" s="8" t="s">
        <v>3059</v>
      </c>
      <c r="C29" s="56" t="s">
        <v>1230</v>
      </c>
      <c r="D29" s="53" t="s">
        <v>3060</v>
      </c>
      <c r="E29" s="6" t="s">
        <v>534</v>
      </c>
      <c r="F29" s="19">
        <v>10</v>
      </c>
      <c r="G29" s="24">
        <v>108.03</v>
      </c>
      <c r="H29" s="24">
        <v>1.78</v>
      </c>
      <c r="I29" s="31">
        <v>4.6900000000000004</v>
      </c>
      <c r="J29" s="35" t="s">
        <v>514</v>
      </c>
    </row>
    <row r="30" spans="2:10" x14ac:dyDescent="0.25">
      <c r="B30" s="8" t="s">
        <v>3076</v>
      </c>
      <c r="C30" s="56" t="s">
        <v>1376</v>
      </c>
      <c r="D30" s="53" t="s">
        <v>3077</v>
      </c>
      <c r="E30" s="6" t="s">
        <v>534</v>
      </c>
      <c r="F30" s="19">
        <v>10</v>
      </c>
      <c r="G30" s="24">
        <v>103.76</v>
      </c>
      <c r="H30" s="24">
        <v>1.71</v>
      </c>
      <c r="I30" s="31">
        <v>5.0999999999999996</v>
      </c>
      <c r="J30" s="35" t="s">
        <v>514</v>
      </c>
    </row>
    <row r="31" spans="2:10" x14ac:dyDescent="0.25">
      <c r="C31" s="57" t="s">
        <v>35</v>
      </c>
      <c r="D31" s="53"/>
      <c r="E31" s="6"/>
      <c r="F31" s="19"/>
      <c r="G31" s="25">
        <v>5661.77</v>
      </c>
      <c r="H31" s="25">
        <v>93.32</v>
      </c>
      <c r="I31" s="31"/>
      <c r="J31" s="35"/>
    </row>
    <row r="32" spans="2:10" x14ac:dyDescent="0.25">
      <c r="C32" s="56"/>
      <c r="D32" s="53"/>
      <c r="E32" s="6"/>
      <c r="F32" s="19"/>
      <c r="G32" s="24"/>
      <c r="H32" s="24"/>
      <c r="I32" s="31"/>
      <c r="J32" s="35"/>
    </row>
    <row r="33" spans="3:10" x14ac:dyDescent="0.25">
      <c r="C33" s="57" t="s">
        <v>7</v>
      </c>
      <c r="D33" s="53"/>
      <c r="E33" s="6"/>
      <c r="F33" s="19"/>
      <c r="G33" s="24" t="s">
        <v>2</v>
      </c>
      <c r="H33" s="24" t="s">
        <v>2</v>
      </c>
      <c r="I33" s="31"/>
      <c r="J33" s="35"/>
    </row>
    <row r="34" spans="3:10" x14ac:dyDescent="0.25">
      <c r="C34" s="56"/>
      <c r="D34" s="53"/>
      <c r="E34" s="6"/>
      <c r="F34" s="19"/>
      <c r="G34" s="24"/>
      <c r="H34" s="24"/>
      <c r="I34" s="31"/>
      <c r="J34" s="35"/>
    </row>
    <row r="35" spans="3:10" x14ac:dyDescent="0.25">
      <c r="C35" s="57" t="s">
        <v>8</v>
      </c>
      <c r="D35" s="53"/>
      <c r="E35" s="6"/>
      <c r="F35" s="19"/>
      <c r="G35" s="24" t="s">
        <v>2</v>
      </c>
      <c r="H35" s="24" t="s">
        <v>2</v>
      </c>
      <c r="I35" s="31"/>
      <c r="J35" s="35"/>
    </row>
    <row r="36" spans="3:10" x14ac:dyDescent="0.25">
      <c r="C36" s="56"/>
      <c r="D36" s="53"/>
      <c r="E36" s="6"/>
      <c r="F36" s="19"/>
      <c r="G36" s="24"/>
      <c r="H36" s="24"/>
      <c r="I36" s="31"/>
      <c r="J36" s="35"/>
    </row>
    <row r="37" spans="3:10" x14ac:dyDescent="0.25">
      <c r="C37" s="57" t="s">
        <v>9</v>
      </c>
      <c r="D37" s="53"/>
      <c r="E37" s="6"/>
      <c r="F37" s="19"/>
      <c r="G37" s="24" t="s">
        <v>2</v>
      </c>
      <c r="H37" s="24" t="s">
        <v>2</v>
      </c>
      <c r="I37" s="31"/>
      <c r="J37" s="35"/>
    </row>
    <row r="38" spans="3:10" x14ac:dyDescent="0.25">
      <c r="C38" s="56"/>
      <c r="D38" s="53"/>
      <c r="E38" s="6"/>
      <c r="F38" s="19"/>
      <c r="G38" s="24"/>
      <c r="H38" s="24"/>
      <c r="I38" s="31"/>
      <c r="J38" s="35"/>
    </row>
    <row r="39" spans="3:10" x14ac:dyDescent="0.25">
      <c r="C39" s="57" t="s">
        <v>10</v>
      </c>
      <c r="D39" s="53"/>
      <c r="E39" s="6"/>
      <c r="F39" s="19"/>
      <c r="G39" s="24" t="s">
        <v>2</v>
      </c>
      <c r="H39" s="24" t="s">
        <v>2</v>
      </c>
      <c r="I39" s="31"/>
      <c r="J39" s="35"/>
    </row>
    <row r="40" spans="3:10" x14ac:dyDescent="0.25">
      <c r="C40" s="56"/>
      <c r="D40" s="53"/>
      <c r="E40" s="6"/>
      <c r="F40" s="19"/>
      <c r="G40" s="24"/>
      <c r="H40" s="24"/>
      <c r="I40" s="31"/>
      <c r="J40" s="35"/>
    </row>
    <row r="41" spans="3:10" x14ac:dyDescent="0.25">
      <c r="C41" s="57" t="s">
        <v>11</v>
      </c>
      <c r="D41" s="53"/>
      <c r="E41" s="6"/>
      <c r="F41" s="19"/>
      <c r="G41" s="24"/>
      <c r="H41" s="24"/>
      <c r="I41" s="31"/>
      <c r="J41" s="35"/>
    </row>
    <row r="42" spans="3:10" x14ac:dyDescent="0.25">
      <c r="C42" s="56"/>
      <c r="D42" s="53"/>
      <c r="E42" s="6"/>
      <c r="F42" s="19"/>
      <c r="G42" s="24"/>
      <c r="H42" s="24"/>
      <c r="I42" s="31"/>
      <c r="J42" s="35"/>
    </row>
    <row r="43" spans="3:10" x14ac:dyDescent="0.25">
      <c r="C43" s="57" t="s">
        <v>13</v>
      </c>
      <c r="D43" s="53"/>
      <c r="E43" s="6"/>
      <c r="F43" s="19"/>
      <c r="G43" s="24" t="s">
        <v>2</v>
      </c>
      <c r="H43" s="24" t="s">
        <v>2</v>
      </c>
      <c r="I43" s="31"/>
      <c r="J43" s="35"/>
    </row>
    <row r="44" spans="3:10" x14ac:dyDescent="0.25">
      <c r="C44" s="56"/>
      <c r="D44" s="53"/>
      <c r="E44" s="6"/>
      <c r="F44" s="19"/>
      <c r="G44" s="24"/>
      <c r="H44" s="24"/>
      <c r="I44" s="31"/>
      <c r="J44" s="35"/>
    </row>
    <row r="45" spans="3:10" x14ac:dyDescent="0.25">
      <c r="C45" s="57" t="s">
        <v>14</v>
      </c>
      <c r="D45" s="53"/>
      <c r="E45" s="6"/>
      <c r="F45" s="19"/>
      <c r="G45" s="24" t="s">
        <v>2</v>
      </c>
      <c r="H45" s="24" t="s">
        <v>2</v>
      </c>
      <c r="I45" s="31"/>
      <c r="J45" s="35"/>
    </row>
    <row r="46" spans="3:10" x14ac:dyDescent="0.25">
      <c r="C46" s="56"/>
      <c r="D46" s="53"/>
      <c r="E46" s="6"/>
      <c r="F46" s="19"/>
      <c r="G46" s="24"/>
      <c r="H46" s="24"/>
      <c r="I46" s="31"/>
      <c r="J46" s="35"/>
    </row>
    <row r="47" spans="3:10" x14ac:dyDescent="0.25">
      <c r="C47" s="57" t="s">
        <v>15</v>
      </c>
      <c r="D47" s="53"/>
      <c r="E47" s="6"/>
      <c r="F47" s="19"/>
      <c r="G47" s="24" t="s">
        <v>2</v>
      </c>
      <c r="H47" s="24" t="s">
        <v>2</v>
      </c>
      <c r="I47" s="31"/>
      <c r="J47" s="35"/>
    </row>
    <row r="48" spans="3:10" x14ac:dyDescent="0.25">
      <c r="C48" s="56"/>
      <c r="D48" s="53"/>
      <c r="E48" s="6"/>
      <c r="F48" s="19"/>
      <c r="G48" s="24"/>
      <c r="H48" s="24"/>
      <c r="I48" s="31"/>
      <c r="J48" s="35"/>
    </row>
    <row r="49" spans="1:10" x14ac:dyDescent="0.25">
      <c r="C49" s="57" t="s">
        <v>16</v>
      </c>
      <c r="D49" s="53"/>
      <c r="E49" s="6"/>
      <c r="F49" s="19"/>
      <c r="G49" s="24" t="s">
        <v>2</v>
      </c>
      <c r="H49" s="24" t="s">
        <v>2</v>
      </c>
      <c r="I49" s="31"/>
      <c r="J49" s="35"/>
    </row>
    <row r="50" spans="1:10" x14ac:dyDescent="0.25">
      <c r="C50" s="56"/>
      <c r="D50" s="53"/>
      <c r="E50" s="6"/>
      <c r="F50" s="19"/>
      <c r="G50" s="24"/>
      <c r="H50" s="24"/>
      <c r="I50" s="31"/>
      <c r="J50" s="35"/>
    </row>
    <row r="51" spans="1:10" x14ac:dyDescent="0.25">
      <c r="A51" s="10"/>
      <c r="B51" s="28"/>
      <c r="C51" s="58" t="s">
        <v>17</v>
      </c>
      <c r="D51" s="53"/>
      <c r="E51" s="6"/>
      <c r="F51" s="19"/>
      <c r="G51" s="24"/>
      <c r="H51" s="24"/>
      <c r="I51" s="31"/>
      <c r="J51" s="35"/>
    </row>
    <row r="52" spans="1:10" x14ac:dyDescent="0.25">
      <c r="A52" s="28"/>
      <c r="B52" s="28"/>
      <c r="C52" s="58" t="s">
        <v>18</v>
      </c>
      <c r="D52" s="53"/>
      <c r="E52" s="6"/>
      <c r="F52" s="19"/>
      <c r="G52" s="24" t="s">
        <v>2</v>
      </c>
      <c r="H52" s="24" t="s">
        <v>2</v>
      </c>
      <c r="I52" s="31"/>
      <c r="J52" s="35"/>
    </row>
    <row r="53" spans="1:10" x14ac:dyDescent="0.25">
      <c r="A53" s="28"/>
      <c r="B53" s="28"/>
      <c r="C53" s="58"/>
      <c r="D53" s="53"/>
      <c r="E53" s="6"/>
      <c r="F53" s="19"/>
      <c r="G53" s="24"/>
      <c r="H53" s="24"/>
      <c r="I53" s="31"/>
      <c r="J53" s="35"/>
    </row>
    <row r="54" spans="1:10" x14ac:dyDescent="0.25">
      <c r="A54" s="28"/>
      <c r="B54" s="28"/>
      <c r="C54" s="58" t="s">
        <v>19</v>
      </c>
      <c r="D54" s="53"/>
      <c r="E54" s="6"/>
      <c r="F54" s="19"/>
      <c r="G54" s="24" t="s">
        <v>2</v>
      </c>
      <c r="H54" s="24" t="s">
        <v>2</v>
      </c>
      <c r="I54" s="31"/>
      <c r="J54" s="35"/>
    </row>
    <row r="55" spans="1:10" x14ac:dyDescent="0.25">
      <c r="A55" s="28"/>
      <c r="B55" s="28"/>
      <c r="C55" s="58"/>
      <c r="D55" s="53"/>
      <c r="E55" s="6"/>
      <c r="F55" s="19"/>
      <c r="G55" s="24"/>
      <c r="H55" s="24"/>
      <c r="I55" s="31"/>
      <c r="J55" s="35"/>
    </row>
    <row r="56" spans="1:10" x14ac:dyDescent="0.25">
      <c r="A56" s="28"/>
      <c r="B56" s="28"/>
      <c r="C56" s="58" t="s">
        <v>20</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21</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C60" s="59" t="s">
        <v>22</v>
      </c>
      <c r="D60" s="53"/>
      <c r="E60" s="6"/>
      <c r="F60" s="19"/>
      <c r="G60" s="24"/>
      <c r="H60" s="24"/>
      <c r="I60" s="31"/>
      <c r="J60" s="35"/>
    </row>
    <row r="61" spans="1:10" x14ac:dyDescent="0.25">
      <c r="B61" s="8" t="s">
        <v>33</v>
      </c>
      <c r="C61" s="56" t="s">
        <v>34</v>
      </c>
      <c r="D61" s="53"/>
      <c r="E61" s="6"/>
      <c r="F61" s="19"/>
      <c r="G61" s="24">
        <v>177.32</v>
      </c>
      <c r="H61" s="24">
        <v>2.92</v>
      </c>
      <c r="I61" s="31"/>
      <c r="J61" s="35"/>
    </row>
    <row r="62" spans="1:10" x14ac:dyDescent="0.25">
      <c r="C62" s="57" t="s">
        <v>35</v>
      </c>
      <c r="D62" s="53"/>
      <c r="E62" s="6"/>
      <c r="F62" s="19"/>
      <c r="G62" s="25">
        <v>177.32</v>
      </c>
      <c r="H62" s="25">
        <v>2.92</v>
      </c>
      <c r="I62" s="31"/>
      <c r="J62" s="35"/>
    </row>
    <row r="63" spans="1:10" x14ac:dyDescent="0.25">
      <c r="C63" s="56"/>
      <c r="D63" s="53"/>
      <c r="E63" s="6"/>
      <c r="F63" s="19"/>
      <c r="G63" s="24"/>
      <c r="H63" s="24"/>
      <c r="I63" s="31"/>
      <c r="J63" s="35"/>
    </row>
    <row r="64" spans="1:10" x14ac:dyDescent="0.25">
      <c r="A64" s="10"/>
      <c r="B64" s="28"/>
      <c r="C64" s="58" t="s">
        <v>23</v>
      </c>
      <c r="D64" s="53"/>
      <c r="E64" s="6"/>
      <c r="F64" s="19"/>
      <c r="G64" s="24"/>
      <c r="H64" s="24"/>
      <c r="I64" s="31"/>
      <c r="J64" s="35"/>
    </row>
    <row r="65" spans="1:10" x14ac:dyDescent="0.25">
      <c r="A65" s="28"/>
      <c r="B65" s="28"/>
      <c r="C65" s="60" t="s">
        <v>3398</v>
      </c>
      <c r="D65" s="53"/>
      <c r="E65" s="6"/>
      <c r="F65" s="19"/>
      <c r="G65" s="24" t="s">
        <v>2</v>
      </c>
      <c r="H65" s="24" t="s">
        <v>2</v>
      </c>
      <c r="I65" s="31"/>
      <c r="J65" s="35"/>
    </row>
    <row r="66" spans="1:10" x14ac:dyDescent="0.25">
      <c r="B66" s="8"/>
      <c r="C66" s="56" t="s">
        <v>36</v>
      </c>
      <c r="D66" s="53"/>
      <c r="E66" s="6"/>
      <c r="F66" s="19"/>
      <c r="G66" s="24">
        <v>228.31</v>
      </c>
      <c r="H66" s="24">
        <v>3.76</v>
      </c>
      <c r="I66" s="31"/>
      <c r="J66" s="35"/>
    </row>
    <row r="67" spans="1:10" x14ac:dyDescent="0.25">
      <c r="C67" s="57" t="s">
        <v>35</v>
      </c>
      <c r="D67" s="53"/>
      <c r="E67" s="6"/>
      <c r="F67" s="19"/>
      <c r="G67" s="25">
        <v>228.31</v>
      </c>
      <c r="H67" s="25">
        <v>3.76</v>
      </c>
      <c r="I67" s="31"/>
      <c r="J67" s="35"/>
    </row>
    <row r="68" spans="1:10" x14ac:dyDescent="0.25">
      <c r="C68" s="56"/>
      <c r="D68" s="53"/>
      <c r="E68" s="6"/>
      <c r="F68" s="19"/>
      <c r="G68" s="24"/>
      <c r="H68" s="24"/>
      <c r="I68" s="31"/>
      <c r="J68" s="35"/>
    </row>
    <row r="69" spans="1:10" x14ac:dyDescent="0.25">
      <c r="C69" s="61" t="s">
        <v>37</v>
      </c>
      <c r="D69" s="54"/>
      <c r="E69" s="5"/>
      <c r="F69" s="20"/>
      <c r="G69" s="26">
        <v>6067.4</v>
      </c>
      <c r="H69" s="26">
        <f>SUMIFS(H:H,C:C,"Total")</f>
        <v>100</v>
      </c>
      <c r="I69" s="32"/>
      <c r="J69" s="36"/>
    </row>
    <row r="72" spans="1:10" x14ac:dyDescent="0.25">
      <c r="C72" s="1" t="s">
        <v>38</v>
      </c>
    </row>
    <row r="73" spans="1:10" x14ac:dyDescent="0.25">
      <c r="C73" s="2" t="s">
        <v>39</v>
      </c>
    </row>
    <row r="74" spans="1:10" x14ac:dyDescent="0.25">
      <c r="C74" s="2" t="s">
        <v>40</v>
      </c>
    </row>
    <row r="75" spans="1:10" x14ac:dyDescent="0.25">
      <c r="C75" s="2" t="s">
        <v>3430</v>
      </c>
    </row>
  </sheetData>
  <hyperlinks>
    <hyperlink ref="J2" location="'Index'!A1" display="'Index'!A1"/>
  </hyperlinks>
  <pageMargins left="0.7" right="0.7" top="0.75" bottom="0.75" header="0.3" footer="0.3"/>
  <pageSetup orientation="portrait" horizontalDpi="4294967293"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6"/>
  <dimension ref="A1:J7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3100</v>
      </c>
      <c r="J2" s="37" t="s">
        <v>3307</v>
      </c>
    </row>
    <row r="3" spans="1:10" ht="16.5" x14ac:dyDescent="0.3">
      <c r="C3" s="1" t="s">
        <v>24</v>
      </c>
      <c r="D3" s="21" t="s">
        <v>3101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1949</v>
      </c>
      <c r="C18" s="56" t="s">
        <v>1950</v>
      </c>
      <c r="D18" s="53" t="s">
        <v>1951</v>
      </c>
      <c r="E18" s="6" t="s">
        <v>534</v>
      </c>
      <c r="F18" s="19">
        <v>50</v>
      </c>
      <c r="G18" s="24">
        <v>550.6</v>
      </c>
      <c r="H18" s="24">
        <v>8.98</v>
      </c>
      <c r="I18" s="31">
        <v>5.8654000000000002</v>
      </c>
      <c r="J18" s="35" t="s">
        <v>514</v>
      </c>
    </row>
    <row r="19" spans="2:10" x14ac:dyDescent="0.25">
      <c r="B19" s="8" t="s">
        <v>3102</v>
      </c>
      <c r="C19" s="56" t="s">
        <v>1376</v>
      </c>
      <c r="D19" s="53" t="s">
        <v>3103</v>
      </c>
      <c r="E19" s="6" t="s">
        <v>534</v>
      </c>
      <c r="F19" s="19">
        <v>50</v>
      </c>
      <c r="G19" s="24">
        <v>523.38</v>
      </c>
      <c r="H19" s="24">
        <v>8.5299999999999994</v>
      </c>
      <c r="I19" s="31">
        <v>5.0999999999999996</v>
      </c>
      <c r="J19" s="35"/>
    </row>
    <row r="20" spans="2:10" x14ac:dyDescent="0.25">
      <c r="B20" s="8" t="s">
        <v>3096</v>
      </c>
      <c r="C20" s="56" t="s">
        <v>1127</v>
      </c>
      <c r="D20" s="53" t="s">
        <v>3097</v>
      </c>
      <c r="E20" s="6" t="s">
        <v>534</v>
      </c>
      <c r="F20" s="19">
        <v>50</v>
      </c>
      <c r="G20" s="24">
        <v>522.79</v>
      </c>
      <c r="H20" s="24">
        <v>8.52</v>
      </c>
      <c r="I20" s="31">
        <v>5.2816999999999998</v>
      </c>
      <c r="J20" s="35" t="s">
        <v>514</v>
      </c>
    </row>
    <row r="21" spans="2:10" x14ac:dyDescent="0.25">
      <c r="B21" s="8" t="s">
        <v>2988</v>
      </c>
      <c r="C21" s="56" t="s">
        <v>53</v>
      </c>
      <c r="D21" s="53" t="s">
        <v>2989</v>
      </c>
      <c r="E21" s="6" t="s">
        <v>534</v>
      </c>
      <c r="F21" s="19">
        <v>50</v>
      </c>
      <c r="G21" s="24">
        <v>522.29999999999995</v>
      </c>
      <c r="H21" s="24">
        <v>8.51</v>
      </c>
      <c r="I21" s="31">
        <v>4.88</v>
      </c>
      <c r="J21" s="35"/>
    </row>
    <row r="22" spans="2:10" x14ac:dyDescent="0.25">
      <c r="B22" s="8" t="s">
        <v>1860</v>
      </c>
      <c r="C22" s="56" t="s">
        <v>601</v>
      </c>
      <c r="D22" s="53" t="s">
        <v>1861</v>
      </c>
      <c r="E22" s="6" t="s">
        <v>534</v>
      </c>
      <c r="F22" s="19">
        <v>50</v>
      </c>
      <c r="G22" s="24">
        <v>522.02</v>
      </c>
      <c r="H22" s="24">
        <v>8.51</v>
      </c>
      <c r="I22" s="31">
        <v>5.0199999999999996</v>
      </c>
      <c r="J22" s="35"/>
    </row>
    <row r="23" spans="2:10" x14ac:dyDescent="0.25">
      <c r="B23" s="8" t="s">
        <v>2841</v>
      </c>
      <c r="C23" s="56" t="s">
        <v>1130</v>
      </c>
      <c r="D23" s="53" t="s">
        <v>2842</v>
      </c>
      <c r="E23" s="6" t="s">
        <v>911</v>
      </c>
      <c r="F23" s="19">
        <v>50</v>
      </c>
      <c r="G23" s="24">
        <v>520.61</v>
      </c>
      <c r="H23" s="24">
        <v>8.49</v>
      </c>
      <c r="I23" s="31">
        <v>4.88</v>
      </c>
      <c r="J23" s="35" t="s">
        <v>514</v>
      </c>
    </row>
    <row r="24" spans="2:10" x14ac:dyDescent="0.25">
      <c r="B24" s="8" t="s">
        <v>2174</v>
      </c>
      <c r="C24" s="56" t="s">
        <v>909</v>
      </c>
      <c r="D24" s="53" t="s">
        <v>2175</v>
      </c>
      <c r="E24" s="6" t="s">
        <v>534</v>
      </c>
      <c r="F24" s="19">
        <v>50</v>
      </c>
      <c r="G24" s="24">
        <v>519.09</v>
      </c>
      <c r="H24" s="24">
        <v>8.4600000000000009</v>
      </c>
      <c r="I24" s="31">
        <v>4.75</v>
      </c>
      <c r="J24" s="35" t="s">
        <v>514</v>
      </c>
    </row>
    <row r="25" spans="2:10" x14ac:dyDescent="0.25">
      <c r="B25" s="8" t="s">
        <v>2762</v>
      </c>
      <c r="C25" s="56" t="s">
        <v>1848</v>
      </c>
      <c r="D25" s="53" t="s">
        <v>2763</v>
      </c>
      <c r="E25" s="6" t="s">
        <v>551</v>
      </c>
      <c r="F25" s="19">
        <v>50</v>
      </c>
      <c r="G25" s="24">
        <v>517.29999999999995</v>
      </c>
      <c r="H25" s="24">
        <v>8.43</v>
      </c>
      <c r="I25" s="31">
        <v>5</v>
      </c>
      <c r="J25" s="35" t="s">
        <v>514</v>
      </c>
    </row>
    <row r="26" spans="2:10" x14ac:dyDescent="0.25">
      <c r="B26" s="8" t="s">
        <v>3059</v>
      </c>
      <c r="C26" s="56" t="s">
        <v>1230</v>
      </c>
      <c r="D26" s="53" t="s">
        <v>3060</v>
      </c>
      <c r="E26" s="6" t="s">
        <v>534</v>
      </c>
      <c r="F26" s="19">
        <v>40</v>
      </c>
      <c r="G26" s="24">
        <v>432.14</v>
      </c>
      <c r="H26" s="24">
        <v>7.04</v>
      </c>
      <c r="I26" s="31">
        <v>4.6900000000000004</v>
      </c>
      <c r="J26" s="35" t="s">
        <v>514</v>
      </c>
    </row>
    <row r="27" spans="2:10" x14ac:dyDescent="0.25">
      <c r="B27" s="8" t="s">
        <v>3098</v>
      </c>
      <c r="C27" s="56" t="s">
        <v>2421</v>
      </c>
      <c r="D27" s="53" t="s">
        <v>3099</v>
      </c>
      <c r="E27" s="6" t="s">
        <v>534</v>
      </c>
      <c r="F27" s="19">
        <v>40</v>
      </c>
      <c r="G27" s="24">
        <v>417.15</v>
      </c>
      <c r="H27" s="24">
        <v>6.8</v>
      </c>
      <c r="I27" s="31">
        <v>5.31</v>
      </c>
      <c r="J27" s="35" t="s">
        <v>514</v>
      </c>
    </row>
    <row r="28" spans="2:10" x14ac:dyDescent="0.25">
      <c r="B28" s="8" t="s">
        <v>3084</v>
      </c>
      <c r="C28" s="56" t="s">
        <v>2655</v>
      </c>
      <c r="D28" s="53" t="s">
        <v>3085</v>
      </c>
      <c r="E28" s="6" t="s">
        <v>534</v>
      </c>
      <c r="F28" s="19">
        <v>30</v>
      </c>
      <c r="G28" s="24">
        <v>313.35000000000002</v>
      </c>
      <c r="H28" s="24">
        <v>5.1100000000000003</v>
      </c>
      <c r="I28" s="31">
        <v>4.4400000000000004</v>
      </c>
      <c r="J28" s="35" t="s">
        <v>514</v>
      </c>
    </row>
    <row r="29" spans="2:10" x14ac:dyDescent="0.25">
      <c r="B29" s="8" t="s">
        <v>3088</v>
      </c>
      <c r="C29" s="56" t="s">
        <v>953</v>
      </c>
      <c r="D29" s="53" t="s">
        <v>3089</v>
      </c>
      <c r="E29" s="6" t="s">
        <v>534</v>
      </c>
      <c r="F29" s="19">
        <v>20</v>
      </c>
      <c r="G29" s="24">
        <v>219.26</v>
      </c>
      <c r="H29" s="24">
        <v>3.57</v>
      </c>
      <c r="I29" s="31">
        <v>5.8402000000000003</v>
      </c>
      <c r="J29" s="35" t="s">
        <v>514</v>
      </c>
    </row>
    <row r="30" spans="2:10" x14ac:dyDescent="0.25">
      <c r="B30" s="8" t="s">
        <v>1744</v>
      </c>
      <c r="C30" s="56" t="s">
        <v>77</v>
      </c>
      <c r="D30" s="53" t="s">
        <v>1745</v>
      </c>
      <c r="E30" s="6" t="s">
        <v>534</v>
      </c>
      <c r="F30" s="19">
        <v>20</v>
      </c>
      <c r="G30" s="24">
        <v>210.24</v>
      </c>
      <c r="H30" s="24">
        <v>3.43</v>
      </c>
      <c r="I30" s="31">
        <v>4.6749999999999998</v>
      </c>
      <c r="J30" s="35" t="s">
        <v>514</v>
      </c>
    </row>
    <row r="31" spans="2:10" x14ac:dyDescent="0.25">
      <c r="C31" s="57" t="s">
        <v>35</v>
      </c>
      <c r="D31" s="53"/>
      <c r="E31" s="6"/>
      <c r="F31" s="19"/>
      <c r="G31" s="25">
        <v>5790.23</v>
      </c>
      <c r="H31" s="25">
        <v>94.38</v>
      </c>
      <c r="I31" s="31"/>
      <c r="J31" s="35"/>
    </row>
    <row r="32" spans="2:10" x14ac:dyDescent="0.25">
      <c r="C32" s="56"/>
      <c r="D32" s="53"/>
      <c r="E32" s="6"/>
      <c r="F32" s="19"/>
      <c r="G32" s="24"/>
      <c r="H32" s="24"/>
      <c r="I32" s="31"/>
      <c r="J32" s="35"/>
    </row>
    <row r="33" spans="3:10" x14ac:dyDescent="0.25">
      <c r="C33" s="57" t="s">
        <v>7</v>
      </c>
      <c r="D33" s="53"/>
      <c r="E33" s="6"/>
      <c r="F33" s="19"/>
      <c r="G33" s="24" t="s">
        <v>2</v>
      </c>
      <c r="H33" s="24" t="s">
        <v>2</v>
      </c>
      <c r="I33" s="31"/>
      <c r="J33" s="35"/>
    </row>
    <row r="34" spans="3:10" x14ac:dyDescent="0.25">
      <c r="C34" s="56"/>
      <c r="D34" s="53"/>
      <c r="E34" s="6"/>
      <c r="F34" s="19"/>
      <c r="G34" s="24"/>
      <c r="H34" s="24"/>
      <c r="I34" s="31"/>
      <c r="J34" s="35"/>
    </row>
    <row r="35" spans="3:10" x14ac:dyDescent="0.25">
      <c r="C35" s="57" t="s">
        <v>8</v>
      </c>
      <c r="D35" s="53"/>
      <c r="E35" s="6"/>
      <c r="F35" s="19"/>
      <c r="G35" s="24" t="s">
        <v>2</v>
      </c>
      <c r="H35" s="24" t="s">
        <v>2</v>
      </c>
      <c r="I35" s="31"/>
      <c r="J35" s="35"/>
    </row>
    <row r="36" spans="3:10" x14ac:dyDescent="0.25">
      <c r="C36" s="56"/>
      <c r="D36" s="53"/>
      <c r="E36" s="6"/>
      <c r="F36" s="19"/>
      <c r="G36" s="24"/>
      <c r="H36" s="24"/>
      <c r="I36" s="31"/>
      <c r="J36" s="35"/>
    </row>
    <row r="37" spans="3:10" x14ac:dyDescent="0.25">
      <c r="C37" s="57" t="s">
        <v>9</v>
      </c>
      <c r="D37" s="53"/>
      <c r="E37" s="6"/>
      <c r="F37" s="19"/>
      <c r="G37" s="24" t="s">
        <v>2</v>
      </c>
      <c r="H37" s="24" t="s">
        <v>2</v>
      </c>
      <c r="I37" s="31"/>
      <c r="J37" s="35"/>
    </row>
    <row r="38" spans="3:10" x14ac:dyDescent="0.25">
      <c r="C38" s="56"/>
      <c r="D38" s="53"/>
      <c r="E38" s="6"/>
      <c r="F38" s="19"/>
      <c r="G38" s="24"/>
      <c r="H38" s="24"/>
      <c r="I38" s="31"/>
      <c r="J38" s="35"/>
    </row>
    <row r="39" spans="3:10" x14ac:dyDescent="0.25">
      <c r="C39" s="57" t="s">
        <v>10</v>
      </c>
      <c r="D39" s="53"/>
      <c r="E39" s="6"/>
      <c r="F39" s="19"/>
      <c r="G39" s="24" t="s">
        <v>2</v>
      </c>
      <c r="H39" s="24" t="s">
        <v>2</v>
      </c>
      <c r="I39" s="31"/>
      <c r="J39" s="35"/>
    </row>
    <row r="40" spans="3:10" x14ac:dyDescent="0.25">
      <c r="C40" s="56"/>
      <c r="D40" s="53"/>
      <c r="E40" s="6"/>
      <c r="F40" s="19"/>
      <c r="G40" s="24"/>
      <c r="H40" s="24"/>
      <c r="I40" s="31"/>
      <c r="J40" s="35"/>
    </row>
    <row r="41" spans="3:10" x14ac:dyDescent="0.25">
      <c r="C41" s="57" t="s">
        <v>11</v>
      </c>
      <c r="D41" s="53"/>
      <c r="E41" s="6"/>
      <c r="F41" s="19"/>
      <c r="G41" s="24"/>
      <c r="H41" s="24"/>
      <c r="I41" s="31"/>
      <c r="J41" s="35"/>
    </row>
    <row r="42" spans="3:10" x14ac:dyDescent="0.25">
      <c r="C42" s="56"/>
      <c r="D42" s="53"/>
      <c r="E42" s="6"/>
      <c r="F42" s="19"/>
      <c r="G42" s="24"/>
      <c r="H42" s="24"/>
      <c r="I42" s="31"/>
      <c r="J42" s="35"/>
    </row>
    <row r="43" spans="3:10" x14ac:dyDescent="0.25">
      <c r="C43" s="57" t="s">
        <v>13</v>
      </c>
      <c r="D43" s="53"/>
      <c r="E43" s="6"/>
      <c r="F43" s="19"/>
      <c r="G43" s="24" t="s">
        <v>2</v>
      </c>
      <c r="H43" s="24" t="s">
        <v>2</v>
      </c>
      <c r="I43" s="31"/>
      <c r="J43" s="35"/>
    </row>
    <row r="44" spans="3:10" x14ac:dyDescent="0.25">
      <c r="C44" s="56"/>
      <c r="D44" s="53"/>
      <c r="E44" s="6"/>
      <c r="F44" s="19"/>
      <c r="G44" s="24"/>
      <c r="H44" s="24"/>
      <c r="I44" s="31"/>
      <c r="J44" s="35"/>
    </row>
    <row r="45" spans="3:10" x14ac:dyDescent="0.25">
      <c r="C45" s="57" t="s">
        <v>14</v>
      </c>
      <c r="D45" s="53"/>
      <c r="E45" s="6"/>
      <c r="F45" s="19"/>
      <c r="G45" s="24" t="s">
        <v>2</v>
      </c>
      <c r="H45" s="24" t="s">
        <v>2</v>
      </c>
      <c r="I45" s="31"/>
      <c r="J45" s="35"/>
    </row>
    <row r="46" spans="3:10" x14ac:dyDescent="0.25">
      <c r="C46" s="56"/>
      <c r="D46" s="53"/>
      <c r="E46" s="6"/>
      <c r="F46" s="19"/>
      <c r="G46" s="24"/>
      <c r="H46" s="24"/>
      <c r="I46" s="31"/>
      <c r="J46" s="35"/>
    </row>
    <row r="47" spans="3:10" x14ac:dyDescent="0.25">
      <c r="C47" s="57" t="s">
        <v>15</v>
      </c>
      <c r="D47" s="53"/>
      <c r="E47" s="6"/>
      <c r="F47" s="19"/>
      <c r="G47" s="24" t="s">
        <v>2</v>
      </c>
      <c r="H47" s="24" t="s">
        <v>2</v>
      </c>
      <c r="I47" s="31"/>
      <c r="J47" s="35"/>
    </row>
    <row r="48" spans="3:10" x14ac:dyDescent="0.25">
      <c r="C48" s="56"/>
      <c r="D48" s="53"/>
      <c r="E48" s="6"/>
      <c r="F48" s="19"/>
      <c r="G48" s="24"/>
      <c r="H48" s="24"/>
      <c r="I48" s="31"/>
      <c r="J48" s="35"/>
    </row>
    <row r="49" spans="1:10" x14ac:dyDescent="0.25">
      <c r="C49" s="57" t="s">
        <v>16</v>
      </c>
      <c r="D49" s="53"/>
      <c r="E49" s="6"/>
      <c r="F49" s="19"/>
      <c r="G49" s="24" t="s">
        <v>2</v>
      </c>
      <c r="H49" s="24" t="s">
        <v>2</v>
      </c>
      <c r="I49" s="31"/>
      <c r="J49" s="35"/>
    </row>
    <row r="50" spans="1:10" x14ac:dyDescent="0.25">
      <c r="C50" s="56"/>
      <c r="D50" s="53"/>
      <c r="E50" s="6"/>
      <c r="F50" s="19"/>
      <c r="G50" s="24"/>
      <c r="H50" s="24"/>
      <c r="I50" s="31"/>
      <c r="J50" s="35"/>
    </row>
    <row r="51" spans="1:10" x14ac:dyDescent="0.25">
      <c r="A51" s="10"/>
      <c r="B51" s="28"/>
      <c r="C51" s="58" t="s">
        <v>17</v>
      </c>
      <c r="D51" s="53"/>
      <c r="E51" s="6"/>
      <c r="F51" s="19"/>
      <c r="G51" s="24"/>
      <c r="H51" s="24"/>
      <c r="I51" s="31"/>
      <c r="J51" s="35"/>
    </row>
    <row r="52" spans="1:10" x14ac:dyDescent="0.25">
      <c r="A52" s="28"/>
      <c r="B52" s="28"/>
      <c r="C52" s="58" t="s">
        <v>18</v>
      </c>
      <c r="D52" s="53"/>
      <c r="E52" s="6"/>
      <c r="F52" s="19"/>
      <c r="G52" s="24" t="s">
        <v>2</v>
      </c>
      <c r="H52" s="24" t="s">
        <v>2</v>
      </c>
      <c r="I52" s="31"/>
      <c r="J52" s="35"/>
    </row>
    <row r="53" spans="1:10" x14ac:dyDescent="0.25">
      <c r="A53" s="28"/>
      <c r="B53" s="28"/>
      <c r="C53" s="58"/>
      <c r="D53" s="53"/>
      <c r="E53" s="6"/>
      <c r="F53" s="19"/>
      <c r="G53" s="24"/>
      <c r="H53" s="24"/>
      <c r="I53" s="31"/>
      <c r="J53" s="35"/>
    </row>
    <row r="54" spans="1:10" x14ac:dyDescent="0.25">
      <c r="A54" s="28"/>
      <c r="B54" s="28"/>
      <c r="C54" s="58" t="s">
        <v>19</v>
      </c>
      <c r="D54" s="53"/>
      <c r="E54" s="6"/>
      <c r="F54" s="19"/>
      <c r="G54" s="24" t="s">
        <v>2</v>
      </c>
      <c r="H54" s="24" t="s">
        <v>2</v>
      </c>
      <c r="I54" s="31"/>
      <c r="J54" s="35"/>
    </row>
    <row r="55" spans="1:10" x14ac:dyDescent="0.25">
      <c r="A55" s="28"/>
      <c r="B55" s="28"/>
      <c r="C55" s="58"/>
      <c r="D55" s="53"/>
      <c r="E55" s="6"/>
      <c r="F55" s="19"/>
      <c r="G55" s="24"/>
      <c r="H55" s="24"/>
      <c r="I55" s="31"/>
      <c r="J55" s="35"/>
    </row>
    <row r="56" spans="1:10" x14ac:dyDescent="0.25">
      <c r="A56" s="28"/>
      <c r="B56" s="28"/>
      <c r="C56" s="58" t="s">
        <v>20</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21</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C60" s="59" t="s">
        <v>22</v>
      </c>
      <c r="D60" s="53"/>
      <c r="E60" s="6"/>
      <c r="F60" s="19"/>
      <c r="G60" s="24"/>
      <c r="H60" s="24"/>
      <c r="I60" s="31"/>
      <c r="J60" s="35"/>
    </row>
    <row r="61" spans="1:10" x14ac:dyDescent="0.25">
      <c r="B61" s="8" t="s">
        <v>33</v>
      </c>
      <c r="C61" s="56" t="s">
        <v>34</v>
      </c>
      <c r="D61" s="53"/>
      <c r="E61" s="6"/>
      <c r="F61" s="19"/>
      <c r="G61" s="24">
        <v>95.91</v>
      </c>
      <c r="H61" s="24">
        <v>1.56</v>
      </c>
      <c r="I61" s="31"/>
      <c r="J61" s="35"/>
    </row>
    <row r="62" spans="1:10" x14ac:dyDescent="0.25">
      <c r="C62" s="57" t="s">
        <v>35</v>
      </c>
      <c r="D62" s="53"/>
      <c r="E62" s="6"/>
      <c r="F62" s="19"/>
      <c r="G62" s="25">
        <v>95.91</v>
      </c>
      <c r="H62" s="25">
        <v>1.56</v>
      </c>
      <c r="I62" s="31"/>
      <c r="J62" s="35"/>
    </row>
    <row r="63" spans="1:10" x14ac:dyDescent="0.25">
      <c r="C63" s="56"/>
      <c r="D63" s="53"/>
      <c r="E63" s="6"/>
      <c r="F63" s="19"/>
      <c r="G63" s="24"/>
      <c r="H63" s="24"/>
      <c r="I63" s="31"/>
      <c r="J63" s="35"/>
    </row>
    <row r="64" spans="1:10" x14ac:dyDescent="0.25">
      <c r="A64" s="10"/>
      <c r="B64" s="28"/>
      <c r="C64" s="58" t="s">
        <v>23</v>
      </c>
      <c r="D64" s="53"/>
      <c r="E64" s="6"/>
      <c r="F64" s="19"/>
      <c r="G64" s="24"/>
      <c r="H64" s="24"/>
      <c r="I64" s="31"/>
      <c r="J64" s="35"/>
    </row>
    <row r="65" spans="1:10" x14ac:dyDescent="0.25">
      <c r="A65" s="28"/>
      <c r="B65" s="28"/>
      <c r="C65" s="60" t="s">
        <v>3398</v>
      </c>
      <c r="D65" s="53"/>
      <c r="E65" s="6"/>
      <c r="F65" s="19"/>
      <c r="G65" s="24" t="s">
        <v>2</v>
      </c>
      <c r="H65" s="24" t="s">
        <v>2</v>
      </c>
      <c r="I65" s="31"/>
      <c r="J65" s="35"/>
    </row>
    <row r="66" spans="1:10" x14ac:dyDescent="0.25">
      <c r="B66" s="8"/>
      <c r="C66" s="56" t="s">
        <v>36</v>
      </c>
      <c r="D66" s="53"/>
      <c r="E66" s="6"/>
      <c r="F66" s="19"/>
      <c r="G66" s="24">
        <v>248.06</v>
      </c>
      <c r="H66" s="24">
        <v>4.0599999999999996</v>
      </c>
      <c r="I66" s="31"/>
      <c r="J66" s="35"/>
    </row>
    <row r="67" spans="1:10" x14ac:dyDescent="0.25">
      <c r="C67" s="57" t="s">
        <v>35</v>
      </c>
      <c r="D67" s="53"/>
      <c r="E67" s="6"/>
      <c r="F67" s="19"/>
      <c r="G67" s="25">
        <v>248.06</v>
      </c>
      <c r="H67" s="25">
        <v>4.0599999999999996</v>
      </c>
      <c r="I67" s="31"/>
      <c r="J67" s="35"/>
    </row>
    <row r="68" spans="1:10" x14ac:dyDescent="0.25">
      <c r="C68" s="56"/>
      <c r="D68" s="53"/>
      <c r="E68" s="6"/>
      <c r="F68" s="19"/>
      <c r="G68" s="24"/>
      <c r="H68" s="24"/>
      <c r="I68" s="31"/>
      <c r="J68" s="35"/>
    </row>
    <row r="69" spans="1:10" x14ac:dyDescent="0.25">
      <c r="C69" s="61" t="s">
        <v>37</v>
      </c>
      <c r="D69" s="54"/>
      <c r="E69" s="5"/>
      <c r="F69" s="20"/>
      <c r="G69" s="26">
        <v>6134.2</v>
      </c>
      <c r="H69" s="26">
        <f>SUMIFS(H:H,C:C,"Total")</f>
        <v>100</v>
      </c>
      <c r="I69" s="32"/>
      <c r="J69" s="36"/>
    </row>
    <row r="72" spans="1:10" x14ac:dyDescent="0.25">
      <c r="C72" s="1" t="s">
        <v>38</v>
      </c>
    </row>
    <row r="73" spans="1:10" x14ac:dyDescent="0.25">
      <c r="C73" s="2" t="s">
        <v>39</v>
      </c>
    </row>
    <row r="74" spans="1:10" x14ac:dyDescent="0.25">
      <c r="C74" s="2" t="s">
        <v>40</v>
      </c>
    </row>
    <row r="75" spans="1:10" x14ac:dyDescent="0.25">
      <c r="C75" s="2" t="s">
        <v>3430</v>
      </c>
    </row>
  </sheetData>
  <hyperlinks>
    <hyperlink ref="J2" location="'Index'!A1" display="'Index'!A1"/>
  </hyperlinks>
  <pageMargins left="0.7" right="0.7" top="0.75" bottom="0.75" header="0.3" footer="0.3"/>
  <pageSetup orientation="portrait" horizontalDpi="4294967293"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7"/>
  <dimension ref="A1:J7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2240</v>
      </c>
      <c r="J2" s="37" t="s">
        <v>3307</v>
      </c>
    </row>
    <row r="3" spans="1:10" ht="16.5" x14ac:dyDescent="0.3">
      <c r="C3" s="1" t="s">
        <v>24</v>
      </c>
      <c r="D3" s="21" t="s">
        <v>3104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1949</v>
      </c>
      <c r="C18" s="56" t="s">
        <v>1950</v>
      </c>
      <c r="D18" s="53" t="s">
        <v>1951</v>
      </c>
      <c r="E18" s="6" t="s">
        <v>534</v>
      </c>
      <c r="F18" s="19">
        <v>20</v>
      </c>
      <c r="G18" s="24">
        <v>220.24</v>
      </c>
      <c r="H18" s="24">
        <v>8.51</v>
      </c>
      <c r="I18" s="31">
        <v>5.8654000000000002</v>
      </c>
      <c r="J18" s="35" t="s">
        <v>514</v>
      </c>
    </row>
    <row r="19" spans="2:10" x14ac:dyDescent="0.25">
      <c r="B19" s="8" t="s">
        <v>3096</v>
      </c>
      <c r="C19" s="56" t="s">
        <v>1127</v>
      </c>
      <c r="D19" s="53" t="s">
        <v>3097</v>
      </c>
      <c r="E19" s="6" t="s">
        <v>534</v>
      </c>
      <c r="F19" s="19">
        <v>20</v>
      </c>
      <c r="G19" s="24">
        <v>209.12</v>
      </c>
      <c r="H19" s="24">
        <v>8.08</v>
      </c>
      <c r="I19" s="31">
        <v>5.2816999999999998</v>
      </c>
      <c r="J19" s="35" t="s">
        <v>514</v>
      </c>
    </row>
    <row r="20" spans="2:10" x14ac:dyDescent="0.25">
      <c r="B20" s="8" t="s">
        <v>2988</v>
      </c>
      <c r="C20" s="56" t="s">
        <v>53</v>
      </c>
      <c r="D20" s="53" t="s">
        <v>2989</v>
      </c>
      <c r="E20" s="6" t="s">
        <v>534</v>
      </c>
      <c r="F20" s="19">
        <v>20</v>
      </c>
      <c r="G20" s="24">
        <v>208.92</v>
      </c>
      <c r="H20" s="24">
        <v>8.07</v>
      </c>
      <c r="I20" s="31">
        <v>4.88</v>
      </c>
      <c r="J20" s="35"/>
    </row>
    <row r="21" spans="2:10" x14ac:dyDescent="0.25">
      <c r="B21" s="8" t="s">
        <v>1860</v>
      </c>
      <c r="C21" s="56" t="s">
        <v>601</v>
      </c>
      <c r="D21" s="53" t="s">
        <v>1861</v>
      </c>
      <c r="E21" s="6" t="s">
        <v>534</v>
      </c>
      <c r="F21" s="19">
        <v>20</v>
      </c>
      <c r="G21" s="24">
        <v>208.81</v>
      </c>
      <c r="H21" s="24">
        <v>8.07</v>
      </c>
      <c r="I21" s="31">
        <v>5.0199999999999996</v>
      </c>
      <c r="J21" s="35"/>
    </row>
    <row r="22" spans="2:10" x14ac:dyDescent="0.25">
      <c r="B22" s="8" t="s">
        <v>3098</v>
      </c>
      <c r="C22" s="56" t="s">
        <v>2421</v>
      </c>
      <c r="D22" s="53" t="s">
        <v>3099</v>
      </c>
      <c r="E22" s="6" t="s">
        <v>534</v>
      </c>
      <c r="F22" s="19">
        <v>20</v>
      </c>
      <c r="G22" s="24">
        <v>208.58</v>
      </c>
      <c r="H22" s="24">
        <v>8.06</v>
      </c>
      <c r="I22" s="31">
        <v>5.31</v>
      </c>
      <c r="J22" s="35" t="s">
        <v>514</v>
      </c>
    </row>
    <row r="23" spans="2:10" x14ac:dyDescent="0.25">
      <c r="B23" s="8" t="s">
        <v>2841</v>
      </c>
      <c r="C23" s="56" t="s">
        <v>1130</v>
      </c>
      <c r="D23" s="53" t="s">
        <v>2842</v>
      </c>
      <c r="E23" s="6" t="s">
        <v>911</v>
      </c>
      <c r="F23" s="19">
        <v>20</v>
      </c>
      <c r="G23" s="24">
        <v>208.25</v>
      </c>
      <c r="H23" s="24">
        <v>8.0500000000000007</v>
      </c>
      <c r="I23" s="31">
        <v>4.88</v>
      </c>
      <c r="J23" s="35" t="s">
        <v>514</v>
      </c>
    </row>
    <row r="24" spans="2:10" x14ac:dyDescent="0.25">
      <c r="B24" s="8" t="s">
        <v>1774</v>
      </c>
      <c r="C24" s="56" t="s">
        <v>1376</v>
      </c>
      <c r="D24" s="53" t="s">
        <v>1775</v>
      </c>
      <c r="E24" s="6" t="s">
        <v>534</v>
      </c>
      <c r="F24" s="19">
        <v>20</v>
      </c>
      <c r="G24" s="24">
        <v>208.03</v>
      </c>
      <c r="H24" s="24">
        <v>8.0399999999999991</v>
      </c>
      <c r="I24" s="31">
        <v>5.0999999999999996</v>
      </c>
      <c r="J24" s="35"/>
    </row>
    <row r="25" spans="2:10" x14ac:dyDescent="0.25">
      <c r="B25" s="8" t="s">
        <v>1748</v>
      </c>
      <c r="C25" s="56" t="s">
        <v>1749</v>
      </c>
      <c r="D25" s="53" t="s">
        <v>1750</v>
      </c>
      <c r="E25" s="6" t="s">
        <v>911</v>
      </c>
      <c r="F25" s="19">
        <v>20</v>
      </c>
      <c r="G25" s="24">
        <v>207.84</v>
      </c>
      <c r="H25" s="24">
        <v>8.0299999999999994</v>
      </c>
      <c r="I25" s="31">
        <v>5.1607000000000003</v>
      </c>
      <c r="J25" s="35" t="s">
        <v>514</v>
      </c>
    </row>
    <row r="26" spans="2:10" x14ac:dyDescent="0.25">
      <c r="B26" s="8" t="s">
        <v>2174</v>
      </c>
      <c r="C26" s="56" t="s">
        <v>909</v>
      </c>
      <c r="D26" s="53" t="s">
        <v>2175</v>
      </c>
      <c r="E26" s="6" t="s">
        <v>534</v>
      </c>
      <c r="F26" s="19">
        <v>20</v>
      </c>
      <c r="G26" s="24">
        <v>207.63</v>
      </c>
      <c r="H26" s="24">
        <v>8.02</v>
      </c>
      <c r="I26" s="31">
        <v>4.75</v>
      </c>
      <c r="J26" s="35" t="s">
        <v>514</v>
      </c>
    </row>
    <row r="27" spans="2:10" x14ac:dyDescent="0.25">
      <c r="B27" s="8" t="s">
        <v>2762</v>
      </c>
      <c r="C27" s="56" t="s">
        <v>1848</v>
      </c>
      <c r="D27" s="53" t="s">
        <v>2763</v>
      </c>
      <c r="E27" s="6" t="s">
        <v>551</v>
      </c>
      <c r="F27" s="19">
        <v>20</v>
      </c>
      <c r="G27" s="24">
        <v>206.92</v>
      </c>
      <c r="H27" s="24">
        <v>7.99</v>
      </c>
      <c r="I27" s="31">
        <v>5</v>
      </c>
      <c r="J27" s="35" t="s">
        <v>514</v>
      </c>
    </row>
    <row r="28" spans="2:10" x14ac:dyDescent="0.25">
      <c r="B28" s="8" t="s">
        <v>1744</v>
      </c>
      <c r="C28" s="56" t="s">
        <v>77</v>
      </c>
      <c r="D28" s="53" t="s">
        <v>1745</v>
      </c>
      <c r="E28" s="6" t="s">
        <v>534</v>
      </c>
      <c r="F28" s="19">
        <v>15</v>
      </c>
      <c r="G28" s="24">
        <v>157.68</v>
      </c>
      <c r="H28" s="24">
        <v>6.09</v>
      </c>
      <c r="I28" s="31">
        <v>4.6749999999999998</v>
      </c>
      <c r="J28" s="35" t="s">
        <v>514</v>
      </c>
    </row>
    <row r="29" spans="2:10" x14ac:dyDescent="0.25">
      <c r="B29" s="8" t="s">
        <v>3059</v>
      </c>
      <c r="C29" s="56" t="s">
        <v>1230</v>
      </c>
      <c r="D29" s="53" t="s">
        <v>3060</v>
      </c>
      <c r="E29" s="6" t="s">
        <v>534</v>
      </c>
      <c r="F29" s="19">
        <v>10</v>
      </c>
      <c r="G29" s="24">
        <v>108.03</v>
      </c>
      <c r="H29" s="24">
        <v>4.17</v>
      </c>
      <c r="I29" s="31">
        <v>4.6900000000000004</v>
      </c>
      <c r="J29" s="35" t="s">
        <v>514</v>
      </c>
    </row>
    <row r="30" spans="2:10" x14ac:dyDescent="0.25">
      <c r="C30" s="57" t="s">
        <v>35</v>
      </c>
      <c r="D30" s="53"/>
      <c r="E30" s="6"/>
      <c r="F30" s="19"/>
      <c r="G30" s="25">
        <v>2360.0500000000002</v>
      </c>
      <c r="H30" s="25">
        <v>91.18</v>
      </c>
      <c r="I30" s="31"/>
      <c r="J30" s="35"/>
    </row>
    <row r="31" spans="2:10" x14ac:dyDescent="0.25">
      <c r="C31" s="56"/>
      <c r="D31" s="53"/>
      <c r="E31" s="6"/>
      <c r="F31" s="19"/>
      <c r="G31" s="24"/>
      <c r="H31" s="24"/>
      <c r="I31" s="31"/>
      <c r="J31" s="35"/>
    </row>
    <row r="32" spans="2:10" x14ac:dyDescent="0.25">
      <c r="C32" s="57" t="s">
        <v>7</v>
      </c>
      <c r="D32" s="53"/>
      <c r="E32" s="6"/>
      <c r="F32" s="19"/>
      <c r="G32" s="24" t="s">
        <v>2</v>
      </c>
      <c r="H32" s="24" t="s">
        <v>2</v>
      </c>
      <c r="I32" s="31"/>
      <c r="J32" s="35"/>
    </row>
    <row r="33" spans="3:10" x14ac:dyDescent="0.25">
      <c r="C33" s="56"/>
      <c r="D33" s="53"/>
      <c r="E33" s="6"/>
      <c r="F33" s="19"/>
      <c r="G33" s="24"/>
      <c r="H33" s="24"/>
      <c r="I33" s="31"/>
      <c r="J33" s="35"/>
    </row>
    <row r="34" spans="3:10" x14ac:dyDescent="0.25">
      <c r="C34" s="57" t="s">
        <v>8</v>
      </c>
      <c r="D34" s="53"/>
      <c r="E34" s="6"/>
      <c r="F34" s="19"/>
      <c r="G34" s="24" t="s">
        <v>2</v>
      </c>
      <c r="H34" s="24" t="s">
        <v>2</v>
      </c>
      <c r="I34" s="31"/>
      <c r="J34" s="35"/>
    </row>
    <row r="35" spans="3:10" x14ac:dyDescent="0.25">
      <c r="C35" s="56"/>
      <c r="D35" s="53"/>
      <c r="E35" s="6"/>
      <c r="F35" s="19"/>
      <c r="G35" s="24"/>
      <c r="H35" s="24"/>
      <c r="I35" s="31"/>
      <c r="J35" s="35"/>
    </row>
    <row r="36" spans="3:10" x14ac:dyDescent="0.25">
      <c r="C36" s="57" t="s">
        <v>9</v>
      </c>
      <c r="D36" s="53"/>
      <c r="E36" s="6"/>
      <c r="F36" s="19"/>
      <c r="G36" s="24" t="s">
        <v>2</v>
      </c>
      <c r="H36" s="24" t="s">
        <v>2</v>
      </c>
      <c r="I36" s="31"/>
      <c r="J36" s="35"/>
    </row>
    <row r="37" spans="3:10" x14ac:dyDescent="0.25">
      <c r="C37" s="56"/>
      <c r="D37" s="53"/>
      <c r="E37" s="6"/>
      <c r="F37" s="19"/>
      <c r="G37" s="24"/>
      <c r="H37" s="24"/>
      <c r="I37" s="31"/>
      <c r="J37" s="35"/>
    </row>
    <row r="38" spans="3:10" x14ac:dyDescent="0.25">
      <c r="C38" s="57" t="s">
        <v>10</v>
      </c>
      <c r="D38" s="53"/>
      <c r="E38" s="6"/>
      <c r="F38" s="19"/>
      <c r="G38" s="24" t="s">
        <v>2</v>
      </c>
      <c r="H38" s="24" t="s">
        <v>2</v>
      </c>
      <c r="I38" s="31"/>
      <c r="J38" s="35"/>
    </row>
    <row r="39" spans="3:10" x14ac:dyDescent="0.25">
      <c r="C39" s="56"/>
      <c r="D39" s="53"/>
      <c r="E39" s="6"/>
      <c r="F39" s="19"/>
      <c r="G39" s="24"/>
      <c r="H39" s="24"/>
      <c r="I39" s="31"/>
      <c r="J39" s="35"/>
    </row>
    <row r="40" spans="3:10" x14ac:dyDescent="0.25">
      <c r="C40" s="57" t="s">
        <v>11</v>
      </c>
      <c r="D40" s="53"/>
      <c r="E40" s="6"/>
      <c r="F40" s="19"/>
      <c r="G40" s="24"/>
      <c r="H40" s="24"/>
      <c r="I40" s="31"/>
      <c r="J40" s="35"/>
    </row>
    <row r="41" spans="3:10" x14ac:dyDescent="0.25">
      <c r="C41" s="56"/>
      <c r="D41" s="53"/>
      <c r="E41" s="6"/>
      <c r="F41" s="19"/>
      <c r="G41" s="24"/>
      <c r="H41" s="24"/>
      <c r="I41" s="31"/>
      <c r="J41" s="35"/>
    </row>
    <row r="42" spans="3:10" x14ac:dyDescent="0.25">
      <c r="C42" s="57" t="s">
        <v>13</v>
      </c>
      <c r="D42" s="53"/>
      <c r="E42" s="6"/>
      <c r="F42" s="19"/>
      <c r="G42" s="24" t="s">
        <v>2</v>
      </c>
      <c r="H42" s="24" t="s">
        <v>2</v>
      </c>
      <c r="I42" s="31"/>
      <c r="J42" s="35"/>
    </row>
    <row r="43" spans="3:10" x14ac:dyDescent="0.25">
      <c r="C43" s="56"/>
      <c r="D43" s="53"/>
      <c r="E43" s="6"/>
      <c r="F43" s="19"/>
      <c r="G43" s="24"/>
      <c r="H43" s="24"/>
      <c r="I43" s="31"/>
      <c r="J43" s="35"/>
    </row>
    <row r="44" spans="3:10" x14ac:dyDescent="0.25">
      <c r="C44" s="57" t="s">
        <v>14</v>
      </c>
      <c r="D44" s="53"/>
      <c r="E44" s="6"/>
      <c r="F44" s="19"/>
      <c r="G44" s="24" t="s">
        <v>2</v>
      </c>
      <c r="H44" s="24" t="s">
        <v>2</v>
      </c>
      <c r="I44" s="31"/>
      <c r="J44" s="35"/>
    </row>
    <row r="45" spans="3:10" x14ac:dyDescent="0.25">
      <c r="C45" s="56"/>
      <c r="D45" s="53"/>
      <c r="E45" s="6"/>
      <c r="F45" s="19"/>
      <c r="G45" s="24"/>
      <c r="H45" s="24"/>
      <c r="I45" s="31"/>
      <c r="J45" s="35"/>
    </row>
    <row r="46" spans="3:10" x14ac:dyDescent="0.25">
      <c r="C46" s="57" t="s">
        <v>15</v>
      </c>
      <c r="D46" s="53"/>
      <c r="E46" s="6"/>
      <c r="F46" s="19"/>
      <c r="G46" s="24" t="s">
        <v>2</v>
      </c>
      <c r="H46" s="24" t="s">
        <v>2</v>
      </c>
      <c r="I46" s="31"/>
      <c r="J46" s="35"/>
    </row>
    <row r="47" spans="3:10" x14ac:dyDescent="0.25">
      <c r="C47" s="56"/>
      <c r="D47" s="53"/>
      <c r="E47" s="6"/>
      <c r="F47" s="19"/>
      <c r="G47" s="24"/>
      <c r="H47" s="24"/>
      <c r="I47" s="31"/>
      <c r="J47" s="35"/>
    </row>
    <row r="48" spans="3:10" x14ac:dyDescent="0.25">
      <c r="C48" s="57" t="s">
        <v>16</v>
      </c>
      <c r="D48" s="53"/>
      <c r="E48" s="6"/>
      <c r="F48" s="19"/>
      <c r="G48" s="24" t="s">
        <v>2</v>
      </c>
      <c r="H48" s="24" t="s">
        <v>2</v>
      </c>
      <c r="I48" s="31"/>
      <c r="J48" s="35"/>
    </row>
    <row r="49" spans="1:10" x14ac:dyDescent="0.25">
      <c r="C49" s="56"/>
      <c r="D49" s="53"/>
      <c r="E49" s="6"/>
      <c r="F49" s="19"/>
      <c r="G49" s="24"/>
      <c r="H49" s="24"/>
      <c r="I49" s="31"/>
      <c r="J49" s="35"/>
    </row>
    <row r="50" spans="1:10" x14ac:dyDescent="0.25">
      <c r="A50" s="10"/>
      <c r="B50" s="28"/>
      <c r="C50" s="58" t="s">
        <v>17</v>
      </c>
      <c r="D50" s="53"/>
      <c r="E50" s="6"/>
      <c r="F50" s="19"/>
      <c r="G50" s="24"/>
      <c r="H50" s="24"/>
      <c r="I50" s="31"/>
      <c r="J50" s="35"/>
    </row>
    <row r="51" spans="1:10" x14ac:dyDescent="0.25">
      <c r="A51" s="28"/>
      <c r="B51" s="28"/>
      <c r="C51" s="58" t="s">
        <v>18</v>
      </c>
      <c r="D51" s="53"/>
      <c r="E51" s="6"/>
      <c r="F51" s="19"/>
      <c r="G51" s="24" t="s">
        <v>2</v>
      </c>
      <c r="H51" s="24" t="s">
        <v>2</v>
      </c>
      <c r="I51" s="31"/>
      <c r="J51" s="35"/>
    </row>
    <row r="52" spans="1:10" x14ac:dyDescent="0.25">
      <c r="A52" s="28"/>
      <c r="B52" s="28"/>
      <c r="C52" s="58"/>
      <c r="D52" s="53"/>
      <c r="E52" s="6"/>
      <c r="F52" s="19"/>
      <c r="G52" s="24"/>
      <c r="H52" s="24"/>
      <c r="I52" s="31"/>
      <c r="J52" s="35"/>
    </row>
    <row r="53" spans="1:10" x14ac:dyDescent="0.25">
      <c r="A53" s="28"/>
      <c r="B53" s="28"/>
      <c r="C53" s="58" t="s">
        <v>19</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20</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21</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C59" s="59" t="s">
        <v>22</v>
      </c>
      <c r="D59" s="53"/>
      <c r="E59" s="6"/>
      <c r="F59" s="19"/>
      <c r="G59" s="24"/>
      <c r="H59" s="24"/>
      <c r="I59" s="31"/>
      <c r="J59" s="35"/>
    </row>
    <row r="60" spans="1:10" x14ac:dyDescent="0.25">
      <c r="B60" s="8" t="s">
        <v>33</v>
      </c>
      <c r="C60" s="56" t="s">
        <v>34</v>
      </c>
      <c r="D60" s="53"/>
      <c r="E60" s="6"/>
      <c r="F60" s="19"/>
      <c r="G60" s="24">
        <v>128.21</v>
      </c>
      <c r="H60" s="24">
        <v>4.95</v>
      </c>
      <c r="I60" s="31"/>
      <c r="J60" s="35"/>
    </row>
    <row r="61" spans="1:10" x14ac:dyDescent="0.25">
      <c r="C61" s="57" t="s">
        <v>35</v>
      </c>
      <c r="D61" s="53"/>
      <c r="E61" s="6"/>
      <c r="F61" s="19"/>
      <c r="G61" s="25">
        <v>128.21</v>
      </c>
      <c r="H61" s="25">
        <v>4.95</v>
      </c>
      <c r="I61" s="31"/>
      <c r="J61" s="35"/>
    </row>
    <row r="62" spans="1:10" x14ac:dyDescent="0.25">
      <c r="C62" s="56"/>
      <c r="D62" s="53"/>
      <c r="E62" s="6"/>
      <c r="F62" s="19"/>
      <c r="G62" s="24"/>
      <c r="H62" s="24"/>
      <c r="I62" s="31"/>
      <c r="J62" s="35"/>
    </row>
    <row r="63" spans="1:10" x14ac:dyDescent="0.25">
      <c r="A63" s="10"/>
      <c r="B63" s="28"/>
      <c r="C63" s="58" t="s">
        <v>23</v>
      </c>
      <c r="D63" s="53"/>
      <c r="E63" s="6"/>
      <c r="F63" s="19"/>
      <c r="G63" s="24"/>
      <c r="H63" s="24"/>
      <c r="I63" s="31"/>
      <c r="J63" s="35"/>
    </row>
    <row r="64" spans="1:10" x14ac:dyDescent="0.25">
      <c r="A64" s="28"/>
      <c r="B64" s="28"/>
      <c r="C64" s="60" t="s">
        <v>3398</v>
      </c>
      <c r="D64" s="53"/>
      <c r="E64" s="6"/>
      <c r="F64" s="19"/>
      <c r="G64" s="24" t="s">
        <v>2</v>
      </c>
      <c r="H64" s="24" t="s">
        <v>2</v>
      </c>
      <c r="I64" s="31"/>
      <c r="J64" s="35"/>
    </row>
    <row r="65" spans="2:10" x14ac:dyDescent="0.25">
      <c r="B65" s="8"/>
      <c r="C65" s="56" t="s">
        <v>36</v>
      </c>
      <c r="D65" s="53"/>
      <c r="E65" s="6"/>
      <c r="F65" s="19"/>
      <c r="G65" s="24">
        <v>100.21</v>
      </c>
      <c r="H65" s="24">
        <v>3.87</v>
      </c>
      <c r="I65" s="31"/>
      <c r="J65" s="35"/>
    </row>
    <row r="66" spans="2:10" x14ac:dyDescent="0.25">
      <c r="C66" s="57" t="s">
        <v>35</v>
      </c>
      <c r="D66" s="53"/>
      <c r="E66" s="6"/>
      <c r="F66" s="19"/>
      <c r="G66" s="25">
        <v>100.21</v>
      </c>
      <c r="H66" s="25">
        <v>3.87</v>
      </c>
      <c r="I66" s="31"/>
      <c r="J66" s="35"/>
    </row>
    <row r="67" spans="2:10" x14ac:dyDescent="0.25">
      <c r="C67" s="56"/>
      <c r="D67" s="53"/>
      <c r="E67" s="6"/>
      <c r="F67" s="19"/>
      <c r="G67" s="24"/>
      <c r="H67" s="24"/>
      <c r="I67" s="31"/>
      <c r="J67" s="35"/>
    </row>
    <row r="68" spans="2:10" x14ac:dyDescent="0.25">
      <c r="C68" s="61" t="s">
        <v>37</v>
      </c>
      <c r="D68" s="54"/>
      <c r="E68" s="5"/>
      <c r="F68" s="20"/>
      <c r="G68" s="26">
        <v>2588.4699999999998</v>
      </c>
      <c r="H68" s="26">
        <f>SUMIFS(H:H,C:C,"Total")</f>
        <v>100.00000000000001</v>
      </c>
      <c r="I68" s="32"/>
      <c r="J68" s="36"/>
    </row>
    <row r="71" spans="2:10" x14ac:dyDescent="0.25">
      <c r="C71" s="1" t="s">
        <v>38</v>
      </c>
    </row>
    <row r="72" spans="2:10" x14ac:dyDescent="0.25">
      <c r="C72" s="2" t="s">
        <v>39</v>
      </c>
    </row>
    <row r="73" spans="2:10" x14ac:dyDescent="0.25">
      <c r="C73" s="2" t="s">
        <v>40</v>
      </c>
    </row>
    <row r="74" spans="2:10" x14ac:dyDescent="0.25">
      <c r="C74" s="2" t="s">
        <v>3430</v>
      </c>
    </row>
  </sheetData>
  <hyperlinks>
    <hyperlink ref="J2" location="'Index'!A1" display="'Index'!A1"/>
  </hyperlinks>
  <pageMargins left="0.7" right="0.7" top="0.75" bottom="0.75" header="0.3" footer="0.3"/>
  <pageSetup orientation="portrait" horizontalDpi="4294967293"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8"/>
  <dimension ref="A1:J75"/>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3105</v>
      </c>
      <c r="J2" s="37" t="s">
        <v>3307</v>
      </c>
    </row>
    <row r="3" spans="1:10" ht="16.5" x14ac:dyDescent="0.3">
      <c r="C3" s="1" t="s">
        <v>24</v>
      </c>
      <c r="D3" s="21" t="s">
        <v>3106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1725</v>
      </c>
      <c r="C18" s="56" t="s">
        <v>806</v>
      </c>
      <c r="D18" s="53" t="s">
        <v>1726</v>
      </c>
      <c r="E18" s="6" t="s">
        <v>534</v>
      </c>
      <c r="F18" s="19">
        <v>50</v>
      </c>
      <c r="G18" s="24">
        <v>520.86</v>
      </c>
      <c r="H18" s="24">
        <v>8.6999999999999993</v>
      </c>
      <c r="I18" s="31">
        <v>4.75</v>
      </c>
      <c r="J18" s="35" t="s">
        <v>514</v>
      </c>
    </row>
    <row r="19" spans="2:10" x14ac:dyDescent="0.25">
      <c r="B19" s="8" t="s">
        <v>2841</v>
      </c>
      <c r="C19" s="56" t="s">
        <v>1130</v>
      </c>
      <c r="D19" s="53" t="s">
        <v>2842</v>
      </c>
      <c r="E19" s="6" t="s">
        <v>911</v>
      </c>
      <c r="F19" s="19">
        <v>50</v>
      </c>
      <c r="G19" s="24">
        <v>520.61</v>
      </c>
      <c r="H19" s="24">
        <v>8.6999999999999993</v>
      </c>
      <c r="I19" s="31">
        <v>4.88</v>
      </c>
      <c r="J19" s="35" t="s">
        <v>514</v>
      </c>
    </row>
    <row r="20" spans="2:10" x14ac:dyDescent="0.25">
      <c r="B20" s="8" t="s">
        <v>1774</v>
      </c>
      <c r="C20" s="56" t="s">
        <v>1376</v>
      </c>
      <c r="D20" s="53" t="s">
        <v>1775</v>
      </c>
      <c r="E20" s="6" t="s">
        <v>534</v>
      </c>
      <c r="F20" s="19">
        <v>50</v>
      </c>
      <c r="G20" s="24">
        <v>520.08000000000004</v>
      </c>
      <c r="H20" s="24">
        <v>8.69</v>
      </c>
      <c r="I20" s="31">
        <v>5.0999999999999996</v>
      </c>
      <c r="J20" s="35"/>
    </row>
    <row r="21" spans="2:10" x14ac:dyDescent="0.25">
      <c r="B21" s="8" t="s">
        <v>2174</v>
      </c>
      <c r="C21" s="56" t="s">
        <v>909</v>
      </c>
      <c r="D21" s="53" t="s">
        <v>2175</v>
      </c>
      <c r="E21" s="6" t="s">
        <v>534</v>
      </c>
      <c r="F21" s="19">
        <v>50</v>
      </c>
      <c r="G21" s="24">
        <v>519.09</v>
      </c>
      <c r="H21" s="24">
        <v>8.67</v>
      </c>
      <c r="I21" s="31">
        <v>4.75</v>
      </c>
      <c r="J21" s="35" t="s">
        <v>514</v>
      </c>
    </row>
    <row r="22" spans="2:10" x14ac:dyDescent="0.25">
      <c r="B22" s="8" t="s">
        <v>1744</v>
      </c>
      <c r="C22" s="56" t="s">
        <v>77</v>
      </c>
      <c r="D22" s="53" t="s">
        <v>1745</v>
      </c>
      <c r="E22" s="6" t="s">
        <v>534</v>
      </c>
      <c r="F22" s="19">
        <v>45</v>
      </c>
      <c r="G22" s="24">
        <v>473.03</v>
      </c>
      <c r="H22" s="24">
        <v>7.9</v>
      </c>
      <c r="I22" s="31">
        <v>4.6749999999999998</v>
      </c>
      <c r="J22" s="35" t="s">
        <v>514</v>
      </c>
    </row>
    <row r="23" spans="2:10" x14ac:dyDescent="0.25">
      <c r="B23" s="8" t="s">
        <v>1949</v>
      </c>
      <c r="C23" s="56" t="s">
        <v>1950</v>
      </c>
      <c r="D23" s="53" t="s">
        <v>1951</v>
      </c>
      <c r="E23" s="6" t="s">
        <v>534</v>
      </c>
      <c r="F23" s="19">
        <v>40</v>
      </c>
      <c r="G23" s="24">
        <v>440.48</v>
      </c>
      <c r="H23" s="24">
        <v>7.36</v>
      </c>
      <c r="I23" s="31">
        <v>5.8654000000000002</v>
      </c>
      <c r="J23" s="35" t="s">
        <v>514</v>
      </c>
    </row>
    <row r="24" spans="2:10" x14ac:dyDescent="0.25">
      <c r="B24" s="8" t="s">
        <v>3088</v>
      </c>
      <c r="C24" s="56" t="s">
        <v>953</v>
      </c>
      <c r="D24" s="53" t="s">
        <v>3089</v>
      </c>
      <c r="E24" s="6" t="s">
        <v>534</v>
      </c>
      <c r="F24" s="19">
        <v>40</v>
      </c>
      <c r="G24" s="24">
        <v>438.52</v>
      </c>
      <c r="H24" s="24">
        <v>7.33</v>
      </c>
      <c r="I24" s="31">
        <v>5.8402000000000003</v>
      </c>
      <c r="J24" s="35" t="s">
        <v>514</v>
      </c>
    </row>
    <row r="25" spans="2:10" x14ac:dyDescent="0.25">
      <c r="B25" s="8" t="s">
        <v>3059</v>
      </c>
      <c r="C25" s="56" t="s">
        <v>1230</v>
      </c>
      <c r="D25" s="53" t="s">
        <v>3060</v>
      </c>
      <c r="E25" s="6" t="s">
        <v>534</v>
      </c>
      <c r="F25" s="19">
        <v>40</v>
      </c>
      <c r="G25" s="24">
        <v>432.14</v>
      </c>
      <c r="H25" s="24">
        <v>7.22</v>
      </c>
      <c r="I25" s="31">
        <v>4.6900000000000004</v>
      </c>
      <c r="J25" s="35" t="s">
        <v>514</v>
      </c>
    </row>
    <row r="26" spans="2:10" x14ac:dyDescent="0.25">
      <c r="B26" s="8" t="s">
        <v>2988</v>
      </c>
      <c r="C26" s="56" t="s">
        <v>53</v>
      </c>
      <c r="D26" s="53" t="s">
        <v>2989</v>
      </c>
      <c r="E26" s="6" t="s">
        <v>534</v>
      </c>
      <c r="F26" s="19">
        <v>40</v>
      </c>
      <c r="G26" s="24">
        <v>417.84</v>
      </c>
      <c r="H26" s="24">
        <v>6.98</v>
      </c>
      <c r="I26" s="31">
        <v>4.88</v>
      </c>
      <c r="J26" s="35"/>
    </row>
    <row r="27" spans="2:10" x14ac:dyDescent="0.25">
      <c r="B27" s="8" t="s">
        <v>3098</v>
      </c>
      <c r="C27" s="56" t="s">
        <v>2421</v>
      </c>
      <c r="D27" s="53" t="s">
        <v>3099</v>
      </c>
      <c r="E27" s="6" t="s">
        <v>534</v>
      </c>
      <c r="F27" s="19">
        <v>40</v>
      </c>
      <c r="G27" s="24">
        <v>417.15</v>
      </c>
      <c r="H27" s="24">
        <v>6.97</v>
      </c>
      <c r="I27" s="31">
        <v>5.31</v>
      </c>
      <c r="J27" s="35" t="s">
        <v>514</v>
      </c>
    </row>
    <row r="28" spans="2:10" x14ac:dyDescent="0.25">
      <c r="B28" s="8" t="s">
        <v>3096</v>
      </c>
      <c r="C28" s="56" t="s">
        <v>1127</v>
      </c>
      <c r="D28" s="53" t="s">
        <v>3097</v>
      </c>
      <c r="E28" s="6" t="s">
        <v>534</v>
      </c>
      <c r="F28" s="19">
        <v>30</v>
      </c>
      <c r="G28" s="24">
        <v>313.67</v>
      </c>
      <c r="H28" s="24">
        <v>5.24</v>
      </c>
      <c r="I28" s="31">
        <v>5.2816999999999998</v>
      </c>
      <c r="J28" s="35" t="s">
        <v>514</v>
      </c>
    </row>
    <row r="29" spans="2:10" x14ac:dyDescent="0.25">
      <c r="B29" s="8" t="s">
        <v>1860</v>
      </c>
      <c r="C29" s="56" t="s">
        <v>601</v>
      </c>
      <c r="D29" s="53" t="s">
        <v>1861</v>
      </c>
      <c r="E29" s="6" t="s">
        <v>534</v>
      </c>
      <c r="F29" s="19">
        <v>30</v>
      </c>
      <c r="G29" s="24">
        <v>313.20999999999998</v>
      </c>
      <c r="H29" s="24">
        <v>5.23</v>
      </c>
      <c r="I29" s="31">
        <v>5.0199999999999996</v>
      </c>
      <c r="J29" s="35"/>
    </row>
    <row r="30" spans="2:10" x14ac:dyDescent="0.25">
      <c r="B30" s="8" t="s">
        <v>1748</v>
      </c>
      <c r="C30" s="56" t="s">
        <v>1749</v>
      </c>
      <c r="D30" s="53" t="s">
        <v>1750</v>
      </c>
      <c r="E30" s="6" t="s">
        <v>911</v>
      </c>
      <c r="F30" s="19">
        <v>30</v>
      </c>
      <c r="G30" s="24">
        <v>311.75</v>
      </c>
      <c r="H30" s="24">
        <v>5.21</v>
      </c>
      <c r="I30" s="31">
        <v>5.1607000000000003</v>
      </c>
      <c r="J30" s="35" t="s">
        <v>514</v>
      </c>
    </row>
    <row r="31" spans="2:10" x14ac:dyDescent="0.25">
      <c r="C31" s="57" t="s">
        <v>35</v>
      </c>
      <c r="D31" s="53"/>
      <c r="E31" s="6"/>
      <c r="F31" s="19"/>
      <c r="G31" s="25">
        <v>5638.43</v>
      </c>
      <c r="H31" s="25">
        <v>94.2</v>
      </c>
      <c r="I31" s="31"/>
      <c r="J31" s="35"/>
    </row>
    <row r="32" spans="2:10" x14ac:dyDescent="0.25">
      <c r="C32" s="56"/>
      <c r="D32" s="53"/>
      <c r="E32" s="6"/>
      <c r="F32" s="19"/>
      <c r="G32" s="24"/>
      <c r="H32" s="24"/>
      <c r="I32" s="31"/>
      <c r="J32" s="35"/>
    </row>
    <row r="33" spans="3:10" x14ac:dyDescent="0.25">
      <c r="C33" s="57" t="s">
        <v>7</v>
      </c>
      <c r="D33" s="53"/>
      <c r="E33" s="6"/>
      <c r="F33" s="19"/>
      <c r="G33" s="24" t="s">
        <v>2</v>
      </c>
      <c r="H33" s="24" t="s">
        <v>2</v>
      </c>
      <c r="I33" s="31"/>
      <c r="J33" s="35"/>
    </row>
    <row r="34" spans="3:10" x14ac:dyDescent="0.25">
      <c r="C34" s="56"/>
      <c r="D34" s="53"/>
      <c r="E34" s="6"/>
      <c r="F34" s="19"/>
      <c r="G34" s="24"/>
      <c r="H34" s="24"/>
      <c r="I34" s="31"/>
      <c r="J34" s="35"/>
    </row>
    <row r="35" spans="3:10" x14ac:dyDescent="0.25">
      <c r="C35" s="57" t="s">
        <v>8</v>
      </c>
      <c r="D35" s="53"/>
      <c r="E35" s="6"/>
      <c r="F35" s="19"/>
      <c r="G35" s="24" t="s">
        <v>2</v>
      </c>
      <c r="H35" s="24" t="s">
        <v>2</v>
      </c>
      <c r="I35" s="31"/>
      <c r="J35" s="35"/>
    </row>
    <row r="36" spans="3:10" x14ac:dyDescent="0.25">
      <c r="C36" s="56"/>
      <c r="D36" s="53"/>
      <c r="E36" s="6"/>
      <c r="F36" s="19"/>
      <c r="G36" s="24"/>
      <c r="H36" s="24"/>
      <c r="I36" s="31"/>
      <c r="J36" s="35"/>
    </row>
    <row r="37" spans="3:10" x14ac:dyDescent="0.25">
      <c r="C37" s="57" t="s">
        <v>9</v>
      </c>
      <c r="D37" s="53"/>
      <c r="E37" s="6"/>
      <c r="F37" s="19"/>
      <c r="G37" s="24" t="s">
        <v>2</v>
      </c>
      <c r="H37" s="24" t="s">
        <v>2</v>
      </c>
      <c r="I37" s="31"/>
      <c r="J37" s="35"/>
    </row>
    <row r="38" spans="3:10" x14ac:dyDescent="0.25">
      <c r="C38" s="56"/>
      <c r="D38" s="53"/>
      <c r="E38" s="6"/>
      <c r="F38" s="19"/>
      <c r="G38" s="24"/>
      <c r="H38" s="24"/>
      <c r="I38" s="31"/>
      <c r="J38" s="35"/>
    </row>
    <row r="39" spans="3:10" x14ac:dyDescent="0.25">
      <c r="C39" s="57" t="s">
        <v>10</v>
      </c>
      <c r="D39" s="53"/>
      <c r="E39" s="6"/>
      <c r="F39" s="19"/>
      <c r="G39" s="24" t="s">
        <v>2</v>
      </c>
      <c r="H39" s="24" t="s">
        <v>2</v>
      </c>
      <c r="I39" s="31"/>
      <c r="J39" s="35"/>
    </row>
    <row r="40" spans="3:10" x14ac:dyDescent="0.25">
      <c r="C40" s="56"/>
      <c r="D40" s="53"/>
      <c r="E40" s="6"/>
      <c r="F40" s="19"/>
      <c r="G40" s="24"/>
      <c r="H40" s="24"/>
      <c r="I40" s="31"/>
      <c r="J40" s="35"/>
    </row>
    <row r="41" spans="3:10" x14ac:dyDescent="0.25">
      <c r="C41" s="57" t="s">
        <v>11</v>
      </c>
      <c r="D41" s="53"/>
      <c r="E41" s="6"/>
      <c r="F41" s="19"/>
      <c r="G41" s="24"/>
      <c r="H41" s="24"/>
      <c r="I41" s="31"/>
      <c r="J41" s="35"/>
    </row>
    <row r="42" spans="3:10" x14ac:dyDescent="0.25">
      <c r="C42" s="56"/>
      <c r="D42" s="53"/>
      <c r="E42" s="6"/>
      <c r="F42" s="19"/>
      <c r="G42" s="24"/>
      <c r="H42" s="24"/>
      <c r="I42" s="31"/>
      <c r="J42" s="35"/>
    </row>
    <row r="43" spans="3:10" x14ac:dyDescent="0.25">
      <c r="C43" s="57" t="s">
        <v>13</v>
      </c>
      <c r="D43" s="53"/>
      <c r="E43" s="6"/>
      <c r="F43" s="19"/>
      <c r="G43" s="24" t="s">
        <v>2</v>
      </c>
      <c r="H43" s="24" t="s">
        <v>2</v>
      </c>
      <c r="I43" s="31"/>
      <c r="J43" s="35"/>
    </row>
    <row r="44" spans="3:10" x14ac:dyDescent="0.25">
      <c r="C44" s="56"/>
      <c r="D44" s="53"/>
      <c r="E44" s="6"/>
      <c r="F44" s="19"/>
      <c r="G44" s="24"/>
      <c r="H44" s="24"/>
      <c r="I44" s="31"/>
      <c r="J44" s="35"/>
    </row>
    <row r="45" spans="3:10" x14ac:dyDescent="0.25">
      <c r="C45" s="57" t="s">
        <v>14</v>
      </c>
      <c r="D45" s="53"/>
      <c r="E45" s="6"/>
      <c r="F45" s="19"/>
      <c r="G45" s="24" t="s">
        <v>2</v>
      </c>
      <c r="H45" s="24" t="s">
        <v>2</v>
      </c>
      <c r="I45" s="31"/>
      <c r="J45" s="35"/>
    </row>
    <row r="46" spans="3:10" x14ac:dyDescent="0.25">
      <c r="C46" s="56"/>
      <c r="D46" s="53"/>
      <c r="E46" s="6"/>
      <c r="F46" s="19"/>
      <c r="G46" s="24"/>
      <c r="H46" s="24"/>
      <c r="I46" s="31"/>
      <c r="J46" s="35"/>
    </row>
    <row r="47" spans="3:10" x14ac:dyDescent="0.25">
      <c r="C47" s="57" t="s">
        <v>15</v>
      </c>
      <c r="D47" s="53"/>
      <c r="E47" s="6"/>
      <c r="F47" s="19"/>
      <c r="G47" s="24" t="s">
        <v>2</v>
      </c>
      <c r="H47" s="24" t="s">
        <v>2</v>
      </c>
      <c r="I47" s="31"/>
      <c r="J47" s="35"/>
    </row>
    <row r="48" spans="3:10" x14ac:dyDescent="0.25">
      <c r="C48" s="56"/>
      <c r="D48" s="53"/>
      <c r="E48" s="6"/>
      <c r="F48" s="19"/>
      <c r="G48" s="24"/>
      <c r="H48" s="24"/>
      <c r="I48" s="31"/>
      <c r="J48" s="35"/>
    </row>
    <row r="49" spans="1:10" x14ac:dyDescent="0.25">
      <c r="C49" s="57" t="s">
        <v>16</v>
      </c>
      <c r="D49" s="53"/>
      <c r="E49" s="6"/>
      <c r="F49" s="19"/>
      <c r="G49" s="24" t="s">
        <v>2</v>
      </c>
      <c r="H49" s="24" t="s">
        <v>2</v>
      </c>
      <c r="I49" s="31"/>
      <c r="J49" s="35"/>
    </row>
    <row r="50" spans="1:10" x14ac:dyDescent="0.25">
      <c r="C50" s="56"/>
      <c r="D50" s="53"/>
      <c r="E50" s="6"/>
      <c r="F50" s="19"/>
      <c r="G50" s="24"/>
      <c r="H50" s="24"/>
      <c r="I50" s="31"/>
      <c r="J50" s="35"/>
    </row>
    <row r="51" spans="1:10" x14ac:dyDescent="0.25">
      <c r="A51" s="10"/>
      <c r="B51" s="28"/>
      <c r="C51" s="58" t="s">
        <v>17</v>
      </c>
      <c r="D51" s="53"/>
      <c r="E51" s="6"/>
      <c r="F51" s="19"/>
      <c r="G51" s="24"/>
      <c r="H51" s="24"/>
      <c r="I51" s="31"/>
      <c r="J51" s="35"/>
    </row>
    <row r="52" spans="1:10" x14ac:dyDescent="0.25">
      <c r="A52" s="28"/>
      <c r="B52" s="28"/>
      <c r="C52" s="58" t="s">
        <v>18</v>
      </c>
      <c r="D52" s="53"/>
      <c r="E52" s="6"/>
      <c r="F52" s="19"/>
      <c r="G52" s="24" t="s">
        <v>2</v>
      </c>
      <c r="H52" s="24" t="s">
        <v>2</v>
      </c>
      <c r="I52" s="31"/>
      <c r="J52" s="35"/>
    </row>
    <row r="53" spans="1:10" x14ac:dyDescent="0.25">
      <c r="A53" s="28"/>
      <c r="B53" s="28"/>
      <c r="C53" s="58"/>
      <c r="D53" s="53"/>
      <c r="E53" s="6"/>
      <c r="F53" s="19"/>
      <c r="G53" s="24"/>
      <c r="H53" s="24"/>
      <c r="I53" s="31"/>
      <c r="J53" s="35"/>
    </row>
    <row r="54" spans="1:10" x14ac:dyDescent="0.25">
      <c r="A54" s="28"/>
      <c r="B54" s="28"/>
      <c r="C54" s="58" t="s">
        <v>19</v>
      </c>
      <c r="D54" s="53"/>
      <c r="E54" s="6"/>
      <c r="F54" s="19"/>
      <c r="G54" s="24" t="s">
        <v>2</v>
      </c>
      <c r="H54" s="24" t="s">
        <v>2</v>
      </c>
      <c r="I54" s="31"/>
      <c r="J54" s="35"/>
    </row>
    <row r="55" spans="1:10" x14ac:dyDescent="0.25">
      <c r="A55" s="28"/>
      <c r="B55" s="28"/>
      <c r="C55" s="58"/>
      <c r="D55" s="53"/>
      <c r="E55" s="6"/>
      <c r="F55" s="19"/>
      <c r="G55" s="24"/>
      <c r="H55" s="24"/>
      <c r="I55" s="31"/>
      <c r="J55" s="35"/>
    </row>
    <row r="56" spans="1:10" x14ac:dyDescent="0.25">
      <c r="A56" s="28"/>
      <c r="B56" s="28"/>
      <c r="C56" s="58" t="s">
        <v>20</v>
      </c>
      <c r="D56" s="53"/>
      <c r="E56" s="6"/>
      <c r="F56" s="19"/>
      <c r="G56" s="24" t="s">
        <v>2</v>
      </c>
      <c r="H56" s="24" t="s">
        <v>2</v>
      </c>
      <c r="I56" s="31"/>
      <c r="J56" s="35"/>
    </row>
    <row r="57" spans="1:10" x14ac:dyDescent="0.25">
      <c r="A57" s="28"/>
      <c r="B57" s="28"/>
      <c r="C57" s="58"/>
      <c r="D57" s="53"/>
      <c r="E57" s="6"/>
      <c r="F57" s="19"/>
      <c r="G57" s="24"/>
      <c r="H57" s="24"/>
      <c r="I57" s="31"/>
      <c r="J57" s="35"/>
    </row>
    <row r="58" spans="1:10" x14ac:dyDescent="0.25">
      <c r="A58" s="28"/>
      <c r="B58" s="28"/>
      <c r="C58" s="58" t="s">
        <v>21</v>
      </c>
      <c r="D58" s="53"/>
      <c r="E58" s="6"/>
      <c r="F58" s="19"/>
      <c r="G58" s="24" t="s">
        <v>2</v>
      </c>
      <c r="H58" s="24" t="s">
        <v>2</v>
      </c>
      <c r="I58" s="31"/>
      <c r="J58" s="35"/>
    </row>
    <row r="59" spans="1:10" x14ac:dyDescent="0.25">
      <c r="A59" s="28"/>
      <c r="B59" s="28"/>
      <c r="C59" s="58"/>
      <c r="D59" s="53"/>
      <c r="E59" s="6"/>
      <c r="F59" s="19"/>
      <c r="G59" s="24"/>
      <c r="H59" s="24"/>
      <c r="I59" s="31"/>
      <c r="J59" s="35"/>
    </row>
    <row r="60" spans="1:10" x14ac:dyDescent="0.25">
      <c r="C60" s="59" t="s">
        <v>22</v>
      </c>
      <c r="D60" s="53"/>
      <c r="E60" s="6"/>
      <c r="F60" s="19"/>
      <c r="G60" s="24"/>
      <c r="H60" s="24"/>
      <c r="I60" s="31"/>
      <c r="J60" s="35"/>
    </row>
    <row r="61" spans="1:10" x14ac:dyDescent="0.25">
      <c r="B61" s="8" t="s">
        <v>33</v>
      </c>
      <c r="C61" s="56" t="s">
        <v>34</v>
      </c>
      <c r="D61" s="53"/>
      <c r="E61" s="6"/>
      <c r="F61" s="19"/>
      <c r="G61" s="24">
        <v>123.22</v>
      </c>
      <c r="H61" s="24">
        <v>2.06</v>
      </c>
      <c r="I61" s="31"/>
      <c r="J61" s="35"/>
    </row>
    <row r="62" spans="1:10" x14ac:dyDescent="0.25">
      <c r="C62" s="57" t="s">
        <v>35</v>
      </c>
      <c r="D62" s="53"/>
      <c r="E62" s="6"/>
      <c r="F62" s="19"/>
      <c r="G62" s="25">
        <v>123.22</v>
      </c>
      <c r="H62" s="25">
        <v>2.06</v>
      </c>
      <c r="I62" s="31"/>
      <c r="J62" s="35"/>
    </row>
    <row r="63" spans="1:10" x14ac:dyDescent="0.25">
      <c r="C63" s="56"/>
      <c r="D63" s="53"/>
      <c r="E63" s="6"/>
      <c r="F63" s="19"/>
      <c r="G63" s="24"/>
      <c r="H63" s="24"/>
      <c r="I63" s="31"/>
      <c r="J63" s="35"/>
    </row>
    <row r="64" spans="1:10" x14ac:dyDescent="0.25">
      <c r="A64" s="10"/>
      <c r="B64" s="28"/>
      <c r="C64" s="58" t="s">
        <v>23</v>
      </c>
      <c r="D64" s="53"/>
      <c r="E64" s="6"/>
      <c r="F64" s="19"/>
      <c r="G64" s="24"/>
      <c r="H64" s="24"/>
      <c r="I64" s="31"/>
      <c r="J64" s="35"/>
    </row>
    <row r="65" spans="1:10" x14ac:dyDescent="0.25">
      <c r="A65" s="28"/>
      <c r="B65" s="28"/>
      <c r="C65" s="60" t="s">
        <v>3398</v>
      </c>
      <c r="D65" s="53"/>
      <c r="E65" s="6"/>
      <c r="F65" s="19"/>
      <c r="G65" s="24" t="s">
        <v>2</v>
      </c>
      <c r="H65" s="24" t="s">
        <v>2</v>
      </c>
      <c r="I65" s="31"/>
      <c r="J65" s="35"/>
    </row>
    <row r="66" spans="1:10" x14ac:dyDescent="0.25">
      <c r="B66" s="8"/>
      <c r="C66" s="56" t="s">
        <v>36</v>
      </c>
      <c r="D66" s="53"/>
      <c r="E66" s="6"/>
      <c r="F66" s="19"/>
      <c r="G66" s="24">
        <v>223.41</v>
      </c>
      <c r="H66" s="24">
        <v>3.7399999999999998</v>
      </c>
      <c r="I66" s="31"/>
      <c r="J66" s="35"/>
    </row>
    <row r="67" spans="1:10" x14ac:dyDescent="0.25">
      <c r="C67" s="57" t="s">
        <v>35</v>
      </c>
      <c r="D67" s="53"/>
      <c r="E67" s="6"/>
      <c r="F67" s="19"/>
      <c r="G67" s="25">
        <v>223.41</v>
      </c>
      <c r="H67" s="25">
        <v>3.7399999999999998</v>
      </c>
      <c r="I67" s="31"/>
      <c r="J67" s="35"/>
    </row>
    <row r="68" spans="1:10" x14ac:dyDescent="0.25">
      <c r="C68" s="56"/>
      <c r="D68" s="53"/>
      <c r="E68" s="6"/>
      <c r="F68" s="19"/>
      <c r="G68" s="24"/>
      <c r="H68" s="24"/>
      <c r="I68" s="31"/>
      <c r="J68" s="35"/>
    </row>
    <row r="69" spans="1:10" x14ac:dyDescent="0.25">
      <c r="C69" s="61" t="s">
        <v>37</v>
      </c>
      <c r="D69" s="54"/>
      <c r="E69" s="5"/>
      <c r="F69" s="20"/>
      <c r="G69" s="26">
        <v>5985.06</v>
      </c>
      <c r="H69" s="26">
        <f>SUMIFS(H:H,C:C,"Total")</f>
        <v>100</v>
      </c>
      <c r="I69" s="32"/>
      <c r="J69" s="36"/>
    </row>
    <row r="72" spans="1:10" x14ac:dyDescent="0.25">
      <c r="C72" s="1" t="s">
        <v>38</v>
      </c>
    </row>
    <row r="73" spans="1:10" x14ac:dyDescent="0.25">
      <c r="C73" s="2" t="s">
        <v>39</v>
      </c>
    </row>
    <row r="74" spans="1:10" x14ac:dyDescent="0.25">
      <c r="C74" s="2" t="s">
        <v>40</v>
      </c>
    </row>
    <row r="75" spans="1:10" x14ac:dyDescent="0.25">
      <c r="C75" s="2" t="s">
        <v>3430</v>
      </c>
    </row>
  </sheetData>
  <hyperlinks>
    <hyperlink ref="J2" location="'Index'!A1" display="'Index'!A1"/>
  </hyperlinks>
  <pageMargins left="0.7" right="0.7" top="0.75" bottom="0.75" header="0.3" footer="0.3"/>
  <pageSetup orientation="portrait" horizontalDpi="4294967293"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9"/>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3107</v>
      </c>
      <c r="J2" s="37" t="s">
        <v>3307</v>
      </c>
    </row>
    <row r="3" spans="1:10" ht="16.5" x14ac:dyDescent="0.3">
      <c r="C3" s="1" t="s">
        <v>24</v>
      </c>
      <c r="D3" s="21" t="s">
        <v>3108</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1707</v>
      </c>
      <c r="C18" s="56" t="s">
        <v>53</v>
      </c>
      <c r="D18" s="53" t="s">
        <v>1708</v>
      </c>
      <c r="E18" s="6" t="s">
        <v>534</v>
      </c>
      <c r="F18" s="19">
        <v>100</v>
      </c>
      <c r="G18" s="24">
        <v>1062.3599999999999</v>
      </c>
      <c r="H18" s="24">
        <v>8.0399999999999991</v>
      </c>
      <c r="I18" s="31">
        <v>5.2850000000000001</v>
      </c>
      <c r="J18" s="35" t="s">
        <v>514</v>
      </c>
    </row>
    <row r="19" spans="2:10" x14ac:dyDescent="0.25">
      <c r="B19" s="8" t="s">
        <v>3109</v>
      </c>
      <c r="C19" s="56" t="s">
        <v>1344</v>
      </c>
      <c r="D19" s="53" t="s">
        <v>3110</v>
      </c>
      <c r="E19" s="6" t="s">
        <v>534</v>
      </c>
      <c r="F19" s="19">
        <v>100</v>
      </c>
      <c r="G19" s="24">
        <v>1041.68</v>
      </c>
      <c r="H19" s="24">
        <v>7.89</v>
      </c>
      <c r="I19" s="31">
        <v>5.5749000000000004</v>
      </c>
      <c r="J19" s="35" t="s">
        <v>514</v>
      </c>
    </row>
    <row r="20" spans="2:10" x14ac:dyDescent="0.25">
      <c r="B20" s="8" t="s">
        <v>2857</v>
      </c>
      <c r="C20" s="56" t="s">
        <v>1127</v>
      </c>
      <c r="D20" s="53" t="s">
        <v>2858</v>
      </c>
      <c r="E20" s="6" t="s">
        <v>534</v>
      </c>
      <c r="F20" s="19">
        <v>100</v>
      </c>
      <c r="G20" s="24">
        <v>1040.6099999999999</v>
      </c>
      <c r="H20" s="24">
        <v>7.88</v>
      </c>
      <c r="I20" s="31">
        <v>5.5460000000000003</v>
      </c>
      <c r="J20" s="35" t="s">
        <v>514</v>
      </c>
    </row>
    <row r="21" spans="2:10" x14ac:dyDescent="0.25">
      <c r="B21" s="8" t="s">
        <v>2079</v>
      </c>
      <c r="C21" s="56" t="s">
        <v>1376</v>
      </c>
      <c r="D21" s="53" t="s">
        <v>2080</v>
      </c>
      <c r="E21" s="6" t="s">
        <v>534</v>
      </c>
      <c r="F21" s="19">
        <v>100</v>
      </c>
      <c r="G21" s="24">
        <v>1038.01</v>
      </c>
      <c r="H21" s="24">
        <v>7.86</v>
      </c>
      <c r="I21" s="31">
        <v>5.43</v>
      </c>
      <c r="J21" s="35" t="s">
        <v>514</v>
      </c>
    </row>
    <row r="22" spans="2:10" x14ac:dyDescent="0.25">
      <c r="B22" s="8" t="s">
        <v>2166</v>
      </c>
      <c r="C22" s="56" t="s">
        <v>1130</v>
      </c>
      <c r="D22" s="53" t="s">
        <v>2167</v>
      </c>
      <c r="E22" s="6" t="s">
        <v>911</v>
      </c>
      <c r="F22" s="19">
        <v>100</v>
      </c>
      <c r="G22" s="24">
        <v>1037.1199999999999</v>
      </c>
      <c r="H22" s="24">
        <v>7.85</v>
      </c>
      <c r="I22" s="31">
        <v>5.1849999999999996</v>
      </c>
      <c r="J22" s="35" t="s">
        <v>514</v>
      </c>
    </row>
    <row r="23" spans="2:10" x14ac:dyDescent="0.25">
      <c r="B23" s="8" t="s">
        <v>2084</v>
      </c>
      <c r="C23" s="56" t="s">
        <v>909</v>
      </c>
      <c r="D23" s="53" t="s">
        <v>2085</v>
      </c>
      <c r="E23" s="6" t="s">
        <v>911</v>
      </c>
      <c r="F23" s="19">
        <v>100</v>
      </c>
      <c r="G23" s="24">
        <v>1036.73</v>
      </c>
      <c r="H23" s="24">
        <v>7.85</v>
      </c>
      <c r="I23" s="31">
        <v>5.12</v>
      </c>
      <c r="J23" s="35" t="s">
        <v>514</v>
      </c>
    </row>
    <row r="24" spans="2:10" x14ac:dyDescent="0.25">
      <c r="B24" s="8" t="s">
        <v>2794</v>
      </c>
      <c r="C24" s="56" t="s">
        <v>601</v>
      </c>
      <c r="D24" s="53" t="s">
        <v>2795</v>
      </c>
      <c r="E24" s="6" t="s">
        <v>534</v>
      </c>
      <c r="F24" s="19">
        <v>100</v>
      </c>
      <c r="G24" s="24">
        <v>1035.5899999999999</v>
      </c>
      <c r="H24" s="24">
        <v>7.84</v>
      </c>
      <c r="I24" s="31">
        <v>5.4950000000000001</v>
      </c>
      <c r="J24" s="35" t="s">
        <v>514</v>
      </c>
    </row>
    <row r="25" spans="2:10" x14ac:dyDescent="0.25">
      <c r="B25" s="8" t="s">
        <v>3088</v>
      </c>
      <c r="C25" s="56" t="s">
        <v>953</v>
      </c>
      <c r="D25" s="53" t="s">
        <v>3089</v>
      </c>
      <c r="E25" s="6" t="s">
        <v>534</v>
      </c>
      <c r="F25" s="19">
        <v>70</v>
      </c>
      <c r="G25" s="24">
        <v>767.41</v>
      </c>
      <c r="H25" s="24">
        <v>5.81</v>
      </c>
      <c r="I25" s="31">
        <v>5.8402000000000003</v>
      </c>
      <c r="J25" s="35" t="s">
        <v>514</v>
      </c>
    </row>
    <row r="26" spans="2:10" x14ac:dyDescent="0.25">
      <c r="B26" s="8" t="s">
        <v>3111</v>
      </c>
      <c r="C26" s="56" t="s">
        <v>1950</v>
      </c>
      <c r="D26" s="53" t="s">
        <v>3112</v>
      </c>
      <c r="E26" s="6" t="s">
        <v>1383</v>
      </c>
      <c r="F26" s="19">
        <v>50</v>
      </c>
      <c r="G26" s="24">
        <v>541.30999999999995</v>
      </c>
      <c r="H26" s="24">
        <v>4.0999999999999996</v>
      </c>
      <c r="I26" s="31">
        <v>6.23</v>
      </c>
      <c r="J26" s="35" t="s">
        <v>514</v>
      </c>
    </row>
    <row r="27" spans="2:10" x14ac:dyDescent="0.25">
      <c r="B27" s="8" t="s">
        <v>2988</v>
      </c>
      <c r="C27" s="56" t="s">
        <v>53</v>
      </c>
      <c r="D27" s="53" t="s">
        <v>2989</v>
      </c>
      <c r="E27" s="6" t="s">
        <v>534</v>
      </c>
      <c r="F27" s="19">
        <v>30</v>
      </c>
      <c r="G27" s="24">
        <v>313.38</v>
      </c>
      <c r="H27" s="24">
        <v>2.37</v>
      </c>
      <c r="I27" s="31">
        <v>4.88</v>
      </c>
      <c r="J27" s="35"/>
    </row>
    <row r="28" spans="2:10" x14ac:dyDescent="0.25">
      <c r="B28" s="8" t="s">
        <v>952</v>
      </c>
      <c r="C28" s="56" t="s">
        <v>953</v>
      </c>
      <c r="D28" s="53" t="s">
        <v>954</v>
      </c>
      <c r="E28" s="6" t="s">
        <v>534</v>
      </c>
      <c r="F28" s="19">
        <v>30000</v>
      </c>
      <c r="G28" s="24">
        <v>312.60000000000002</v>
      </c>
      <c r="H28" s="24">
        <v>2.37</v>
      </c>
      <c r="I28" s="31">
        <v>6.0549999999999997</v>
      </c>
      <c r="J28" s="35" t="s">
        <v>514</v>
      </c>
    </row>
    <row r="29" spans="2:10" x14ac:dyDescent="0.25">
      <c r="C29" s="57" t="s">
        <v>35</v>
      </c>
      <c r="D29" s="53"/>
      <c r="E29" s="6"/>
      <c r="F29" s="19"/>
      <c r="G29" s="25">
        <v>9226.7999999999993</v>
      </c>
      <c r="H29" s="25">
        <v>69.86</v>
      </c>
      <c r="I29" s="31"/>
      <c r="J29" s="35"/>
    </row>
    <row r="30" spans="2:10" x14ac:dyDescent="0.25">
      <c r="C30" s="56"/>
      <c r="D30" s="53"/>
      <c r="E30" s="6"/>
      <c r="F30" s="19"/>
      <c r="G30" s="24"/>
      <c r="H30" s="24"/>
      <c r="I30" s="31"/>
      <c r="J30" s="35"/>
    </row>
    <row r="31" spans="2:10" x14ac:dyDescent="0.25">
      <c r="C31" s="57" t="s">
        <v>7</v>
      </c>
      <c r="D31" s="53"/>
      <c r="E31" s="6"/>
      <c r="F31" s="19"/>
      <c r="G31" s="24" t="s">
        <v>2</v>
      </c>
      <c r="H31" s="24" t="s">
        <v>2</v>
      </c>
      <c r="I31" s="31"/>
      <c r="J31" s="35"/>
    </row>
    <row r="32" spans="2:10" x14ac:dyDescent="0.25">
      <c r="C32" s="56"/>
      <c r="D32" s="53"/>
      <c r="E32" s="6"/>
      <c r="F32" s="19"/>
      <c r="G32" s="24"/>
      <c r="H32" s="24"/>
      <c r="I32" s="31"/>
      <c r="J32" s="35"/>
    </row>
    <row r="33" spans="1:10" x14ac:dyDescent="0.25">
      <c r="C33" s="57" t="s">
        <v>8</v>
      </c>
      <c r="D33" s="53"/>
      <c r="E33" s="6"/>
      <c r="F33" s="19"/>
      <c r="G33" s="24" t="s">
        <v>2</v>
      </c>
      <c r="H33" s="24" t="s">
        <v>2</v>
      </c>
      <c r="I33" s="31"/>
      <c r="J33" s="35"/>
    </row>
    <row r="34" spans="1:10" x14ac:dyDescent="0.25">
      <c r="C34" s="56"/>
      <c r="D34" s="53"/>
      <c r="E34" s="6"/>
      <c r="F34" s="19"/>
      <c r="G34" s="24"/>
      <c r="H34" s="24"/>
      <c r="I34" s="31"/>
      <c r="J34" s="35"/>
    </row>
    <row r="35" spans="1:10" x14ac:dyDescent="0.25">
      <c r="C35" s="57" t="s">
        <v>9</v>
      </c>
      <c r="D35" s="53"/>
      <c r="E35" s="6"/>
      <c r="F35" s="19"/>
      <c r="G35" s="24" t="s">
        <v>2</v>
      </c>
      <c r="H35" s="24" t="s">
        <v>2</v>
      </c>
      <c r="I35" s="31"/>
      <c r="J35" s="35"/>
    </row>
    <row r="36" spans="1:10" x14ac:dyDescent="0.25">
      <c r="C36" s="56"/>
      <c r="D36" s="53"/>
      <c r="E36" s="6"/>
      <c r="F36" s="19"/>
      <c r="G36" s="24"/>
      <c r="H36" s="24"/>
      <c r="I36" s="31"/>
      <c r="J36" s="35"/>
    </row>
    <row r="37" spans="1:10" x14ac:dyDescent="0.25">
      <c r="C37" s="59" t="s">
        <v>10</v>
      </c>
      <c r="D37" s="53"/>
      <c r="E37" s="6"/>
      <c r="F37" s="19"/>
      <c r="G37" s="24"/>
      <c r="H37" s="24"/>
      <c r="I37" s="31"/>
      <c r="J37" s="35"/>
    </row>
    <row r="38" spans="1:10" x14ac:dyDescent="0.25">
      <c r="B38" s="8" t="s">
        <v>3113</v>
      </c>
      <c r="C38" s="56" t="s">
        <v>3114</v>
      </c>
      <c r="D38" s="53" t="s">
        <v>3115</v>
      </c>
      <c r="E38" s="6" t="s">
        <v>655</v>
      </c>
      <c r="F38" s="19">
        <v>3000000</v>
      </c>
      <c r="G38" s="24">
        <v>3197.83</v>
      </c>
      <c r="H38" s="24">
        <v>24.22</v>
      </c>
      <c r="I38" s="31">
        <v>5.3536999999999999</v>
      </c>
      <c r="J38" s="35"/>
    </row>
    <row r="39" spans="1:10" x14ac:dyDescent="0.25">
      <c r="C39" s="57" t="s">
        <v>35</v>
      </c>
      <c r="D39" s="53"/>
      <c r="E39" s="6"/>
      <c r="F39" s="19"/>
      <c r="G39" s="25">
        <v>3197.83</v>
      </c>
      <c r="H39" s="25">
        <v>24.22</v>
      </c>
      <c r="I39" s="31"/>
      <c r="J39" s="35"/>
    </row>
    <row r="40" spans="1:10" x14ac:dyDescent="0.25">
      <c r="C40" s="56"/>
      <c r="D40" s="53"/>
      <c r="E40" s="6"/>
      <c r="F40" s="19"/>
      <c r="G40" s="24"/>
      <c r="H40" s="24"/>
      <c r="I40" s="31"/>
      <c r="J40" s="35"/>
    </row>
    <row r="41" spans="1:10" x14ac:dyDescent="0.25">
      <c r="A41" s="10"/>
      <c r="B41" s="28"/>
      <c r="C41" s="58" t="s">
        <v>11</v>
      </c>
      <c r="D41" s="53"/>
      <c r="E41" s="6"/>
      <c r="F41" s="19"/>
      <c r="G41" s="24"/>
      <c r="H41" s="24"/>
      <c r="I41" s="31"/>
      <c r="J41" s="35"/>
    </row>
    <row r="42" spans="1:10" x14ac:dyDescent="0.25">
      <c r="A42" s="28"/>
      <c r="B42" s="28"/>
      <c r="C42" s="58" t="s">
        <v>13</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C44" s="59" t="s">
        <v>14</v>
      </c>
      <c r="D44" s="53"/>
      <c r="E44" s="6"/>
      <c r="F44" s="19"/>
      <c r="G44" s="24"/>
      <c r="H44" s="24"/>
      <c r="I44" s="31"/>
      <c r="J44" s="35"/>
    </row>
    <row r="45" spans="1:10" x14ac:dyDescent="0.25">
      <c r="B45" s="8" t="s">
        <v>1232</v>
      </c>
      <c r="C45" s="56" t="s">
        <v>818</v>
      </c>
      <c r="D45" s="53" t="s">
        <v>1233</v>
      </c>
      <c r="E45" s="6" t="s">
        <v>1000</v>
      </c>
      <c r="F45" s="19">
        <v>300</v>
      </c>
      <c r="G45" s="24">
        <v>291.91000000000003</v>
      </c>
      <c r="H45" s="24">
        <v>2.21</v>
      </c>
      <c r="I45" s="31">
        <v>3.83</v>
      </c>
      <c r="J45" s="35" t="s">
        <v>514</v>
      </c>
    </row>
    <row r="46" spans="1:10" x14ac:dyDescent="0.25">
      <c r="C46" s="57" t="s">
        <v>35</v>
      </c>
      <c r="D46" s="53"/>
      <c r="E46" s="6"/>
      <c r="F46" s="19"/>
      <c r="G46" s="25">
        <v>291.91000000000003</v>
      </c>
      <c r="H46" s="25">
        <v>2.21</v>
      </c>
      <c r="I46" s="31"/>
      <c r="J46" s="35"/>
    </row>
    <row r="47" spans="1:10" x14ac:dyDescent="0.25">
      <c r="C47" s="56"/>
      <c r="D47" s="53"/>
      <c r="E47" s="6"/>
      <c r="F47" s="19"/>
      <c r="G47" s="24"/>
      <c r="H47" s="24"/>
      <c r="I47" s="31"/>
      <c r="J47" s="35"/>
    </row>
    <row r="48" spans="1: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150.44999999999999</v>
      </c>
      <c r="H62" s="24">
        <v>1.1399999999999999</v>
      </c>
      <c r="I62" s="31"/>
      <c r="J62" s="35"/>
    </row>
    <row r="63" spans="1:10" x14ac:dyDescent="0.25">
      <c r="C63" s="57" t="s">
        <v>35</v>
      </c>
      <c r="D63" s="53"/>
      <c r="E63" s="6"/>
      <c r="F63" s="19"/>
      <c r="G63" s="25">
        <v>150.44999999999999</v>
      </c>
      <c r="H63" s="25">
        <v>1.1399999999999999</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338.71</v>
      </c>
      <c r="H67" s="24">
        <v>2.57</v>
      </c>
      <c r="I67" s="31"/>
      <c r="J67" s="35"/>
    </row>
    <row r="68" spans="1:10" x14ac:dyDescent="0.25">
      <c r="C68" s="57" t="s">
        <v>35</v>
      </c>
      <c r="D68" s="53"/>
      <c r="E68" s="6"/>
      <c r="F68" s="19"/>
      <c r="G68" s="25">
        <v>338.71</v>
      </c>
      <c r="H68" s="25">
        <v>2.57</v>
      </c>
      <c r="I68" s="31"/>
      <c r="J68" s="35"/>
    </row>
    <row r="69" spans="1:10" x14ac:dyDescent="0.25">
      <c r="C69" s="56"/>
      <c r="D69" s="53"/>
      <c r="E69" s="6"/>
      <c r="F69" s="19"/>
      <c r="G69" s="24"/>
      <c r="H69" s="24"/>
      <c r="I69" s="31"/>
      <c r="J69" s="35"/>
    </row>
    <row r="70" spans="1:10" x14ac:dyDescent="0.25">
      <c r="C70" s="61" t="s">
        <v>37</v>
      </c>
      <c r="D70" s="54"/>
      <c r="E70" s="5"/>
      <c r="F70" s="20"/>
      <c r="G70" s="26">
        <v>13205.7</v>
      </c>
      <c r="H70" s="26">
        <f>SUMIFS(H:H,C:C,"Total")</f>
        <v>99.999999999999986</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0"/>
  <dimension ref="A1:J120"/>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3116</v>
      </c>
      <c r="J2" s="37" t="s">
        <v>3307</v>
      </c>
    </row>
    <row r="3" spans="1:10" ht="16.5" x14ac:dyDescent="0.3">
      <c r="C3" s="1" t="s">
        <v>24</v>
      </c>
      <c r="D3" s="21" t="s">
        <v>3117</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953</v>
      </c>
      <c r="G10" s="24">
        <v>29.05</v>
      </c>
      <c r="H10" s="24">
        <v>0.75</v>
      </c>
      <c r="I10" s="31"/>
      <c r="J10" s="35"/>
    </row>
    <row r="11" spans="1:10" x14ac:dyDescent="0.25">
      <c r="B11" s="8" t="s">
        <v>143</v>
      </c>
      <c r="C11" s="56" t="s">
        <v>144</v>
      </c>
      <c r="D11" s="53" t="s">
        <v>145</v>
      </c>
      <c r="E11" s="6" t="s">
        <v>146</v>
      </c>
      <c r="F11" s="19">
        <v>1114</v>
      </c>
      <c r="G11" s="24">
        <v>24.54</v>
      </c>
      <c r="H11" s="24">
        <v>0.63</v>
      </c>
      <c r="I11" s="31"/>
      <c r="J11" s="35"/>
    </row>
    <row r="12" spans="1:10" x14ac:dyDescent="0.25">
      <c r="B12" s="8" t="s">
        <v>868</v>
      </c>
      <c r="C12" s="56" t="s">
        <v>869</v>
      </c>
      <c r="D12" s="53" t="s">
        <v>870</v>
      </c>
      <c r="E12" s="6" t="s">
        <v>94</v>
      </c>
      <c r="F12" s="19">
        <v>2916</v>
      </c>
      <c r="G12" s="24">
        <v>23.66</v>
      </c>
      <c r="H12" s="24">
        <v>0.61</v>
      </c>
      <c r="I12" s="31"/>
      <c r="J12" s="35"/>
    </row>
    <row r="13" spans="1:10" x14ac:dyDescent="0.25">
      <c r="B13" s="8" t="s">
        <v>1576</v>
      </c>
      <c r="C13" s="56" t="s">
        <v>1577</v>
      </c>
      <c r="D13" s="53" t="s">
        <v>1578</v>
      </c>
      <c r="E13" s="6" t="s">
        <v>90</v>
      </c>
      <c r="F13" s="19">
        <v>4228</v>
      </c>
      <c r="G13" s="24">
        <v>21.59</v>
      </c>
      <c r="H13" s="24">
        <v>0.55000000000000004</v>
      </c>
      <c r="I13" s="31"/>
      <c r="J13" s="35"/>
    </row>
    <row r="14" spans="1:10" x14ac:dyDescent="0.25">
      <c r="B14" s="8" t="s">
        <v>1579</v>
      </c>
      <c r="C14" s="56" t="s">
        <v>1580</v>
      </c>
      <c r="D14" s="53" t="s">
        <v>1581</v>
      </c>
      <c r="E14" s="6" t="s">
        <v>90</v>
      </c>
      <c r="F14" s="19">
        <v>2828</v>
      </c>
      <c r="G14" s="24">
        <v>20.5</v>
      </c>
      <c r="H14" s="24">
        <v>0.53</v>
      </c>
      <c r="I14" s="31"/>
      <c r="J14" s="35"/>
    </row>
    <row r="15" spans="1:10" x14ac:dyDescent="0.25">
      <c r="B15" s="8" t="s">
        <v>115</v>
      </c>
      <c r="C15" s="56" t="s">
        <v>116</v>
      </c>
      <c r="D15" s="53" t="s">
        <v>117</v>
      </c>
      <c r="E15" s="6" t="s">
        <v>94</v>
      </c>
      <c r="F15" s="19">
        <v>1495</v>
      </c>
      <c r="G15" s="24">
        <v>19.43</v>
      </c>
      <c r="H15" s="24">
        <v>0.5</v>
      </c>
      <c r="I15" s="31"/>
      <c r="J15" s="35"/>
    </row>
    <row r="16" spans="1:10" x14ac:dyDescent="0.25">
      <c r="B16" s="8" t="s">
        <v>130</v>
      </c>
      <c r="C16" s="56" t="s">
        <v>131</v>
      </c>
      <c r="D16" s="53" t="s">
        <v>132</v>
      </c>
      <c r="E16" s="6" t="s">
        <v>47</v>
      </c>
      <c r="F16" s="19">
        <v>522</v>
      </c>
      <c r="G16" s="24">
        <v>18.97</v>
      </c>
      <c r="H16" s="24">
        <v>0.49</v>
      </c>
      <c r="I16" s="31"/>
      <c r="J16" s="35"/>
    </row>
    <row r="17" spans="2:10" x14ac:dyDescent="0.25">
      <c r="B17" s="8" t="s">
        <v>158</v>
      </c>
      <c r="C17" s="56" t="s">
        <v>159</v>
      </c>
      <c r="D17" s="53" t="s">
        <v>160</v>
      </c>
      <c r="E17" s="6" t="s">
        <v>111</v>
      </c>
      <c r="F17" s="19">
        <v>1795</v>
      </c>
      <c r="G17" s="24">
        <v>18.079999999999998</v>
      </c>
      <c r="H17" s="24">
        <v>0.46</v>
      </c>
      <c r="I17" s="31"/>
      <c r="J17" s="35"/>
    </row>
    <row r="18" spans="2:10" x14ac:dyDescent="0.25">
      <c r="B18" s="8" t="s">
        <v>769</v>
      </c>
      <c r="C18" s="56" t="s">
        <v>770</v>
      </c>
      <c r="D18" s="53" t="s">
        <v>771</v>
      </c>
      <c r="E18" s="6" t="s">
        <v>111</v>
      </c>
      <c r="F18" s="19">
        <v>2103</v>
      </c>
      <c r="G18" s="24">
        <v>16.75</v>
      </c>
      <c r="H18" s="24">
        <v>0.43</v>
      </c>
      <c r="I18" s="31"/>
      <c r="J18" s="35"/>
    </row>
    <row r="19" spans="2:10" x14ac:dyDescent="0.25">
      <c r="B19" s="8" t="s">
        <v>1582</v>
      </c>
      <c r="C19" s="56" t="s">
        <v>1583</v>
      </c>
      <c r="D19" s="53" t="s">
        <v>1584</v>
      </c>
      <c r="E19" s="6" t="s">
        <v>195</v>
      </c>
      <c r="F19" s="19">
        <v>1140</v>
      </c>
      <c r="G19" s="24">
        <v>16.350000000000001</v>
      </c>
      <c r="H19" s="24">
        <v>0.42</v>
      </c>
      <c r="I19" s="31"/>
      <c r="J19" s="35"/>
    </row>
    <row r="20" spans="2:10" x14ac:dyDescent="0.25">
      <c r="B20" s="8" t="s">
        <v>439</v>
      </c>
      <c r="C20" s="56" t="s">
        <v>440</v>
      </c>
      <c r="D20" s="53" t="s">
        <v>441</v>
      </c>
      <c r="E20" s="6" t="s">
        <v>111</v>
      </c>
      <c r="F20" s="19">
        <v>3320</v>
      </c>
      <c r="G20" s="24">
        <v>14.86</v>
      </c>
      <c r="H20" s="24">
        <v>0.38</v>
      </c>
      <c r="I20" s="31"/>
      <c r="J20" s="35"/>
    </row>
    <row r="21" spans="2:10" x14ac:dyDescent="0.25">
      <c r="B21" s="8" t="s">
        <v>87</v>
      </c>
      <c r="C21" s="56" t="s">
        <v>88</v>
      </c>
      <c r="D21" s="53" t="s">
        <v>89</v>
      </c>
      <c r="E21" s="6" t="s">
        <v>90</v>
      </c>
      <c r="F21" s="19">
        <v>997</v>
      </c>
      <c r="G21" s="24">
        <v>14.29</v>
      </c>
      <c r="H21" s="24">
        <v>0.37</v>
      </c>
      <c r="I21" s="31"/>
      <c r="J21" s="35"/>
    </row>
    <row r="22" spans="2:10" x14ac:dyDescent="0.25">
      <c r="B22" s="8" t="s">
        <v>398</v>
      </c>
      <c r="C22" s="56" t="s">
        <v>399</v>
      </c>
      <c r="D22" s="53" t="s">
        <v>400</v>
      </c>
      <c r="E22" s="6" t="s">
        <v>90</v>
      </c>
      <c r="F22" s="19">
        <v>3861</v>
      </c>
      <c r="G22" s="24">
        <v>14.02</v>
      </c>
      <c r="H22" s="24">
        <v>0.36</v>
      </c>
      <c r="I22" s="31"/>
      <c r="J22" s="35"/>
    </row>
    <row r="23" spans="2:10" x14ac:dyDescent="0.25">
      <c r="B23" s="8" t="s">
        <v>1585</v>
      </c>
      <c r="C23" s="56" t="s">
        <v>1586</v>
      </c>
      <c r="D23" s="53" t="s">
        <v>1587</v>
      </c>
      <c r="E23" s="6" t="s">
        <v>83</v>
      </c>
      <c r="F23" s="19">
        <v>1872</v>
      </c>
      <c r="G23" s="24">
        <v>12.69</v>
      </c>
      <c r="H23" s="24">
        <v>0.33</v>
      </c>
      <c r="I23" s="31"/>
      <c r="J23" s="35"/>
    </row>
    <row r="24" spans="2:10" x14ac:dyDescent="0.25">
      <c r="B24" s="8" t="s">
        <v>1354</v>
      </c>
      <c r="C24" s="56" t="s">
        <v>1355</v>
      </c>
      <c r="D24" s="53" t="s">
        <v>1356</v>
      </c>
      <c r="E24" s="6" t="s">
        <v>826</v>
      </c>
      <c r="F24" s="19">
        <v>5608</v>
      </c>
      <c r="G24" s="24">
        <v>12.37</v>
      </c>
      <c r="H24" s="24">
        <v>0.32</v>
      </c>
      <c r="I24" s="31"/>
      <c r="J24" s="35"/>
    </row>
    <row r="25" spans="2:10" x14ac:dyDescent="0.25">
      <c r="B25" s="8" t="s">
        <v>324</v>
      </c>
      <c r="C25" s="56" t="s">
        <v>325</v>
      </c>
      <c r="D25" s="53" t="s">
        <v>326</v>
      </c>
      <c r="E25" s="6" t="s">
        <v>41</v>
      </c>
      <c r="F25" s="19">
        <v>5494</v>
      </c>
      <c r="G25" s="24">
        <v>11.92</v>
      </c>
      <c r="H25" s="24">
        <v>0.31</v>
      </c>
      <c r="I25" s="31"/>
      <c r="J25" s="35"/>
    </row>
    <row r="26" spans="2:10" x14ac:dyDescent="0.25">
      <c r="B26" s="8" t="s">
        <v>442</v>
      </c>
      <c r="C26" s="56" t="s">
        <v>443</v>
      </c>
      <c r="D26" s="53" t="s">
        <v>444</v>
      </c>
      <c r="E26" s="6" t="s">
        <v>90</v>
      </c>
      <c r="F26" s="19">
        <v>2228</v>
      </c>
      <c r="G26" s="24">
        <v>11.49</v>
      </c>
      <c r="H26" s="24">
        <v>0.3</v>
      </c>
      <c r="I26" s="31"/>
      <c r="J26" s="35"/>
    </row>
    <row r="27" spans="2:10" x14ac:dyDescent="0.25">
      <c r="B27" s="8" t="s">
        <v>161</v>
      </c>
      <c r="C27" s="56" t="s">
        <v>162</v>
      </c>
      <c r="D27" s="53" t="s">
        <v>163</v>
      </c>
      <c r="E27" s="6" t="s">
        <v>94</v>
      </c>
      <c r="F27" s="19">
        <v>2684</v>
      </c>
      <c r="G27" s="24">
        <v>11.3</v>
      </c>
      <c r="H27" s="24">
        <v>0.28999999999999998</v>
      </c>
      <c r="I27" s="31"/>
      <c r="J27" s="35"/>
    </row>
    <row r="28" spans="2:10" x14ac:dyDescent="0.25">
      <c r="B28" s="8" t="s">
        <v>1592</v>
      </c>
      <c r="C28" s="56" t="s">
        <v>1593</v>
      </c>
      <c r="D28" s="53" t="s">
        <v>1594</v>
      </c>
      <c r="E28" s="6" t="s">
        <v>90</v>
      </c>
      <c r="F28" s="19">
        <v>1816</v>
      </c>
      <c r="G28" s="24">
        <v>10.6</v>
      </c>
      <c r="H28" s="24">
        <v>0.27</v>
      </c>
      <c r="I28" s="31"/>
      <c r="J28" s="35"/>
    </row>
    <row r="29" spans="2:10" x14ac:dyDescent="0.25">
      <c r="B29" s="8" t="s">
        <v>1595</v>
      </c>
      <c r="C29" s="56" t="s">
        <v>1596</v>
      </c>
      <c r="D29" s="53" t="s">
        <v>1597</v>
      </c>
      <c r="E29" s="6" t="s">
        <v>94</v>
      </c>
      <c r="F29" s="19">
        <v>843</v>
      </c>
      <c r="G29" s="24">
        <v>10.57</v>
      </c>
      <c r="H29" s="24">
        <v>0.27</v>
      </c>
      <c r="I29" s="31"/>
      <c r="J29" s="35"/>
    </row>
    <row r="30" spans="2:10" x14ac:dyDescent="0.25">
      <c r="B30" s="8" t="s">
        <v>1598</v>
      </c>
      <c r="C30" s="56" t="s">
        <v>1599</v>
      </c>
      <c r="D30" s="53" t="s">
        <v>1600</v>
      </c>
      <c r="E30" s="6" t="s">
        <v>196</v>
      </c>
      <c r="F30" s="19">
        <v>8973</v>
      </c>
      <c r="G30" s="24">
        <v>10.31</v>
      </c>
      <c r="H30" s="24">
        <v>0.26</v>
      </c>
      <c r="I30" s="31"/>
      <c r="J30" s="35"/>
    </row>
    <row r="31" spans="2:10" x14ac:dyDescent="0.25">
      <c r="B31" s="8" t="s">
        <v>177</v>
      </c>
      <c r="C31" s="56" t="s">
        <v>178</v>
      </c>
      <c r="D31" s="53" t="s">
        <v>179</v>
      </c>
      <c r="E31" s="6" t="s">
        <v>111</v>
      </c>
      <c r="F31" s="19">
        <v>367</v>
      </c>
      <c r="G31" s="24">
        <v>10.28</v>
      </c>
      <c r="H31" s="24">
        <v>0.26</v>
      </c>
      <c r="I31" s="31"/>
      <c r="J31" s="35"/>
    </row>
    <row r="32" spans="2:10" x14ac:dyDescent="0.25">
      <c r="B32" s="8" t="s">
        <v>1601</v>
      </c>
      <c r="C32" s="56" t="s">
        <v>1602</v>
      </c>
      <c r="D32" s="53" t="s">
        <v>1603</v>
      </c>
      <c r="E32" s="6" t="s">
        <v>826</v>
      </c>
      <c r="F32" s="19">
        <v>2617</v>
      </c>
      <c r="G32" s="24">
        <v>10.119999999999999</v>
      </c>
      <c r="H32" s="24">
        <v>0.26</v>
      </c>
      <c r="I32" s="31"/>
      <c r="J32" s="35"/>
    </row>
    <row r="33" spans="2:10" x14ac:dyDescent="0.25">
      <c r="B33" s="8" t="s">
        <v>805</v>
      </c>
      <c r="C33" s="56" t="s">
        <v>806</v>
      </c>
      <c r="D33" s="53" t="s">
        <v>807</v>
      </c>
      <c r="E33" s="6" t="s">
        <v>55</v>
      </c>
      <c r="F33" s="19">
        <v>5583</v>
      </c>
      <c r="G33" s="24">
        <v>10.09</v>
      </c>
      <c r="H33" s="24">
        <v>0.26</v>
      </c>
      <c r="I33" s="31"/>
      <c r="J33" s="35"/>
    </row>
    <row r="34" spans="2:10" x14ac:dyDescent="0.25">
      <c r="B34" s="8" t="s">
        <v>1604</v>
      </c>
      <c r="C34" s="56" t="s">
        <v>1605</v>
      </c>
      <c r="D34" s="53" t="s">
        <v>1606</v>
      </c>
      <c r="E34" s="6" t="s">
        <v>94</v>
      </c>
      <c r="F34" s="19">
        <v>414</v>
      </c>
      <c r="G34" s="24">
        <v>9.4</v>
      </c>
      <c r="H34" s="24">
        <v>0.24</v>
      </c>
      <c r="I34" s="31"/>
      <c r="J34" s="35"/>
    </row>
    <row r="35" spans="2:10" x14ac:dyDescent="0.25">
      <c r="B35" s="8" t="s">
        <v>69</v>
      </c>
      <c r="C35" s="56" t="s">
        <v>70</v>
      </c>
      <c r="D35" s="53" t="s">
        <v>71</v>
      </c>
      <c r="E35" s="6" t="s">
        <v>72</v>
      </c>
      <c r="F35" s="19">
        <v>43</v>
      </c>
      <c r="G35" s="24">
        <v>9.17</v>
      </c>
      <c r="H35" s="24">
        <v>0.24</v>
      </c>
      <c r="I35" s="31"/>
      <c r="J35" s="35"/>
    </row>
    <row r="36" spans="2:10" x14ac:dyDescent="0.25">
      <c r="B36" s="8" t="s">
        <v>229</v>
      </c>
      <c r="C36" s="56" t="s">
        <v>230</v>
      </c>
      <c r="D36" s="53" t="s">
        <v>231</v>
      </c>
      <c r="E36" s="6" t="s">
        <v>94</v>
      </c>
      <c r="F36" s="19">
        <v>810</v>
      </c>
      <c r="G36" s="24">
        <v>9.17</v>
      </c>
      <c r="H36" s="24">
        <v>0.24</v>
      </c>
      <c r="I36" s="31"/>
      <c r="J36" s="35"/>
    </row>
    <row r="37" spans="2:10" x14ac:dyDescent="0.25">
      <c r="B37" s="8" t="s">
        <v>1607</v>
      </c>
      <c r="C37" s="56" t="s">
        <v>1608</v>
      </c>
      <c r="D37" s="53" t="s">
        <v>1609</v>
      </c>
      <c r="E37" s="6" t="s">
        <v>94</v>
      </c>
      <c r="F37" s="19">
        <v>374</v>
      </c>
      <c r="G37" s="24">
        <v>9.0299999999999994</v>
      </c>
      <c r="H37" s="24">
        <v>0.23</v>
      </c>
      <c r="I37" s="31"/>
      <c r="J37" s="35"/>
    </row>
    <row r="38" spans="2:10" x14ac:dyDescent="0.25">
      <c r="B38" s="8" t="s">
        <v>139</v>
      </c>
      <c r="C38" s="56" t="s">
        <v>140</v>
      </c>
      <c r="D38" s="53" t="s">
        <v>141</v>
      </c>
      <c r="E38" s="6" t="s">
        <v>142</v>
      </c>
      <c r="F38" s="19">
        <v>719</v>
      </c>
      <c r="G38" s="24">
        <v>8.98</v>
      </c>
      <c r="H38" s="24">
        <v>0.23</v>
      </c>
      <c r="I38" s="31"/>
      <c r="J38" s="35"/>
    </row>
    <row r="39" spans="2:10" x14ac:dyDescent="0.25">
      <c r="B39" s="8" t="s">
        <v>370</v>
      </c>
      <c r="C39" s="56" t="s">
        <v>371</v>
      </c>
      <c r="D39" s="53" t="s">
        <v>372</v>
      </c>
      <c r="E39" s="6" t="s">
        <v>41</v>
      </c>
      <c r="F39" s="19">
        <v>632</v>
      </c>
      <c r="G39" s="24">
        <v>8.81</v>
      </c>
      <c r="H39" s="24">
        <v>0.23</v>
      </c>
      <c r="I39" s="31"/>
      <c r="J39" s="35"/>
    </row>
    <row r="40" spans="2:10" x14ac:dyDescent="0.25">
      <c r="B40" s="8" t="s">
        <v>899</v>
      </c>
      <c r="C40" s="56" t="s">
        <v>900</v>
      </c>
      <c r="D40" s="53" t="s">
        <v>901</v>
      </c>
      <c r="E40" s="6" t="s">
        <v>196</v>
      </c>
      <c r="F40" s="19">
        <v>64</v>
      </c>
      <c r="G40" s="24">
        <v>8.7899999999999991</v>
      </c>
      <c r="H40" s="24">
        <v>0.23</v>
      </c>
      <c r="I40" s="31"/>
      <c r="J40" s="35"/>
    </row>
    <row r="41" spans="2:10" x14ac:dyDescent="0.25">
      <c r="B41" s="8" t="s">
        <v>2242</v>
      </c>
      <c r="C41" s="56" t="s">
        <v>938</v>
      </c>
      <c r="D41" s="53" t="s">
        <v>2243</v>
      </c>
      <c r="E41" s="6" t="s">
        <v>94</v>
      </c>
      <c r="F41" s="19">
        <v>1400</v>
      </c>
      <c r="G41" s="24">
        <v>8.67</v>
      </c>
      <c r="H41" s="24">
        <v>0.22</v>
      </c>
      <c r="I41" s="31"/>
      <c r="J41" s="35"/>
    </row>
    <row r="42" spans="2:10" x14ac:dyDescent="0.25">
      <c r="B42" s="8" t="s">
        <v>1610</v>
      </c>
      <c r="C42" s="56" t="s">
        <v>1611</v>
      </c>
      <c r="D42" s="53" t="s">
        <v>1612</v>
      </c>
      <c r="E42" s="6" t="s">
        <v>254</v>
      </c>
      <c r="F42" s="19">
        <v>666</v>
      </c>
      <c r="G42" s="24">
        <v>8.42</v>
      </c>
      <c r="H42" s="24">
        <v>0.22</v>
      </c>
      <c r="I42" s="31"/>
      <c r="J42" s="35"/>
    </row>
    <row r="43" spans="2:10" x14ac:dyDescent="0.25">
      <c r="B43" s="8" t="s">
        <v>255</v>
      </c>
      <c r="C43" s="56" t="s">
        <v>256</v>
      </c>
      <c r="D43" s="53" t="s">
        <v>257</v>
      </c>
      <c r="E43" s="6" t="s">
        <v>51</v>
      </c>
      <c r="F43" s="19">
        <v>3010</v>
      </c>
      <c r="G43" s="24">
        <v>8.2200000000000006</v>
      </c>
      <c r="H43" s="24">
        <v>0.21</v>
      </c>
      <c r="I43" s="31"/>
      <c r="J43" s="35"/>
    </row>
    <row r="44" spans="2:10" x14ac:dyDescent="0.25">
      <c r="B44" s="8" t="s">
        <v>469</v>
      </c>
      <c r="C44" s="56" t="s">
        <v>470</v>
      </c>
      <c r="D44" s="53" t="s">
        <v>471</v>
      </c>
      <c r="E44" s="6" t="s">
        <v>90</v>
      </c>
      <c r="F44" s="19">
        <v>830</v>
      </c>
      <c r="G44" s="24">
        <v>7.94</v>
      </c>
      <c r="H44" s="24">
        <v>0.2</v>
      </c>
      <c r="I44" s="31"/>
      <c r="J44" s="35"/>
    </row>
    <row r="45" spans="2:10" x14ac:dyDescent="0.25">
      <c r="B45" s="8" t="s">
        <v>1613</v>
      </c>
      <c r="C45" s="56" t="s">
        <v>1614</v>
      </c>
      <c r="D45" s="53" t="s">
        <v>1615</v>
      </c>
      <c r="E45" s="6" t="s">
        <v>111</v>
      </c>
      <c r="F45" s="19">
        <v>1914</v>
      </c>
      <c r="G45" s="24">
        <v>7.56</v>
      </c>
      <c r="H45" s="24">
        <v>0.19</v>
      </c>
      <c r="I45" s="31"/>
      <c r="J45" s="35"/>
    </row>
    <row r="46" spans="2:10" x14ac:dyDescent="0.25">
      <c r="B46" s="8" t="s">
        <v>1616</v>
      </c>
      <c r="C46" s="56" t="s">
        <v>601</v>
      </c>
      <c r="D46" s="53" t="s">
        <v>1617</v>
      </c>
      <c r="E46" s="6" t="s">
        <v>94</v>
      </c>
      <c r="F46" s="19">
        <v>8686</v>
      </c>
      <c r="G46" s="24">
        <v>7.49</v>
      </c>
      <c r="H46" s="24">
        <v>0.19</v>
      </c>
      <c r="I46" s="31"/>
      <c r="J46" s="35"/>
    </row>
    <row r="47" spans="2:10" x14ac:dyDescent="0.25">
      <c r="B47" s="8" t="s">
        <v>1618</v>
      </c>
      <c r="C47" s="56" t="s">
        <v>1619</v>
      </c>
      <c r="D47" s="53" t="s">
        <v>1620</v>
      </c>
      <c r="E47" s="6" t="s">
        <v>142</v>
      </c>
      <c r="F47" s="19">
        <v>2050</v>
      </c>
      <c r="G47" s="24">
        <v>7.48</v>
      </c>
      <c r="H47" s="24">
        <v>0.19</v>
      </c>
      <c r="I47" s="31"/>
      <c r="J47" s="35"/>
    </row>
    <row r="48" spans="2:10" x14ac:dyDescent="0.25">
      <c r="B48" s="8" t="s">
        <v>294</v>
      </c>
      <c r="C48" s="56" t="s">
        <v>295</v>
      </c>
      <c r="D48" s="53" t="s">
        <v>296</v>
      </c>
      <c r="E48" s="6" t="s">
        <v>274</v>
      </c>
      <c r="F48" s="19">
        <v>4627</v>
      </c>
      <c r="G48" s="24">
        <v>7.06</v>
      </c>
      <c r="H48" s="24">
        <v>0.18</v>
      </c>
      <c r="I48" s="31"/>
      <c r="J48" s="35"/>
    </row>
    <row r="49" spans="2:10" x14ac:dyDescent="0.25">
      <c r="B49" s="8" t="s">
        <v>415</v>
      </c>
      <c r="C49" s="56" t="s">
        <v>416</v>
      </c>
      <c r="D49" s="53" t="s">
        <v>417</v>
      </c>
      <c r="E49" s="6" t="s">
        <v>90</v>
      </c>
      <c r="F49" s="19">
        <v>70</v>
      </c>
      <c r="G49" s="24">
        <v>6.96</v>
      </c>
      <c r="H49" s="24">
        <v>0.18</v>
      </c>
      <c r="I49" s="31"/>
      <c r="J49" s="35"/>
    </row>
    <row r="50" spans="2:10" x14ac:dyDescent="0.25">
      <c r="B50" s="8" t="s">
        <v>454</v>
      </c>
      <c r="C50" s="56" t="s">
        <v>455</v>
      </c>
      <c r="D50" s="53" t="s">
        <v>456</v>
      </c>
      <c r="E50" s="6" t="s">
        <v>111</v>
      </c>
      <c r="F50" s="19">
        <v>40</v>
      </c>
      <c r="G50" s="24">
        <v>6.59</v>
      </c>
      <c r="H50" s="24">
        <v>0.17</v>
      </c>
      <c r="I50" s="31"/>
      <c r="J50" s="35"/>
    </row>
    <row r="51" spans="2:10" x14ac:dyDescent="0.25">
      <c r="B51" s="8" t="s">
        <v>1621</v>
      </c>
      <c r="C51" s="56" t="s">
        <v>1622</v>
      </c>
      <c r="D51" s="53" t="s">
        <v>1623</v>
      </c>
      <c r="E51" s="6" t="s">
        <v>94</v>
      </c>
      <c r="F51" s="19">
        <v>772</v>
      </c>
      <c r="G51" s="24">
        <v>6.54</v>
      </c>
      <c r="H51" s="24">
        <v>0.17</v>
      </c>
      <c r="I51" s="31"/>
      <c r="J51" s="35"/>
    </row>
    <row r="52" spans="2:10" x14ac:dyDescent="0.25">
      <c r="B52" s="8" t="s">
        <v>1624</v>
      </c>
      <c r="C52" s="56" t="s">
        <v>1625</v>
      </c>
      <c r="D52" s="53" t="s">
        <v>1626</v>
      </c>
      <c r="E52" s="6" t="s">
        <v>886</v>
      </c>
      <c r="F52" s="19">
        <v>6868</v>
      </c>
      <c r="G52" s="24">
        <v>5.65</v>
      </c>
      <c r="H52" s="24">
        <v>0.14000000000000001</v>
      </c>
      <c r="I52" s="31"/>
      <c r="J52" s="35"/>
    </row>
    <row r="53" spans="2:10" x14ac:dyDescent="0.25">
      <c r="B53" s="8" t="s">
        <v>463</v>
      </c>
      <c r="C53" s="56" t="s">
        <v>464</v>
      </c>
      <c r="D53" s="53" t="s">
        <v>465</v>
      </c>
      <c r="E53" s="6" t="s">
        <v>47</v>
      </c>
      <c r="F53" s="19">
        <v>174</v>
      </c>
      <c r="G53" s="24">
        <v>5.35</v>
      </c>
      <c r="H53" s="24">
        <v>0.14000000000000001</v>
      </c>
      <c r="I53" s="31"/>
      <c r="J53" s="35"/>
    </row>
    <row r="54" spans="2:10" x14ac:dyDescent="0.25">
      <c r="B54" s="8" t="s">
        <v>1627</v>
      </c>
      <c r="C54" s="56" t="s">
        <v>1628</v>
      </c>
      <c r="D54" s="53" t="s">
        <v>1629</v>
      </c>
      <c r="E54" s="6" t="s">
        <v>261</v>
      </c>
      <c r="F54" s="19">
        <v>2056</v>
      </c>
      <c r="G54" s="24">
        <v>4.97</v>
      </c>
      <c r="H54" s="24">
        <v>0.13</v>
      </c>
      <c r="I54" s="31"/>
      <c r="J54" s="35"/>
    </row>
    <row r="55" spans="2:10" x14ac:dyDescent="0.25">
      <c r="B55" s="8" t="s">
        <v>1630</v>
      </c>
      <c r="C55" s="56" t="s">
        <v>1631</v>
      </c>
      <c r="D55" s="53" t="s">
        <v>1632</v>
      </c>
      <c r="E55" s="6" t="s">
        <v>170</v>
      </c>
      <c r="F55" s="19">
        <v>1896</v>
      </c>
      <c r="G55" s="24">
        <v>3.98</v>
      </c>
      <c r="H55" s="24">
        <v>0.1</v>
      </c>
      <c r="I55" s="31"/>
      <c r="J55" s="35"/>
    </row>
    <row r="56" spans="2:10" x14ac:dyDescent="0.25">
      <c r="B56" s="8" t="s">
        <v>893</v>
      </c>
      <c r="C56" s="56" t="s">
        <v>894</v>
      </c>
      <c r="D56" s="53" t="s">
        <v>895</v>
      </c>
      <c r="E56" s="6" t="s">
        <v>261</v>
      </c>
      <c r="F56" s="19">
        <v>18778</v>
      </c>
      <c r="G56" s="24">
        <v>3.79</v>
      </c>
      <c r="H56" s="24">
        <v>0.1</v>
      </c>
      <c r="I56" s="31"/>
      <c r="J56" s="35"/>
    </row>
    <row r="57" spans="2:10" x14ac:dyDescent="0.25">
      <c r="B57" s="8" t="s">
        <v>817</v>
      </c>
      <c r="C57" s="56" t="s">
        <v>818</v>
      </c>
      <c r="D57" s="53" t="s">
        <v>819</v>
      </c>
      <c r="E57" s="6" t="s">
        <v>51</v>
      </c>
      <c r="F57" s="19">
        <v>8983</v>
      </c>
      <c r="G57" s="24">
        <v>3.69</v>
      </c>
      <c r="H57" s="24">
        <v>0.09</v>
      </c>
      <c r="I57" s="31"/>
      <c r="J57" s="35"/>
    </row>
    <row r="58" spans="2:10" x14ac:dyDescent="0.25">
      <c r="B58" s="8" t="s">
        <v>401</v>
      </c>
      <c r="C58" s="56" t="s">
        <v>402</v>
      </c>
      <c r="D58" s="53" t="s">
        <v>403</v>
      </c>
      <c r="E58" s="6" t="s">
        <v>51</v>
      </c>
      <c r="F58" s="19">
        <v>9851</v>
      </c>
      <c r="G58" s="24">
        <v>2.81</v>
      </c>
      <c r="H58" s="24">
        <v>7.0000000000000007E-2</v>
      </c>
      <c r="I58" s="31"/>
      <c r="J58" s="35"/>
    </row>
    <row r="59" spans="2:10" x14ac:dyDescent="0.25">
      <c r="B59" s="8" t="s">
        <v>1633</v>
      </c>
      <c r="C59" s="56" t="s">
        <v>1634</v>
      </c>
      <c r="D59" s="53" t="s">
        <v>1635</v>
      </c>
      <c r="E59" s="6" t="s">
        <v>94</v>
      </c>
      <c r="F59" s="19">
        <v>1837</v>
      </c>
      <c r="G59" s="24">
        <v>2.2200000000000002</v>
      </c>
      <c r="H59" s="24">
        <v>0.06</v>
      </c>
      <c r="I59" s="31"/>
      <c r="J59" s="35"/>
    </row>
    <row r="60" spans="2:10" x14ac:dyDescent="0.25">
      <c r="C60" s="57" t="s">
        <v>35</v>
      </c>
      <c r="D60" s="53"/>
      <c r="E60" s="6"/>
      <c r="F60" s="19"/>
      <c r="G60" s="25">
        <v>552.57000000000005</v>
      </c>
      <c r="H60" s="25">
        <v>14.2</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C67" s="59" t="s">
        <v>6</v>
      </c>
      <c r="D67" s="53"/>
      <c r="E67" s="6"/>
      <c r="F67" s="19"/>
      <c r="G67" s="24"/>
      <c r="H67" s="24"/>
      <c r="I67" s="31"/>
      <c r="J67" s="35"/>
    </row>
    <row r="68" spans="1:10" x14ac:dyDescent="0.25">
      <c r="B68" s="8" t="s">
        <v>2079</v>
      </c>
      <c r="C68" s="56" t="s">
        <v>1376</v>
      </c>
      <c r="D68" s="53" t="s">
        <v>2080</v>
      </c>
      <c r="E68" s="6" t="s">
        <v>534</v>
      </c>
      <c r="F68" s="19">
        <v>30</v>
      </c>
      <c r="G68" s="24">
        <v>311.39999999999998</v>
      </c>
      <c r="H68" s="24">
        <v>7.99</v>
      </c>
      <c r="I68" s="31">
        <v>5.43</v>
      </c>
      <c r="J68" s="35" t="s">
        <v>514</v>
      </c>
    </row>
    <row r="69" spans="1:10" x14ac:dyDescent="0.25">
      <c r="B69" s="8" t="s">
        <v>2084</v>
      </c>
      <c r="C69" s="56" t="s">
        <v>909</v>
      </c>
      <c r="D69" s="53" t="s">
        <v>2085</v>
      </c>
      <c r="E69" s="6" t="s">
        <v>911</v>
      </c>
      <c r="F69" s="19">
        <v>30</v>
      </c>
      <c r="G69" s="24">
        <v>311.02</v>
      </c>
      <c r="H69" s="24">
        <v>7.98</v>
      </c>
      <c r="I69" s="31">
        <v>5.12</v>
      </c>
      <c r="J69" s="35" t="s">
        <v>514</v>
      </c>
    </row>
    <row r="70" spans="1:10" x14ac:dyDescent="0.25">
      <c r="B70" s="8" t="s">
        <v>1780</v>
      </c>
      <c r="C70" s="56" t="s">
        <v>125</v>
      </c>
      <c r="D70" s="53" t="s">
        <v>1781</v>
      </c>
      <c r="E70" s="6" t="s">
        <v>534</v>
      </c>
      <c r="F70" s="19">
        <v>20</v>
      </c>
      <c r="G70" s="24">
        <v>206.81</v>
      </c>
      <c r="H70" s="24">
        <v>5.31</v>
      </c>
      <c r="I70" s="31">
        <v>5.4</v>
      </c>
      <c r="J70" s="35"/>
    </row>
    <row r="71" spans="1:10" x14ac:dyDescent="0.25">
      <c r="B71" s="8" t="s">
        <v>2794</v>
      </c>
      <c r="C71" s="56" t="s">
        <v>601</v>
      </c>
      <c r="D71" s="53" t="s">
        <v>2795</v>
      </c>
      <c r="E71" s="6" t="s">
        <v>534</v>
      </c>
      <c r="F71" s="19">
        <v>10</v>
      </c>
      <c r="G71" s="24">
        <v>103.56</v>
      </c>
      <c r="H71" s="24">
        <v>2.66</v>
      </c>
      <c r="I71" s="31">
        <v>5.4950000000000001</v>
      </c>
      <c r="J71" s="35" t="s">
        <v>514</v>
      </c>
    </row>
    <row r="72" spans="1:10" x14ac:dyDescent="0.25">
      <c r="C72" s="57" t="s">
        <v>35</v>
      </c>
      <c r="D72" s="53"/>
      <c r="E72" s="6"/>
      <c r="F72" s="19"/>
      <c r="G72" s="25">
        <v>932.79</v>
      </c>
      <c r="H72" s="25">
        <v>23.94</v>
      </c>
      <c r="I72" s="31"/>
      <c r="J72" s="35"/>
    </row>
    <row r="73" spans="1:10" x14ac:dyDescent="0.25">
      <c r="C73" s="56"/>
      <c r="D73" s="53"/>
      <c r="E73" s="6"/>
      <c r="F73" s="19"/>
      <c r="G73" s="24"/>
      <c r="H73" s="24"/>
      <c r="I73" s="31"/>
      <c r="J73" s="35"/>
    </row>
    <row r="74" spans="1:10" x14ac:dyDescent="0.25">
      <c r="C74" s="57" t="s">
        <v>7</v>
      </c>
      <c r="D74" s="53"/>
      <c r="E74" s="6"/>
      <c r="F74" s="19"/>
      <c r="G74" s="24" t="s">
        <v>2</v>
      </c>
      <c r="H74" s="24" t="s">
        <v>2</v>
      </c>
      <c r="I74" s="31"/>
      <c r="J74" s="35"/>
    </row>
    <row r="75" spans="1:10" x14ac:dyDescent="0.25">
      <c r="C75" s="56"/>
      <c r="D75" s="53"/>
      <c r="E75" s="6"/>
      <c r="F75" s="19"/>
      <c r="G75" s="24"/>
      <c r="H75" s="24"/>
      <c r="I75" s="31"/>
      <c r="J75" s="35"/>
    </row>
    <row r="76" spans="1:10" x14ac:dyDescent="0.25">
      <c r="C76" s="57" t="s">
        <v>8</v>
      </c>
      <c r="D76" s="53"/>
      <c r="E76" s="6"/>
      <c r="F76" s="19"/>
      <c r="G76" s="24" t="s">
        <v>2</v>
      </c>
      <c r="H76" s="24" t="s">
        <v>2</v>
      </c>
      <c r="I76" s="31"/>
      <c r="J76" s="35"/>
    </row>
    <row r="77" spans="1:10" x14ac:dyDescent="0.25">
      <c r="C77" s="56"/>
      <c r="D77" s="53"/>
      <c r="E77" s="6"/>
      <c r="F77" s="19"/>
      <c r="G77" s="24"/>
      <c r="H77" s="24"/>
      <c r="I77" s="31"/>
      <c r="J77" s="35"/>
    </row>
    <row r="78" spans="1:10" x14ac:dyDescent="0.25">
      <c r="C78" s="57" t="s">
        <v>9</v>
      </c>
      <c r="D78" s="53"/>
      <c r="E78" s="6"/>
      <c r="F78" s="19"/>
      <c r="G78" s="24" t="s">
        <v>2</v>
      </c>
      <c r="H78" s="24" t="s">
        <v>2</v>
      </c>
      <c r="I78" s="31"/>
      <c r="J78" s="35"/>
    </row>
    <row r="79" spans="1:10" x14ac:dyDescent="0.25">
      <c r="C79" s="56"/>
      <c r="D79" s="53"/>
      <c r="E79" s="6"/>
      <c r="F79" s="19"/>
      <c r="G79" s="24"/>
      <c r="H79" s="24"/>
      <c r="I79" s="31"/>
      <c r="J79" s="35"/>
    </row>
    <row r="80" spans="1:10" x14ac:dyDescent="0.25">
      <c r="C80" s="59" t="s">
        <v>10</v>
      </c>
      <c r="D80" s="53"/>
      <c r="E80" s="6"/>
      <c r="F80" s="19"/>
      <c r="G80" s="24"/>
      <c r="H80" s="24"/>
      <c r="I80" s="31"/>
      <c r="J80" s="35"/>
    </row>
    <row r="81" spans="1:10" x14ac:dyDescent="0.25">
      <c r="B81" s="8" t="s">
        <v>3118</v>
      </c>
      <c r="C81" s="56" t="s">
        <v>3119</v>
      </c>
      <c r="D81" s="53" t="s">
        <v>3120</v>
      </c>
      <c r="E81" s="6" t="s">
        <v>655</v>
      </c>
      <c r="F81" s="19">
        <v>1500000</v>
      </c>
      <c r="G81" s="24">
        <v>1599.88</v>
      </c>
      <c r="H81" s="24">
        <v>41.07</v>
      </c>
      <c r="I81" s="31">
        <v>5.4924999999999997</v>
      </c>
      <c r="J81" s="35"/>
    </row>
    <row r="82" spans="1:10" x14ac:dyDescent="0.25">
      <c r="B82" s="8" t="s">
        <v>3028</v>
      </c>
      <c r="C82" s="56" t="s">
        <v>3029</v>
      </c>
      <c r="D82" s="53" t="s">
        <v>3030</v>
      </c>
      <c r="E82" s="6" t="s">
        <v>655</v>
      </c>
      <c r="F82" s="19">
        <v>200000</v>
      </c>
      <c r="G82" s="24">
        <v>213.85</v>
      </c>
      <c r="H82" s="24">
        <v>5.49</v>
      </c>
      <c r="I82" s="31">
        <v>5.2168000000000001</v>
      </c>
      <c r="J82" s="35"/>
    </row>
    <row r="83" spans="1:10" x14ac:dyDescent="0.25">
      <c r="C83" s="57" t="s">
        <v>35</v>
      </c>
      <c r="D83" s="53"/>
      <c r="E83" s="6"/>
      <c r="F83" s="19"/>
      <c r="G83" s="25">
        <v>1813.73</v>
      </c>
      <c r="H83" s="25">
        <v>46.56</v>
      </c>
      <c r="I83" s="31"/>
      <c r="J83" s="35"/>
    </row>
    <row r="84" spans="1:10" x14ac:dyDescent="0.25">
      <c r="C84" s="56"/>
      <c r="D84" s="53"/>
      <c r="E84" s="6"/>
      <c r="F84" s="19"/>
      <c r="G84" s="24"/>
      <c r="H84" s="24"/>
      <c r="I84" s="31"/>
      <c r="J84" s="35"/>
    </row>
    <row r="85" spans="1:10" x14ac:dyDescent="0.25">
      <c r="A85" s="10"/>
      <c r="B85" s="28"/>
      <c r="C85" s="58" t="s">
        <v>11</v>
      </c>
      <c r="D85" s="53"/>
      <c r="E85" s="6"/>
      <c r="F85" s="19"/>
      <c r="G85" s="24"/>
      <c r="H85" s="24"/>
      <c r="I85" s="31"/>
      <c r="J85" s="35"/>
    </row>
    <row r="86" spans="1:10" x14ac:dyDescent="0.25">
      <c r="A86" s="28"/>
      <c r="B86" s="28"/>
      <c r="C86" s="58" t="s">
        <v>13</v>
      </c>
      <c r="D86" s="53"/>
      <c r="E86" s="6"/>
      <c r="F86" s="19"/>
      <c r="G86" s="24" t="s">
        <v>2</v>
      </c>
      <c r="H86" s="24" t="s">
        <v>2</v>
      </c>
      <c r="I86" s="31"/>
      <c r="J86" s="35"/>
    </row>
    <row r="87" spans="1:10" x14ac:dyDescent="0.25">
      <c r="A87" s="28"/>
      <c r="B87" s="28"/>
      <c r="C87" s="58"/>
      <c r="D87" s="53"/>
      <c r="E87" s="6"/>
      <c r="F87" s="19"/>
      <c r="G87" s="24"/>
      <c r="H87" s="24"/>
      <c r="I87" s="31"/>
      <c r="J87" s="35"/>
    </row>
    <row r="88" spans="1:10" x14ac:dyDescent="0.25">
      <c r="A88" s="28"/>
      <c r="B88" s="28"/>
      <c r="C88" s="58" t="s">
        <v>14</v>
      </c>
      <c r="D88" s="53"/>
      <c r="E88" s="6"/>
      <c r="F88" s="19"/>
      <c r="G88" s="24" t="s">
        <v>2</v>
      </c>
      <c r="H88" s="24" t="s">
        <v>2</v>
      </c>
      <c r="I88" s="31"/>
      <c r="J88" s="35"/>
    </row>
    <row r="89" spans="1:10" x14ac:dyDescent="0.25">
      <c r="A89" s="28"/>
      <c r="B89" s="28"/>
      <c r="C89" s="58"/>
      <c r="D89" s="53"/>
      <c r="E89" s="6"/>
      <c r="F89" s="19"/>
      <c r="G89" s="24"/>
      <c r="H89" s="24"/>
      <c r="I89" s="31"/>
      <c r="J89" s="35"/>
    </row>
    <row r="90" spans="1:10" x14ac:dyDescent="0.25">
      <c r="C90" s="59" t="s">
        <v>15</v>
      </c>
      <c r="D90" s="53"/>
      <c r="E90" s="6"/>
      <c r="F90" s="19"/>
      <c r="G90" s="24"/>
      <c r="H90" s="24"/>
      <c r="I90" s="31"/>
      <c r="J90" s="35"/>
    </row>
    <row r="91" spans="1:10" x14ac:dyDescent="0.25">
      <c r="B91" s="8" t="s">
        <v>2895</v>
      </c>
      <c r="C91" s="56" t="s">
        <v>2896</v>
      </c>
      <c r="D91" s="53" t="s">
        <v>2897</v>
      </c>
      <c r="E91" s="6" t="s">
        <v>655</v>
      </c>
      <c r="F91" s="19">
        <v>400000</v>
      </c>
      <c r="G91" s="24">
        <v>362.01</v>
      </c>
      <c r="H91" s="24">
        <v>9.2899999999999991</v>
      </c>
      <c r="I91" s="31">
        <v>4.5756500000000004</v>
      </c>
      <c r="J91" s="35"/>
    </row>
    <row r="92" spans="1:10" x14ac:dyDescent="0.25">
      <c r="C92" s="57" t="s">
        <v>35</v>
      </c>
      <c r="D92" s="53"/>
      <c r="E92" s="6"/>
      <c r="F92" s="19"/>
      <c r="G92" s="25">
        <v>362.01</v>
      </c>
      <c r="H92" s="25">
        <v>9.2899999999999991</v>
      </c>
      <c r="I92" s="31"/>
      <c r="J92" s="35"/>
    </row>
    <row r="93" spans="1:10" x14ac:dyDescent="0.25">
      <c r="C93" s="56"/>
      <c r="D93" s="53"/>
      <c r="E93" s="6"/>
      <c r="F93" s="19"/>
      <c r="G93" s="24"/>
      <c r="H93" s="24"/>
      <c r="I93" s="31"/>
      <c r="J93" s="35"/>
    </row>
    <row r="94" spans="1:10" x14ac:dyDescent="0.25">
      <c r="C94" s="57" t="s">
        <v>16</v>
      </c>
      <c r="D94" s="53"/>
      <c r="E94" s="6"/>
      <c r="F94" s="19"/>
      <c r="G94" s="24" t="s">
        <v>2</v>
      </c>
      <c r="H94" s="24" t="s">
        <v>2</v>
      </c>
      <c r="I94" s="31"/>
      <c r="J94" s="35"/>
    </row>
    <row r="95" spans="1:10" x14ac:dyDescent="0.25">
      <c r="C95" s="56"/>
      <c r="D95" s="53"/>
      <c r="E95" s="6"/>
      <c r="F95" s="19"/>
      <c r="G95" s="24"/>
      <c r="H95" s="24"/>
      <c r="I95" s="31"/>
      <c r="J95" s="35"/>
    </row>
    <row r="96" spans="1:10" x14ac:dyDescent="0.25">
      <c r="A96" s="10"/>
      <c r="B96" s="28"/>
      <c r="C96" s="58" t="s">
        <v>17</v>
      </c>
      <c r="D96" s="53"/>
      <c r="E96" s="6"/>
      <c r="F96" s="19"/>
      <c r="G96" s="24"/>
      <c r="H96" s="24"/>
      <c r="I96" s="31"/>
      <c r="J96" s="35"/>
    </row>
    <row r="97" spans="1:10" x14ac:dyDescent="0.25">
      <c r="A97" s="28"/>
      <c r="B97" s="28"/>
      <c r="C97" s="58" t="s">
        <v>18</v>
      </c>
      <c r="D97" s="53"/>
      <c r="E97" s="6"/>
      <c r="F97" s="19"/>
      <c r="G97" s="24" t="s">
        <v>2</v>
      </c>
      <c r="H97" s="24" t="s">
        <v>2</v>
      </c>
      <c r="I97" s="31"/>
      <c r="J97" s="35"/>
    </row>
    <row r="98" spans="1:10" x14ac:dyDescent="0.25">
      <c r="A98" s="28"/>
      <c r="B98" s="28"/>
      <c r="C98" s="58"/>
      <c r="D98" s="53"/>
      <c r="E98" s="6"/>
      <c r="F98" s="19"/>
      <c r="G98" s="24"/>
      <c r="H98" s="24"/>
      <c r="I98" s="31"/>
      <c r="J98" s="35"/>
    </row>
    <row r="99" spans="1:10" x14ac:dyDescent="0.25">
      <c r="A99" s="28"/>
      <c r="B99" s="28"/>
      <c r="C99" s="58" t="s">
        <v>19</v>
      </c>
      <c r="D99" s="53"/>
      <c r="E99" s="6"/>
      <c r="F99" s="19"/>
      <c r="G99" s="24" t="s">
        <v>2</v>
      </c>
      <c r="H99" s="24" t="s">
        <v>2</v>
      </c>
      <c r="I99" s="31"/>
      <c r="J99" s="35"/>
    </row>
    <row r="100" spans="1:10" x14ac:dyDescent="0.25">
      <c r="A100" s="28"/>
      <c r="B100" s="28"/>
      <c r="C100" s="58"/>
      <c r="D100" s="53"/>
      <c r="E100" s="6"/>
      <c r="F100" s="19"/>
      <c r="G100" s="24"/>
      <c r="H100" s="24"/>
      <c r="I100" s="31"/>
      <c r="J100" s="35"/>
    </row>
    <row r="101" spans="1:10" x14ac:dyDescent="0.25">
      <c r="A101" s="28"/>
      <c r="B101" s="28"/>
      <c r="C101" s="58" t="s">
        <v>20</v>
      </c>
      <c r="D101" s="53"/>
      <c r="E101" s="6"/>
      <c r="F101" s="19"/>
      <c r="G101" s="24" t="s">
        <v>2</v>
      </c>
      <c r="H101" s="24" t="s">
        <v>2</v>
      </c>
      <c r="I101" s="31"/>
      <c r="J101" s="35"/>
    </row>
    <row r="102" spans="1:10" x14ac:dyDescent="0.25">
      <c r="A102" s="28"/>
      <c r="B102" s="28"/>
      <c r="C102" s="58"/>
      <c r="D102" s="53"/>
      <c r="E102" s="6"/>
      <c r="F102" s="19"/>
      <c r="G102" s="24"/>
      <c r="H102" s="24"/>
      <c r="I102" s="31"/>
      <c r="J102" s="35"/>
    </row>
    <row r="103" spans="1:10" x14ac:dyDescent="0.25">
      <c r="A103" s="28"/>
      <c r="B103" s="28"/>
      <c r="C103" s="58" t="s">
        <v>21</v>
      </c>
      <c r="D103" s="53"/>
      <c r="E103" s="6"/>
      <c r="F103" s="19"/>
      <c r="G103" s="24" t="s">
        <v>2</v>
      </c>
      <c r="H103" s="24" t="s">
        <v>2</v>
      </c>
      <c r="I103" s="31"/>
      <c r="J103" s="35"/>
    </row>
    <row r="104" spans="1:10" x14ac:dyDescent="0.25">
      <c r="A104" s="28"/>
      <c r="B104" s="28"/>
      <c r="C104" s="58"/>
      <c r="D104" s="53"/>
      <c r="E104" s="6"/>
      <c r="F104" s="19"/>
      <c r="G104" s="24"/>
      <c r="H104" s="24"/>
      <c r="I104" s="31"/>
      <c r="J104" s="35"/>
    </row>
    <row r="105" spans="1:10" x14ac:dyDescent="0.25">
      <c r="C105" s="59" t="s">
        <v>22</v>
      </c>
      <c r="D105" s="53"/>
      <c r="E105" s="6"/>
      <c r="F105" s="19"/>
      <c r="G105" s="24"/>
      <c r="H105" s="24"/>
      <c r="I105" s="31"/>
      <c r="J105" s="35"/>
    </row>
    <row r="106" spans="1:10" x14ac:dyDescent="0.25">
      <c r="B106" s="8" t="s">
        <v>33</v>
      </c>
      <c r="C106" s="56" t="s">
        <v>34</v>
      </c>
      <c r="D106" s="53"/>
      <c r="E106" s="6"/>
      <c r="F106" s="19"/>
      <c r="G106" s="24">
        <v>161.11000000000001</v>
      </c>
      <c r="H106" s="24">
        <v>4.1399999999999997</v>
      </c>
      <c r="I106" s="31"/>
      <c r="J106" s="35"/>
    </row>
    <row r="107" spans="1:10" x14ac:dyDescent="0.25">
      <c r="C107" s="57" t="s">
        <v>35</v>
      </c>
      <c r="D107" s="53"/>
      <c r="E107" s="6"/>
      <c r="F107" s="19"/>
      <c r="G107" s="25">
        <v>161.11000000000001</v>
      </c>
      <c r="H107" s="25">
        <v>4.1399999999999997</v>
      </c>
      <c r="I107" s="31"/>
      <c r="J107" s="35"/>
    </row>
    <row r="108" spans="1:10" x14ac:dyDescent="0.25">
      <c r="C108" s="56"/>
      <c r="D108" s="53"/>
      <c r="E108" s="6"/>
      <c r="F108" s="19"/>
      <c r="G108" s="24"/>
      <c r="H108" s="24"/>
      <c r="I108" s="31"/>
      <c r="J108" s="35"/>
    </row>
    <row r="109" spans="1:10" x14ac:dyDescent="0.25">
      <c r="A109" s="10"/>
      <c r="B109" s="28"/>
      <c r="C109" s="58" t="s">
        <v>23</v>
      </c>
      <c r="D109" s="53"/>
      <c r="E109" s="6"/>
      <c r="F109" s="19"/>
      <c r="G109" s="24"/>
      <c r="H109" s="24"/>
      <c r="I109" s="31"/>
      <c r="J109" s="35"/>
    </row>
    <row r="110" spans="1:10" x14ac:dyDescent="0.25">
      <c r="A110" s="28"/>
      <c r="B110" s="28"/>
      <c r="C110" s="60" t="s">
        <v>3398</v>
      </c>
      <c r="D110" s="53"/>
      <c r="E110" s="6"/>
      <c r="F110" s="19"/>
      <c r="G110" s="24" t="s">
        <v>2</v>
      </c>
      <c r="H110" s="24" t="s">
        <v>2</v>
      </c>
      <c r="I110" s="31"/>
      <c r="J110" s="35"/>
    </row>
    <row r="111" spans="1:10" x14ac:dyDescent="0.25">
      <c r="B111" s="8"/>
      <c r="C111" s="56" t="s">
        <v>36</v>
      </c>
      <c r="D111" s="53"/>
      <c r="E111" s="6"/>
      <c r="F111" s="19"/>
      <c r="G111" s="24">
        <v>73.67</v>
      </c>
      <c r="H111" s="24">
        <v>1.8699999999999999</v>
      </c>
      <c r="I111" s="31"/>
      <c r="J111" s="35"/>
    </row>
    <row r="112" spans="1:10" x14ac:dyDescent="0.25">
      <c r="C112" s="57" t="s">
        <v>35</v>
      </c>
      <c r="D112" s="53"/>
      <c r="E112" s="6"/>
      <c r="F112" s="19"/>
      <c r="G112" s="25">
        <v>73.67</v>
      </c>
      <c r="H112" s="25">
        <v>1.8699999999999999</v>
      </c>
      <c r="I112" s="31"/>
      <c r="J112" s="35"/>
    </row>
    <row r="113" spans="3:10" x14ac:dyDescent="0.25">
      <c r="C113" s="56"/>
      <c r="D113" s="53"/>
      <c r="E113" s="6"/>
      <c r="F113" s="19"/>
      <c r="G113" s="24"/>
      <c r="H113" s="24"/>
      <c r="I113" s="31"/>
      <c r="J113" s="35"/>
    </row>
    <row r="114" spans="3:10" x14ac:dyDescent="0.25">
      <c r="C114" s="61" t="s">
        <v>37</v>
      </c>
      <c r="D114" s="54"/>
      <c r="E114" s="5"/>
      <c r="F114" s="20"/>
      <c r="G114" s="26">
        <v>3895.88</v>
      </c>
      <c r="H114" s="26">
        <f>SUMIFS(H:H,C:C,"Total")</f>
        <v>100.00000000000001</v>
      </c>
      <c r="I114" s="32"/>
      <c r="J114" s="36"/>
    </row>
    <row r="117" spans="3:10" x14ac:dyDescent="0.25">
      <c r="C117" s="1" t="s">
        <v>38</v>
      </c>
    </row>
    <row r="118" spans="3:10" x14ac:dyDescent="0.25">
      <c r="C118" s="2" t="s">
        <v>39</v>
      </c>
    </row>
    <row r="119" spans="3:10" x14ac:dyDescent="0.25">
      <c r="C119" s="2" t="s">
        <v>40</v>
      </c>
    </row>
    <row r="120" spans="3:10" x14ac:dyDescent="0.25">
      <c r="C120" s="2" t="s">
        <v>3430</v>
      </c>
    </row>
  </sheetData>
  <hyperlinks>
    <hyperlink ref="J2" location="'Index'!A1" display="'Index'!A1"/>
  </hyperlinks>
  <pageMargins left="0.7" right="0.7" top="0.75" bottom="0.75" header="0.3" footer="0.3"/>
  <pageSetup orientation="portrait" horizontalDpi="4294967293"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1"/>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3121</v>
      </c>
      <c r="J2" s="37" t="s">
        <v>3307</v>
      </c>
    </row>
    <row r="3" spans="1:10" ht="16.5" x14ac:dyDescent="0.3">
      <c r="C3" s="1" t="s">
        <v>24</v>
      </c>
      <c r="D3" s="21" t="s">
        <v>3122</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1707</v>
      </c>
      <c r="C18" s="56" t="s">
        <v>53</v>
      </c>
      <c r="D18" s="53" t="s">
        <v>1708</v>
      </c>
      <c r="E18" s="6" t="s">
        <v>534</v>
      </c>
      <c r="F18" s="19">
        <v>100</v>
      </c>
      <c r="G18" s="24">
        <v>1062.3599999999999</v>
      </c>
      <c r="H18" s="24">
        <v>9.4700000000000006</v>
      </c>
      <c r="I18" s="31">
        <v>5.2850000000000001</v>
      </c>
      <c r="J18" s="35" t="s">
        <v>514</v>
      </c>
    </row>
    <row r="19" spans="2:10" x14ac:dyDescent="0.25">
      <c r="B19" s="8" t="s">
        <v>952</v>
      </c>
      <c r="C19" s="56" t="s">
        <v>953</v>
      </c>
      <c r="D19" s="53" t="s">
        <v>954</v>
      </c>
      <c r="E19" s="6" t="s">
        <v>534</v>
      </c>
      <c r="F19" s="19">
        <v>90000</v>
      </c>
      <c r="G19" s="24">
        <v>937.8</v>
      </c>
      <c r="H19" s="24">
        <v>8.36</v>
      </c>
      <c r="I19" s="31">
        <v>6.0549999999999997</v>
      </c>
      <c r="J19" s="35" t="s">
        <v>514</v>
      </c>
    </row>
    <row r="20" spans="2:10" x14ac:dyDescent="0.25">
      <c r="B20" s="8" t="s">
        <v>2084</v>
      </c>
      <c r="C20" s="56" t="s">
        <v>909</v>
      </c>
      <c r="D20" s="53" t="s">
        <v>2085</v>
      </c>
      <c r="E20" s="6" t="s">
        <v>911</v>
      </c>
      <c r="F20" s="19">
        <v>90</v>
      </c>
      <c r="G20" s="24">
        <v>933.05</v>
      </c>
      <c r="H20" s="24">
        <v>8.32</v>
      </c>
      <c r="I20" s="31">
        <v>5.12</v>
      </c>
      <c r="J20" s="35" t="s">
        <v>514</v>
      </c>
    </row>
    <row r="21" spans="2:10" x14ac:dyDescent="0.25">
      <c r="B21" s="8" t="s">
        <v>2794</v>
      </c>
      <c r="C21" s="56" t="s">
        <v>601</v>
      </c>
      <c r="D21" s="53" t="s">
        <v>2795</v>
      </c>
      <c r="E21" s="6" t="s">
        <v>534</v>
      </c>
      <c r="F21" s="19">
        <v>90</v>
      </c>
      <c r="G21" s="24">
        <v>932.03</v>
      </c>
      <c r="H21" s="24">
        <v>8.31</v>
      </c>
      <c r="I21" s="31">
        <v>5.4950000000000001</v>
      </c>
      <c r="J21" s="35" t="s">
        <v>514</v>
      </c>
    </row>
    <row r="22" spans="2:10" x14ac:dyDescent="0.25">
      <c r="B22" s="8" t="s">
        <v>1780</v>
      </c>
      <c r="C22" s="56" t="s">
        <v>125</v>
      </c>
      <c r="D22" s="53" t="s">
        <v>1781</v>
      </c>
      <c r="E22" s="6" t="s">
        <v>534</v>
      </c>
      <c r="F22" s="19">
        <v>90</v>
      </c>
      <c r="G22" s="24">
        <v>930.65</v>
      </c>
      <c r="H22" s="24">
        <v>8.2899999999999991</v>
      </c>
      <c r="I22" s="31">
        <v>5.4</v>
      </c>
      <c r="J22" s="35"/>
    </row>
    <row r="23" spans="2:10" x14ac:dyDescent="0.25">
      <c r="B23" s="8" t="s">
        <v>2079</v>
      </c>
      <c r="C23" s="56" t="s">
        <v>1376</v>
      </c>
      <c r="D23" s="53" t="s">
        <v>2080</v>
      </c>
      <c r="E23" s="6" t="s">
        <v>534</v>
      </c>
      <c r="F23" s="19">
        <v>60</v>
      </c>
      <c r="G23" s="24">
        <v>622.80999999999995</v>
      </c>
      <c r="H23" s="24">
        <v>5.55</v>
      </c>
      <c r="I23" s="31">
        <v>5.43</v>
      </c>
      <c r="J23" s="35" t="s">
        <v>514</v>
      </c>
    </row>
    <row r="24" spans="2:10" x14ac:dyDescent="0.25">
      <c r="B24" s="8" t="s">
        <v>3123</v>
      </c>
      <c r="C24" s="56" t="s">
        <v>2421</v>
      </c>
      <c r="D24" s="53" t="s">
        <v>3124</v>
      </c>
      <c r="E24" s="6" t="s">
        <v>534</v>
      </c>
      <c r="F24" s="19">
        <v>50</v>
      </c>
      <c r="G24" s="24">
        <v>515.19000000000005</v>
      </c>
      <c r="H24" s="24">
        <v>4.59</v>
      </c>
      <c r="I24" s="31">
        <v>5.75</v>
      </c>
      <c r="J24" s="35" t="s">
        <v>514</v>
      </c>
    </row>
    <row r="25" spans="2:10" x14ac:dyDescent="0.25">
      <c r="B25" s="8" t="s">
        <v>2141</v>
      </c>
      <c r="C25" s="56" t="s">
        <v>1752</v>
      </c>
      <c r="D25" s="53" t="s">
        <v>2142</v>
      </c>
      <c r="E25" s="6" t="s">
        <v>911</v>
      </c>
      <c r="F25" s="19">
        <v>50</v>
      </c>
      <c r="G25" s="24">
        <v>515.02</v>
      </c>
      <c r="H25" s="24">
        <v>4.59</v>
      </c>
      <c r="I25" s="31">
        <v>4.9000000000000004</v>
      </c>
      <c r="J25" s="35"/>
    </row>
    <row r="26" spans="2:10" x14ac:dyDescent="0.25">
      <c r="B26" s="8" t="s">
        <v>3125</v>
      </c>
      <c r="C26" s="56" t="s">
        <v>92</v>
      </c>
      <c r="D26" s="53" t="s">
        <v>3126</v>
      </c>
      <c r="E26" s="6" t="s">
        <v>534</v>
      </c>
      <c r="F26" s="19">
        <v>50</v>
      </c>
      <c r="G26" s="24">
        <v>514.84</v>
      </c>
      <c r="H26" s="24">
        <v>4.59</v>
      </c>
      <c r="I26" s="31">
        <v>5.7</v>
      </c>
      <c r="J26" s="35" t="s">
        <v>514</v>
      </c>
    </row>
    <row r="27" spans="2:10" x14ac:dyDescent="0.25">
      <c r="B27" s="8" t="s">
        <v>2185</v>
      </c>
      <c r="C27" s="56" t="s">
        <v>1738</v>
      </c>
      <c r="D27" s="53" t="s">
        <v>2186</v>
      </c>
      <c r="E27" s="6" t="s">
        <v>534</v>
      </c>
      <c r="F27" s="19">
        <v>30</v>
      </c>
      <c r="G27" s="24">
        <v>326.70999999999998</v>
      </c>
      <c r="H27" s="24">
        <v>2.91</v>
      </c>
      <c r="I27" s="31">
        <v>4.91</v>
      </c>
      <c r="J27" s="35" t="s">
        <v>514</v>
      </c>
    </row>
    <row r="28" spans="2:10" x14ac:dyDescent="0.25">
      <c r="C28" s="57" t="s">
        <v>35</v>
      </c>
      <c r="D28" s="53"/>
      <c r="E28" s="6"/>
      <c r="F28" s="19"/>
      <c r="G28" s="25">
        <v>7290.46</v>
      </c>
      <c r="H28" s="25">
        <v>64.98</v>
      </c>
      <c r="I28" s="31"/>
      <c r="J28" s="35"/>
    </row>
    <row r="29" spans="2:10" x14ac:dyDescent="0.25">
      <c r="C29" s="56"/>
      <c r="D29" s="53"/>
      <c r="E29" s="6"/>
      <c r="F29" s="19"/>
      <c r="G29" s="24"/>
      <c r="H29" s="24"/>
      <c r="I29" s="31"/>
      <c r="J29" s="35"/>
    </row>
    <row r="30" spans="2:10" x14ac:dyDescent="0.25">
      <c r="C30" s="57" t="s">
        <v>7</v>
      </c>
      <c r="D30" s="53"/>
      <c r="E30" s="6"/>
      <c r="F30" s="19"/>
      <c r="G30" s="24" t="s">
        <v>2</v>
      </c>
      <c r="H30" s="24" t="s">
        <v>2</v>
      </c>
      <c r="I30" s="31"/>
      <c r="J30" s="35"/>
    </row>
    <row r="31" spans="2:10" x14ac:dyDescent="0.25">
      <c r="C31" s="56"/>
      <c r="D31" s="53"/>
      <c r="E31" s="6"/>
      <c r="F31" s="19"/>
      <c r="G31" s="24"/>
      <c r="H31" s="24"/>
      <c r="I31" s="31"/>
      <c r="J31" s="35"/>
    </row>
    <row r="32" spans="2:10" x14ac:dyDescent="0.25">
      <c r="C32" s="57" t="s">
        <v>8</v>
      </c>
      <c r="D32" s="53"/>
      <c r="E32" s="6"/>
      <c r="F32" s="19"/>
      <c r="G32" s="24" t="s">
        <v>2</v>
      </c>
      <c r="H32" s="24" t="s">
        <v>2</v>
      </c>
      <c r="I32" s="31"/>
      <c r="J32" s="35"/>
    </row>
    <row r="33" spans="2:10" x14ac:dyDescent="0.25">
      <c r="C33" s="56"/>
      <c r="D33" s="53"/>
      <c r="E33" s="6"/>
      <c r="F33" s="19"/>
      <c r="G33" s="24"/>
      <c r="H33" s="24"/>
      <c r="I33" s="31"/>
      <c r="J33" s="35"/>
    </row>
    <row r="34" spans="2:10" x14ac:dyDescent="0.25">
      <c r="C34" s="57" t="s">
        <v>9</v>
      </c>
      <c r="D34" s="53"/>
      <c r="E34" s="6"/>
      <c r="F34" s="19"/>
      <c r="G34" s="24" t="s">
        <v>2</v>
      </c>
      <c r="H34" s="24" t="s">
        <v>2</v>
      </c>
      <c r="I34" s="31"/>
      <c r="J34" s="35"/>
    </row>
    <row r="35" spans="2:10" x14ac:dyDescent="0.25">
      <c r="C35" s="56"/>
      <c r="D35" s="53"/>
      <c r="E35" s="6"/>
      <c r="F35" s="19"/>
      <c r="G35" s="24"/>
      <c r="H35" s="24"/>
      <c r="I35" s="31"/>
      <c r="J35" s="35"/>
    </row>
    <row r="36" spans="2:10" x14ac:dyDescent="0.25">
      <c r="C36" s="59" t="s">
        <v>10</v>
      </c>
      <c r="D36" s="53"/>
      <c r="E36" s="6"/>
      <c r="F36" s="19"/>
      <c r="G36" s="24"/>
      <c r="H36" s="24"/>
      <c r="I36" s="31"/>
      <c r="J36" s="35"/>
    </row>
    <row r="37" spans="2:10" x14ac:dyDescent="0.25">
      <c r="B37" s="8" t="s">
        <v>3127</v>
      </c>
      <c r="C37" s="56" t="s">
        <v>3128</v>
      </c>
      <c r="D37" s="53" t="s">
        <v>3129</v>
      </c>
      <c r="E37" s="6" t="s">
        <v>655</v>
      </c>
      <c r="F37" s="19">
        <v>2000000</v>
      </c>
      <c r="G37" s="24">
        <v>2106.9499999999998</v>
      </c>
      <c r="H37" s="24">
        <v>18.78</v>
      </c>
      <c r="I37" s="31">
        <v>5.3436000000000003</v>
      </c>
      <c r="J37" s="35"/>
    </row>
    <row r="38" spans="2:10" x14ac:dyDescent="0.25">
      <c r="B38" s="8" t="s">
        <v>3113</v>
      </c>
      <c r="C38" s="56" t="s">
        <v>3114</v>
      </c>
      <c r="D38" s="53" t="s">
        <v>3115</v>
      </c>
      <c r="E38" s="6" t="s">
        <v>655</v>
      </c>
      <c r="F38" s="19">
        <v>1000000</v>
      </c>
      <c r="G38" s="24">
        <v>1065.94</v>
      </c>
      <c r="H38" s="24">
        <v>9.5</v>
      </c>
      <c r="I38" s="31">
        <v>5.3536999999999999</v>
      </c>
      <c r="J38" s="35"/>
    </row>
    <row r="39" spans="2:10" x14ac:dyDescent="0.25">
      <c r="B39" s="8" t="s">
        <v>1989</v>
      </c>
      <c r="C39" s="56" t="s">
        <v>1990</v>
      </c>
      <c r="D39" s="53" t="s">
        <v>1991</v>
      </c>
      <c r="E39" s="6" t="s">
        <v>655</v>
      </c>
      <c r="F39" s="19">
        <v>250000</v>
      </c>
      <c r="G39" s="24">
        <v>267.89</v>
      </c>
      <c r="H39" s="24">
        <v>2.39</v>
      </c>
      <c r="I39" s="31">
        <v>5.2217000000000002</v>
      </c>
      <c r="J39" s="35"/>
    </row>
    <row r="40" spans="2:10" x14ac:dyDescent="0.25">
      <c r="C40" s="57" t="s">
        <v>35</v>
      </c>
      <c r="D40" s="53"/>
      <c r="E40" s="6"/>
      <c r="F40" s="19"/>
      <c r="G40" s="25">
        <v>3440.78</v>
      </c>
      <c r="H40" s="25">
        <v>30.67</v>
      </c>
      <c r="I40" s="31"/>
      <c r="J40" s="35"/>
    </row>
    <row r="41" spans="2:10" x14ac:dyDescent="0.25">
      <c r="C41" s="56"/>
      <c r="D41" s="53"/>
      <c r="E41" s="6"/>
      <c r="F41" s="19"/>
      <c r="G41" s="24"/>
      <c r="H41" s="24"/>
      <c r="I41" s="31"/>
      <c r="J41" s="35"/>
    </row>
    <row r="42" spans="2:10" x14ac:dyDescent="0.25">
      <c r="C42" s="57" t="s">
        <v>11</v>
      </c>
      <c r="D42" s="53"/>
      <c r="E42" s="6"/>
      <c r="F42" s="19"/>
      <c r="G42" s="24"/>
      <c r="H42" s="24"/>
      <c r="I42" s="31"/>
      <c r="J42" s="35"/>
    </row>
    <row r="43" spans="2:10" x14ac:dyDescent="0.25">
      <c r="C43" s="56"/>
      <c r="D43" s="53"/>
      <c r="E43" s="6"/>
      <c r="F43" s="19"/>
      <c r="G43" s="24"/>
      <c r="H43" s="24"/>
      <c r="I43" s="31"/>
      <c r="J43" s="35"/>
    </row>
    <row r="44" spans="2:10" x14ac:dyDescent="0.25">
      <c r="C44" s="57" t="s">
        <v>13</v>
      </c>
      <c r="D44" s="53"/>
      <c r="E44" s="6"/>
      <c r="F44" s="19"/>
      <c r="G44" s="24" t="s">
        <v>2</v>
      </c>
      <c r="H44" s="24" t="s">
        <v>2</v>
      </c>
      <c r="I44" s="31"/>
      <c r="J44" s="35"/>
    </row>
    <row r="45" spans="2:10" x14ac:dyDescent="0.25">
      <c r="C45" s="56"/>
      <c r="D45" s="53"/>
      <c r="E45" s="6"/>
      <c r="F45" s="19"/>
      <c r="G45" s="24"/>
      <c r="H45" s="24"/>
      <c r="I45" s="31"/>
      <c r="J45" s="35"/>
    </row>
    <row r="46" spans="2:10" x14ac:dyDescent="0.25">
      <c r="C46" s="57" t="s">
        <v>14</v>
      </c>
      <c r="D46" s="53"/>
      <c r="E46" s="6"/>
      <c r="F46" s="19"/>
      <c r="G46" s="24" t="s">
        <v>2</v>
      </c>
      <c r="H46" s="24" t="s">
        <v>2</v>
      </c>
      <c r="I46" s="31"/>
      <c r="J46" s="35"/>
    </row>
    <row r="47" spans="2:10" x14ac:dyDescent="0.25">
      <c r="C47" s="56"/>
      <c r="D47" s="53"/>
      <c r="E47" s="6"/>
      <c r="F47" s="19"/>
      <c r="G47" s="24"/>
      <c r="H47" s="24"/>
      <c r="I47" s="31"/>
      <c r="J47" s="35"/>
    </row>
    <row r="48" spans="2: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185.55</v>
      </c>
      <c r="H62" s="24">
        <v>1.65</v>
      </c>
      <c r="I62" s="31"/>
      <c r="J62" s="35"/>
    </row>
    <row r="63" spans="1:10" x14ac:dyDescent="0.25">
      <c r="C63" s="57" t="s">
        <v>35</v>
      </c>
      <c r="D63" s="53"/>
      <c r="E63" s="6"/>
      <c r="F63" s="19"/>
      <c r="G63" s="25">
        <v>185.55</v>
      </c>
      <c r="H63" s="25">
        <v>1.65</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303.45</v>
      </c>
      <c r="H67" s="24">
        <v>2.7</v>
      </c>
      <c r="I67" s="31"/>
      <c r="J67" s="35"/>
    </row>
    <row r="68" spans="1:10" x14ac:dyDescent="0.25">
      <c r="C68" s="57" t="s">
        <v>35</v>
      </c>
      <c r="D68" s="53"/>
      <c r="E68" s="6"/>
      <c r="F68" s="19"/>
      <c r="G68" s="25">
        <v>303.45</v>
      </c>
      <c r="H68" s="25">
        <v>2.7</v>
      </c>
      <c r="I68" s="31"/>
      <c r="J68" s="35"/>
    </row>
    <row r="69" spans="1:10" x14ac:dyDescent="0.25">
      <c r="C69" s="56"/>
      <c r="D69" s="53"/>
      <c r="E69" s="6"/>
      <c r="F69" s="19"/>
      <c r="G69" s="24"/>
      <c r="H69" s="24"/>
      <c r="I69" s="31"/>
      <c r="J69" s="35"/>
    </row>
    <row r="70" spans="1:10" x14ac:dyDescent="0.25">
      <c r="C70" s="61" t="s">
        <v>37</v>
      </c>
      <c r="D70" s="54"/>
      <c r="E70" s="5"/>
      <c r="F70" s="20"/>
      <c r="G70" s="26">
        <v>11220.24</v>
      </c>
      <c r="H70" s="26">
        <f>SUMIFS(H:H,C:C,"Total")</f>
        <v>100.00000000000001</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2"/>
  <dimension ref="A1:J119"/>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3130</v>
      </c>
      <c r="J2" s="37" t="s">
        <v>3307</v>
      </c>
    </row>
    <row r="3" spans="1:10" ht="16.5" x14ac:dyDescent="0.3">
      <c r="C3" s="1" t="s">
        <v>24</v>
      </c>
      <c r="D3" s="21" t="s">
        <v>3131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112</v>
      </c>
      <c r="C10" s="56" t="s">
        <v>113</v>
      </c>
      <c r="D10" s="53" t="s">
        <v>114</v>
      </c>
      <c r="E10" s="6" t="s">
        <v>111</v>
      </c>
      <c r="F10" s="19">
        <v>629</v>
      </c>
      <c r="G10" s="24">
        <v>19.170000000000002</v>
      </c>
      <c r="H10" s="24">
        <v>0.78</v>
      </c>
      <c r="I10" s="31"/>
      <c r="J10" s="35"/>
    </row>
    <row r="11" spans="1:10" x14ac:dyDescent="0.25">
      <c r="B11" s="8" t="s">
        <v>143</v>
      </c>
      <c r="C11" s="56" t="s">
        <v>144</v>
      </c>
      <c r="D11" s="53" t="s">
        <v>145</v>
      </c>
      <c r="E11" s="6" t="s">
        <v>146</v>
      </c>
      <c r="F11" s="19">
        <v>735</v>
      </c>
      <c r="G11" s="24">
        <v>16.190000000000001</v>
      </c>
      <c r="H11" s="24">
        <v>0.66</v>
      </c>
      <c r="I11" s="31"/>
      <c r="J11" s="35"/>
    </row>
    <row r="12" spans="1:10" x14ac:dyDescent="0.25">
      <c r="B12" s="8" t="s">
        <v>868</v>
      </c>
      <c r="C12" s="56" t="s">
        <v>869</v>
      </c>
      <c r="D12" s="53" t="s">
        <v>870</v>
      </c>
      <c r="E12" s="6" t="s">
        <v>94</v>
      </c>
      <c r="F12" s="19">
        <v>1925</v>
      </c>
      <c r="G12" s="24">
        <v>15.62</v>
      </c>
      <c r="H12" s="24">
        <v>0.64</v>
      </c>
      <c r="I12" s="31"/>
      <c r="J12" s="35"/>
    </row>
    <row r="13" spans="1:10" x14ac:dyDescent="0.25">
      <c r="B13" s="8" t="s">
        <v>1576</v>
      </c>
      <c r="C13" s="56" t="s">
        <v>1577</v>
      </c>
      <c r="D13" s="53" t="s">
        <v>1578</v>
      </c>
      <c r="E13" s="6" t="s">
        <v>90</v>
      </c>
      <c r="F13" s="19">
        <v>2791</v>
      </c>
      <c r="G13" s="24">
        <v>14.25</v>
      </c>
      <c r="H13" s="24">
        <v>0.57999999999999996</v>
      </c>
      <c r="I13" s="31"/>
      <c r="J13" s="35"/>
    </row>
    <row r="14" spans="1:10" x14ac:dyDescent="0.25">
      <c r="B14" s="8" t="s">
        <v>1579</v>
      </c>
      <c r="C14" s="56" t="s">
        <v>1580</v>
      </c>
      <c r="D14" s="53" t="s">
        <v>1581</v>
      </c>
      <c r="E14" s="6" t="s">
        <v>90</v>
      </c>
      <c r="F14" s="19">
        <v>1867</v>
      </c>
      <c r="G14" s="24">
        <v>13.53</v>
      </c>
      <c r="H14" s="24">
        <v>0.55000000000000004</v>
      </c>
      <c r="I14" s="31"/>
      <c r="J14" s="35"/>
    </row>
    <row r="15" spans="1:10" x14ac:dyDescent="0.25">
      <c r="B15" s="8" t="s">
        <v>115</v>
      </c>
      <c r="C15" s="56" t="s">
        <v>116</v>
      </c>
      <c r="D15" s="53" t="s">
        <v>117</v>
      </c>
      <c r="E15" s="6" t="s">
        <v>94</v>
      </c>
      <c r="F15" s="19">
        <v>987</v>
      </c>
      <c r="G15" s="24">
        <v>12.83</v>
      </c>
      <c r="H15" s="24">
        <v>0.52</v>
      </c>
      <c r="I15" s="31"/>
      <c r="J15" s="35"/>
    </row>
    <row r="16" spans="1:10" x14ac:dyDescent="0.25">
      <c r="B16" s="8" t="s">
        <v>130</v>
      </c>
      <c r="C16" s="56" t="s">
        <v>131</v>
      </c>
      <c r="D16" s="53" t="s">
        <v>132</v>
      </c>
      <c r="E16" s="6" t="s">
        <v>47</v>
      </c>
      <c r="F16" s="19">
        <v>345</v>
      </c>
      <c r="G16" s="24">
        <v>12.54</v>
      </c>
      <c r="H16" s="24">
        <v>0.51</v>
      </c>
      <c r="I16" s="31"/>
      <c r="J16" s="35"/>
    </row>
    <row r="17" spans="2:10" x14ac:dyDescent="0.25">
      <c r="B17" s="8" t="s">
        <v>158</v>
      </c>
      <c r="C17" s="56" t="s">
        <v>159</v>
      </c>
      <c r="D17" s="53" t="s">
        <v>160</v>
      </c>
      <c r="E17" s="6" t="s">
        <v>111</v>
      </c>
      <c r="F17" s="19">
        <v>1185</v>
      </c>
      <c r="G17" s="24">
        <v>11.94</v>
      </c>
      <c r="H17" s="24">
        <v>0.49</v>
      </c>
      <c r="I17" s="31"/>
      <c r="J17" s="35"/>
    </row>
    <row r="18" spans="2:10" x14ac:dyDescent="0.25">
      <c r="B18" s="8" t="s">
        <v>769</v>
      </c>
      <c r="C18" s="56" t="s">
        <v>770</v>
      </c>
      <c r="D18" s="53" t="s">
        <v>771</v>
      </c>
      <c r="E18" s="6" t="s">
        <v>111</v>
      </c>
      <c r="F18" s="19">
        <v>1388</v>
      </c>
      <c r="G18" s="24">
        <v>11.06</v>
      </c>
      <c r="H18" s="24">
        <v>0.45</v>
      </c>
      <c r="I18" s="31"/>
      <c r="J18" s="35"/>
    </row>
    <row r="19" spans="2:10" x14ac:dyDescent="0.25">
      <c r="B19" s="8" t="s">
        <v>1582</v>
      </c>
      <c r="C19" s="56" t="s">
        <v>1583</v>
      </c>
      <c r="D19" s="53" t="s">
        <v>1584</v>
      </c>
      <c r="E19" s="6" t="s">
        <v>195</v>
      </c>
      <c r="F19" s="19">
        <v>752</v>
      </c>
      <c r="G19" s="24">
        <v>10.79</v>
      </c>
      <c r="H19" s="24">
        <v>0.44</v>
      </c>
      <c r="I19" s="31"/>
      <c r="J19" s="35"/>
    </row>
    <row r="20" spans="2:10" x14ac:dyDescent="0.25">
      <c r="B20" s="8" t="s">
        <v>439</v>
      </c>
      <c r="C20" s="56" t="s">
        <v>440</v>
      </c>
      <c r="D20" s="53" t="s">
        <v>441</v>
      </c>
      <c r="E20" s="6" t="s">
        <v>111</v>
      </c>
      <c r="F20" s="19">
        <v>2191</v>
      </c>
      <c r="G20" s="24">
        <v>9.81</v>
      </c>
      <c r="H20" s="24">
        <v>0.4</v>
      </c>
      <c r="I20" s="31"/>
      <c r="J20" s="35"/>
    </row>
    <row r="21" spans="2:10" x14ac:dyDescent="0.25">
      <c r="B21" s="8" t="s">
        <v>87</v>
      </c>
      <c r="C21" s="56" t="s">
        <v>88</v>
      </c>
      <c r="D21" s="53" t="s">
        <v>89</v>
      </c>
      <c r="E21" s="6" t="s">
        <v>90</v>
      </c>
      <c r="F21" s="19">
        <v>658</v>
      </c>
      <c r="G21" s="24">
        <v>9.43</v>
      </c>
      <c r="H21" s="24">
        <v>0.38</v>
      </c>
      <c r="I21" s="31"/>
      <c r="J21" s="35"/>
    </row>
    <row r="22" spans="2:10" x14ac:dyDescent="0.25">
      <c r="B22" s="8" t="s">
        <v>398</v>
      </c>
      <c r="C22" s="56" t="s">
        <v>399</v>
      </c>
      <c r="D22" s="53" t="s">
        <v>400</v>
      </c>
      <c r="E22" s="6" t="s">
        <v>90</v>
      </c>
      <c r="F22" s="19">
        <v>2549</v>
      </c>
      <c r="G22" s="24">
        <v>9.25</v>
      </c>
      <c r="H22" s="24">
        <v>0.38</v>
      </c>
      <c r="I22" s="31"/>
      <c r="J22" s="35"/>
    </row>
    <row r="23" spans="2:10" x14ac:dyDescent="0.25">
      <c r="B23" s="8" t="s">
        <v>1585</v>
      </c>
      <c r="C23" s="56" t="s">
        <v>1586</v>
      </c>
      <c r="D23" s="53" t="s">
        <v>1587</v>
      </c>
      <c r="E23" s="6" t="s">
        <v>83</v>
      </c>
      <c r="F23" s="19">
        <v>1236</v>
      </c>
      <c r="G23" s="24">
        <v>8.3800000000000008</v>
      </c>
      <c r="H23" s="24">
        <v>0.34</v>
      </c>
      <c r="I23" s="31"/>
      <c r="J23" s="35"/>
    </row>
    <row r="24" spans="2:10" x14ac:dyDescent="0.25">
      <c r="B24" s="8" t="s">
        <v>1354</v>
      </c>
      <c r="C24" s="56" t="s">
        <v>1355</v>
      </c>
      <c r="D24" s="53" t="s">
        <v>1356</v>
      </c>
      <c r="E24" s="6" t="s">
        <v>826</v>
      </c>
      <c r="F24" s="19">
        <v>3701</v>
      </c>
      <c r="G24" s="24">
        <v>8.17</v>
      </c>
      <c r="H24" s="24">
        <v>0.33</v>
      </c>
      <c r="I24" s="31"/>
      <c r="J24" s="35"/>
    </row>
    <row r="25" spans="2:10" x14ac:dyDescent="0.25">
      <c r="B25" s="8" t="s">
        <v>324</v>
      </c>
      <c r="C25" s="56" t="s">
        <v>325</v>
      </c>
      <c r="D25" s="53" t="s">
        <v>326</v>
      </c>
      <c r="E25" s="6" t="s">
        <v>41</v>
      </c>
      <c r="F25" s="19">
        <v>3626</v>
      </c>
      <c r="G25" s="24">
        <v>7.87</v>
      </c>
      <c r="H25" s="24">
        <v>0.32</v>
      </c>
      <c r="I25" s="31"/>
      <c r="J25" s="35"/>
    </row>
    <row r="26" spans="2:10" x14ac:dyDescent="0.25">
      <c r="B26" s="8" t="s">
        <v>442</v>
      </c>
      <c r="C26" s="56" t="s">
        <v>443</v>
      </c>
      <c r="D26" s="53" t="s">
        <v>444</v>
      </c>
      <c r="E26" s="6" t="s">
        <v>90</v>
      </c>
      <c r="F26" s="19">
        <v>1470</v>
      </c>
      <c r="G26" s="24">
        <v>7.58</v>
      </c>
      <c r="H26" s="24">
        <v>0.31</v>
      </c>
      <c r="I26" s="31"/>
      <c r="J26" s="35"/>
    </row>
    <row r="27" spans="2:10" x14ac:dyDescent="0.25">
      <c r="B27" s="8" t="s">
        <v>161</v>
      </c>
      <c r="C27" s="56" t="s">
        <v>162</v>
      </c>
      <c r="D27" s="53" t="s">
        <v>163</v>
      </c>
      <c r="E27" s="6" t="s">
        <v>94</v>
      </c>
      <c r="F27" s="19">
        <v>1772</v>
      </c>
      <c r="G27" s="24">
        <v>7.46</v>
      </c>
      <c r="H27" s="24">
        <v>0.3</v>
      </c>
      <c r="I27" s="31"/>
      <c r="J27" s="35"/>
    </row>
    <row r="28" spans="2:10" x14ac:dyDescent="0.25">
      <c r="B28" s="8" t="s">
        <v>1592</v>
      </c>
      <c r="C28" s="56" t="s">
        <v>1593</v>
      </c>
      <c r="D28" s="53" t="s">
        <v>1594</v>
      </c>
      <c r="E28" s="6" t="s">
        <v>90</v>
      </c>
      <c r="F28" s="19">
        <v>1198</v>
      </c>
      <c r="G28" s="24">
        <v>6.99</v>
      </c>
      <c r="H28" s="24">
        <v>0.28000000000000003</v>
      </c>
      <c r="I28" s="31"/>
      <c r="J28" s="35"/>
    </row>
    <row r="29" spans="2:10" x14ac:dyDescent="0.25">
      <c r="B29" s="8" t="s">
        <v>1595</v>
      </c>
      <c r="C29" s="56" t="s">
        <v>1596</v>
      </c>
      <c r="D29" s="53" t="s">
        <v>1597</v>
      </c>
      <c r="E29" s="6" t="s">
        <v>94</v>
      </c>
      <c r="F29" s="19">
        <v>557</v>
      </c>
      <c r="G29" s="24">
        <v>6.98</v>
      </c>
      <c r="H29" s="24">
        <v>0.28000000000000003</v>
      </c>
      <c r="I29" s="31"/>
      <c r="J29" s="35"/>
    </row>
    <row r="30" spans="2:10" x14ac:dyDescent="0.25">
      <c r="B30" s="8" t="s">
        <v>1598</v>
      </c>
      <c r="C30" s="56" t="s">
        <v>1599</v>
      </c>
      <c r="D30" s="53" t="s">
        <v>1600</v>
      </c>
      <c r="E30" s="6" t="s">
        <v>196</v>
      </c>
      <c r="F30" s="19">
        <v>5922</v>
      </c>
      <c r="G30" s="24">
        <v>6.8</v>
      </c>
      <c r="H30" s="24">
        <v>0.28000000000000003</v>
      </c>
      <c r="I30" s="31"/>
      <c r="J30" s="35"/>
    </row>
    <row r="31" spans="2:10" x14ac:dyDescent="0.25">
      <c r="B31" s="8" t="s">
        <v>177</v>
      </c>
      <c r="C31" s="56" t="s">
        <v>178</v>
      </c>
      <c r="D31" s="53" t="s">
        <v>179</v>
      </c>
      <c r="E31" s="6" t="s">
        <v>111</v>
      </c>
      <c r="F31" s="19">
        <v>242</v>
      </c>
      <c r="G31" s="24">
        <v>6.78</v>
      </c>
      <c r="H31" s="24">
        <v>0.28000000000000003</v>
      </c>
      <c r="I31" s="31"/>
      <c r="J31" s="35"/>
    </row>
    <row r="32" spans="2:10" x14ac:dyDescent="0.25">
      <c r="B32" s="8" t="s">
        <v>1601</v>
      </c>
      <c r="C32" s="56" t="s">
        <v>1602</v>
      </c>
      <c r="D32" s="53" t="s">
        <v>1603</v>
      </c>
      <c r="E32" s="6" t="s">
        <v>826</v>
      </c>
      <c r="F32" s="19">
        <v>1727</v>
      </c>
      <c r="G32" s="24">
        <v>6.68</v>
      </c>
      <c r="H32" s="24">
        <v>0.27</v>
      </c>
      <c r="I32" s="31"/>
      <c r="J32" s="35"/>
    </row>
    <row r="33" spans="2:10" x14ac:dyDescent="0.25">
      <c r="B33" s="8" t="s">
        <v>805</v>
      </c>
      <c r="C33" s="56" t="s">
        <v>806</v>
      </c>
      <c r="D33" s="53" t="s">
        <v>807</v>
      </c>
      <c r="E33" s="6" t="s">
        <v>55</v>
      </c>
      <c r="F33" s="19">
        <v>3685</v>
      </c>
      <c r="G33" s="24">
        <v>6.66</v>
      </c>
      <c r="H33" s="24">
        <v>0.27</v>
      </c>
      <c r="I33" s="31"/>
      <c r="J33" s="35"/>
    </row>
    <row r="34" spans="2:10" x14ac:dyDescent="0.25">
      <c r="B34" s="8" t="s">
        <v>1604</v>
      </c>
      <c r="C34" s="56" t="s">
        <v>1605</v>
      </c>
      <c r="D34" s="53" t="s">
        <v>1606</v>
      </c>
      <c r="E34" s="6" t="s">
        <v>94</v>
      </c>
      <c r="F34" s="19">
        <v>273</v>
      </c>
      <c r="G34" s="24">
        <v>6.2</v>
      </c>
      <c r="H34" s="24">
        <v>0.25</v>
      </c>
      <c r="I34" s="31"/>
      <c r="J34" s="35"/>
    </row>
    <row r="35" spans="2:10" x14ac:dyDescent="0.25">
      <c r="B35" s="8" t="s">
        <v>69</v>
      </c>
      <c r="C35" s="56" t="s">
        <v>70</v>
      </c>
      <c r="D35" s="53" t="s">
        <v>71</v>
      </c>
      <c r="E35" s="6" t="s">
        <v>72</v>
      </c>
      <c r="F35" s="19">
        <v>29</v>
      </c>
      <c r="G35" s="24">
        <v>6.19</v>
      </c>
      <c r="H35" s="24">
        <v>0.25</v>
      </c>
      <c r="I35" s="31"/>
      <c r="J35" s="35"/>
    </row>
    <row r="36" spans="2:10" x14ac:dyDescent="0.25">
      <c r="B36" s="8" t="s">
        <v>229</v>
      </c>
      <c r="C36" s="56" t="s">
        <v>230</v>
      </c>
      <c r="D36" s="53" t="s">
        <v>231</v>
      </c>
      <c r="E36" s="6" t="s">
        <v>94</v>
      </c>
      <c r="F36" s="19">
        <v>534</v>
      </c>
      <c r="G36" s="24">
        <v>6.05</v>
      </c>
      <c r="H36" s="24">
        <v>0.25</v>
      </c>
      <c r="I36" s="31"/>
      <c r="J36" s="35"/>
    </row>
    <row r="37" spans="2:10" x14ac:dyDescent="0.25">
      <c r="B37" s="8" t="s">
        <v>1607</v>
      </c>
      <c r="C37" s="56" t="s">
        <v>1608</v>
      </c>
      <c r="D37" s="53" t="s">
        <v>1609</v>
      </c>
      <c r="E37" s="6" t="s">
        <v>94</v>
      </c>
      <c r="F37" s="19">
        <v>247</v>
      </c>
      <c r="G37" s="24">
        <v>5.96</v>
      </c>
      <c r="H37" s="24">
        <v>0.24</v>
      </c>
      <c r="I37" s="31"/>
      <c r="J37" s="35"/>
    </row>
    <row r="38" spans="2:10" x14ac:dyDescent="0.25">
      <c r="B38" s="8" t="s">
        <v>139</v>
      </c>
      <c r="C38" s="56" t="s">
        <v>140</v>
      </c>
      <c r="D38" s="53" t="s">
        <v>141</v>
      </c>
      <c r="E38" s="6" t="s">
        <v>142</v>
      </c>
      <c r="F38" s="19">
        <v>475</v>
      </c>
      <c r="G38" s="24">
        <v>5.93</v>
      </c>
      <c r="H38" s="24">
        <v>0.24</v>
      </c>
      <c r="I38" s="31"/>
      <c r="J38" s="35"/>
    </row>
    <row r="39" spans="2:10" x14ac:dyDescent="0.25">
      <c r="B39" s="8" t="s">
        <v>370</v>
      </c>
      <c r="C39" s="56" t="s">
        <v>371</v>
      </c>
      <c r="D39" s="53" t="s">
        <v>372</v>
      </c>
      <c r="E39" s="6" t="s">
        <v>41</v>
      </c>
      <c r="F39" s="19">
        <v>417</v>
      </c>
      <c r="G39" s="24">
        <v>5.81</v>
      </c>
      <c r="H39" s="24">
        <v>0.24</v>
      </c>
      <c r="I39" s="31"/>
      <c r="J39" s="35"/>
    </row>
    <row r="40" spans="2:10" x14ac:dyDescent="0.25">
      <c r="B40" s="8" t="s">
        <v>899</v>
      </c>
      <c r="C40" s="56" t="s">
        <v>900</v>
      </c>
      <c r="D40" s="53" t="s">
        <v>901</v>
      </c>
      <c r="E40" s="6" t="s">
        <v>196</v>
      </c>
      <c r="F40" s="19">
        <v>42</v>
      </c>
      <c r="G40" s="24">
        <v>5.77</v>
      </c>
      <c r="H40" s="24">
        <v>0.23</v>
      </c>
      <c r="I40" s="31"/>
      <c r="J40" s="35"/>
    </row>
    <row r="41" spans="2:10" x14ac:dyDescent="0.25">
      <c r="B41" s="8" t="s">
        <v>2242</v>
      </c>
      <c r="C41" s="56" t="s">
        <v>938</v>
      </c>
      <c r="D41" s="53" t="s">
        <v>2243</v>
      </c>
      <c r="E41" s="6" t="s">
        <v>94</v>
      </c>
      <c r="F41" s="19">
        <v>924</v>
      </c>
      <c r="G41" s="24">
        <v>5.72</v>
      </c>
      <c r="H41" s="24">
        <v>0.23</v>
      </c>
      <c r="I41" s="31"/>
      <c r="J41" s="35"/>
    </row>
    <row r="42" spans="2:10" x14ac:dyDescent="0.25">
      <c r="B42" s="8" t="s">
        <v>1610</v>
      </c>
      <c r="C42" s="56" t="s">
        <v>1611</v>
      </c>
      <c r="D42" s="53" t="s">
        <v>1612</v>
      </c>
      <c r="E42" s="6" t="s">
        <v>254</v>
      </c>
      <c r="F42" s="19">
        <v>439</v>
      </c>
      <c r="G42" s="24">
        <v>5.55</v>
      </c>
      <c r="H42" s="24">
        <v>0.23</v>
      </c>
      <c r="I42" s="31"/>
      <c r="J42" s="35"/>
    </row>
    <row r="43" spans="2:10" x14ac:dyDescent="0.25">
      <c r="B43" s="8" t="s">
        <v>255</v>
      </c>
      <c r="C43" s="56" t="s">
        <v>256</v>
      </c>
      <c r="D43" s="53" t="s">
        <v>257</v>
      </c>
      <c r="E43" s="6" t="s">
        <v>51</v>
      </c>
      <c r="F43" s="19">
        <v>1987</v>
      </c>
      <c r="G43" s="24">
        <v>5.42</v>
      </c>
      <c r="H43" s="24">
        <v>0.22</v>
      </c>
      <c r="I43" s="31"/>
      <c r="J43" s="35"/>
    </row>
    <row r="44" spans="2:10" x14ac:dyDescent="0.25">
      <c r="B44" s="8" t="s">
        <v>469</v>
      </c>
      <c r="C44" s="56" t="s">
        <v>470</v>
      </c>
      <c r="D44" s="53" t="s">
        <v>471</v>
      </c>
      <c r="E44" s="6" t="s">
        <v>90</v>
      </c>
      <c r="F44" s="19">
        <v>548</v>
      </c>
      <c r="G44" s="24">
        <v>5.24</v>
      </c>
      <c r="H44" s="24">
        <v>0.21</v>
      </c>
      <c r="I44" s="31"/>
      <c r="J44" s="35"/>
    </row>
    <row r="45" spans="2:10" x14ac:dyDescent="0.25">
      <c r="B45" s="8" t="s">
        <v>1613</v>
      </c>
      <c r="C45" s="56" t="s">
        <v>1614</v>
      </c>
      <c r="D45" s="53" t="s">
        <v>1615</v>
      </c>
      <c r="E45" s="6" t="s">
        <v>111</v>
      </c>
      <c r="F45" s="19">
        <v>1263</v>
      </c>
      <c r="G45" s="24">
        <v>4.99</v>
      </c>
      <c r="H45" s="24">
        <v>0.2</v>
      </c>
      <c r="I45" s="31"/>
      <c r="J45" s="35"/>
    </row>
    <row r="46" spans="2:10" x14ac:dyDescent="0.25">
      <c r="B46" s="8" t="s">
        <v>1618</v>
      </c>
      <c r="C46" s="56" t="s">
        <v>1619</v>
      </c>
      <c r="D46" s="53" t="s">
        <v>1620</v>
      </c>
      <c r="E46" s="6" t="s">
        <v>142</v>
      </c>
      <c r="F46" s="19">
        <v>1353</v>
      </c>
      <c r="G46" s="24">
        <v>4.9400000000000004</v>
      </c>
      <c r="H46" s="24">
        <v>0.2</v>
      </c>
      <c r="I46" s="31"/>
      <c r="J46" s="35"/>
    </row>
    <row r="47" spans="2:10" x14ac:dyDescent="0.25">
      <c r="B47" s="8" t="s">
        <v>1616</v>
      </c>
      <c r="C47" s="56" t="s">
        <v>601</v>
      </c>
      <c r="D47" s="53" t="s">
        <v>1617</v>
      </c>
      <c r="E47" s="6" t="s">
        <v>94</v>
      </c>
      <c r="F47" s="19">
        <v>5733</v>
      </c>
      <c r="G47" s="24">
        <v>4.9400000000000004</v>
      </c>
      <c r="H47" s="24">
        <v>0.2</v>
      </c>
      <c r="I47" s="31"/>
      <c r="J47" s="35"/>
    </row>
    <row r="48" spans="2:10" x14ac:dyDescent="0.25">
      <c r="B48" s="8" t="s">
        <v>294</v>
      </c>
      <c r="C48" s="56" t="s">
        <v>295</v>
      </c>
      <c r="D48" s="53" t="s">
        <v>296</v>
      </c>
      <c r="E48" s="6" t="s">
        <v>274</v>
      </c>
      <c r="F48" s="19">
        <v>3054</v>
      </c>
      <c r="G48" s="24">
        <v>4.66</v>
      </c>
      <c r="H48" s="24">
        <v>0.19</v>
      </c>
      <c r="I48" s="31"/>
      <c r="J48" s="35"/>
    </row>
    <row r="49" spans="2:10" x14ac:dyDescent="0.25">
      <c r="B49" s="8" t="s">
        <v>415</v>
      </c>
      <c r="C49" s="56" t="s">
        <v>416</v>
      </c>
      <c r="D49" s="53" t="s">
        <v>417</v>
      </c>
      <c r="E49" s="6" t="s">
        <v>90</v>
      </c>
      <c r="F49" s="19">
        <v>46</v>
      </c>
      <c r="G49" s="24">
        <v>4.58</v>
      </c>
      <c r="H49" s="24">
        <v>0.19</v>
      </c>
      <c r="I49" s="31"/>
      <c r="J49" s="35"/>
    </row>
    <row r="50" spans="2:10" x14ac:dyDescent="0.25">
      <c r="B50" s="8" t="s">
        <v>1621</v>
      </c>
      <c r="C50" s="56" t="s">
        <v>1622</v>
      </c>
      <c r="D50" s="53" t="s">
        <v>1623</v>
      </c>
      <c r="E50" s="6" t="s">
        <v>94</v>
      </c>
      <c r="F50" s="19">
        <v>510</v>
      </c>
      <c r="G50" s="24">
        <v>4.32</v>
      </c>
      <c r="H50" s="24">
        <v>0.18</v>
      </c>
      <c r="I50" s="31"/>
      <c r="J50" s="35"/>
    </row>
    <row r="51" spans="2:10" x14ac:dyDescent="0.25">
      <c r="B51" s="8" t="s">
        <v>454</v>
      </c>
      <c r="C51" s="56" t="s">
        <v>455</v>
      </c>
      <c r="D51" s="53" t="s">
        <v>456</v>
      </c>
      <c r="E51" s="6" t="s">
        <v>111</v>
      </c>
      <c r="F51" s="19">
        <v>26</v>
      </c>
      <c r="G51" s="24">
        <v>4.29</v>
      </c>
      <c r="H51" s="24">
        <v>0.17</v>
      </c>
      <c r="I51" s="31"/>
      <c r="J51" s="35"/>
    </row>
    <row r="52" spans="2:10" x14ac:dyDescent="0.25">
      <c r="B52" s="8" t="s">
        <v>1624</v>
      </c>
      <c r="C52" s="56" t="s">
        <v>1625</v>
      </c>
      <c r="D52" s="53" t="s">
        <v>1626</v>
      </c>
      <c r="E52" s="6" t="s">
        <v>886</v>
      </c>
      <c r="F52" s="19">
        <v>4533</v>
      </c>
      <c r="G52" s="24">
        <v>3.73</v>
      </c>
      <c r="H52" s="24">
        <v>0.15</v>
      </c>
      <c r="I52" s="31"/>
      <c r="J52" s="35"/>
    </row>
    <row r="53" spans="2:10" x14ac:dyDescent="0.25">
      <c r="B53" s="8" t="s">
        <v>463</v>
      </c>
      <c r="C53" s="56" t="s">
        <v>464</v>
      </c>
      <c r="D53" s="53" t="s">
        <v>465</v>
      </c>
      <c r="E53" s="6" t="s">
        <v>47</v>
      </c>
      <c r="F53" s="19">
        <v>115</v>
      </c>
      <c r="G53" s="24">
        <v>3.53</v>
      </c>
      <c r="H53" s="24">
        <v>0.14000000000000001</v>
      </c>
      <c r="I53" s="31"/>
      <c r="J53" s="35"/>
    </row>
    <row r="54" spans="2:10" x14ac:dyDescent="0.25">
      <c r="B54" s="8" t="s">
        <v>1627</v>
      </c>
      <c r="C54" s="56" t="s">
        <v>1628</v>
      </c>
      <c r="D54" s="53" t="s">
        <v>1629</v>
      </c>
      <c r="E54" s="6" t="s">
        <v>261</v>
      </c>
      <c r="F54" s="19">
        <v>1357</v>
      </c>
      <c r="G54" s="24">
        <v>3.28</v>
      </c>
      <c r="H54" s="24">
        <v>0.13</v>
      </c>
      <c r="I54" s="31"/>
      <c r="J54" s="35"/>
    </row>
    <row r="55" spans="2:10" x14ac:dyDescent="0.25">
      <c r="B55" s="8" t="s">
        <v>1630</v>
      </c>
      <c r="C55" s="56" t="s">
        <v>1631</v>
      </c>
      <c r="D55" s="53" t="s">
        <v>1632</v>
      </c>
      <c r="E55" s="6" t="s">
        <v>170</v>
      </c>
      <c r="F55" s="19">
        <v>1251</v>
      </c>
      <c r="G55" s="24">
        <v>2.63</v>
      </c>
      <c r="H55" s="24">
        <v>0.11</v>
      </c>
      <c r="I55" s="31"/>
      <c r="J55" s="35"/>
    </row>
    <row r="56" spans="2:10" x14ac:dyDescent="0.25">
      <c r="B56" s="8" t="s">
        <v>893</v>
      </c>
      <c r="C56" s="56" t="s">
        <v>894</v>
      </c>
      <c r="D56" s="53" t="s">
        <v>895</v>
      </c>
      <c r="E56" s="6" t="s">
        <v>261</v>
      </c>
      <c r="F56" s="19">
        <v>12393</v>
      </c>
      <c r="G56" s="24">
        <v>2.5</v>
      </c>
      <c r="H56" s="24">
        <v>0.1</v>
      </c>
      <c r="I56" s="31"/>
      <c r="J56" s="35"/>
    </row>
    <row r="57" spans="2:10" x14ac:dyDescent="0.25">
      <c r="B57" s="8" t="s">
        <v>817</v>
      </c>
      <c r="C57" s="56" t="s">
        <v>818</v>
      </c>
      <c r="D57" s="53" t="s">
        <v>819</v>
      </c>
      <c r="E57" s="6" t="s">
        <v>51</v>
      </c>
      <c r="F57" s="19">
        <v>5929</v>
      </c>
      <c r="G57" s="24">
        <v>2.4300000000000002</v>
      </c>
      <c r="H57" s="24">
        <v>0.1</v>
      </c>
      <c r="I57" s="31"/>
      <c r="J57" s="35"/>
    </row>
    <row r="58" spans="2:10" x14ac:dyDescent="0.25">
      <c r="B58" s="8" t="s">
        <v>401</v>
      </c>
      <c r="C58" s="56" t="s">
        <v>402</v>
      </c>
      <c r="D58" s="53" t="s">
        <v>403</v>
      </c>
      <c r="E58" s="6" t="s">
        <v>51</v>
      </c>
      <c r="F58" s="19">
        <v>6502</v>
      </c>
      <c r="G58" s="24">
        <v>1.86</v>
      </c>
      <c r="H58" s="24">
        <v>0.08</v>
      </c>
      <c r="I58" s="31"/>
      <c r="J58" s="35"/>
    </row>
    <row r="59" spans="2:10" x14ac:dyDescent="0.25">
      <c r="B59" s="8" t="s">
        <v>1633</v>
      </c>
      <c r="C59" s="56" t="s">
        <v>1634</v>
      </c>
      <c r="D59" s="53" t="s">
        <v>1635</v>
      </c>
      <c r="E59" s="6" t="s">
        <v>94</v>
      </c>
      <c r="F59" s="19">
        <v>1212</v>
      </c>
      <c r="G59" s="24">
        <v>1.47</v>
      </c>
      <c r="H59" s="24">
        <v>0.06</v>
      </c>
      <c r="I59" s="31"/>
      <c r="J59" s="35"/>
    </row>
    <row r="60" spans="2:10" x14ac:dyDescent="0.25">
      <c r="C60" s="57" t="s">
        <v>35</v>
      </c>
      <c r="D60" s="53"/>
      <c r="E60" s="6"/>
      <c r="F60" s="19"/>
      <c r="G60" s="25">
        <v>364.75</v>
      </c>
      <c r="H60" s="25">
        <v>14.83</v>
      </c>
      <c r="I60" s="31"/>
      <c r="J60" s="35"/>
    </row>
    <row r="61" spans="2:10" x14ac:dyDescent="0.25">
      <c r="C61" s="56"/>
      <c r="D61" s="53"/>
      <c r="E61" s="6"/>
      <c r="F61" s="19"/>
      <c r="G61" s="24"/>
      <c r="H61" s="24"/>
      <c r="I61" s="31"/>
      <c r="J61" s="35"/>
    </row>
    <row r="62" spans="2:10" x14ac:dyDescent="0.25">
      <c r="C62" s="57" t="s">
        <v>3</v>
      </c>
      <c r="D62" s="53"/>
      <c r="E62" s="6"/>
      <c r="F62" s="19"/>
      <c r="G62" s="24" t="s">
        <v>2</v>
      </c>
      <c r="H62" s="24" t="s">
        <v>2</v>
      </c>
      <c r="I62" s="31"/>
      <c r="J62" s="35"/>
    </row>
    <row r="63" spans="2:10" x14ac:dyDescent="0.25">
      <c r="C63" s="56"/>
      <c r="D63" s="53"/>
      <c r="E63" s="6"/>
      <c r="F63" s="19"/>
      <c r="G63" s="24"/>
      <c r="H63" s="24"/>
      <c r="I63" s="31"/>
      <c r="J63" s="35"/>
    </row>
    <row r="64" spans="2:10" x14ac:dyDescent="0.25">
      <c r="C64" s="57" t="s">
        <v>4</v>
      </c>
      <c r="D64" s="53"/>
      <c r="E64" s="6"/>
      <c r="F64" s="19"/>
      <c r="G64" s="24" t="s">
        <v>2</v>
      </c>
      <c r="H64" s="24" t="s">
        <v>2</v>
      </c>
      <c r="I64" s="31"/>
      <c r="J64" s="35"/>
    </row>
    <row r="65" spans="1:10" x14ac:dyDescent="0.25">
      <c r="C65" s="56"/>
      <c r="D65" s="53"/>
      <c r="E65" s="6"/>
      <c r="F65" s="19"/>
      <c r="G65" s="24"/>
      <c r="H65" s="24"/>
      <c r="I65" s="31"/>
      <c r="J65" s="35"/>
    </row>
    <row r="66" spans="1:10" x14ac:dyDescent="0.25">
      <c r="A66" s="10"/>
      <c r="B66" s="28"/>
      <c r="C66" s="58" t="s">
        <v>5</v>
      </c>
      <c r="D66" s="53"/>
      <c r="E66" s="6"/>
      <c r="F66" s="19"/>
      <c r="G66" s="24"/>
      <c r="H66" s="24"/>
      <c r="I66" s="31"/>
      <c r="J66" s="35"/>
    </row>
    <row r="67" spans="1:10" x14ac:dyDescent="0.25">
      <c r="C67" s="59" t="s">
        <v>6</v>
      </c>
      <c r="D67" s="53"/>
      <c r="E67" s="6"/>
      <c r="F67" s="19"/>
      <c r="G67" s="24"/>
      <c r="H67" s="24"/>
      <c r="I67" s="31"/>
      <c r="J67" s="35"/>
    </row>
    <row r="68" spans="1:10" x14ac:dyDescent="0.25">
      <c r="B68" s="8" t="s">
        <v>1870</v>
      </c>
      <c r="C68" s="56" t="s">
        <v>1376</v>
      </c>
      <c r="D68" s="53" t="s">
        <v>1871</v>
      </c>
      <c r="E68" s="6" t="s">
        <v>534</v>
      </c>
      <c r="F68" s="19">
        <v>20</v>
      </c>
      <c r="G68" s="24">
        <v>205.93</v>
      </c>
      <c r="H68" s="24">
        <v>8.39</v>
      </c>
      <c r="I68" s="31">
        <v>5.6</v>
      </c>
      <c r="J68" s="35" t="s">
        <v>514</v>
      </c>
    </row>
    <row r="69" spans="1:10" x14ac:dyDescent="0.25">
      <c r="B69" s="8" t="s">
        <v>3074</v>
      </c>
      <c r="C69" s="56" t="s">
        <v>1127</v>
      </c>
      <c r="D69" s="53" t="s">
        <v>3075</v>
      </c>
      <c r="E69" s="6" t="s">
        <v>534</v>
      </c>
      <c r="F69" s="19">
        <v>15</v>
      </c>
      <c r="G69" s="24">
        <v>161.24</v>
      </c>
      <c r="H69" s="24">
        <v>6.57</v>
      </c>
      <c r="I69" s="31">
        <v>5.6996000000000002</v>
      </c>
      <c r="J69" s="35" t="s">
        <v>514</v>
      </c>
    </row>
    <row r="70" spans="1:10" x14ac:dyDescent="0.25">
      <c r="B70" s="8" t="s">
        <v>1707</v>
      </c>
      <c r="C70" s="56" t="s">
        <v>53</v>
      </c>
      <c r="D70" s="53" t="s">
        <v>1708</v>
      </c>
      <c r="E70" s="6" t="s">
        <v>534</v>
      </c>
      <c r="F70" s="19">
        <v>10</v>
      </c>
      <c r="G70" s="24">
        <v>106.24</v>
      </c>
      <c r="H70" s="24">
        <v>4.33</v>
      </c>
      <c r="I70" s="31">
        <v>5.2850000000000001</v>
      </c>
      <c r="J70" s="35" t="s">
        <v>514</v>
      </c>
    </row>
    <row r="71" spans="1:10" x14ac:dyDescent="0.25">
      <c r="B71" s="8" t="s">
        <v>2758</v>
      </c>
      <c r="C71" s="56" t="s">
        <v>77</v>
      </c>
      <c r="D71" s="53" t="s">
        <v>2759</v>
      </c>
      <c r="E71" s="6" t="s">
        <v>534</v>
      </c>
      <c r="F71" s="19">
        <v>10</v>
      </c>
      <c r="G71" s="24">
        <v>104.69</v>
      </c>
      <c r="H71" s="24">
        <v>4.2699999999999996</v>
      </c>
      <c r="I71" s="31">
        <v>5.2249999999999996</v>
      </c>
      <c r="J71" s="35" t="s">
        <v>514</v>
      </c>
    </row>
    <row r="72" spans="1:10" x14ac:dyDescent="0.25">
      <c r="C72" s="57" t="s">
        <v>35</v>
      </c>
      <c r="D72" s="53"/>
      <c r="E72" s="6"/>
      <c r="F72" s="19"/>
      <c r="G72" s="25">
        <v>578.1</v>
      </c>
      <c r="H72" s="25">
        <v>23.56</v>
      </c>
      <c r="I72" s="31"/>
      <c r="J72" s="35"/>
    </row>
    <row r="73" spans="1:10" x14ac:dyDescent="0.25">
      <c r="C73" s="56"/>
      <c r="D73" s="53"/>
      <c r="E73" s="6"/>
      <c r="F73" s="19"/>
      <c r="G73" s="24"/>
      <c r="H73" s="24"/>
      <c r="I73" s="31"/>
      <c r="J73" s="35"/>
    </row>
    <row r="74" spans="1:10" x14ac:dyDescent="0.25">
      <c r="C74" s="57" t="s">
        <v>7</v>
      </c>
      <c r="D74" s="53"/>
      <c r="E74" s="6"/>
      <c r="F74" s="19"/>
      <c r="G74" s="24" t="s">
        <v>2</v>
      </c>
      <c r="H74" s="24" t="s">
        <v>2</v>
      </c>
      <c r="I74" s="31"/>
      <c r="J74" s="35"/>
    </row>
    <row r="75" spans="1:10" x14ac:dyDescent="0.25">
      <c r="C75" s="56"/>
      <c r="D75" s="53"/>
      <c r="E75" s="6"/>
      <c r="F75" s="19"/>
      <c r="G75" s="24"/>
      <c r="H75" s="24"/>
      <c r="I75" s="31"/>
      <c r="J75" s="35"/>
    </row>
    <row r="76" spans="1:10" x14ac:dyDescent="0.25">
      <c r="C76" s="57" t="s">
        <v>8</v>
      </c>
      <c r="D76" s="53"/>
      <c r="E76" s="6"/>
      <c r="F76" s="19"/>
      <c r="G76" s="24" t="s">
        <v>2</v>
      </c>
      <c r="H76" s="24" t="s">
        <v>2</v>
      </c>
      <c r="I76" s="31"/>
      <c r="J76" s="35"/>
    </row>
    <row r="77" spans="1:10" x14ac:dyDescent="0.25">
      <c r="C77" s="56"/>
      <c r="D77" s="53"/>
      <c r="E77" s="6"/>
      <c r="F77" s="19"/>
      <c r="G77" s="24"/>
      <c r="H77" s="24"/>
      <c r="I77" s="31"/>
      <c r="J77" s="35"/>
    </row>
    <row r="78" spans="1:10" x14ac:dyDescent="0.25">
      <c r="C78" s="57" t="s">
        <v>9</v>
      </c>
      <c r="D78" s="53"/>
      <c r="E78" s="6"/>
      <c r="F78" s="19"/>
      <c r="G78" s="24" t="s">
        <v>2</v>
      </c>
      <c r="H78" s="24" t="s">
        <v>2</v>
      </c>
      <c r="I78" s="31"/>
      <c r="J78" s="35"/>
    </row>
    <row r="79" spans="1:10" x14ac:dyDescent="0.25">
      <c r="C79" s="56"/>
      <c r="D79" s="53"/>
      <c r="E79" s="6"/>
      <c r="F79" s="19"/>
      <c r="G79" s="24"/>
      <c r="H79" s="24"/>
      <c r="I79" s="31"/>
      <c r="J79" s="35"/>
    </row>
    <row r="80" spans="1:10" x14ac:dyDescent="0.25">
      <c r="C80" s="59" t="s">
        <v>10</v>
      </c>
      <c r="D80" s="53"/>
      <c r="E80" s="6"/>
      <c r="F80" s="19"/>
      <c r="G80" s="24"/>
      <c r="H80" s="24"/>
      <c r="I80" s="31"/>
      <c r="J80" s="35"/>
    </row>
    <row r="81" spans="1:10" x14ac:dyDescent="0.25">
      <c r="B81" s="8" t="s">
        <v>3132</v>
      </c>
      <c r="C81" s="56" t="s">
        <v>3133</v>
      </c>
      <c r="D81" s="53" t="s">
        <v>3134</v>
      </c>
      <c r="E81" s="6" t="s">
        <v>655</v>
      </c>
      <c r="F81" s="19">
        <v>1300000</v>
      </c>
      <c r="G81" s="24">
        <v>1337.43</v>
      </c>
      <c r="H81" s="24">
        <v>54.5</v>
      </c>
      <c r="I81" s="31">
        <v>5.1071</v>
      </c>
      <c r="J81" s="35"/>
    </row>
    <row r="82" spans="1:10" x14ac:dyDescent="0.25">
      <c r="B82" s="8" t="s">
        <v>3028</v>
      </c>
      <c r="C82" s="56" t="s">
        <v>3029</v>
      </c>
      <c r="D82" s="53" t="s">
        <v>3030</v>
      </c>
      <c r="E82" s="6" t="s">
        <v>655</v>
      </c>
      <c r="F82" s="19">
        <v>50000</v>
      </c>
      <c r="G82" s="24">
        <v>53.46</v>
      </c>
      <c r="H82" s="24">
        <v>2.1800000000000002</v>
      </c>
      <c r="I82" s="31">
        <v>5.2168000000000001</v>
      </c>
      <c r="J82" s="35"/>
    </row>
    <row r="83" spans="1:10" x14ac:dyDescent="0.25">
      <c r="C83" s="57" t="s">
        <v>35</v>
      </c>
      <c r="D83" s="53"/>
      <c r="E83" s="6"/>
      <c r="F83" s="19"/>
      <c r="G83" s="25">
        <v>1390.89</v>
      </c>
      <c r="H83" s="25">
        <v>56.68</v>
      </c>
      <c r="I83" s="31"/>
      <c r="J83" s="35"/>
    </row>
    <row r="84" spans="1:10" x14ac:dyDescent="0.25">
      <c r="C84" s="56"/>
      <c r="D84" s="53"/>
      <c r="E84" s="6"/>
      <c r="F84" s="19"/>
      <c r="G84" s="24"/>
      <c r="H84" s="24"/>
      <c r="I84" s="31"/>
      <c r="J84" s="35"/>
    </row>
    <row r="85" spans="1:10" x14ac:dyDescent="0.25">
      <c r="C85" s="57" t="s">
        <v>11</v>
      </c>
      <c r="D85" s="53"/>
      <c r="E85" s="6"/>
      <c r="F85" s="19"/>
      <c r="G85" s="24"/>
      <c r="H85" s="24"/>
      <c r="I85" s="31"/>
      <c r="J85" s="35"/>
    </row>
    <row r="86" spans="1:10" x14ac:dyDescent="0.25">
      <c r="C86" s="56"/>
      <c r="D86" s="53"/>
      <c r="E86" s="6"/>
      <c r="F86" s="19"/>
      <c r="G86" s="24"/>
      <c r="H86" s="24"/>
      <c r="I86" s="31"/>
      <c r="J86" s="35"/>
    </row>
    <row r="87" spans="1:10" x14ac:dyDescent="0.25">
      <c r="C87" s="57" t="s">
        <v>13</v>
      </c>
      <c r="D87" s="53"/>
      <c r="E87" s="6"/>
      <c r="F87" s="19"/>
      <c r="G87" s="24" t="s">
        <v>2</v>
      </c>
      <c r="H87" s="24" t="s">
        <v>2</v>
      </c>
      <c r="I87" s="31"/>
      <c r="J87" s="35"/>
    </row>
    <row r="88" spans="1:10" x14ac:dyDescent="0.25">
      <c r="C88" s="56"/>
      <c r="D88" s="53"/>
      <c r="E88" s="6"/>
      <c r="F88" s="19"/>
      <c r="G88" s="24"/>
      <c r="H88" s="24"/>
      <c r="I88" s="31"/>
      <c r="J88" s="35"/>
    </row>
    <row r="89" spans="1:10" x14ac:dyDescent="0.25">
      <c r="C89" s="57" t="s">
        <v>14</v>
      </c>
      <c r="D89" s="53"/>
      <c r="E89" s="6"/>
      <c r="F89" s="19"/>
      <c r="G89" s="24" t="s">
        <v>2</v>
      </c>
      <c r="H89" s="24" t="s">
        <v>2</v>
      </c>
      <c r="I89" s="31"/>
      <c r="J89" s="35"/>
    </row>
    <row r="90" spans="1:10" x14ac:dyDescent="0.25">
      <c r="C90" s="56"/>
      <c r="D90" s="53"/>
      <c r="E90" s="6"/>
      <c r="F90" s="19"/>
      <c r="G90" s="24"/>
      <c r="H90" s="24"/>
      <c r="I90" s="31"/>
      <c r="J90" s="35"/>
    </row>
    <row r="91" spans="1:10" x14ac:dyDescent="0.25">
      <c r="C91" s="57" t="s">
        <v>15</v>
      </c>
      <c r="D91" s="53"/>
      <c r="E91" s="6"/>
      <c r="F91" s="19"/>
      <c r="G91" s="24" t="s">
        <v>2</v>
      </c>
      <c r="H91" s="24" t="s">
        <v>2</v>
      </c>
      <c r="I91" s="31"/>
      <c r="J91" s="35"/>
    </row>
    <row r="92" spans="1:10" x14ac:dyDescent="0.25">
      <c r="C92" s="56"/>
      <c r="D92" s="53"/>
      <c r="E92" s="6"/>
      <c r="F92" s="19"/>
      <c r="G92" s="24"/>
      <c r="H92" s="24"/>
      <c r="I92" s="31"/>
      <c r="J92" s="35"/>
    </row>
    <row r="93" spans="1:10" x14ac:dyDescent="0.25">
      <c r="C93" s="57" t="s">
        <v>16</v>
      </c>
      <c r="D93" s="53"/>
      <c r="E93" s="6"/>
      <c r="F93" s="19"/>
      <c r="G93" s="24" t="s">
        <v>2</v>
      </c>
      <c r="H93" s="24" t="s">
        <v>2</v>
      </c>
      <c r="I93" s="31"/>
      <c r="J93" s="35"/>
    </row>
    <row r="94" spans="1:10" x14ac:dyDescent="0.25">
      <c r="C94" s="56"/>
      <c r="D94" s="53"/>
      <c r="E94" s="6"/>
      <c r="F94" s="19"/>
      <c r="G94" s="24"/>
      <c r="H94" s="24"/>
      <c r="I94" s="31"/>
      <c r="J94" s="35"/>
    </row>
    <row r="95" spans="1:10" x14ac:dyDescent="0.25">
      <c r="A95" s="10"/>
      <c r="B95" s="28"/>
      <c r="C95" s="58" t="s">
        <v>17</v>
      </c>
      <c r="D95" s="53"/>
      <c r="E95" s="6"/>
      <c r="F95" s="19"/>
      <c r="G95" s="24"/>
      <c r="H95" s="24"/>
      <c r="I95" s="31"/>
      <c r="J95" s="35"/>
    </row>
    <row r="96" spans="1:10" x14ac:dyDescent="0.25">
      <c r="A96" s="28"/>
      <c r="B96" s="28"/>
      <c r="C96" s="58" t="s">
        <v>18</v>
      </c>
      <c r="D96" s="53"/>
      <c r="E96" s="6"/>
      <c r="F96" s="19"/>
      <c r="G96" s="24" t="s">
        <v>2</v>
      </c>
      <c r="H96" s="24" t="s">
        <v>2</v>
      </c>
      <c r="I96" s="31"/>
      <c r="J96" s="35"/>
    </row>
    <row r="97" spans="1:10" x14ac:dyDescent="0.25">
      <c r="A97" s="28"/>
      <c r="B97" s="28"/>
      <c r="C97" s="58"/>
      <c r="D97" s="53"/>
      <c r="E97" s="6"/>
      <c r="F97" s="19"/>
      <c r="G97" s="24"/>
      <c r="H97" s="24"/>
      <c r="I97" s="31"/>
      <c r="J97" s="35"/>
    </row>
    <row r="98" spans="1:10" x14ac:dyDescent="0.25">
      <c r="A98" s="28"/>
      <c r="B98" s="28"/>
      <c r="C98" s="58" t="s">
        <v>19</v>
      </c>
      <c r="D98" s="53"/>
      <c r="E98" s="6"/>
      <c r="F98" s="19"/>
      <c r="G98" s="24" t="s">
        <v>2</v>
      </c>
      <c r="H98" s="24" t="s">
        <v>2</v>
      </c>
      <c r="I98" s="31"/>
      <c r="J98" s="35"/>
    </row>
    <row r="99" spans="1:10" x14ac:dyDescent="0.25">
      <c r="A99" s="28"/>
      <c r="B99" s="28"/>
      <c r="C99" s="58"/>
      <c r="D99" s="53"/>
      <c r="E99" s="6"/>
      <c r="F99" s="19"/>
      <c r="G99" s="24"/>
      <c r="H99" s="24"/>
      <c r="I99" s="31"/>
      <c r="J99" s="35"/>
    </row>
    <row r="100" spans="1:10" x14ac:dyDescent="0.25">
      <c r="A100" s="28"/>
      <c r="B100" s="28"/>
      <c r="C100" s="58" t="s">
        <v>20</v>
      </c>
      <c r="D100" s="53"/>
      <c r="E100" s="6"/>
      <c r="F100" s="19"/>
      <c r="G100" s="24" t="s">
        <v>2</v>
      </c>
      <c r="H100" s="24" t="s">
        <v>2</v>
      </c>
      <c r="I100" s="31"/>
      <c r="J100" s="35"/>
    </row>
    <row r="101" spans="1:10" x14ac:dyDescent="0.25">
      <c r="A101" s="28"/>
      <c r="B101" s="28"/>
      <c r="C101" s="58"/>
      <c r="D101" s="53"/>
      <c r="E101" s="6"/>
      <c r="F101" s="19"/>
      <c r="G101" s="24"/>
      <c r="H101" s="24"/>
      <c r="I101" s="31"/>
      <c r="J101" s="35"/>
    </row>
    <row r="102" spans="1:10" x14ac:dyDescent="0.25">
      <c r="A102" s="28"/>
      <c r="B102" s="28"/>
      <c r="C102" s="58" t="s">
        <v>21</v>
      </c>
      <c r="D102" s="53"/>
      <c r="E102" s="6"/>
      <c r="F102" s="19"/>
      <c r="G102" s="24" t="s">
        <v>2</v>
      </c>
      <c r="H102" s="24" t="s">
        <v>2</v>
      </c>
      <c r="I102" s="31"/>
      <c r="J102" s="35"/>
    </row>
    <row r="103" spans="1:10" x14ac:dyDescent="0.25">
      <c r="A103" s="28"/>
      <c r="B103" s="28"/>
      <c r="C103" s="58"/>
      <c r="D103" s="53"/>
      <c r="E103" s="6"/>
      <c r="F103" s="19"/>
      <c r="G103" s="24"/>
      <c r="H103" s="24"/>
      <c r="I103" s="31"/>
      <c r="J103" s="35"/>
    </row>
    <row r="104" spans="1:10" x14ac:dyDescent="0.25">
      <c r="C104" s="59" t="s">
        <v>22</v>
      </c>
      <c r="D104" s="53"/>
      <c r="E104" s="6"/>
      <c r="F104" s="19"/>
      <c r="G104" s="24"/>
      <c r="H104" s="24"/>
      <c r="I104" s="31"/>
      <c r="J104" s="35"/>
    </row>
    <row r="105" spans="1:10" x14ac:dyDescent="0.25">
      <c r="B105" s="8" t="s">
        <v>33</v>
      </c>
      <c r="C105" s="56" t="s">
        <v>34</v>
      </c>
      <c r="D105" s="53"/>
      <c r="E105" s="6"/>
      <c r="F105" s="19"/>
      <c r="G105" s="24">
        <v>98.69</v>
      </c>
      <c r="H105" s="24">
        <v>4.0199999999999996</v>
      </c>
      <c r="I105" s="31"/>
      <c r="J105" s="35"/>
    </row>
    <row r="106" spans="1:10" x14ac:dyDescent="0.25">
      <c r="C106" s="57" t="s">
        <v>35</v>
      </c>
      <c r="D106" s="53"/>
      <c r="E106" s="6"/>
      <c r="F106" s="19"/>
      <c r="G106" s="25">
        <v>98.69</v>
      </c>
      <c r="H106" s="25">
        <v>4.0199999999999996</v>
      </c>
      <c r="I106" s="31"/>
      <c r="J106" s="35"/>
    </row>
    <row r="107" spans="1:10" x14ac:dyDescent="0.25">
      <c r="C107" s="56"/>
      <c r="D107" s="53"/>
      <c r="E107" s="6"/>
      <c r="F107" s="19"/>
      <c r="G107" s="24"/>
      <c r="H107" s="24"/>
      <c r="I107" s="31"/>
      <c r="J107" s="35"/>
    </row>
    <row r="108" spans="1:10" x14ac:dyDescent="0.25">
      <c r="A108" s="10"/>
      <c r="B108" s="28"/>
      <c r="C108" s="58" t="s">
        <v>23</v>
      </c>
      <c r="D108" s="53"/>
      <c r="E108" s="6"/>
      <c r="F108" s="19"/>
      <c r="G108" s="24"/>
      <c r="H108" s="24"/>
      <c r="I108" s="31"/>
      <c r="J108" s="35"/>
    </row>
    <row r="109" spans="1:10" x14ac:dyDescent="0.25">
      <c r="A109" s="28"/>
      <c r="B109" s="28"/>
      <c r="C109" s="60" t="s">
        <v>3398</v>
      </c>
      <c r="D109" s="53"/>
      <c r="E109" s="6"/>
      <c r="F109" s="19"/>
      <c r="G109" s="24" t="s">
        <v>2</v>
      </c>
      <c r="H109" s="24" t="s">
        <v>2</v>
      </c>
      <c r="I109" s="31"/>
      <c r="J109" s="35"/>
    </row>
    <row r="110" spans="1:10" x14ac:dyDescent="0.25">
      <c r="B110" s="8"/>
      <c r="C110" s="56" t="s">
        <v>36</v>
      </c>
      <c r="D110" s="53"/>
      <c r="E110" s="6"/>
      <c r="F110" s="19"/>
      <c r="G110" s="24">
        <v>21.73</v>
      </c>
      <c r="H110" s="24">
        <v>0.91</v>
      </c>
      <c r="I110" s="31"/>
      <c r="J110" s="35"/>
    </row>
    <row r="111" spans="1:10" x14ac:dyDescent="0.25">
      <c r="C111" s="57" t="s">
        <v>35</v>
      </c>
      <c r="D111" s="53"/>
      <c r="E111" s="6"/>
      <c r="F111" s="19"/>
      <c r="G111" s="25">
        <v>21.73</v>
      </c>
      <c r="H111" s="25">
        <v>0.91</v>
      </c>
      <c r="I111" s="31"/>
      <c r="J111" s="35"/>
    </row>
    <row r="112" spans="1:10" x14ac:dyDescent="0.25">
      <c r="C112" s="56"/>
      <c r="D112" s="53"/>
      <c r="E112" s="6"/>
      <c r="F112" s="19"/>
      <c r="G112" s="24"/>
      <c r="H112" s="24"/>
      <c r="I112" s="31"/>
      <c r="J112" s="35"/>
    </row>
    <row r="113" spans="3:10" x14ac:dyDescent="0.25">
      <c r="C113" s="61" t="s">
        <v>37</v>
      </c>
      <c r="D113" s="54"/>
      <c r="E113" s="5"/>
      <c r="F113" s="20"/>
      <c r="G113" s="26">
        <v>2454.16</v>
      </c>
      <c r="H113" s="26">
        <f>SUMIFS(H:H,C:C,"Total")</f>
        <v>99.999999999999986</v>
      </c>
      <c r="I113" s="32"/>
      <c r="J113" s="36"/>
    </row>
    <row r="116" spans="3:10" x14ac:dyDescent="0.25">
      <c r="C116" s="1" t="s">
        <v>38</v>
      </c>
    </row>
    <row r="117" spans="3:10" x14ac:dyDescent="0.25">
      <c r="C117" s="2" t="s">
        <v>39</v>
      </c>
    </row>
    <row r="118" spans="3:10" x14ac:dyDescent="0.25">
      <c r="C118" s="2" t="s">
        <v>40</v>
      </c>
    </row>
    <row r="119" spans="3:10" x14ac:dyDescent="0.25">
      <c r="C119" s="2" t="s">
        <v>3430</v>
      </c>
    </row>
  </sheetData>
  <hyperlinks>
    <hyperlink ref="J2" location="'Index'!A1" display="'Index'!A1"/>
  </hyperlinks>
  <pageMargins left="0.7" right="0.7" top="0.75" bottom="0.75" header="0.3" footer="0.3"/>
  <pageSetup orientation="portrait" horizontalDpi="4294967293"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3"/>
  <dimension ref="A1:J76"/>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3135</v>
      </c>
      <c r="J2" s="37" t="s">
        <v>3307</v>
      </c>
    </row>
    <row r="3" spans="1:10" ht="16.5" x14ac:dyDescent="0.3">
      <c r="C3" s="1" t="s">
        <v>24</v>
      </c>
      <c r="D3" s="21" t="s">
        <v>3136</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2857</v>
      </c>
      <c r="C18" s="56" t="s">
        <v>1127</v>
      </c>
      <c r="D18" s="53" t="s">
        <v>2858</v>
      </c>
      <c r="E18" s="6" t="s">
        <v>534</v>
      </c>
      <c r="F18" s="19">
        <v>190</v>
      </c>
      <c r="G18" s="24">
        <v>1977.16</v>
      </c>
      <c r="H18" s="24">
        <v>8.92</v>
      </c>
      <c r="I18" s="31">
        <v>5.5460000000000003</v>
      </c>
      <c r="J18" s="35" t="s">
        <v>514</v>
      </c>
    </row>
    <row r="19" spans="2:10" x14ac:dyDescent="0.25">
      <c r="B19" s="8" t="s">
        <v>2185</v>
      </c>
      <c r="C19" s="56" t="s">
        <v>1738</v>
      </c>
      <c r="D19" s="53" t="s">
        <v>2186</v>
      </c>
      <c r="E19" s="6" t="s">
        <v>534</v>
      </c>
      <c r="F19" s="19">
        <v>170</v>
      </c>
      <c r="G19" s="24">
        <v>1851.37</v>
      </c>
      <c r="H19" s="24">
        <v>8.36</v>
      </c>
      <c r="I19" s="31">
        <v>4.91</v>
      </c>
      <c r="J19" s="35" t="s">
        <v>514</v>
      </c>
    </row>
    <row r="20" spans="2:10" x14ac:dyDescent="0.25">
      <c r="B20" s="8" t="s">
        <v>1905</v>
      </c>
      <c r="C20" s="56" t="s">
        <v>909</v>
      </c>
      <c r="D20" s="53" t="s">
        <v>1906</v>
      </c>
      <c r="E20" s="6" t="s">
        <v>534</v>
      </c>
      <c r="F20" s="19">
        <v>150</v>
      </c>
      <c r="G20" s="24">
        <v>1611.95</v>
      </c>
      <c r="H20" s="24">
        <v>7.28</v>
      </c>
      <c r="I20" s="31">
        <v>5.01</v>
      </c>
      <c r="J20" s="35"/>
    </row>
    <row r="21" spans="2:10" x14ac:dyDescent="0.25">
      <c r="B21" s="8" t="s">
        <v>3137</v>
      </c>
      <c r="C21" s="56" t="s">
        <v>77</v>
      </c>
      <c r="D21" s="53" t="s">
        <v>3138</v>
      </c>
      <c r="E21" s="6" t="s">
        <v>534</v>
      </c>
      <c r="F21" s="19">
        <v>150</v>
      </c>
      <c r="G21" s="24">
        <v>1551.87</v>
      </c>
      <c r="H21" s="24">
        <v>7.01</v>
      </c>
      <c r="I21" s="31">
        <v>5.2249999999999996</v>
      </c>
      <c r="J21" s="35" t="s">
        <v>514</v>
      </c>
    </row>
    <row r="22" spans="2:10" x14ac:dyDescent="0.25">
      <c r="B22" s="8" t="s">
        <v>1780</v>
      </c>
      <c r="C22" s="56" t="s">
        <v>125</v>
      </c>
      <c r="D22" s="53" t="s">
        <v>1781</v>
      </c>
      <c r="E22" s="6" t="s">
        <v>534</v>
      </c>
      <c r="F22" s="19">
        <v>150</v>
      </c>
      <c r="G22" s="24">
        <v>1551.09</v>
      </c>
      <c r="H22" s="24">
        <v>7</v>
      </c>
      <c r="I22" s="31">
        <v>5.4</v>
      </c>
      <c r="J22" s="35"/>
    </row>
    <row r="23" spans="2:10" x14ac:dyDescent="0.25">
      <c r="B23" s="8" t="s">
        <v>1715</v>
      </c>
      <c r="C23" s="56" t="s">
        <v>380</v>
      </c>
      <c r="D23" s="53" t="s">
        <v>1716</v>
      </c>
      <c r="E23" s="6" t="s">
        <v>534</v>
      </c>
      <c r="F23" s="19">
        <v>150</v>
      </c>
      <c r="G23" s="24">
        <v>1549.78</v>
      </c>
      <c r="H23" s="24">
        <v>7</v>
      </c>
      <c r="I23" s="31">
        <v>5.0099</v>
      </c>
      <c r="J23" s="35" t="s">
        <v>514</v>
      </c>
    </row>
    <row r="24" spans="2:10" x14ac:dyDescent="0.25">
      <c r="B24" s="8" t="s">
        <v>3125</v>
      </c>
      <c r="C24" s="56" t="s">
        <v>92</v>
      </c>
      <c r="D24" s="53" t="s">
        <v>3126</v>
      </c>
      <c r="E24" s="6" t="s">
        <v>534</v>
      </c>
      <c r="F24" s="19">
        <v>150</v>
      </c>
      <c r="G24" s="24">
        <v>1544.52</v>
      </c>
      <c r="H24" s="24">
        <v>6.97</v>
      </c>
      <c r="I24" s="31">
        <v>5.7</v>
      </c>
      <c r="J24" s="35" t="s">
        <v>514</v>
      </c>
    </row>
    <row r="25" spans="2:10" x14ac:dyDescent="0.25">
      <c r="B25" s="8" t="s">
        <v>2166</v>
      </c>
      <c r="C25" s="56" t="s">
        <v>1130</v>
      </c>
      <c r="D25" s="53" t="s">
        <v>2167</v>
      </c>
      <c r="E25" s="6" t="s">
        <v>911</v>
      </c>
      <c r="F25" s="19">
        <v>50</v>
      </c>
      <c r="G25" s="24">
        <v>518.55999999999995</v>
      </c>
      <c r="H25" s="24">
        <v>2.34</v>
      </c>
      <c r="I25" s="31">
        <v>5.1849999999999996</v>
      </c>
      <c r="J25" s="35" t="s">
        <v>514</v>
      </c>
    </row>
    <row r="26" spans="2:10" x14ac:dyDescent="0.25">
      <c r="C26" s="57" t="s">
        <v>35</v>
      </c>
      <c r="D26" s="53"/>
      <c r="E26" s="6"/>
      <c r="F26" s="19"/>
      <c r="G26" s="25">
        <v>12156.3</v>
      </c>
      <c r="H26" s="25">
        <v>54.88</v>
      </c>
      <c r="I26" s="31"/>
      <c r="J26" s="35"/>
    </row>
    <row r="27" spans="2:10" x14ac:dyDescent="0.25">
      <c r="C27" s="56"/>
      <c r="D27" s="53"/>
      <c r="E27" s="6"/>
      <c r="F27" s="19"/>
      <c r="G27" s="24"/>
      <c r="H27" s="24"/>
      <c r="I27" s="31"/>
      <c r="J27" s="35"/>
    </row>
    <row r="28" spans="2:10" x14ac:dyDescent="0.25">
      <c r="C28" s="57" t="s">
        <v>7</v>
      </c>
      <c r="D28" s="53"/>
      <c r="E28" s="6"/>
      <c r="F28" s="19"/>
      <c r="G28" s="24" t="s">
        <v>2</v>
      </c>
      <c r="H28" s="24" t="s">
        <v>2</v>
      </c>
      <c r="I28" s="31"/>
      <c r="J28" s="35"/>
    </row>
    <row r="29" spans="2:10" x14ac:dyDescent="0.25">
      <c r="C29" s="56"/>
      <c r="D29" s="53"/>
      <c r="E29" s="6"/>
      <c r="F29" s="19"/>
      <c r="G29" s="24"/>
      <c r="H29" s="24"/>
      <c r="I29" s="31"/>
      <c r="J29" s="35"/>
    </row>
    <row r="30" spans="2:10" x14ac:dyDescent="0.25">
      <c r="C30" s="57" t="s">
        <v>8</v>
      </c>
      <c r="D30" s="53"/>
      <c r="E30" s="6"/>
      <c r="F30" s="19"/>
      <c r="G30" s="24" t="s">
        <v>2</v>
      </c>
      <c r="H30" s="24" t="s">
        <v>2</v>
      </c>
      <c r="I30" s="31"/>
      <c r="J30" s="35"/>
    </row>
    <row r="31" spans="2:10" x14ac:dyDescent="0.25">
      <c r="C31" s="56"/>
      <c r="D31" s="53"/>
      <c r="E31" s="6"/>
      <c r="F31" s="19"/>
      <c r="G31" s="24"/>
      <c r="H31" s="24"/>
      <c r="I31" s="31"/>
      <c r="J31" s="35"/>
    </row>
    <row r="32" spans="2:10" x14ac:dyDescent="0.25">
      <c r="C32" s="57" t="s">
        <v>9</v>
      </c>
      <c r="D32" s="53"/>
      <c r="E32" s="6"/>
      <c r="F32" s="19"/>
      <c r="G32" s="24" t="s">
        <v>2</v>
      </c>
      <c r="H32" s="24" t="s">
        <v>2</v>
      </c>
      <c r="I32" s="31"/>
      <c r="J32" s="35"/>
    </row>
    <row r="33" spans="2:10" x14ac:dyDescent="0.25">
      <c r="C33" s="56"/>
      <c r="D33" s="53"/>
      <c r="E33" s="6"/>
      <c r="F33" s="19"/>
      <c r="G33" s="24"/>
      <c r="H33" s="24"/>
      <c r="I33" s="31"/>
      <c r="J33" s="35"/>
    </row>
    <row r="34" spans="2:10" x14ac:dyDescent="0.25">
      <c r="C34" s="59" t="s">
        <v>10</v>
      </c>
      <c r="D34" s="53"/>
      <c r="E34" s="6"/>
      <c r="F34" s="19"/>
      <c r="G34" s="24"/>
      <c r="H34" s="24"/>
      <c r="I34" s="31"/>
      <c r="J34" s="35"/>
    </row>
    <row r="35" spans="2:10" x14ac:dyDescent="0.25">
      <c r="B35" s="8" t="s">
        <v>3139</v>
      </c>
      <c r="C35" s="56" t="s">
        <v>3140</v>
      </c>
      <c r="D35" s="53" t="s">
        <v>3141</v>
      </c>
      <c r="E35" s="6" t="s">
        <v>655</v>
      </c>
      <c r="F35" s="19">
        <v>4000000</v>
      </c>
      <c r="G35" s="24">
        <v>4217.04</v>
      </c>
      <c r="H35" s="24">
        <v>19.04</v>
      </c>
      <c r="I35" s="31">
        <v>5.32</v>
      </c>
      <c r="J35" s="35"/>
    </row>
    <row r="36" spans="2:10" x14ac:dyDescent="0.25">
      <c r="B36" s="8" t="s">
        <v>3142</v>
      </c>
      <c r="C36" s="56" t="s">
        <v>3143</v>
      </c>
      <c r="D36" s="53" t="s">
        <v>3144</v>
      </c>
      <c r="E36" s="6" t="s">
        <v>655</v>
      </c>
      <c r="F36" s="19">
        <v>2500000</v>
      </c>
      <c r="G36" s="24">
        <v>2671</v>
      </c>
      <c r="H36" s="24">
        <v>12.06</v>
      </c>
      <c r="I36" s="31">
        <v>5.3773</v>
      </c>
      <c r="J36" s="35"/>
    </row>
    <row r="37" spans="2:10" x14ac:dyDescent="0.25">
      <c r="B37" s="8" t="s">
        <v>3145</v>
      </c>
      <c r="C37" s="56" t="s">
        <v>3146</v>
      </c>
      <c r="D37" s="53" t="s">
        <v>3147</v>
      </c>
      <c r="E37" s="6" t="s">
        <v>655</v>
      </c>
      <c r="F37" s="19">
        <v>1500000</v>
      </c>
      <c r="G37" s="24">
        <v>1600.06</v>
      </c>
      <c r="H37" s="24">
        <v>7.22</v>
      </c>
      <c r="I37" s="31">
        <v>5.3217999999999996</v>
      </c>
      <c r="J37" s="35"/>
    </row>
    <row r="38" spans="2:10" x14ac:dyDescent="0.25">
      <c r="B38" s="8" t="s">
        <v>1989</v>
      </c>
      <c r="C38" s="56" t="s">
        <v>1990</v>
      </c>
      <c r="D38" s="53" t="s">
        <v>1991</v>
      </c>
      <c r="E38" s="6" t="s">
        <v>655</v>
      </c>
      <c r="F38" s="19">
        <v>350000</v>
      </c>
      <c r="G38" s="24">
        <v>375.05</v>
      </c>
      <c r="H38" s="24">
        <v>1.69</v>
      </c>
      <c r="I38" s="31">
        <v>5.2217000000000002</v>
      </c>
      <c r="J38" s="35"/>
    </row>
    <row r="39" spans="2:10" x14ac:dyDescent="0.25">
      <c r="B39" s="8" t="s">
        <v>3132</v>
      </c>
      <c r="C39" s="56" t="s">
        <v>3133</v>
      </c>
      <c r="D39" s="53" t="s">
        <v>3134</v>
      </c>
      <c r="E39" s="6" t="s">
        <v>655</v>
      </c>
      <c r="F39" s="19">
        <v>200000</v>
      </c>
      <c r="G39" s="24">
        <v>205.76</v>
      </c>
      <c r="H39" s="24">
        <v>0.93</v>
      </c>
      <c r="I39" s="31">
        <v>5.1071</v>
      </c>
      <c r="J39" s="35"/>
    </row>
    <row r="40" spans="2:10" x14ac:dyDescent="0.25">
      <c r="C40" s="57" t="s">
        <v>35</v>
      </c>
      <c r="D40" s="53"/>
      <c r="E40" s="6"/>
      <c r="F40" s="19"/>
      <c r="G40" s="25">
        <v>9068.91</v>
      </c>
      <c r="H40" s="25">
        <v>40.94</v>
      </c>
      <c r="I40" s="31"/>
      <c r="J40" s="35"/>
    </row>
    <row r="41" spans="2:10" x14ac:dyDescent="0.25">
      <c r="C41" s="56"/>
      <c r="D41" s="53"/>
      <c r="E41" s="6"/>
      <c r="F41" s="19"/>
      <c r="G41" s="24"/>
      <c r="H41" s="24"/>
      <c r="I41" s="31"/>
      <c r="J41" s="35"/>
    </row>
    <row r="42" spans="2:10" x14ac:dyDescent="0.25">
      <c r="C42" s="57" t="s">
        <v>11</v>
      </c>
      <c r="D42" s="53"/>
      <c r="E42" s="6"/>
      <c r="F42" s="19"/>
      <c r="G42" s="24"/>
      <c r="H42" s="24"/>
      <c r="I42" s="31"/>
      <c r="J42" s="35"/>
    </row>
    <row r="43" spans="2:10" x14ac:dyDescent="0.25">
      <c r="C43" s="56"/>
      <c r="D43" s="53"/>
      <c r="E43" s="6"/>
      <c r="F43" s="19"/>
      <c r="G43" s="24"/>
      <c r="H43" s="24"/>
      <c r="I43" s="31"/>
      <c r="J43" s="35"/>
    </row>
    <row r="44" spans="2:10" x14ac:dyDescent="0.25">
      <c r="C44" s="57" t="s">
        <v>13</v>
      </c>
      <c r="D44" s="53"/>
      <c r="E44" s="6"/>
      <c r="F44" s="19"/>
      <c r="G44" s="24" t="s">
        <v>2</v>
      </c>
      <c r="H44" s="24" t="s">
        <v>2</v>
      </c>
      <c r="I44" s="31"/>
      <c r="J44" s="35"/>
    </row>
    <row r="45" spans="2:10" x14ac:dyDescent="0.25">
      <c r="C45" s="56"/>
      <c r="D45" s="53"/>
      <c r="E45" s="6"/>
      <c r="F45" s="19"/>
      <c r="G45" s="24"/>
      <c r="H45" s="24"/>
      <c r="I45" s="31"/>
      <c r="J45" s="35"/>
    </row>
    <row r="46" spans="2:10" x14ac:dyDescent="0.25">
      <c r="C46" s="57" t="s">
        <v>14</v>
      </c>
      <c r="D46" s="53"/>
      <c r="E46" s="6"/>
      <c r="F46" s="19"/>
      <c r="G46" s="24" t="s">
        <v>2</v>
      </c>
      <c r="H46" s="24" t="s">
        <v>2</v>
      </c>
      <c r="I46" s="31"/>
      <c r="J46" s="35"/>
    </row>
    <row r="47" spans="2:10" x14ac:dyDescent="0.25">
      <c r="C47" s="56"/>
      <c r="D47" s="53"/>
      <c r="E47" s="6"/>
      <c r="F47" s="19"/>
      <c r="G47" s="24"/>
      <c r="H47" s="24"/>
      <c r="I47" s="31"/>
      <c r="J47" s="35"/>
    </row>
    <row r="48" spans="2:10" x14ac:dyDescent="0.25">
      <c r="C48" s="57" t="s">
        <v>15</v>
      </c>
      <c r="D48" s="53"/>
      <c r="E48" s="6"/>
      <c r="F48" s="19"/>
      <c r="G48" s="24" t="s">
        <v>2</v>
      </c>
      <c r="H48" s="24" t="s">
        <v>2</v>
      </c>
      <c r="I48" s="31"/>
      <c r="J48" s="35"/>
    </row>
    <row r="49" spans="1:10" x14ac:dyDescent="0.25">
      <c r="C49" s="56"/>
      <c r="D49" s="53"/>
      <c r="E49" s="6"/>
      <c r="F49" s="19"/>
      <c r="G49" s="24"/>
      <c r="H49" s="24"/>
      <c r="I49" s="31"/>
      <c r="J49" s="35"/>
    </row>
    <row r="50" spans="1:10" x14ac:dyDescent="0.25">
      <c r="C50" s="57" t="s">
        <v>16</v>
      </c>
      <c r="D50" s="53"/>
      <c r="E50" s="6"/>
      <c r="F50" s="19"/>
      <c r="G50" s="24" t="s">
        <v>2</v>
      </c>
      <c r="H50" s="24" t="s">
        <v>2</v>
      </c>
      <c r="I50" s="31"/>
      <c r="J50" s="35"/>
    </row>
    <row r="51" spans="1:10" x14ac:dyDescent="0.25">
      <c r="C51" s="56"/>
      <c r="D51" s="53"/>
      <c r="E51" s="6"/>
      <c r="F51" s="19"/>
      <c r="G51" s="24"/>
      <c r="H51" s="24"/>
      <c r="I51" s="31"/>
      <c r="J51" s="35"/>
    </row>
    <row r="52" spans="1:10" x14ac:dyDescent="0.25">
      <c r="A52" s="10"/>
      <c r="B52" s="28"/>
      <c r="C52" s="58" t="s">
        <v>17</v>
      </c>
      <c r="D52" s="53"/>
      <c r="E52" s="6"/>
      <c r="F52" s="19"/>
      <c r="G52" s="24"/>
      <c r="H52" s="24"/>
      <c r="I52" s="31"/>
      <c r="J52" s="35"/>
    </row>
    <row r="53" spans="1:10" x14ac:dyDescent="0.25">
      <c r="A53" s="28"/>
      <c r="B53" s="28"/>
      <c r="C53" s="58" t="s">
        <v>18</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19</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20</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A59" s="28"/>
      <c r="B59" s="28"/>
      <c r="C59" s="58" t="s">
        <v>21</v>
      </c>
      <c r="D59" s="53"/>
      <c r="E59" s="6"/>
      <c r="F59" s="19"/>
      <c r="G59" s="24" t="s">
        <v>2</v>
      </c>
      <c r="H59" s="24" t="s">
        <v>2</v>
      </c>
      <c r="I59" s="31"/>
      <c r="J59" s="35"/>
    </row>
    <row r="60" spans="1:10" x14ac:dyDescent="0.25">
      <c r="A60" s="28"/>
      <c r="B60" s="28"/>
      <c r="C60" s="58"/>
      <c r="D60" s="53"/>
      <c r="E60" s="6"/>
      <c r="F60" s="19"/>
      <c r="G60" s="24"/>
      <c r="H60" s="24"/>
      <c r="I60" s="31"/>
      <c r="J60" s="35"/>
    </row>
    <row r="61" spans="1:10" x14ac:dyDescent="0.25">
      <c r="C61" s="59" t="s">
        <v>22</v>
      </c>
      <c r="D61" s="53"/>
      <c r="E61" s="6"/>
      <c r="F61" s="19"/>
      <c r="G61" s="24"/>
      <c r="H61" s="24"/>
      <c r="I61" s="31"/>
      <c r="J61" s="35"/>
    </row>
    <row r="62" spans="1:10" x14ac:dyDescent="0.25">
      <c r="B62" s="8" t="s">
        <v>33</v>
      </c>
      <c r="C62" s="56" t="s">
        <v>34</v>
      </c>
      <c r="D62" s="53"/>
      <c r="E62" s="6"/>
      <c r="F62" s="19"/>
      <c r="G62" s="24">
        <v>360.33</v>
      </c>
      <c r="H62" s="24">
        <v>1.63</v>
      </c>
      <c r="I62" s="31"/>
      <c r="J62" s="35"/>
    </row>
    <row r="63" spans="1:10" x14ac:dyDescent="0.25">
      <c r="C63" s="57" t="s">
        <v>35</v>
      </c>
      <c r="D63" s="53"/>
      <c r="E63" s="6"/>
      <c r="F63" s="19"/>
      <c r="G63" s="25">
        <v>360.33</v>
      </c>
      <c r="H63" s="25">
        <v>1.63</v>
      </c>
      <c r="I63" s="31"/>
      <c r="J63" s="35"/>
    </row>
    <row r="64" spans="1:10" x14ac:dyDescent="0.25">
      <c r="C64" s="56"/>
      <c r="D64" s="53"/>
      <c r="E64" s="6"/>
      <c r="F64" s="19"/>
      <c r="G64" s="24"/>
      <c r="H64" s="24"/>
      <c r="I64" s="31"/>
      <c r="J64" s="35"/>
    </row>
    <row r="65" spans="1:10" x14ac:dyDescent="0.25">
      <c r="A65" s="10"/>
      <c r="B65" s="28"/>
      <c r="C65" s="58" t="s">
        <v>23</v>
      </c>
      <c r="D65" s="53"/>
      <c r="E65" s="6"/>
      <c r="F65" s="19"/>
      <c r="G65" s="24"/>
      <c r="H65" s="24"/>
      <c r="I65" s="31"/>
      <c r="J65" s="35"/>
    </row>
    <row r="66" spans="1:10" x14ac:dyDescent="0.25">
      <c r="A66" s="28"/>
      <c r="B66" s="28"/>
      <c r="C66" s="60" t="s">
        <v>3398</v>
      </c>
      <c r="D66" s="53"/>
      <c r="E66" s="6"/>
      <c r="F66" s="19"/>
      <c r="G66" s="24" t="s">
        <v>2</v>
      </c>
      <c r="H66" s="24" t="s">
        <v>2</v>
      </c>
      <c r="I66" s="31"/>
      <c r="J66" s="35"/>
    </row>
    <row r="67" spans="1:10" x14ac:dyDescent="0.25">
      <c r="B67" s="8"/>
      <c r="C67" s="56" t="s">
        <v>36</v>
      </c>
      <c r="D67" s="53"/>
      <c r="E67" s="6"/>
      <c r="F67" s="19"/>
      <c r="G67" s="24">
        <v>567.91999999999996</v>
      </c>
      <c r="H67" s="24">
        <v>2.5500000000000003</v>
      </c>
      <c r="I67" s="31"/>
      <c r="J67" s="35"/>
    </row>
    <row r="68" spans="1:10" x14ac:dyDescent="0.25">
      <c r="C68" s="57" t="s">
        <v>35</v>
      </c>
      <c r="D68" s="53"/>
      <c r="E68" s="6"/>
      <c r="F68" s="19"/>
      <c r="G68" s="25">
        <v>567.91999999999996</v>
      </c>
      <c r="H68" s="25">
        <v>2.5500000000000003</v>
      </c>
      <c r="I68" s="31"/>
      <c r="J68" s="35"/>
    </row>
    <row r="69" spans="1:10" x14ac:dyDescent="0.25">
      <c r="C69" s="56"/>
      <c r="D69" s="53"/>
      <c r="E69" s="6"/>
      <c r="F69" s="19"/>
      <c r="G69" s="24"/>
      <c r="H69" s="24"/>
      <c r="I69" s="31"/>
      <c r="J69" s="35"/>
    </row>
    <row r="70" spans="1:10" x14ac:dyDescent="0.25">
      <c r="C70" s="61" t="s">
        <v>37</v>
      </c>
      <c r="D70" s="54"/>
      <c r="E70" s="5"/>
      <c r="F70" s="20"/>
      <c r="G70" s="26">
        <v>22153.46</v>
      </c>
      <c r="H70" s="26">
        <f>SUMIFS(H:H,C:C,"Total")</f>
        <v>99.999999999999986</v>
      </c>
      <c r="I70" s="32"/>
      <c r="J70" s="36"/>
    </row>
    <row r="73" spans="1:10" x14ac:dyDescent="0.25">
      <c r="C73" s="1" t="s">
        <v>38</v>
      </c>
    </row>
    <row r="74" spans="1:10" x14ac:dyDescent="0.25">
      <c r="C74" s="2" t="s">
        <v>39</v>
      </c>
    </row>
    <row r="75" spans="1:10" x14ac:dyDescent="0.25">
      <c r="C75" s="2" t="s">
        <v>40</v>
      </c>
    </row>
    <row r="76" spans="1:10" x14ac:dyDescent="0.25">
      <c r="C76" s="2" t="s">
        <v>3430</v>
      </c>
    </row>
  </sheetData>
  <hyperlinks>
    <hyperlink ref="J2" location="'Index'!A1" display="'Index'!A1"/>
  </hyperlinks>
  <pageMargins left="0.7" right="0.7" top="0.75" bottom="0.75" header="0.3" footer="0.3"/>
  <pageSetup orientation="portrait" horizontalDpi="4294967293"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4"/>
  <dimension ref="A1:J74"/>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3148</v>
      </c>
      <c r="J2" s="37" t="s">
        <v>3307</v>
      </c>
    </row>
    <row r="3" spans="1:10" ht="16.5" x14ac:dyDescent="0.3">
      <c r="C3" s="1" t="s">
        <v>24</v>
      </c>
      <c r="D3" s="21" t="s">
        <v>3149</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2:10" x14ac:dyDescent="0.25">
      <c r="C17" s="59" t="s">
        <v>6</v>
      </c>
      <c r="D17" s="53"/>
      <c r="E17" s="6"/>
      <c r="F17" s="19"/>
      <c r="G17" s="24"/>
      <c r="H17" s="24"/>
      <c r="I17" s="31"/>
      <c r="J17" s="35"/>
    </row>
    <row r="18" spans="2:10" x14ac:dyDescent="0.25">
      <c r="B18" s="8" t="s">
        <v>1966</v>
      </c>
      <c r="C18" s="56" t="s">
        <v>1230</v>
      </c>
      <c r="D18" s="53" t="s">
        <v>1967</v>
      </c>
      <c r="E18" s="6" t="s">
        <v>534</v>
      </c>
      <c r="F18" s="19">
        <v>25</v>
      </c>
      <c r="G18" s="24">
        <v>271.32</v>
      </c>
      <c r="H18" s="24">
        <v>7.52</v>
      </c>
      <c r="I18" s="31">
        <v>4.9949000000000003</v>
      </c>
      <c r="J18" s="35" t="s">
        <v>514</v>
      </c>
    </row>
    <row r="19" spans="2:10" x14ac:dyDescent="0.25">
      <c r="B19" s="8" t="s">
        <v>2123</v>
      </c>
      <c r="C19" s="56" t="s">
        <v>2082</v>
      </c>
      <c r="D19" s="53" t="s">
        <v>2124</v>
      </c>
      <c r="E19" s="6" t="s">
        <v>534</v>
      </c>
      <c r="F19" s="19">
        <v>25</v>
      </c>
      <c r="G19" s="24">
        <v>271.24</v>
      </c>
      <c r="H19" s="24">
        <v>7.52</v>
      </c>
      <c r="I19" s="31">
        <v>4.915</v>
      </c>
      <c r="J19" s="35" t="s">
        <v>514</v>
      </c>
    </row>
    <row r="20" spans="2:10" x14ac:dyDescent="0.25">
      <c r="B20" s="8" t="s">
        <v>2139</v>
      </c>
      <c r="C20" s="56" t="s">
        <v>1738</v>
      </c>
      <c r="D20" s="53" t="s">
        <v>2140</v>
      </c>
      <c r="E20" s="6" t="s">
        <v>534</v>
      </c>
      <c r="F20" s="19">
        <v>25</v>
      </c>
      <c r="G20" s="24">
        <v>259.51</v>
      </c>
      <c r="H20" s="24">
        <v>7.19</v>
      </c>
      <c r="I20" s="31">
        <v>4.97</v>
      </c>
      <c r="J20" s="35" t="s">
        <v>514</v>
      </c>
    </row>
    <row r="21" spans="2:10" x14ac:dyDescent="0.25">
      <c r="B21" s="8" t="s">
        <v>2166</v>
      </c>
      <c r="C21" s="56" t="s">
        <v>1130</v>
      </c>
      <c r="D21" s="53" t="s">
        <v>2167</v>
      </c>
      <c r="E21" s="6" t="s">
        <v>911</v>
      </c>
      <c r="F21" s="19">
        <v>25</v>
      </c>
      <c r="G21" s="24">
        <v>259.27999999999997</v>
      </c>
      <c r="H21" s="24">
        <v>7.19</v>
      </c>
      <c r="I21" s="31">
        <v>5.1849999999999996</v>
      </c>
      <c r="J21" s="35" t="s">
        <v>514</v>
      </c>
    </row>
    <row r="22" spans="2:10" x14ac:dyDescent="0.25">
      <c r="B22" s="8" t="s">
        <v>2157</v>
      </c>
      <c r="C22" s="56" t="s">
        <v>601</v>
      </c>
      <c r="D22" s="53" t="s">
        <v>2158</v>
      </c>
      <c r="E22" s="6" t="s">
        <v>534</v>
      </c>
      <c r="F22" s="19">
        <v>25</v>
      </c>
      <c r="G22" s="24">
        <v>258.35000000000002</v>
      </c>
      <c r="H22" s="24">
        <v>7.16</v>
      </c>
      <c r="I22" s="31">
        <v>5.52</v>
      </c>
      <c r="J22" s="35"/>
    </row>
    <row r="23" spans="2:10" x14ac:dyDescent="0.25">
      <c r="B23" s="8" t="s">
        <v>2127</v>
      </c>
      <c r="C23" s="56" t="s">
        <v>909</v>
      </c>
      <c r="D23" s="53" t="s">
        <v>2128</v>
      </c>
      <c r="E23" s="6" t="s">
        <v>911</v>
      </c>
      <c r="F23" s="19">
        <v>25</v>
      </c>
      <c r="G23" s="24">
        <v>257.93</v>
      </c>
      <c r="H23" s="24">
        <v>7.15</v>
      </c>
      <c r="I23" s="31">
        <v>5.12</v>
      </c>
      <c r="J23" s="35"/>
    </row>
    <row r="24" spans="2:10" x14ac:dyDescent="0.25">
      <c r="B24" s="8" t="s">
        <v>2101</v>
      </c>
      <c r="C24" s="56" t="s">
        <v>1376</v>
      </c>
      <c r="D24" s="53" t="s">
        <v>2102</v>
      </c>
      <c r="E24" s="6" t="s">
        <v>534</v>
      </c>
      <c r="F24" s="19">
        <v>25</v>
      </c>
      <c r="G24" s="24">
        <v>257.54000000000002</v>
      </c>
      <c r="H24" s="24">
        <v>7.14</v>
      </c>
      <c r="I24" s="31">
        <v>5.6</v>
      </c>
      <c r="J24" s="35" t="s">
        <v>514</v>
      </c>
    </row>
    <row r="25" spans="2:10" x14ac:dyDescent="0.25">
      <c r="B25" s="8" t="s">
        <v>2141</v>
      </c>
      <c r="C25" s="56" t="s">
        <v>1752</v>
      </c>
      <c r="D25" s="53" t="s">
        <v>2142</v>
      </c>
      <c r="E25" s="6" t="s">
        <v>911</v>
      </c>
      <c r="F25" s="19">
        <v>25</v>
      </c>
      <c r="G25" s="24">
        <v>257.51</v>
      </c>
      <c r="H25" s="24">
        <v>7.14</v>
      </c>
      <c r="I25" s="31">
        <v>4.9000000000000004</v>
      </c>
      <c r="J25" s="35"/>
    </row>
    <row r="26" spans="2:10" x14ac:dyDescent="0.25">
      <c r="B26" s="8" t="s">
        <v>1911</v>
      </c>
      <c r="C26" s="56" t="s">
        <v>857</v>
      </c>
      <c r="D26" s="53" t="s">
        <v>1912</v>
      </c>
      <c r="E26" s="6" t="s">
        <v>534</v>
      </c>
      <c r="F26" s="19">
        <v>20</v>
      </c>
      <c r="G26" s="24">
        <v>207.25</v>
      </c>
      <c r="H26" s="24">
        <v>5.74</v>
      </c>
      <c r="I26" s="31">
        <v>4.9800000000000004</v>
      </c>
      <c r="J26" s="35" t="s">
        <v>514</v>
      </c>
    </row>
    <row r="27" spans="2:10" x14ac:dyDescent="0.25">
      <c r="C27" s="57" t="s">
        <v>35</v>
      </c>
      <c r="D27" s="53"/>
      <c r="E27" s="6"/>
      <c r="F27" s="19"/>
      <c r="G27" s="25">
        <v>2299.9299999999998</v>
      </c>
      <c r="H27" s="25">
        <v>63.75</v>
      </c>
      <c r="I27" s="31"/>
      <c r="J27" s="35"/>
    </row>
    <row r="28" spans="2:10" x14ac:dyDescent="0.25">
      <c r="C28" s="56"/>
      <c r="D28" s="53"/>
      <c r="E28" s="6"/>
      <c r="F28" s="19"/>
      <c r="G28" s="24"/>
      <c r="H28" s="24"/>
      <c r="I28" s="31"/>
      <c r="J28" s="35"/>
    </row>
    <row r="29" spans="2:10" x14ac:dyDescent="0.25">
      <c r="C29" s="57" t="s">
        <v>7</v>
      </c>
      <c r="D29" s="53"/>
      <c r="E29" s="6"/>
      <c r="F29" s="19"/>
      <c r="G29" s="24" t="s">
        <v>2</v>
      </c>
      <c r="H29" s="24" t="s">
        <v>2</v>
      </c>
      <c r="I29" s="31"/>
      <c r="J29" s="35"/>
    </row>
    <row r="30" spans="2:10" x14ac:dyDescent="0.25">
      <c r="C30" s="56"/>
      <c r="D30" s="53"/>
      <c r="E30" s="6"/>
      <c r="F30" s="19"/>
      <c r="G30" s="24"/>
      <c r="H30" s="24"/>
      <c r="I30" s="31"/>
      <c r="J30" s="35"/>
    </row>
    <row r="31" spans="2:10" x14ac:dyDescent="0.25">
      <c r="C31" s="57" t="s">
        <v>8</v>
      </c>
      <c r="D31" s="53"/>
      <c r="E31" s="6"/>
      <c r="F31" s="19"/>
      <c r="G31" s="24" t="s">
        <v>2</v>
      </c>
      <c r="H31" s="24" t="s">
        <v>2</v>
      </c>
      <c r="I31" s="31"/>
      <c r="J31" s="35"/>
    </row>
    <row r="32" spans="2:10" x14ac:dyDescent="0.25">
      <c r="C32" s="56"/>
      <c r="D32" s="53"/>
      <c r="E32" s="6"/>
      <c r="F32" s="19"/>
      <c r="G32" s="24"/>
      <c r="H32" s="24"/>
      <c r="I32" s="31"/>
      <c r="J32" s="35"/>
    </row>
    <row r="33" spans="2:10" x14ac:dyDescent="0.25">
      <c r="C33" s="57" t="s">
        <v>9</v>
      </c>
      <c r="D33" s="53"/>
      <c r="E33" s="6"/>
      <c r="F33" s="19"/>
      <c r="G33" s="24" t="s">
        <v>2</v>
      </c>
      <c r="H33" s="24" t="s">
        <v>2</v>
      </c>
      <c r="I33" s="31"/>
      <c r="J33" s="35"/>
    </row>
    <row r="34" spans="2:10" x14ac:dyDescent="0.25">
      <c r="C34" s="56"/>
      <c r="D34" s="53"/>
      <c r="E34" s="6"/>
      <c r="F34" s="19"/>
      <c r="G34" s="24"/>
      <c r="H34" s="24"/>
      <c r="I34" s="31"/>
      <c r="J34" s="35"/>
    </row>
    <row r="35" spans="2:10" x14ac:dyDescent="0.25">
      <c r="C35" s="59" t="s">
        <v>10</v>
      </c>
      <c r="D35" s="53"/>
      <c r="E35" s="6"/>
      <c r="F35" s="19"/>
      <c r="G35" s="24"/>
      <c r="H35" s="24"/>
      <c r="I35" s="31"/>
      <c r="J35" s="35"/>
    </row>
    <row r="36" spans="2:10" x14ac:dyDescent="0.25">
      <c r="B36" s="8" t="s">
        <v>3150</v>
      </c>
      <c r="C36" s="56" t="s">
        <v>3151</v>
      </c>
      <c r="D36" s="53" t="s">
        <v>3152</v>
      </c>
      <c r="E36" s="6" t="s">
        <v>655</v>
      </c>
      <c r="F36" s="19">
        <v>500000</v>
      </c>
      <c r="G36" s="24">
        <v>539.94000000000005</v>
      </c>
      <c r="H36" s="24">
        <v>14.97</v>
      </c>
      <c r="I36" s="31">
        <v>5.0918000000000001</v>
      </c>
      <c r="J36" s="35"/>
    </row>
    <row r="37" spans="2:10" x14ac:dyDescent="0.25">
      <c r="B37" s="8" t="s">
        <v>1989</v>
      </c>
      <c r="C37" s="56" t="s">
        <v>1990</v>
      </c>
      <c r="D37" s="53" t="s">
        <v>1991</v>
      </c>
      <c r="E37" s="6" t="s">
        <v>655</v>
      </c>
      <c r="F37" s="19">
        <v>500000</v>
      </c>
      <c r="G37" s="24">
        <v>535.79</v>
      </c>
      <c r="H37" s="24">
        <v>14.85</v>
      </c>
      <c r="I37" s="31">
        <v>5.2217000000000002</v>
      </c>
      <c r="J37" s="35"/>
    </row>
    <row r="38" spans="2:10" x14ac:dyDescent="0.25">
      <c r="C38" s="57" t="s">
        <v>35</v>
      </c>
      <c r="D38" s="53"/>
      <c r="E38" s="6"/>
      <c r="F38" s="19"/>
      <c r="G38" s="25">
        <v>1075.73</v>
      </c>
      <c r="H38" s="25">
        <v>29.82</v>
      </c>
      <c r="I38" s="31"/>
      <c r="J38" s="35"/>
    </row>
    <row r="39" spans="2:10" x14ac:dyDescent="0.25">
      <c r="C39" s="56"/>
      <c r="D39" s="53"/>
      <c r="E39" s="6"/>
      <c r="F39" s="19"/>
      <c r="G39" s="24"/>
      <c r="H39" s="24"/>
      <c r="I39" s="31"/>
      <c r="J39" s="35"/>
    </row>
    <row r="40" spans="2:10" x14ac:dyDescent="0.25">
      <c r="C40" s="57" t="s">
        <v>11</v>
      </c>
      <c r="D40" s="53"/>
      <c r="E40" s="6"/>
      <c r="F40" s="19"/>
      <c r="G40" s="24"/>
      <c r="H40" s="24"/>
      <c r="I40" s="31"/>
      <c r="J40" s="35"/>
    </row>
    <row r="41" spans="2:10" x14ac:dyDescent="0.25">
      <c r="C41" s="56"/>
      <c r="D41" s="53"/>
      <c r="E41" s="6"/>
      <c r="F41" s="19"/>
      <c r="G41" s="24"/>
      <c r="H41" s="24"/>
      <c r="I41" s="31"/>
      <c r="J41" s="35"/>
    </row>
    <row r="42" spans="2:10" x14ac:dyDescent="0.25">
      <c r="C42" s="57" t="s">
        <v>13</v>
      </c>
      <c r="D42" s="53"/>
      <c r="E42" s="6"/>
      <c r="F42" s="19"/>
      <c r="G42" s="24" t="s">
        <v>2</v>
      </c>
      <c r="H42" s="24" t="s">
        <v>2</v>
      </c>
      <c r="I42" s="31"/>
      <c r="J42" s="35"/>
    </row>
    <row r="43" spans="2:10" x14ac:dyDescent="0.25">
      <c r="C43" s="56"/>
      <c r="D43" s="53"/>
      <c r="E43" s="6"/>
      <c r="F43" s="19"/>
      <c r="G43" s="24"/>
      <c r="H43" s="24"/>
      <c r="I43" s="31"/>
      <c r="J43" s="35"/>
    </row>
    <row r="44" spans="2:10" x14ac:dyDescent="0.25">
      <c r="C44" s="57" t="s">
        <v>14</v>
      </c>
      <c r="D44" s="53"/>
      <c r="E44" s="6"/>
      <c r="F44" s="19"/>
      <c r="G44" s="24" t="s">
        <v>2</v>
      </c>
      <c r="H44" s="24" t="s">
        <v>2</v>
      </c>
      <c r="I44" s="31"/>
      <c r="J44" s="35"/>
    </row>
    <row r="45" spans="2:10" x14ac:dyDescent="0.25">
      <c r="C45" s="56"/>
      <c r="D45" s="53"/>
      <c r="E45" s="6"/>
      <c r="F45" s="19"/>
      <c r="G45" s="24"/>
      <c r="H45" s="24"/>
      <c r="I45" s="31"/>
      <c r="J45" s="35"/>
    </row>
    <row r="46" spans="2:10" x14ac:dyDescent="0.25">
      <c r="C46" s="57" t="s">
        <v>15</v>
      </c>
      <c r="D46" s="53"/>
      <c r="E46" s="6"/>
      <c r="F46" s="19"/>
      <c r="G46" s="24" t="s">
        <v>2</v>
      </c>
      <c r="H46" s="24" t="s">
        <v>2</v>
      </c>
      <c r="I46" s="31"/>
      <c r="J46" s="35"/>
    </row>
    <row r="47" spans="2:10" x14ac:dyDescent="0.25">
      <c r="C47" s="56"/>
      <c r="D47" s="53"/>
      <c r="E47" s="6"/>
      <c r="F47" s="19"/>
      <c r="G47" s="24"/>
      <c r="H47" s="24"/>
      <c r="I47" s="31"/>
      <c r="J47" s="35"/>
    </row>
    <row r="48" spans="2:10" x14ac:dyDescent="0.25">
      <c r="C48" s="57" t="s">
        <v>16</v>
      </c>
      <c r="D48" s="53"/>
      <c r="E48" s="6"/>
      <c r="F48" s="19"/>
      <c r="G48" s="24" t="s">
        <v>2</v>
      </c>
      <c r="H48" s="24" t="s">
        <v>2</v>
      </c>
      <c r="I48" s="31"/>
      <c r="J48" s="35"/>
    </row>
    <row r="49" spans="1:10" x14ac:dyDescent="0.25">
      <c r="C49" s="56"/>
      <c r="D49" s="53"/>
      <c r="E49" s="6"/>
      <c r="F49" s="19"/>
      <c r="G49" s="24"/>
      <c r="H49" s="24"/>
      <c r="I49" s="31"/>
      <c r="J49" s="35"/>
    </row>
    <row r="50" spans="1:10" x14ac:dyDescent="0.25">
      <c r="A50" s="10"/>
      <c r="B50" s="28"/>
      <c r="C50" s="58" t="s">
        <v>17</v>
      </c>
      <c r="D50" s="53"/>
      <c r="E50" s="6"/>
      <c r="F50" s="19"/>
      <c r="G50" s="24"/>
      <c r="H50" s="24"/>
      <c r="I50" s="31"/>
      <c r="J50" s="35"/>
    </row>
    <row r="51" spans="1:10" x14ac:dyDescent="0.25">
      <c r="A51" s="28"/>
      <c r="B51" s="28"/>
      <c r="C51" s="58" t="s">
        <v>18</v>
      </c>
      <c r="D51" s="53"/>
      <c r="E51" s="6"/>
      <c r="F51" s="19"/>
      <c r="G51" s="24" t="s">
        <v>2</v>
      </c>
      <c r="H51" s="24" t="s">
        <v>2</v>
      </c>
      <c r="I51" s="31"/>
      <c r="J51" s="35"/>
    </row>
    <row r="52" spans="1:10" x14ac:dyDescent="0.25">
      <c r="A52" s="28"/>
      <c r="B52" s="28"/>
      <c r="C52" s="58"/>
      <c r="D52" s="53"/>
      <c r="E52" s="6"/>
      <c r="F52" s="19"/>
      <c r="G52" s="24"/>
      <c r="H52" s="24"/>
      <c r="I52" s="31"/>
      <c r="J52" s="35"/>
    </row>
    <row r="53" spans="1:10" x14ac:dyDescent="0.25">
      <c r="A53" s="28"/>
      <c r="B53" s="28"/>
      <c r="C53" s="58" t="s">
        <v>19</v>
      </c>
      <c r="D53" s="53"/>
      <c r="E53" s="6"/>
      <c r="F53" s="19"/>
      <c r="G53" s="24" t="s">
        <v>2</v>
      </c>
      <c r="H53" s="24" t="s">
        <v>2</v>
      </c>
      <c r="I53" s="31"/>
      <c r="J53" s="35"/>
    </row>
    <row r="54" spans="1:10" x14ac:dyDescent="0.25">
      <c r="A54" s="28"/>
      <c r="B54" s="28"/>
      <c r="C54" s="58"/>
      <c r="D54" s="53"/>
      <c r="E54" s="6"/>
      <c r="F54" s="19"/>
      <c r="G54" s="24"/>
      <c r="H54" s="24"/>
      <c r="I54" s="31"/>
      <c r="J54" s="35"/>
    </row>
    <row r="55" spans="1:10" x14ac:dyDescent="0.25">
      <c r="A55" s="28"/>
      <c r="B55" s="28"/>
      <c r="C55" s="58" t="s">
        <v>20</v>
      </c>
      <c r="D55" s="53"/>
      <c r="E55" s="6"/>
      <c r="F55" s="19"/>
      <c r="G55" s="24" t="s">
        <v>2</v>
      </c>
      <c r="H55" s="24" t="s">
        <v>2</v>
      </c>
      <c r="I55" s="31"/>
      <c r="J55" s="35"/>
    </row>
    <row r="56" spans="1:10" x14ac:dyDescent="0.25">
      <c r="A56" s="28"/>
      <c r="B56" s="28"/>
      <c r="C56" s="58"/>
      <c r="D56" s="53"/>
      <c r="E56" s="6"/>
      <c r="F56" s="19"/>
      <c r="G56" s="24"/>
      <c r="H56" s="24"/>
      <c r="I56" s="31"/>
      <c r="J56" s="35"/>
    </row>
    <row r="57" spans="1:10" x14ac:dyDescent="0.25">
      <c r="A57" s="28"/>
      <c r="B57" s="28"/>
      <c r="C57" s="58" t="s">
        <v>21</v>
      </c>
      <c r="D57" s="53"/>
      <c r="E57" s="6"/>
      <c r="F57" s="19"/>
      <c r="G57" s="24" t="s">
        <v>2</v>
      </c>
      <c r="H57" s="24" t="s">
        <v>2</v>
      </c>
      <c r="I57" s="31"/>
      <c r="J57" s="35"/>
    </row>
    <row r="58" spans="1:10" x14ac:dyDescent="0.25">
      <c r="A58" s="28"/>
      <c r="B58" s="28"/>
      <c r="C58" s="58"/>
      <c r="D58" s="53"/>
      <c r="E58" s="6"/>
      <c r="F58" s="19"/>
      <c r="G58" s="24"/>
      <c r="H58" s="24"/>
      <c r="I58" s="31"/>
      <c r="J58" s="35"/>
    </row>
    <row r="59" spans="1:10" x14ac:dyDescent="0.25">
      <c r="C59" s="59" t="s">
        <v>22</v>
      </c>
      <c r="D59" s="53"/>
      <c r="E59" s="6"/>
      <c r="F59" s="19"/>
      <c r="G59" s="24"/>
      <c r="H59" s="24"/>
      <c r="I59" s="31"/>
      <c r="J59" s="35"/>
    </row>
    <row r="60" spans="1:10" x14ac:dyDescent="0.25">
      <c r="B60" s="8" t="s">
        <v>33</v>
      </c>
      <c r="C60" s="56" t="s">
        <v>34</v>
      </c>
      <c r="D60" s="53"/>
      <c r="E60" s="6"/>
      <c r="F60" s="19"/>
      <c r="G60" s="24">
        <v>136.6</v>
      </c>
      <c r="H60" s="24">
        <v>3.79</v>
      </c>
      <c r="I60" s="31"/>
      <c r="J60" s="35"/>
    </row>
    <row r="61" spans="1:10" x14ac:dyDescent="0.25">
      <c r="C61" s="57" t="s">
        <v>35</v>
      </c>
      <c r="D61" s="53"/>
      <c r="E61" s="6"/>
      <c r="F61" s="19"/>
      <c r="G61" s="25">
        <v>136.6</v>
      </c>
      <c r="H61" s="25">
        <v>3.79</v>
      </c>
      <c r="I61" s="31"/>
      <c r="J61" s="35"/>
    </row>
    <row r="62" spans="1:10" x14ac:dyDescent="0.25">
      <c r="C62" s="56"/>
      <c r="D62" s="53"/>
      <c r="E62" s="6"/>
      <c r="F62" s="19"/>
      <c r="G62" s="24"/>
      <c r="H62" s="24"/>
      <c r="I62" s="31"/>
      <c r="J62" s="35"/>
    </row>
    <row r="63" spans="1:10" x14ac:dyDescent="0.25">
      <c r="A63" s="10"/>
      <c r="B63" s="28"/>
      <c r="C63" s="58" t="s">
        <v>23</v>
      </c>
      <c r="D63" s="53"/>
      <c r="E63" s="6"/>
      <c r="F63" s="19"/>
      <c r="G63" s="24"/>
      <c r="H63" s="24"/>
      <c r="I63" s="31"/>
      <c r="J63" s="35"/>
    </row>
    <row r="64" spans="1:10" x14ac:dyDescent="0.25">
      <c r="A64" s="28"/>
      <c r="B64" s="28"/>
      <c r="C64" s="60" t="s">
        <v>3398</v>
      </c>
      <c r="D64" s="53"/>
      <c r="E64" s="6"/>
      <c r="F64" s="19"/>
      <c r="G64" s="24" t="s">
        <v>2</v>
      </c>
      <c r="H64" s="24" t="s">
        <v>2</v>
      </c>
      <c r="I64" s="31"/>
      <c r="J64" s="35"/>
    </row>
    <row r="65" spans="2:10" x14ac:dyDescent="0.25">
      <c r="B65" s="8"/>
      <c r="C65" s="56" t="s">
        <v>36</v>
      </c>
      <c r="D65" s="53"/>
      <c r="E65" s="6"/>
      <c r="F65" s="19"/>
      <c r="G65" s="24">
        <v>95.22</v>
      </c>
      <c r="H65" s="24">
        <v>2.64</v>
      </c>
      <c r="I65" s="31"/>
      <c r="J65" s="35"/>
    </row>
    <row r="66" spans="2:10" x14ac:dyDescent="0.25">
      <c r="C66" s="57" t="s">
        <v>35</v>
      </c>
      <c r="D66" s="53"/>
      <c r="E66" s="6"/>
      <c r="F66" s="19"/>
      <c r="G66" s="25">
        <v>95.22</v>
      </c>
      <c r="H66" s="25">
        <v>2.64</v>
      </c>
      <c r="I66" s="31"/>
      <c r="J66" s="35"/>
    </row>
    <row r="67" spans="2:10" x14ac:dyDescent="0.25">
      <c r="C67" s="56"/>
      <c r="D67" s="53"/>
      <c r="E67" s="6"/>
      <c r="F67" s="19"/>
      <c r="G67" s="24"/>
      <c r="H67" s="24"/>
      <c r="I67" s="31"/>
      <c r="J67" s="35"/>
    </row>
    <row r="68" spans="2:10" x14ac:dyDescent="0.25">
      <c r="C68" s="61" t="s">
        <v>37</v>
      </c>
      <c r="D68" s="54"/>
      <c r="E68" s="5"/>
      <c r="F68" s="20"/>
      <c r="G68" s="26">
        <v>3607.48</v>
      </c>
      <c r="H68" s="26">
        <f>SUMIFS(H:H,C:C,"Total")</f>
        <v>100</v>
      </c>
      <c r="I68" s="32"/>
      <c r="J68" s="36"/>
    </row>
    <row r="71" spans="2:10" x14ac:dyDescent="0.25">
      <c r="C71" s="1" t="s">
        <v>38</v>
      </c>
    </row>
    <row r="72" spans="2:10" x14ac:dyDescent="0.25">
      <c r="C72" s="2" t="s">
        <v>39</v>
      </c>
    </row>
    <row r="73" spans="2:10" x14ac:dyDescent="0.25">
      <c r="C73" s="2" t="s">
        <v>40</v>
      </c>
    </row>
    <row r="74" spans="2:10" x14ac:dyDescent="0.25">
      <c r="C74" s="2" t="s">
        <v>3430</v>
      </c>
    </row>
  </sheetData>
  <hyperlinks>
    <hyperlink ref="J2" location="'Index'!A1" display="'Index'!A1"/>
  </hyperlinks>
  <pageMargins left="0.7" right="0.7" top="0.75" bottom="0.75" header="0.3" footer="0.3"/>
  <pageSetup orientation="portrait" horizontalDpi="4294967293"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5"/>
  <dimension ref="A1:J6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3153</v>
      </c>
      <c r="J2" s="37" t="s">
        <v>3307</v>
      </c>
    </row>
    <row r="3" spans="1:10" ht="16.5" x14ac:dyDescent="0.3">
      <c r="C3" s="1" t="s">
        <v>24</v>
      </c>
      <c r="D3" s="21" t="s">
        <v>3154</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A23" s="28"/>
      <c r="B23" s="28"/>
      <c r="C23" s="58" t="s">
        <v>9</v>
      </c>
      <c r="D23" s="53"/>
      <c r="E23" s="6"/>
      <c r="F23" s="19"/>
      <c r="G23" s="24" t="s">
        <v>2</v>
      </c>
      <c r="H23" s="24" t="s">
        <v>2</v>
      </c>
      <c r="I23" s="31"/>
      <c r="J23" s="35"/>
    </row>
    <row r="24" spans="1:10" x14ac:dyDescent="0.25">
      <c r="A24" s="28"/>
      <c r="B24" s="28"/>
      <c r="C24" s="58"/>
      <c r="D24" s="53"/>
      <c r="E24" s="6"/>
      <c r="F24" s="19"/>
      <c r="G24" s="24"/>
      <c r="H24" s="24"/>
      <c r="I24" s="31"/>
      <c r="J24" s="35"/>
    </row>
    <row r="25" spans="1:10" x14ac:dyDescent="0.25">
      <c r="C25" s="59" t="s">
        <v>10</v>
      </c>
      <c r="D25" s="53"/>
      <c r="E25" s="6"/>
      <c r="F25" s="19"/>
      <c r="G25" s="24"/>
      <c r="H25" s="24"/>
      <c r="I25" s="31"/>
      <c r="J25" s="35"/>
    </row>
    <row r="26" spans="1:10" x14ac:dyDescent="0.25">
      <c r="B26" s="8" t="s">
        <v>1989</v>
      </c>
      <c r="C26" s="56" t="s">
        <v>1990</v>
      </c>
      <c r="D26" s="53" t="s">
        <v>1991</v>
      </c>
      <c r="E26" s="6" t="s">
        <v>655</v>
      </c>
      <c r="F26" s="19">
        <v>1900000</v>
      </c>
      <c r="G26" s="24">
        <v>2035.98</v>
      </c>
      <c r="H26" s="24">
        <v>91.78</v>
      </c>
      <c r="I26" s="31">
        <v>5.2217000000000002</v>
      </c>
      <c r="J26" s="35"/>
    </row>
    <row r="27" spans="1:10" x14ac:dyDescent="0.25">
      <c r="C27" s="57" t="s">
        <v>35</v>
      </c>
      <c r="D27" s="53"/>
      <c r="E27" s="6"/>
      <c r="F27" s="19"/>
      <c r="G27" s="25">
        <v>2035.98</v>
      </c>
      <c r="H27" s="25">
        <v>91.78</v>
      </c>
      <c r="I27" s="31"/>
      <c r="J27" s="35"/>
    </row>
    <row r="28" spans="1:10" x14ac:dyDescent="0.25">
      <c r="C28" s="56"/>
      <c r="D28" s="53"/>
      <c r="E28" s="6"/>
      <c r="F28" s="19"/>
      <c r="G28" s="24"/>
      <c r="H28" s="24"/>
      <c r="I28" s="31"/>
      <c r="J28" s="35"/>
    </row>
    <row r="29" spans="1:10" x14ac:dyDescent="0.25">
      <c r="C29" s="57" t="s">
        <v>11</v>
      </c>
      <c r="D29" s="53"/>
      <c r="E29" s="6"/>
      <c r="F29" s="19"/>
      <c r="G29" s="24"/>
      <c r="H29" s="24"/>
      <c r="I29" s="31"/>
      <c r="J29" s="35"/>
    </row>
    <row r="30" spans="1:10" x14ac:dyDescent="0.25">
      <c r="C30" s="56"/>
      <c r="D30" s="53"/>
      <c r="E30" s="6"/>
      <c r="F30" s="19"/>
      <c r="G30" s="24"/>
      <c r="H30" s="24"/>
      <c r="I30" s="31"/>
      <c r="J30" s="35"/>
    </row>
    <row r="31" spans="1:10" x14ac:dyDescent="0.25">
      <c r="C31" s="57" t="s">
        <v>13</v>
      </c>
      <c r="D31" s="53"/>
      <c r="E31" s="6"/>
      <c r="F31" s="19"/>
      <c r="G31" s="24" t="s">
        <v>2</v>
      </c>
      <c r="H31" s="24" t="s">
        <v>2</v>
      </c>
      <c r="I31" s="31"/>
      <c r="J31" s="35"/>
    </row>
    <row r="32" spans="1:10" x14ac:dyDescent="0.25">
      <c r="C32" s="56"/>
      <c r="D32" s="53"/>
      <c r="E32" s="6"/>
      <c r="F32" s="19"/>
      <c r="G32" s="24"/>
      <c r="H32" s="24"/>
      <c r="I32" s="31"/>
      <c r="J32" s="35"/>
    </row>
    <row r="33" spans="1:10" x14ac:dyDescent="0.25">
      <c r="C33" s="57" t="s">
        <v>14</v>
      </c>
      <c r="D33" s="53"/>
      <c r="E33" s="6"/>
      <c r="F33" s="19"/>
      <c r="G33" s="24" t="s">
        <v>2</v>
      </c>
      <c r="H33" s="24" t="s">
        <v>2</v>
      </c>
      <c r="I33" s="31"/>
      <c r="J33" s="35"/>
    </row>
    <row r="34" spans="1:10" x14ac:dyDescent="0.25">
      <c r="C34" s="56"/>
      <c r="D34" s="53"/>
      <c r="E34" s="6"/>
      <c r="F34" s="19"/>
      <c r="G34" s="24"/>
      <c r="H34" s="24"/>
      <c r="I34" s="31"/>
      <c r="J34" s="35"/>
    </row>
    <row r="35" spans="1:10" x14ac:dyDescent="0.25">
      <c r="C35" s="57" t="s">
        <v>15</v>
      </c>
      <c r="D35" s="53"/>
      <c r="E35" s="6"/>
      <c r="F35" s="19"/>
      <c r="G35" s="24" t="s">
        <v>2</v>
      </c>
      <c r="H35" s="24" t="s">
        <v>2</v>
      </c>
      <c r="I35" s="31"/>
      <c r="J35" s="35"/>
    </row>
    <row r="36" spans="1:10" x14ac:dyDescent="0.25">
      <c r="C36" s="56"/>
      <c r="D36" s="53"/>
      <c r="E36" s="6"/>
      <c r="F36" s="19"/>
      <c r="G36" s="24"/>
      <c r="H36" s="24"/>
      <c r="I36" s="31"/>
      <c r="J36" s="35"/>
    </row>
    <row r="37" spans="1:10" x14ac:dyDescent="0.25">
      <c r="C37" s="57" t="s">
        <v>16</v>
      </c>
      <c r="D37" s="53"/>
      <c r="E37" s="6"/>
      <c r="F37" s="19"/>
      <c r="G37" s="24" t="s">
        <v>2</v>
      </c>
      <c r="H37" s="24" t="s">
        <v>2</v>
      </c>
      <c r="I37" s="31"/>
      <c r="J37" s="35"/>
    </row>
    <row r="38" spans="1:10" x14ac:dyDescent="0.25">
      <c r="C38" s="56"/>
      <c r="D38" s="53"/>
      <c r="E38" s="6"/>
      <c r="F38" s="19"/>
      <c r="G38" s="24"/>
      <c r="H38" s="24"/>
      <c r="I38" s="31"/>
      <c r="J38" s="35"/>
    </row>
    <row r="39" spans="1:10" x14ac:dyDescent="0.25">
      <c r="A39" s="10"/>
      <c r="B39" s="28"/>
      <c r="C39" s="58" t="s">
        <v>17</v>
      </c>
      <c r="D39" s="53"/>
      <c r="E39" s="6"/>
      <c r="F39" s="19"/>
      <c r="G39" s="24"/>
      <c r="H39" s="24"/>
      <c r="I39" s="31"/>
      <c r="J39" s="35"/>
    </row>
    <row r="40" spans="1:10" x14ac:dyDescent="0.25">
      <c r="A40" s="28"/>
      <c r="B40" s="28"/>
      <c r="C40" s="58" t="s">
        <v>18</v>
      </c>
      <c r="D40" s="53"/>
      <c r="E40" s="6"/>
      <c r="F40" s="19"/>
      <c r="G40" s="24" t="s">
        <v>2</v>
      </c>
      <c r="H40" s="24" t="s">
        <v>2</v>
      </c>
      <c r="I40" s="31"/>
      <c r="J40" s="35"/>
    </row>
    <row r="41" spans="1:10" x14ac:dyDescent="0.25">
      <c r="A41" s="28"/>
      <c r="B41" s="28"/>
      <c r="C41" s="58"/>
      <c r="D41" s="53"/>
      <c r="E41" s="6"/>
      <c r="F41" s="19"/>
      <c r="G41" s="24"/>
      <c r="H41" s="24"/>
      <c r="I41" s="31"/>
      <c r="J41" s="35"/>
    </row>
    <row r="42" spans="1:10" x14ac:dyDescent="0.25">
      <c r="A42" s="28"/>
      <c r="B42" s="28"/>
      <c r="C42" s="58" t="s">
        <v>19</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A44" s="28"/>
      <c r="B44" s="28"/>
      <c r="C44" s="58" t="s">
        <v>20</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A46" s="28"/>
      <c r="B46" s="28"/>
      <c r="C46" s="58" t="s">
        <v>21</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C48" s="59" t="s">
        <v>22</v>
      </c>
      <c r="D48" s="53"/>
      <c r="E48" s="6"/>
      <c r="F48" s="19"/>
      <c r="G48" s="24"/>
      <c r="H48" s="24"/>
      <c r="I48" s="31"/>
      <c r="J48" s="35"/>
    </row>
    <row r="49" spans="1:10" x14ac:dyDescent="0.25">
      <c r="B49" s="8" t="s">
        <v>33</v>
      </c>
      <c r="C49" s="56" t="s">
        <v>34</v>
      </c>
      <c r="D49" s="53"/>
      <c r="E49" s="6"/>
      <c r="F49" s="19"/>
      <c r="G49" s="24">
        <v>114.09</v>
      </c>
      <c r="H49" s="24">
        <v>5.14</v>
      </c>
      <c r="I49" s="31"/>
      <c r="J49" s="35"/>
    </row>
    <row r="50" spans="1:10" x14ac:dyDescent="0.25">
      <c r="C50" s="57" t="s">
        <v>35</v>
      </c>
      <c r="D50" s="53"/>
      <c r="E50" s="6"/>
      <c r="F50" s="19"/>
      <c r="G50" s="25">
        <v>114.09</v>
      </c>
      <c r="H50" s="25">
        <v>5.14</v>
      </c>
      <c r="I50" s="31"/>
      <c r="J50" s="35"/>
    </row>
    <row r="51" spans="1:10" x14ac:dyDescent="0.25">
      <c r="C51" s="56"/>
      <c r="D51" s="53"/>
      <c r="E51" s="6"/>
      <c r="F51" s="19"/>
      <c r="G51" s="24"/>
      <c r="H51" s="24"/>
      <c r="I51" s="31"/>
      <c r="J51" s="35"/>
    </row>
    <row r="52" spans="1:10" x14ac:dyDescent="0.25">
      <c r="A52" s="10"/>
      <c r="B52" s="28"/>
      <c r="C52" s="58" t="s">
        <v>23</v>
      </c>
      <c r="D52" s="53"/>
      <c r="E52" s="6"/>
      <c r="F52" s="19"/>
      <c r="G52" s="24"/>
      <c r="H52" s="24"/>
      <c r="I52" s="31"/>
      <c r="J52" s="35"/>
    </row>
    <row r="53" spans="1:10" x14ac:dyDescent="0.25">
      <c r="A53" s="28"/>
      <c r="B53" s="28"/>
      <c r="C53" s="60" t="s">
        <v>3398</v>
      </c>
      <c r="D53" s="53"/>
      <c r="E53" s="6"/>
      <c r="F53" s="19"/>
      <c r="G53" s="24" t="s">
        <v>2</v>
      </c>
      <c r="H53" s="24" t="s">
        <v>2</v>
      </c>
      <c r="I53" s="31"/>
      <c r="J53" s="35"/>
    </row>
    <row r="54" spans="1:10" x14ac:dyDescent="0.25">
      <c r="B54" s="8"/>
      <c r="C54" s="56" t="s">
        <v>36</v>
      </c>
      <c r="D54" s="53"/>
      <c r="E54" s="6"/>
      <c r="F54" s="19"/>
      <c r="G54" s="24">
        <v>68.180000000000007</v>
      </c>
      <c r="H54" s="24">
        <v>3.0799999999999996</v>
      </c>
      <c r="I54" s="31"/>
      <c r="J54" s="35"/>
    </row>
    <row r="55" spans="1:10" x14ac:dyDescent="0.25">
      <c r="C55" s="57" t="s">
        <v>35</v>
      </c>
      <c r="D55" s="53"/>
      <c r="E55" s="6"/>
      <c r="F55" s="19"/>
      <c r="G55" s="25">
        <v>68.180000000000007</v>
      </c>
      <c r="H55" s="25">
        <v>3.0799999999999996</v>
      </c>
      <c r="I55" s="31"/>
      <c r="J55" s="35"/>
    </row>
    <row r="56" spans="1:10" x14ac:dyDescent="0.25">
      <c r="C56" s="56"/>
      <c r="D56" s="53"/>
      <c r="E56" s="6"/>
      <c r="F56" s="19"/>
      <c r="G56" s="24"/>
      <c r="H56" s="24"/>
      <c r="I56" s="31"/>
      <c r="J56" s="35"/>
    </row>
    <row r="57" spans="1:10" x14ac:dyDescent="0.25">
      <c r="C57" s="61" t="s">
        <v>37</v>
      </c>
      <c r="D57" s="54"/>
      <c r="E57" s="5"/>
      <c r="F57" s="20"/>
      <c r="G57" s="26">
        <v>2218.25</v>
      </c>
      <c r="H57" s="26">
        <f>SUMIFS(H:H,C:C,"Total")</f>
        <v>100</v>
      </c>
      <c r="I57" s="32"/>
      <c r="J57" s="36"/>
    </row>
    <row r="60" spans="1:10" x14ac:dyDescent="0.25">
      <c r="C60" s="1" t="s">
        <v>38</v>
      </c>
    </row>
    <row r="61" spans="1:10" x14ac:dyDescent="0.25">
      <c r="C61" s="2" t="s">
        <v>39</v>
      </c>
    </row>
    <row r="62" spans="1:10" x14ac:dyDescent="0.25">
      <c r="C62" s="2" t="s">
        <v>40</v>
      </c>
    </row>
    <row r="63" spans="1:10" x14ac:dyDescent="0.25">
      <c r="C63" s="2" t="s">
        <v>3430</v>
      </c>
    </row>
  </sheetData>
  <hyperlinks>
    <hyperlink ref="J2" location="'Index'!A1" display="'Index'!A1"/>
  </hyperlinks>
  <pageMargins left="0.7" right="0.7" top="0.75" bottom="0.75" header="0.3" footer="0.3"/>
  <pageSetup orientation="portrait" horizontalDpi="4294967293"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6"/>
  <dimension ref="A1:J63"/>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2585</v>
      </c>
      <c r="J2" s="37" t="s">
        <v>3307</v>
      </c>
    </row>
    <row r="3" spans="1:10" ht="16.5" x14ac:dyDescent="0.3">
      <c r="C3" s="1" t="s">
        <v>24</v>
      </c>
      <c r="D3" s="21" t="s">
        <v>3155</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C8" s="57" t="s">
        <v>0</v>
      </c>
      <c r="D8" s="53"/>
      <c r="E8" s="6"/>
      <c r="F8" s="19"/>
      <c r="G8" s="24"/>
      <c r="H8" s="24"/>
      <c r="I8" s="31"/>
      <c r="J8" s="35"/>
    </row>
    <row r="9" spans="1:10" x14ac:dyDescent="0.25">
      <c r="C9" s="56"/>
      <c r="D9" s="53"/>
      <c r="E9" s="6"/>
      <c r="F9" s="19"/>
      <c r="G9" s="24"/>
      <c r="H9" s="24"/>
      <c r="I9" s="31"/>
      <c r="J9" s="35"/>
    </row>
    <row r="10" spans="1:10" x14ac:dyDescent="0.25">
      <c r="C10" s="57" t="s">
        <v>1</v>
      </c>
      <c r="D10" s="53"/>
      <c r="E10" s="6"/>
      <c r="F10" s="19"/>
      <c r="G10" s="24" t="s">
        <v>2</v>
      </c>
      <c r="H10" s="24" t="s">
        <v>2</v>
      </c>
      <c r="I10" s="31"/>
      <c r="J10" s="35"/>
    </row>
    <row r="11" spans="1:10" x14ac:dyDescent="0.25">
      <c r="C11" s="56"/>
      <c r="D11" s="53"/>
      <c r="E11" s="6"/>
      <c r="F11" s="19"/>
      <c r="G11" s="24"/>
      <c r="H11" s="24"/>
      <c r="I11" s="31"/>
      <c r="J11" s="35"/>
    </row>
    <row r="12" spans="1:10" x14ac:dyDescent="0.25">
      <c r="C12" s="57" t="s">
        <v>3</v>
      </c>
      <c r="D12" s="53"/>
      <c r="E12" s="6"/>
      <c r="F12" s="19"/>
      <c r="G12" s="24" t="s">
        <v>2</v>
      </c>
      <c r="H12" s="24" t="s">
        <v>2</v>
      </c>
      <c r="I12" s="31"/>
      <c r="J12" s="35"/>
    </row>
    <row r="13" spans="1:10" x14ac:dyDescent="0.25">
      <c r="C13" s="56"/>
      <c r="D13" s="53"/>
      <c r="E13" s="6"/>
      <c r="F13" s="19"/>
      <c r="G13" s="24"/>
      <c r="H13" s="24"/>
      <c r="I13" s="31"/>
      <c r="J13" s="35"/>
    </row>
    <row r="14" spans="1:10" x14ac:dyDescent="0.25">
      <c r="C14" s="57" t="s">
        <v>4</v>
      </c>
      <c r="D14" s="53"/>
      <c r="E14" s="6"/>
      <c r="F14" s="19"/>
      <c r="G14" s="24" t="s">
        <v>2</v>
      </c>
      <c r="H14" s="24" t="s">
        <v>2</v>
      </c>
      <c r="I14" s="31"/>
      <c r="J14" s="35"/>
    </row>
    <row r="15" spans="1:10" x14ac:dyDescent="0.25">
      <c r="C15" s="56"/>
      <c r="D15" s="53"/>
      <c r="E15" s="6"/>
      <c r="F15" s="19"/>
      <c r="G15" s="24"/>
      <c r="H15" s="24"/>
      <c r="I15" s="31"/>
      <c r="J15" s="35"/>
    </row>
    <row r="16" spans="1:10" x14ac:dyDescent="0.25">
      <c r="A16" s="10"/>
      <c r="B16" s="28"/>
      <c r="C16" s="58" t="s">
        <v>5</v>
      </c>
      <c r="D16" s="53"/>
      <c r="E16" s="6"/>
      <c r="F16" s="19"/>
      <c r="G16" s="24"/>
      <c r="H16" s="24"/>
      <c r="I16" s="31"/>
      <c r="J16" s="35"/>
    </row>
    <row r="17" spans="1:10" x14ac:dyDescent="0.25">
      <c r="A17" s="28"/>
      <c r="B17" s="28"/>
      <c r="C17" s="58" t="s">
        <v>6</v>
      </c>
      <c r="D17" s="53"/>
      <c r="E17" s="6"/>
      <c r="F17" s="19"/>
      <c r="G17" s="24" t="s">
        <v>2</v>
      </c>
      <c r="H17" s="24" t="s">
        <v>2</v>
      </c>
      <c r="I17" s="31"/>
      <c r="J17" s="35"/>
    </row>
    <row r="18" spans="1:10" x14ac:dyDescent="0.25">
      <c r="A18" s="28"/>
      <c r="B18" s="28"/>
      <c r="C18" s="58"/>
      <c r="D18" s="53"/>
      <c r="E18" s="6"/>
      <c r="F18" s="19"/>
      <c r="G18" s="24"/>
      <c r="H18" s="24"/>
      <c r="I18" s="31"/>
      <c r="J18" s="35"/>
    </row>
    <row r="19" spans="1:10" x14ac:dyDescent="0.25">
      <c r="A19" s="28"/>
      <c r="B19" s="28"/>
      <c r="C19" s="58" t="s">
        <v>7</v>
      </c>
      <c r="D19" s="53"/>
      <c r="E19" s="6"/>
      <c r="F19" s="19"/>
      <c r="G19" s="24" t="s">
        <v>2</v>
      </c>
      <c r="H19" s="24" t="s">
        <v>2</v>
      </c>
      <c r="I19" s="31"/>
      <c r="J19" s="35"/>
    </row>
    <row r="20" spans="1:10" x14ac:dyDescent="0.25">
      <c r="A20" s="28"/>
      <c r="B20" s="28"/>
      <c r="C20" s="58"/>
      <c r="D20" s="53"/>
      <c r="E20" s="6"/>
      <c r="F20" s="19"/>
      <c r="G20" s="24"/>
      <c r="H20" s="24"/>
      <c r="I20" s="31"/>
      <c r="J20" s="35"/>
    </row>
    <row r="21" spans="1:10" x14ac:dyDescent="0.25">
      <c r="A21" s="28"/>
      <c r="B21" s="28"/>
      <c r="C21" s="58" t="s">
        <v>8</v>
      </c>
      <c r="D21" s="53"/>
      <c r="E21" s="6"/>
      <c r="F21" s="19"/>
      <c r="G21" s="24" t="s">
        <v>2</v>
      </c>
      <c r="H21" s="24" t="s">
        <v>2</v>
      </c>
      <c r="I21" s="31"/>
      <c r="J21" s="35"/>
    </row>
    <row r="22" spans="1:10" x14ac:dyDescent="0.25">
      <c r="A22" s="28"/>
      <c r="B22" s="28"/>
      <c r="C22" s="58"/>
      <c r="D22" s="53"/>
      <c r="E22" s="6"/>
      <c r="F22" s="19"/>
      <c r="G22" s="24"/>
      <c r="H22" s="24"/>
      <c r="I22" s="31"/>
      <c r="J22" s="35"/>
    </row>
    <row r="23" spans="1:10" x14ac:dyDescent="0.25">
      <c r="A23" s="28"/>
      <c r="B23" s="28"/>
      <c r="C23" s="58" t="s">
        <v>9</v>
      </c>
      <c r="D23" s="53"/>
      <c r="E23" s="6"/>
      <c r="F23" s="19"/>
      <c r="G23" s="24" t="s">
        <v>2</v>
      </c>
      <c r="H23" s="24" t="s">
        <v>2</v>
      </c>
      <c r="I23" s="31"/>
      <c r="J23" s="35"/>
    </row>
    <row r="24" spans="1:10" x14ac:dyDescent="0.25">
      <c r="A24" s="28"/>
      <c r="B24" s="28"/>
      <c r="C24" s="58"/>
      <c r="D24" s="53"/>
      <c r="E24" s="6"/>
      <c r="F24" s="19"/>
      <c r="G24" s="24"/>
      <c r="H24" s="24"/>
      <c r="I24" s="31"/>
      <c r="J24" s="35"/>
    </row>
    <row r="25" spans="1:10" x14ac:dyDescent="0.25">
      <c r="C25" s="59" t="s">
        <v>10</v>
      </c>
      <c r="D25" s="53"/>
      <c r="E25" s="6"/>
      <c r="F25" s="19"/>
      <c r="G25" s="24"/>
      <c r="H25" s="24"/>
      <c r="I25" s="31"/>
      <c r="J25" s="35"/>
    </row>
    <row r="26" spans="1:10" x14ac:dyDescent="0.25">
      <c r="B26" s="8" t="s">
        <v>3156</v>
      </c>
      <c r="C26" s="56" t="s">
        <v>3157</v>
      </c>
      <c r="D26" s="53" t="s">
        <v>3158</v>
      </c>
      <c r="E26" s="6" t="s">
        <v>655</v>
      </c>
      <c r="F26" s="19">
        <v>1950000</v>
      </c>
      <c r="G26" s="24">
        <v>1953.92</v>
      </c>
      <c r="H26" s="24">
        <v>94.89</v>
      </c>
      <c r="I26" s="31">
        <v>6.81</v>
      </c>
      <c r="J26" s="35"/>
    </row>
    <row r="27" spans="1:10" x14ac:dyDescent="0.25">
      <c r="C27" s="57" t="s">
        <v>35</v>
      </c>
      <c r="D27" s="53"/>
      <c r="E27" s="6"/>
      <c r="F27" s="19"/>
      <c r="G27" s="25">
        <v>1953.92</v>
      </c>
      <c r="H27" s="25">
        <v>94.89</v>
      </c>
      <c r="I27" s="31"/>
      <c r="J27" s="35"/>
    </row>
    <row r="28" spans="1:10" x14ac:dyDescent="0.25">
      <c r="C28" s="56"/>
      <c r="D28" s="53"/>
      <c r="E28" s="6"/>
      <c r="F28" s="19"/>
      <c r="G28" s="24"/>
      <c r="H28" s="24"/>
      <c r="I28" s="31"/>
      <c r="J28" s="35"/>
    </row>
    <row r="29" spans="1:10" x14ac:dyDescent="0.25">
      <c r="C29" s="57" t="s">
        <v>11</v>
      </c>
      <c r="D29" s="53"/>
      <c r="E29" s="6"/>
      <c r="F29" s="19"/>
      <c r="G29" s="24"/>
      <c r="H29" s="24"/>
      <c r="I29" s="31"/>
      <c r="J29" s="35"/>
    </row>
    <row r="30" spans="1:10" x14ac:dyDescent="0.25">
      <c r="C30" s="56"/>
      <c r="D30" s="53"/>
      <c r="E30" s="6"/>
      <c r="F30" s="19"/>
      <c r="G30" s="24"/>
      <c r="H30" s="24"/>
      <c r="I30" s="31"/>
      <c r="J30" s="35"/>
    </row>
    <row r="31" spans="1:10" x14ac:dyDescent="0.25">
      <c r="C31" s="57" t="s">
        <v>13</v>
      </c>
      <c r="D31" s="53"/>
      <c r="E31" s="6"/>
      <c r="F31" s="19"/>
      <c r="G31" s="24" t="s">
        <v>2</v>
      </c>
      <c r="H31" s="24" t="s">
        <v>2</v>
      </c>
      <c r="I31" s="31"/>
      <c r="J31" s="35"/>
    </row>
    <row r="32" spans="1:10" x14ac:dyDescent="0.25">
      <c r="C32" s="56"/>
      <c r="D32" s="53"/>
      <c r="E32" s="6"/>
      <c r="F32" s="19"/>
      <c r="G32" s="24"/>
      <c r="H32" s="24"/>
      <c r="I32" s="31"/>
      <c r="J32" s="35"/>
    </row>
    <row r="33" spans="1:10" x14ac:dyDescent="0.25">
      <c r="C33" s="57" t="s">
        <v>14</v>
      </c>
      <c r="D33" s="53"/>
      <c r="E33" s="6"/>
      <c r="F33" s="19"/>
      <c r="G33" s="24" t="s">
        <v>2</v>
      </c>
      <c r="H33" s="24" t="s">
        <v>2</v>
      </c>
      <c r="I33" s="31"/>
      <c r="J33" s="35"/>
    </row>
    <row r="34" spans="1:10" x14ac:dyDescent="0.25">
      <c r="C34" s="56"/>
      <c r="D34" s="53"/>
      <c r="E34" s="6"/>
      <c r="F34" s="19"/>
      <c r="G34" s="24"/>
      <c r="H34" s="24"/>
      <c r="I34" s="31"/>
      <c r="J34" s="35"/>
    </row>
    <row r="35" spans="1:10" x14ac:dyDescent="0.25">
      <c r="C35" s="57" t="s">
        <v>15</v>
      </c>
      <c r="D35" s="53"/>
      <c r="E35" s="6"/>
      <c r="F35" s="19"/>
      <c r="G35" s="24" t="s">
        <v>2</v>
      </c>
      <c r="H35" s="24" t="s">
        <v>2</v>
      </c>
      <c r="I35" s="31"/>
      <c r="J35" s="35"/>
    </row>
    <row r="36" spans="1:10" x14ac:dyDescent="0.25">
      <c r="C36" s="56"/>
      <c r="D36" s="53"/>
      <c r="E36" s="6"/>
      <c r="F36" s="19"/>
      <c r="G36" s="24"/>
      <c r="H36" s="24"/>
      <c r="I36" s="31"/>
      <c r="J36" s="35"/>
    </row>
    <row r="37" spans="1:10" x14ac:dyDescent="0.25">
      <c r="C37" s="57" t="s">
        <v>16</v>
      </c>
      <c r="D37" s="53"/>
      <c r="E37" s="6"/>
      <c r="F37" s="19"/>
      <c r="G37" s="24" t="s">
        <v>2</v>
      </c>
      <c r="H37" s="24" t="s">
        <v>2</v>
      </c>
      <c r="I37" s="31"/>
      <c r="J37" s="35"/>
    </row>
    <row r="38" spans="1:10" x14ac:dyDescent="0.25">
      <c r="C38" s="56"/>
      <c r="D38" s="53"/>
      <c r="E38" s="6"/>
      <c r="F38" s="19"/>
      <c r="G38" s="24"/>
      <c r="H38" s="24"/>
      <c r="I38" s="31"/>
      <c r="J38" s="35"/>
    </row>
    <row r="39" spans="1:10" x14ac:dyDescent="0.25">
      <c r="A39" s="10"/>
      <c r="B39" s="28"/>
      <c r="C39" s="58" t="s">
        <v>17</v>
      </c>
      <c r="D39" s="53"/>
      <c r="E39" s="6"/>
      <c r="F39" s="19"/>
      <c r="G39" s="24"/>
      <c r="H39" s="24"/>
      <c r="I39" s="31"/>
      <c r="J39" s="35"/>
    </row>
    <row r="40" spans="1:10" x14ac:dyDescent="0.25">
      <c r="A40" s="28"/>
      <c r="B40" s="28"/>
      <c r="C40" s="58" t="s">
        <v>18</v>
      </c>
      <c r="D40" s="53"/>
      <c r="E40" s="6"/>
      <c r="F40" s="19"/>
      <c r="G40" s="24" t="s">
        <v>2</v>
      </c>
      <c r="H40" s="24" t="s">
        <v>2</v>
      </c>
      <c r="I40" s="31"/>
      <c r="J40" s="35"/>
    </row>
    <row r="41" spans="1:10" x14ac:dyDescent="0.25">
      <c r="A41" s="28"/>
      <c r="B41" s="28"/>
      <c r="C41" s="58"/>
      <c r="D41" s="53"/>
      <c r="E41" s="6"/>
      <c r="F41" s="19"/>
      <c r="G41" s="24"/>
      <c r="H41" s="24"/>
      <c r="I41" s="31"/>
      <c r="J41" s="35"/>
    </row>
    <row r="42" spans="1:10" x14ac:dyDescent="0.25">
      <c r="A42" s="28"/>
      <c r="B42" s="28"/>
      <c r="C42" s="58" t="s">
        <v>19</v>
      </c>
      <c r="D42" s="53"/>
      <c r="E42" s="6"/>
      <c r="F42" s="19"/>
      <c r="G42" s="24" t="s">
        <v>2</v>
      </c>
      <c r="H42" s="24" t="s">
        <v>2</v>
      </c>
      <c r="I42" s="31"/>
      <c r="J42" s="35"/>
    </row>
    <row r="43" spans="1:10" x14ac:dyDescent="0.25">
      <c r="A43" s="28"/>
      <c r="B43" s="28"/>
      <c r="C43" s="58"/>
      <c r="D43" s="53"/>
      <c r="E43" s="6"/>
      <c r="F43" s="19"/>
      <c r="G43" s="24"/>
      <c r="H43" s="24"/>
      <c r="I43" s="31"/>
      <c r="J43" s="35"/>
    </row>
    <row r="44" spans="1:10" x14ac:dyDescent="0.25">
      <c r="A44" s="28"/>
      <c r="B44" s="28"/>
      <c r="C44" s="58" t="s">
        <v>20</v>
      </c>
      <c r="D44" s="53"/>
      <c r="E44" s="6"/>
      <c r="F44" s="19"/>
      <c r="G44" s="24" t="s">
        <v>2</v>
      </c>
      <c r="H44" s="24" t="s">
        <v>2</v>
      </c>
      <c r="I44" s="31"/>
      <c r="J44" s="35"/>
    </row>
    <row r="45" spans="1:10" x14ac:dyDescent="0.25">
      <c r="A45" s="28"/>
      <c r="B45" s="28"/>
      <c r="C45" s="58"/>
      <c r="D45" s="53"/>
      <c r="E45" s="6"/>
      <c r="F45" s="19"/>
      <c r="G45" s="24"/>
      <c r="H45" s="24"/>
      <c r="I45" s="31"/>
      <c r="J45" s="35"/>
    </row>
    <row r="46" spans="1:10" x14ac:dyDescent="0.25">
      <c r="A46" s="28"/>
      <c r="B46" s="28"/>
      <c r="C46" s="58" t="s">
        <v>21</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C48" s="59" t="s">
        <v>22</v>
      </c>
      <c r="D48" s="53"/>
      <c r="E48" s="6"/>
      <c r="F48" s="19"/>
      <c r="G48" s="24"/>
      <c r="H48" s="24"/>
      <c r="I48" s="31"/>
      <c r="J48" s="35"/>
    </row>
    <row r="49" spans="1:10" x14ac:dyDescent="0.25">
      <c r="B49" s="8" t="s">
        <v>33</v>
      </c>
      <c r="C49" s="56" t="s">
        <v>34</v>
      </c>
      <c r="D49" s="53"/>
      <c r="E49" s="6"/>
      <c r="F49" s="19"/>
      <c r="G49" s="24">
        <v>97.84</v>
      </c>
      <c r="H49" s="24">
        <v>4.75</v>
      </c>
      <c r="I49" s="31"/>
      <c r="J49" s="35"/>
    </row>
    <row r="50" spans="1:10" x14ac:dyDescent="0.25">
      <c r="C50" s="57" t="s">
        <v>35</v>
      </c>
      <c r="D50" s="53"/>
      <c r="E50" s="6"/>
      <c r="F50" s="19"/>
      <c r="G50" s="25">
        <v>97.84</v>
      </c>
      <c r="H50" s="25">
        <v>4.75</v>
      </c>
      <c r="I50" s="31"/>
      <c r="J50" s="35"/>
    </row>
    <row r="51" spans="1:10" x14ac:dyDescent="0.25">
      <c r="C51" s="56"/>
      <c r="D51" s="53"/>
      <c r="E51" s="6"/>
      <c r="F51" s="19"/>
      <c r="G51" s="24"/>
      <c r="H51" s="24"/>
      <c r="I51" s="31"/>
      <c r="J51" s="35"/>
    </row>
    <row r="52" spans="1:10" x14ac:dyDescent="0.25">
      <c r="A52" s="10"/>
      <c r="B52" s="28"/>
      <c r="C52" s="58" t="s">
        <v>23</v>
      </c>
      <c r="D52" s="53"/>
      <c r="E52" s="6"/>
      <c r="F52" s="19"/>
      <c r="G52" s="24"/>
      <c r="H52" s="24"/>
      <c r="I52" s="31"/>
      <c r="J52" s="35"/>
    </row>
    <row r="53" spans="1:10" x14ac:dyDescent="0.25">
      <c r="A53" s="28"/>
      <c r="B53" s="28"/>
      <c r="C53" s="60" t="s">
        <v>3398</v>
      </c>
      <c r="D53" s="53"/>
      <c r="E53" s="6"/>
      <c r="F53" s="19"/>
      <c r="G53" s="24" t="s">
        <v>2</v>
      </c>
      <c r="H53" s="24" t="s">
        <v>2</v>
      </c>
      <c r="I53" s="31"/>
      <c r="J53" s="35"/>
    </row>
    <row r="54" spans="1:10" x14ac:dyDescent="0.25">
      <c r="B54" s="8"/>
      <c r="C54" s="56" t="s">
        <v>36</v>
      </c>
      <c r="D54" s="53"/>
      <c r="E54" s="6"/>
      <c r="F54" s="19"/>
      <c r="G54" s="24">
        <v>7.4</v>
      </c>
      <c r="H54" s="24">
        <v>0.36</v>
      </c>
      <c r="I54" s="31"/>
      <c r="J54" s="35"/>
    </row>
    <row r="55" spans="1:10" x14ac:dyDescent="0.25">
      <c r="C55" s="57" t="s">
        <v>35</v>
      </c>
      <c r="D55" s="53"/>
      <c r="E55" s="6"/>
      <c r="F55" s="19"/>
      <c r="G55" s="25">
        <v>7.4</v>
      </c>
      <c r="H55" s="25">
        <v>0.36</v>
      </c>
      <c r="I55" s="31"/>
      <c r="J55" s="35"/>
    </row>
    <row r="56" spans="1:10" x14ac:dyDescent="0.25">
      <c r="C56" s="56"/>
      <c r="D56" s="53"/>
      <c r="E56" s="6"/>
      <c r="F56" s="19"/>
      <c r="G56" s="24"/>
      <c r="H56" s="24"/>
      <c r="I56" s="31"/>
      <c r="J56" s="35"/>
    </row>
    <row r="57" spans="1:10" x14ac:dyDescent="0.25">
      <c r="C57" s="61" t="s">
        <v>37</v>
      </c>
      <c r="D57" s="54"/>
      <c r="E57" s="5"/>
      <c r="F57" s="20"/>
      <c r="G57" s="26">
        <v>2059.16</v>
      </c>
      <c r="H57" s="26">
        <f>SUMIFS(H:H,C:C,"Total")</f>
        <v>100</v>
      </c>
      <c r="I57" s="32"/>
      <c r="J57" s="36"/>
    </row>
    <row r="60" spans="1:10" x14ac:dyDescent="0.25">
      <c r="C60" s="1" t="s">
        <v>38</v>
      </c>
    </row>
    <row r="61" spans="1:10" x14ac:dyDescent="0.25">
      <c r="C61" s="2" t="s">
        <v>39</v>
      </c>
    </row>
    <row r="62" spans="1:10" x14ac:dyDescent="0.25">
      <c r="C62" s="2" t="s">
        <v>40</v>
      </c>
    </row>
    <row r="63" spans="1:10" x14ac:dyDescent="0.25">
      <c r="C63" s="2" t="s">
        <v>3430</v>
      </c>
    </row>
  </sheetData>
  <hyperlinks>
    <hyperlink ref="J2" location="'Index'!A1" display="'Index'!A1"/>
  </hyperlinks>
  <pageMargins left="0.7" right="0.7" top="0.75" bottom="0.75" header="0.3" footer="0.3"/>
  <pageSetup orientation="portrait" horizontalDpi="4294967293"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7"/>
  <dimension ref="A1:J69"/>
  <sheetViews>
    <sheetView showGridLines="0" zoomScale="90" zoomScaleNormal="90" workbookViewId="0">
      <pane ySplit="6" topLeftCell="A7" activePane="bottomLeft" state="frozen"/>
      <selection pane="bottomLeft" activeCell="J2" sqref="J2"/>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3159</v>
      </c>
      <c r="J2" s="37" t="s">
        <v>3307</v>
      </c>
    </row>
    <row r="3" spans="1:10" ht="16.5" x14ac:dyDescent="0.3">
      <c r="C3" s="1" t="s">
        <v>24</v>
      </c>
      <c r="D3" s="21" t="s">
        <v>3423</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235</v>
      </c>
      <c r="C10" s="56" t="s">
        <v>236</v>
      </c>
      <c r="D10" s="53" t="s">
        <v>3424</v>
      </c>
      <c r="E10" s="6" t="s">
        <v>90</v>
      </c>
      <c r="F10" s="19">
        <v>20000</v>
      </c>
      <c r="G10" s="24">
        <v>367.89</v>
      </c>
      <c r="H10" s="24">
        <f>+G10/$G$63*100</f>
        <v>6.1732206831167309</v>
      </c>
      <c r="I10" s="31"/>
      <c r="J10" s="35"/>
    </row>
    <row r="11" spans="1:10" x14ac:dyDescent="0.25">
      <c r="B11" s="8" t="s">
        <v>65</v>
      </c>
      <c r="C11" s="56" t="s">
        <v>66</v>
      </c>
      <c r="D11" s="53" t="s">
        <v>67</v>
      </c>
      <c r="E11" s="6" t="s">
        <v>68</v>
      </c>
      <c r="F11" s="19">
        <v>70000</v>
      </c>
      <c r="G11" s="24">
        <v>294.67</v>
      </c>
      <c r="H11" s="24">
        <f>+G11/$G$63*100</f>
        <v>4.9445838122645549</v>
      </c>
      <c r="I11" s="31"/>
      <c r="J11" s="35"/>
    </row>
    <row r="12" spans="1:10" x14ac:dyDescent="0.25">
      <c r="B12" s="8" t="s">
        <v>2021</v>
      </c>
      <c r="C12" s="56" t="s">
        <v>2022</v>
      </c>
      <c r="D12" s="53" t="s">
        <v>2023</v>
      </c>
      <c r="E12" s="6" t="s">
        <v>153</v>
      </c>
      <c r="F12" s="19">
        <v>20000</v>
      </c>
      <c r="G12" s="24">
        <v>247.04</v>
      </c>
      <c r="H12" s="24">
        <f>+G12/$G$63*100</f>
        <v>4.14534898354714</v>
      </c>
      <c r="I12" s="31"/>
      <c r="J12" s="35"/>
    </row>
    <row r="13" spans="1:10" x14ac:dyDescent="0.25">
      <c r="B13" s="8" t="s">
        <v>282</v>
      </c>
      <c r="C13" s="56" t="s">
        <v>283</v>
      </c>
      <c r="D13" s="53" t="s">
        <v>284</v>
      </c>
      <c r="E13" s="6" t="s">
        <v>254</v>
      </c>
      <c r="F13" s="19">
        <v>27000</v>
      </c>
      <c r="G13" s="24">
        <v>232.07</v>
      </c>
      <c r="H13" s="24">
        <f>+G13/$G$63*100</f>
        <v>3.894151305909102</v>
      </c>
      <c r="I13" s="31"/>
      <c r="J13" s="35"/>
    </row>
    <row r="14" spans="1:10" x14ac:dyDescent="0.25">
      <c r="C14" s="57" t="s">
        <v>35</v>
      </c>
      <c r="D14" s="53"/>
      <c r="E14" s="6"/>
      <c r="F14" s="19"/>
      <c r="G14" s="25">
        <v>1141.67</v>
      </c>
      <c r="H14" s="25">
        <f>SUM(XDO_?FINAL_PER_NET?685?)</f>
        <v>19.157304784837528</v>
      </c>
      <c r="I14" s="31"/>
      <c r="J14" s="35"/>
    </row>
    <row r="15" spans="1:10" x14ac:dyDescent="0.25">
      <c r="C15" s="56"/>
      <c r="D15" s="53"/>
      <c r="E15" s="6"/>
      <c r="F15" s="19"/>
      <c r="G15" s="24"/>
      <c r="H15" s="24"/>
      <c r="I15" s="31"/>
      <c r="J15" s="35"/>
    </row>
    <row r="16" spans="1:10" x14ac:dyDescent="0.25">
      <c r="C16" s="57" t="s">
        <v>3</v>
      </c>
      <c r="D16" s="53"/>
      <c r="E16" s="6"/>
      <c r="F16" s="19"/>
      <c r="G16" s="24" t="s">
        <v>2</v>
      </c>
      <c r="H16" s="24" t="s">
        <v>2</v>
      </c>
      <c r="I16" s="31"/>
      <c r="J16" s="35"/>
    </row>
    <row r="17" spans="1:10" x14ac:dyDescent="0.25">
      <c r="C17" s="56"/>
      <c r="D17" s="53"/>
      <c r="E17" s="6"/>
      <c r="F17" s="19"/>
      <c r="G17" s="24"/>
      <c r="H17" s="24"/>
      <c r="I17" s="31"/>
      <c r="J17" s="35"/>
    </row>
    <row r="18" spans="1:10" x14ac:dyDescent="0.25">
      <c r="C18" s="57" t="s">
        <v>4</v>
      </c>
      <c r="D18" s="53"/>
      <c r="E18" s="6"/>
      <c r="F18" s="19"/>
      <c r="G18" s="24" t="s">
        <v>2</v>
      </c>
      <c r="H18" s="24" t="s">
        <v>2</v>
      </c>
      <c r="I18" s="31"/>
      <c r="J18" s="35"/>
    </row>
    <row r="19" spans="1:10" x14ac:dyDescent="0.25">
      <c r="C19" s="56"/>
      <c r="D19" s="53"/>
      <c r="E19" s="6"/>
      <c r="F19" s="19"/>
      <c r="G19" s="24"/>
      <c r="H19" s="24"/>
      <c r="I19" s="31"/>
      <c r="J19" s="35"/>
    </row>
    <row r="20" spans="1:10" x14ac:dyDescent="0.25">
      <c r="A20" s="10"/>
      <c r="B20" s="28"/>
      <c r="C20" s="58" t="s">
        <v>5</v>
      </c>
      <c r="D20" s="53"/>
      <c r="E20" s="6"/>
      <c r="F20" s="19"/>
      <c r="G20" s="24"/>
      <c r="H20" s="24"/>
      <c r="I20" s="31"/>
      <c r="J20" s="35"/>
    </row>
    <row r="21" spans="1:10" x14ac:dyDescent="0.25">
      <c r="C21" s="59" t="s">
        <v>6</v>
      </c>
      <c r="D21" s="53"/>
      <c r="E21" s="6"/>
      <c r="F21" s="19"/>
      <c r="G21" s="24"/>
      <c r="H21" s="24"/>
      <c r="I21" s="31"/>
      <c r="J21" s="35"/>
    </row>
    <row r="22" spans="1:10" x14ac:dyDescent="0.25">
      <c r="B22" s="8" t="s">
        <v>935</v>
      </c>
      <c r="C22" s="56" t="s">
        <v>3425</v>
      </c>
      <c r="D22" s="53" t="s">
        <v>936</v>
      </c>
      <c r="E22" s="6" t="s">
        <v>534</v>
      </c>
      <c r="F22" s="19">
        <v>50</v>
      </c>
      <c r="G22" s="24">
        <v>499.79</v>
      </c>
      <c r="H22" s="24">
        <f>+G22/$G$63*100</f>
        <v>8.3865121781372451</v>
      </c>
      <c r="I22" s="31">
        <v>6.2492999999999999</v>
      </c>
      <c r="J22" s="35"/>
    </row>
    <row r="23" spans="1:10" x14ac:dyDescent="0.25">
      <c r="C23" s="57" t="s">
        <v>35</v>
      </c>
      <c r="D23" s="53"/>
      <c r="E23" s="6"/>
      <c r="F23" s="19"/>
      <c r="G23" s="25">
        <v>499.79</v>
      </c>
      <c r="H23" s="25">
        <f>H22</f>
        <v>8.3865121781372451</v>
      </c>
      <c r="I23" s="31"/>
      <c r="J23" s="35"/>
    </row>
    <row r="24" spans="1:10" x14ac:dyDescent="0.25">
      <c r="C24" s="56"/>
      <c r="D24" s="53"/>
      <c r="E24" s="6"/>
      <c r="F24" s="19"/>
      <c r="G24" s="24"/>
      <c r="H24" s="24"/>
      <c r="I24" s="31"/>
      <c r="J24" s="35"/>
    </row>
    <row r="25" spans="1:10" x14ac:dyDescent="0.25">
      <c r="C25" s="57" t="s">
        <v>7</v>
      </c>
      <c r="D25" s="53"/>
      <c r="E25" s="6"/>
      <c r="F25" s="19"/>
      <c r="G25" s="24" t="s">
        <v>2</v>
      </c>
      <c r="H25" s="24" t="s">
        <v>2</v>
      </c>
      <c r="I25" s="31"/>
      <c r="J25" s="35"/>
    </row>
    <row r="26" spans="1:10" x14ac:dyDescent="0.25">
      <c r="C26" s="56"/>
      <c r="D26" s="53"/>
      <c r="E26" s="6"/>
      <c r="F26" s="19"/>
      <c r="G26" s="24"/>
      <c r="H26" s="24"/>
      <c r="I26" s="31"/>
      <c r="J26" s="35"/>
    </row>
    <row r="27" spans="1:10" x14ac:dyDescent="0.25">
      <c r="C27" s="57" t="s">
        <v>8</v>
      </c>
      <c r="D27" s="53"/>
      <c r="E27" s="6"/>
      <c r="F27" s="19"/>
      <c r="G27" s="24" t="s">
        <v>2</v>
      </c>
      <c r="H27" s="24" t="s">
        <v>2</v>
      </c>
      <c r="I27" s="31"/>
      <c r="J27" s="35"/>
    </row>
    <row r="28" spans="1:10" x14ac:dyDescent="0.25">
      <c r="C28" s="56"/>
      <c r="D28" s="53"/>
      <c r="E28" s="6"/>
      <c r="F28" s="19"/>
      <c r="G28" s="24"/>
      <c r="H28" s="24"/>
      <c r="I28" s="31"/>
      <c r="J28" s="35"/>
    </row>
    <row r="29" spans="1:10" x14ac:dyDescent="0.25">
      <c r="C29" s="59" t="s">
        <v>9</v>
      </c>
      <c r="D29" s="53"/>
      <c r="E29" s="6"/>
      <c r="F29" s="19"/>
      <c r="G29" s="24"/>
      <c r="H29" s="24"/>
      <c r="I29" s="31"/>
      <c r="J29" s="35"/>
    </row>
    <row r="30" spans="1:10" x14ac:dyDescent="0.25">
      <c r="B30" s="8" t="s">
        <v>659</v>
      </c>
      <c r="C30" s="56" t="s">
        <v>660</v>
      </c>
      <c r="D30" s="53" t="s">
        <v>661</v>
      </c>
      <c r="E30" s="6" t="s">
        <v>655</v>
      </c>
      <c r="F30" s="19">
        <v>500000</v>
      </c>
      <c r="G30" s="24">
        <v>530.92999999999995</v>
      </c>
      <c r="H30" s="24">
        <f>+G30/$G$63*100</f>
        <v>8.9090436197971279</v>
      </c>
      <c r="I30" s="31">
        <v>6.1013000000000002</v>
      </c>
      <c r="J30" s="35"/>
    </row>
    <row r="31" spans="1:10" x14ac:dyDescent="0.25">
      <c r="C31" s="57" t="s">
        <v>35</v>
      </c>
      <c r="D31" s="53"/>
      <c r="E31" s="6"/>
      <c r="F31" s="19"/>
      <c r="G31" s="25">
        <v>530.92999999999995</v>
      </c>
      <c r="H31" s="25">
        <f>H30</f>
        <v>8.9090436197971279</v>
      </c>
      <c r="I31" s="31"/>
      <c r="J31" s="35"/>
    </row>
    <row r="32" spans="1:10" x14ac:dyDescent="0.25">
      <c r="C32" s="56"/>
      <c r="D32" s="53"/>
      <c r="E32" s="6"/>
      <c r="F32" s="19"/>
      <c r="G32" s="24"/>
      <c r="H32" s="24"/>
      <c r="I32" s="31"/>
      <c r="J32" s="35"/>
    </row>
    <row r="33" spans="1:10" x14ac:dyDescent="0.25">
      <c r="C33" s="57" t="s">
        <v>10</v>
      </c>
      <c r="D33" s="53"/>
      <c r="E33" s="6"/>
      <c r="F33" s="19"/>
      <c r="G33" s="24" t="s">
        <v>2</v>
      </c>
      <c r="H33" s="24" t="s">
        <v>2</v>
      </c>
      <c r="I33" s="31"/>
      <c r="J33" s="35"/>
    </row>
    <row r="34" spans="1:10" x14ac:dyDescent="0.25">
      <c r="C34" s="56"/>
      <c r="D34" s="53"/>
      <c r="E34" s="6"/>
      <c r="F34" s="19"/>
      <c r="G34" s="24"/>
      <c r="H34" s="24"/>
      <c r="I34" s="31"/>
      <c r="J34" s="35"/>
    </row>
    <row r="35" spans="1:10" x14ac:dyDescent="0.25">
      <c r="C35" s="57" t="s">
        <v>11</v>
      </c>
      <c r="D35" s="53"/>
      <c r="E35" s="6"/>
      <c r="F35" s="19"/>
      <c r="G35" s="24"/>
      <c r="H35" s="24"/>
      <c r="I35" s="31"/>
      <c r="J35" s="35"/>
    </row>
    <row r="36" spans="1:10" x14ac:dyDescent="0.25">
      <c r="C36" s="56"/>
      <c r="D36" s="53"/>
      <c r="E36" s="6"/>
      <c r="F36" s="19"/>
      <c r="G36" s="24"/>
      <c r="H36" s="24"/>
      <c r="I36" s="31"/>
      <c r="J36" s="35"/>
    </row>
    <row r="37" spans="1:10" x14ac:dyDescent="0.25">
      <c r="C37" s="57" t="s">
        <v>13</v>
      </c>
      <c r="D37" s="53"/>
      <c r="E37" s="6"/>
      <c r="F37" s="19"/>
      <c r="G37" s="24" t="s">
        <v>2</v>
      </c>
      <c r="H37" s="24" t="s">
        <v>2</v>
      </c>
      <c r="I37" s="31"/>
      <c r="J37" s="35"/>
    </row>
    <row r="38" spans="1:10" x14ac:dyDescent="0.25">
      <c r="C38" s="56"/>
      <c r="D38" s="53"/>
      <c r="E38" s="6"/>
      <c r="F38" s="19"/>
      <c r="G38" s="24"/>
      <c r="H38" s="24"/>
      <c r="I38" s="31"/>
      <c r="J38" s="35"/>
    </row>
    <row r="39" spans="1:10" x14ac:dyDescent="0.25">
      <c r="C39" s="57" t="s">
        <v>14</v>
      </c>
      <c r="D39" s="53"/>
      <c r="E39" s="6"/>
      <c r="F39" s="19"/>
      <c r="G39" s="24" t="s">
        <v>2</v>
      </c>
      <c r="H39" s="24" t="s">
        <v>2</v>
      </c>
      <c r="I39" s="31"/>
      <c r="J39" s="35"/>
    </row>
    <row r="40" spans="1:10" x14ac:dyDescent="0.25">
      <c r="C40" s="56"/>
      <c r="D40" s="53"/>
      <c r="E40" s="6"/>
      <c r="F40" s="19"/>
      <c r="G40" s="24"/>
      <c r="H40" s="24"/>
      <c r="I40" s="31"/>
      <c r="J40" s="35"/>
    </row>
    <row r="41" spans="1:10" x14ac:dyDescent="0.25">
      <c r="C41" s="57" t="s">
        <v>15</v>
      </c>
      <c r="D41" s="53"/>
      <c r="E41" s="6"/>
      <c r="F41" s="19"/>
      <c r="G41" s="24" t="s">
        <v>2</v>
      </c>
      <c r="H41" s="24" t="s">
        <v>2</v>
      </c>
      <c r="I41" s="31"/>
      <c r="J41" s="35"/>
    </row>
    <row r="42" spans="1:10" x14ac:dyDescent="0.25">
      <c r="C42" s="56"/>
      <c r="D42" s="53"/>
      <c r="E42" s="6"/>
      <c r="F42" s="19"/>
      <c r="G42" s="24"/>
      <c r="H42" s="24"/>
      <c r="I42" s="31"/>
      <c r="J42" s="35"/>
    </row>
    <row r="43" spans="1:10" x14ac:dyDescent="0.25">
      <c r="C43" s="57" t="s">
        <v>16</v>
      </c>
      <c r="D43" s="53"/>
      <c r="E43" s="6"/>
      <c r="F43" s="19"/>
      <c r="G43" s="24" t="s">
        <v>2</v>
      </c>
      <c r="H43" s="24" t="s">
        <v>2</v>
      </c>
      <c r="I43" s="31"/>
      <c r="J43" s="35"/>
    </row>
    <row r="44" spans="1:10" x14ac:dyDescent="0.25">
      <c r="C44" s="56"/>
      <c r="D44" s="53"/>
      <c r="E44" s="6"/>
      <c r="F44" s="19"/>
      <c r="G44" s="24"/>
      <c r="H44" s="24"/>
      <c r="I44" s="31"/>
      <c r="J44" s="35"/>
    </row>
    <row r="45" spans="1:10" x14ac:dyDescent="0.25">
      <c r="A45" s="10"/>
      <c r="B45" s="28"/>
      <c r="C45" s="58" t="s">
        <v>17</v>
      </c>
      <c r="D45" s="53"/>
      <c r="E45" s="6"/>
      <c r="F45" s="19"/>
      <c r="G45" s="24"/>
      <c r="H45" s="24"/>
      <c r="I45" s="31"/>
      <c r="J45" s="35"/>
    </row>
    <row r="46" spans="1:10" x14ac:dyDescent="0.25">
      <c r="A46" s="28"/>
      <c r="B46" s="28"/>
      <c r="C46" s="58" t="s">
        <v>18</v>
      </c>
      <c r="D46" s="53"/>
      <c r="E46" s="6"/>
      <c r="F46" s="19"/>
      <c r="G46" s="24" t="s">
        <v>2</v>
      </c>
      <c r="H46" s="24" t="s">
        <v>2</v>
      </c>
      <c r="I46" s="31"/>
      <c r="J46" s="35"/>
    </row>
    <row r="47" spans="1:10" x14ac:dyDescent="0.25">
      <c r="A47" s="28"/>
      <c r="B47" s="28"/>
      <c r="C47" s="58"/>
      <c r="D47" s="53"/>
      <c r="E47" s="6"/>
      <c r="F47" s="19"/>
      <c r="G47" s="24"/>
      <c r="H47" s="24"/>
      <c r="I47" s="31"/>
      <c r="J47" s="35"/>
    </row>
    <row r="48" spans="1:10" x14ac:dyDescent="0.25">
      <c r="A48" s="28"/>
      <c r="B48" s="28"/>
      <c r="C48" s="58" t="s">
        <v>19</v>
      </c>
      <c r="D48" s="53"/>
      <c r="E48" s="6"/>
      <c r="F48" s="19"/>
      <c r="G48" s="24" t="s">
        <v>2</v>
      </c>
      <c r="H48" s="24" t="s">
        <v>2</v>
      </c>
      <c r="I48" s="31"/>
      <c r="J48" s="35"/>
    </row>
    <row r="49" spans="1:10" x14ac:dyDescent="0.25">
      <c r="A49" s="28"/>
      <c r="B49" s="28"/>
      <c r="C49" s="58"/>
      <c r="D49" s="53"/>
      <c r="E49" s="6"/>
      <c r="F49" s="19"/>
      <c r="G49" s="24"/>
      <c r="H49" s="24"/>
      <c r="I49" s="31"/>
      <c r="J49" s="35"/>
    </row>
    <row r="50" spans="1:10" x14ac:dyDescent="0.25">
      <c r="A50" s="28"/>
      <c r="B50" s="28"/>
      <c r="C50" s="58" t="s">
        <v>20</v>
      </c>
      <c r="D50" s="53"/>
      <c r="E50" s="6"/>
      <c r="F50" s="19"/>
      <c r="G50" s="24" t="s">
        <v>2</v>
      </c>
      <c r="H50" s="24" t="s">
        <v>2</v>
      </c>
      <c r="I50" s="31"/>
      <c r="J50" s="35"/>
    </row>
    <row r="51" spans="1:10" x14ac:dyDescent="0.25">
      <c r="A51" s="28"/>
      <c r="B51" s="28"/>
      <c r="C51" s="58"/>
      <c r="D51" s="53"/>
      <c r="E51" s="6"/>
      <c r="F51" s="19"/>
      <c r="G51" s="24"/>
      <c r="H51" s="24"/>
      <c r="I51" s="31"/>
      <c r="J51" s="35"/>
    </row>
    <row r="52" spans="1:10" x14ac:dyDescent="0.25">
      <c r="A52" s="28"/>
      <c r="B52" s="28"/>
      <c r="C52" s="58" t="s">
        <v>21</v>
      </c>
      <c r="D52" s="53"/>
      <c r="E52" s="6"/>
      <c r="F52" s="19"/>
      <c r="G52" s="24" t="s">
        <v>2</v>
      </c>
      <c r="H52" s="24" t="s">
        <v>2</v>
      </c>
      <c r="I52" s="31"/>
      <c r="J52" s="35"/>
    </row>
    <row r="53" spans="1:10" x14ac:dyDescent="0.25">
      <c r="A53" s="28"/>
      <c r="B53" s="28"/>
      <c r="C53" s="58"/>
      <c r="D53" s="53"/>
      <c r="E53" s="6"/>
      <c r="F53" s="19"/>
      <c r="G53" s="24"/>
      <c r="H53" s="24"/>
      <c r="I53" s="31"/>
      <c r="J53" s="35"/>
    </row>
    <row r="54" spans="1:10" x14ac:dyDescent="0.25">
      <c r="C54" s="59" t="s">
        <v>22</v>
      </c>
      <c r="D54" s="53"/>
      <c r="E54" s="6"/>
      <c r="F54" s="19"/>
      <c r="G54" s="24"/>
      <c r="H54" s="24"/>
      <c r="I54" s="31"/>
      <c r="J54" s="35"/>
    </row>
    <row r="55" spans="1:10" x14ac:dyDescent="0.25">
      <c r="B55" s="8" t="s">
        <v>33</v>
      </c>
      <c r="C55" s="56" t="s">
        <v>34</v>
      </c>
      <c r="D55" s="53"/>
      <c r="E55" s="6"/>
      <c r="F55" s="19"/>
      <c r="G55" s="24">
        <v>3950.96</v>
      </c>
      <c r="H55" s="24">
        <f>+G55/$G$63*100</f>
        <v>66.297393215816896</v>
      </c>
      <c r="I55" s="31"/>
      <c r="J55" s="35"/>
    </row>
    <row r="56" spans="1:10" x14ac:dyDescent="0.25">
      <c r="C56" s="57" t="s">
        <v>35</v>
      </c>
      <c r="D56" s="53"/>
      <c r="E56" s="6"/>
      <c r="F56" s="19"/>
      <c r="G56" s="25">
        <v>3950.96</v>
      </c>
      <c r="H56" s="25">
        <f>H55</f>
        <v>66.297393215816896</v>
      </c>
      <c r="I56" s="31"/>
      <c r="J56" s="35"/>
    </row>
    <row r="57" spans="1:10" x14ac:dyDescent="0.25">
      <c r="C57" s="56"/>
      <c r="D57" s="53"/>
      <c r="E57" s="6"/>
      <c r="F57" s="19"/>
      <c r="G57" s="24"/>
      <c r="H57" s="24"/>
      <c r="I57" s="31"/>
      <c r="J57" s="35"/>
    </row>
    <row r="58" spans="1:10" x14ac:dyDescent="0.25">
      <c r="A58" s="10"/>
      <c r="B58" s="28"/>
      <c r="C58" s="58" t="s">
        <v>23</v>
      </c>
      <c r="D58" s="53"/>
      <c r="E58" s="6"/>
      <c r="F58" s="19"/>
      <c r="G58" s="24"/>
      <c r="H58" s="24"/>
      <c r="I58" s="31"/>
      <c r="J58" s="35"/>
    </row>
    <row r="59" spans="1:10" x14ac:dyDescent="0.25">
      <c r="A59" s="28"/>
      <c r="B59" s="28"/>
      <c r="C59" s="60" t="s">
        <v>3398</v>
      </c>
      <c r="D59" s="53"/>
      <c r="E59" s="6"/>
      <c r="F59" s="19"/>
      <c r="G59" s="24" t="s">
        <v>2</v>
      </c>
      <c r="H59" s="24" t="s">
        <v>2</v>
      </c>
      <c r="I59" s="31"/>
      <c r="J59" s="35"/>
    </row>
    <row r="60" spans="1:10" x14ac:dyDescent="0.25">
      <c r="B60" s="8"/>
      <c r="C60" s="56" t="s">
        <v>36</v>
      </c>
      <c r="D60" s="53"/>
      <c r="E60" s="6"/>
      <c r="F60" s="19"/>
      <c r="G60" s="24">
        <f>+G63-G56-G31-G23-G14</f>
        <v>-163.90000000000009</v>
      </c>
      <c r="H60" s="24">
        <f>+G60/$G$63*100</f>
        <v>-2.7502537985887976</v>
      </c>
      <c r="I60" s="31"/>
      <c r="J60" s="35"/>
    </row>
    <row r="61" spans="1:10" x14ac:dyDescent="0.25">
      <c r="C61" s="57" t="s">
        <v>35</v>
      </c>
      <c r="D61" s="53"/>
      <c r="E61" s="6"/>
      <c r="F61" s="19"/>
      <c r="G61" s="25">
        <f>G60</f>
        <v>-163.90000000000009</v>
      </c>
      <c r="H61" s="25">
        <f>+H60</f>
        <v>-2.7502537985887976</v>
      </c>
      <c r="I61" s="31"/>
      <c r="J61" s="35"/>
    </row>
    <row r="62" spans="1:10" x14ac:dyDescent="0.25">
      <c r="C62" s="56"/>
      <c r="D62" s="53"/>
      <c r="E62" s="6"/>
      <c r="F62" s="19"/>
      <c r="G62" s="24"/>
      <c r="H62" s="24"/>
      <c r="I62" s="31"/>
      <c r="J62" s="35"/>
    </row>
    <row r="63" spans="1:10" x14ac:dyDescent="0.25">
      <c r="C63" s="61" t="s">
        <v>37</v>
      </c>
      <c r="D63" s="54"/>
      <c r="E63" s="5"/>
      <c r="F63" s="20"/>
      <c r="G63" s="113">
        <v>5959.45</v>
      </c>
      <c r="H63" s="114">
        <f>SUMIFS(H:H,C:C,"Total")</f>
        <v>100</v>
      </c>
      <c r="I63" s="32"/>
      <c r="J63" s="36"/>
    </row>
    <row r="66" spans="3:3" x14ac:dyDescent="0.25">
      <c r="C66" s="1" t="s">
        <v>38</v>
      </c>
    </row>
    <row r="67" spans="3:3" x14ac:dyDescent="0.25">
      <c r="C67" s="2" t="s">
        <v>39</v>
      </c>
    </row>
    <row r="68" spans="3:3" x14ac:dyDescent="0.25">
      <c r="C68" s="2" t="s">
        <v>40</v>
      </c>
    </row>
    <row r="69" spans="3:3" x14ac:dyDescent="0.25">
      <c r="C69" s="2" t="s">
        <v>3430</v>
      </c>
    </row>
  </sheetData>
  <hyperlinks>
    <hyperlink ref="J2" location="'Index'!A1" display="'Index'!A1"/>
  </hyperlinks>
  <pageMargins left="0.7" right="0.7" top="0.75" bottom="0.75" header="0.3" footer="0.3"/>
  <pageSetup orientation="portrait" horizontalDpi="4294967293"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8"/>
  <dimension ref="A1:J108"/>
  <sheetViews>
    <sheetView showGridLines="0" zoomScale="90" zoomScaleNormal="90" workbookViewId="0">
      <pane ySplit="6" topLeftCell="A7" activePane="bottomLeft" state="frozen"/>
      <selection pane="bottomLeft" activeCell="A7" sqref="A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9" width="19.5703125" style="13" customWidth="1"/>
    <col min="10" max="10" width="19.5703125" style="3" customWidth="1"/>
    <col min="11" max="16384" width="13.85546875" style="2"/>
  </cols>
  <sheetData>
    <row r="1" spans="1:10" x14ac:dyDescent="0.25">
      <c r="A1" s="8"/>
      <c r="C1" s="8"/>
      <c r="D1" s="8"/>
      <c r="E1" s="8"/>
      <c r="F1" s="15"/>
      <c r="G1" s="12"/>
      <c r="H1" s="12"/>
      <c r="I1" s="12"/>
      <c r="J1" s="11"/>
    </row>
    <row r="2" spans="1:10" ht="19.5" x14ac:dyDescent="0.35">
      <c r="C2" s="7" t="s">
        <v>3400</v>
      </c>
      <c r="D2" s="8" t="s">
        <v>2923</v>
      </c>
      <c r="J2" s="37" t="s">
        <v>3307</v>
      </c>
    </row>
    <row r="3" spans="1:10" ht="16.5" x14ac:dyDescent="0.3">
      <c r="C3" s="1" t="s">
        <v>24</v>
      </c>
      <c r="D3" s="21" t="s">
        <v>3161</v>
      </c>
    </row>
    <row r="4" spans="1:10" ht="15.75" x14ac:dyDescent="0.3">
      <c r="C4" s="1" t="s">
        <v>25</v>
      </c>
      <c r="D4" s="22">
        <v>44104</v>
      </c>
    </row>
    <row r="5" spans="1:10" x14ac:dyDescent="0.25">
      <c r="C5" s="1"/>
    </row>
    <row r="6" spans="1:10" ht="27" x14ac:dyDescent="0.25">
      <c r="C6" s="55" t="s">
        <v>26</v>
      </c>
      <c r="D6" s="51" t="s">
        <v>27</v>
      </c>
      <c r="E6" s="9" t="s">
        <v>3429</v>
      </c>
      <c r="F6" s="17" t="s">
        <v>28</v>
      </c>
      <c r="G6" s="14" t="s">
        <v>29</v>
      </c>
      <c r="H6" s="14" t="s">
        <v>30</v>
      </c>
      <c r="I6" s="29" t="s">
        <v>31</v>
      </c>
      <c r="J6" s="33" t="s">
        <v>32</v>
      </c>
    </row>
    <row r="7" spans="1:10" x14ac:dyDescent="0.25">
      <c r="C7" s="56"/>
      <c r="D7" s="52"/>
      <c r="E7" s="4"/>
      <c r="F7" s="18"/>
      <c r="G7" s="23"/>
      <c r="H7" s="23"/>
      <c r="I7" s="30"/>
      <c r="J7" s="34"/>
    </row>
    <row r="8" spans="1:10" x14ac:dyDescent="0.25">
      <c r="A8" s="10"/>
      <c r="B8" s="28"/>
      <c r="C8" s="58" t="s">
        <v>0</v>
      </c>
      <c r="D8" s="53"/>
      <c r="E8" s="6"/>
      <c r="F8" s="19"/>
      <c r="G8" s="24"/>
      <c r="H8" s="24"/>
      <c r="I8" s="31"/>
      <c r="J8" s="35"/>
    </row>
    <row r="9" spans="1:10" x14ac:dyDescent="0.25">
      <c r="C9" s="59" t="s">
        <v>1</v>
      </c>
      <c r="D9" s="53"/>
      <c r="E9" s="6"/>
      <c r="F9" s="19"/>
      <c r="G9" s="24"/>
      <c r="H9" s="24"/>
      <c r="I9" s="31"/>
      <c r="J9" s="35"/>
    </row>
    <row r="10" spans="1:10" x14ac:dyDescent="0.25">
      <c r="B10" s="8" t="s">
        <v>48</v>
      </c>
      <c r="C10" s="56" t="s">
        <v>49</v>
      </c>
      <c r="D10" s="53" t="s">
        <v>50</v>
      </c>
      <c r="E10" s="6" t="s">
        <v>51</v>
      </c>
      <c r="F10" s="19">
        <v>153900</v>
      </c>
      <c r="G10" s="24">
        <v>1659.97</v>
      </c>
      <c r="H10" s="24">
        <v>7.4</v>
      </c>
      <c r="I10" s="31"/>
      <c r="J10" s="35"/>
    </row>
    <row r="11" spans="1:10" x14ac:dyDescent="0.25">
      <c r="B11" s="8" t="s">
        <v>44</v>
      </c>
      <c r="C11" s="56" t="s">
        <v>45</v>
      </c>
      <c r="D11" s="53" t="s">
        <v>46</v>
      </c>
      <c r="E11" s="6" t="s">
        <v>47</v>
      </c>
      <c r="F11" s="19">
        <v>163000</v>
      </c>
      <c r="G11" s="24">
        <v>1643.45</v>
      </c>
      <c r="H11" s="24">
        <v>7.33</v>
      </c>
      <c r="I11" s="31"/>
      <c r="J11" s="35"/>
    </row>
    <row r="12" spans="1:10" x14ac:dyDescent="0.25">
      <c r="B12" s="8" t="s">
        <v>62</v>
      </c>
      <c r="C12" s="56" t="s">
        <v>63</v>
      </c>
      <c r="D12" s="53" t="s">
        <v>64</v>
      </c>
      <c r="E12" s="6" t="s">
        <v>51</v>
      </c>
      <c r="F12" s="19">
        <v>358000</v>
      </c>
      <c r="G12" s="24">
        <v>1270.01</v>
      </c>
      <c r="H12" s="24">
        <v>5.66</v>
      </c>
      <c r="I12" s="31"/>
      <c r="J12" s="35"/>
    </row>
    <row r="13" spans="1:10" x14ac:dyDescent="0.25">
      <c r="B13" s="8" t="s">
        <v>52</v>
      </c>
      <c r="C13" s="56" t="s">
        <v>53</v>
      </c>
      <c r="D13" s="53" t="s">
        <v>54</v>
      </c>
      <c r="E13" s="6" t="s">
        <v>55</v>
      </c>
      <c r="F13" s="19">
        <v>51000</v>
      </c>
      <c r="G13" s="24">
        <v>1139.52</v>
      </c>
      <c r="H13" s="24">
        <v>5.08</v>
      </c>
      <c r="I13" s="31"/>
      <c r="J13" s="35"/>
    </row>
    <row r="14" spans="1:10" x14ac:dyDescent="0.25">
      <c r="B14" s="8" t="s">
        <v>206</v>
      </c>
      <c r="C14" s="56" t="s">
        <v>207</v>
      </c>
      <c r="D14" s="53" t="s">
        <v>208</v>
      </c>
      <c r="E14" s="6" t="s">
        <v>41</v>
      </c>
      <c r="F14" s="19">
        <v>75176</v>
      </c>
      <c r="G14" s="24">
        <v>1132.79</v>
      </c>
      <c r="H14" s="24">
        <v>5.05</v>
      </c>
      <c r="I14" s="31"/>
      <c r="J14" s="35"/>
    </row>
    <row r="15" spans="1:10" x14ac:dyDescent="0.25">
      <c r="B15" s="8" t="s">
        <v>73</v>
      </c>
      <c r="C15" s="56" t="s">
        <v>74</v>
      </c>
      <c r="D15" s="53" t="s">
        <v>75</v>
      </c>
      <c r="E15" s="6" t="s">
        <v>51</v>
      </c>
      <c r="F15" s="19">
        <v>206500</v>
      </c>
      <c r="G15" s="24">
        <v>876.9</v>
      </c>
      <c r="H15" s="24">
        <v>3.91</v>
      </c>
      <c r="I15" s="31"/>
      <c r="J15" s="35"/>
    </row>
    <row r="16" spans="1:10" x14ac:dyDescent="0.25">
      <c r="B16" s="8" t="s">
        <v>59</v>
      </c>
      <c r="C16" s="56" t="s">
        <v>60</v>
      </c>
      <c r="D16" s="53" t="s">
        <v>61</v>
      </c>
      <c r="E16" s="6" t="s">
        <v>51</v>
      </c>
      <c r="F16" s="19">
        <v>67300</v>
      </c>
      <c r="G16" s="24">
        <v>853.5</v>
      </c>
      <c r="H16" s="24">
        <v>3.81</v>
      </c>
      <c r="I16" s="31"/>
      <c r="J16" s="35"/>
    </row>
    <row r="17" spans="2:10" x14ac:dyDescent="0.25">
      <c r="B17" s="8" t="s">
        <v>354</v>
      </c>
      <c r="C17" s="56" t="s">
        <v>355</v>
      </c>
      <c r="D17" s="53" t="s">
        <v>356</v>
      </c>
      <c r="E17" s="6" t="s">
        <v>90</v>
      </c>
      <c r="F17" s="19">
        <v>480000</v>
      </c>
      <c r="G17" s="24">
        <v>824.16</v>
      </c>
      <c r="H17" s="24">
        <v>3.68</v>
      </c>
      <c r="I17" s="31"/>
      <c r="J17" s="35"/>
    </row>
    <row r="18" spans="2:10" x14ac:dyDescent="0.25">
      <c r="B18" s="8" t="s">
        <v>409</v>
      </c>
      <c r="C18" s="56" t="s">
        <v>410</v>
      </c>
      <c r="D18" s="53" t="s">
        <v>411</v>
      </c>
      <c r="E18" s="6" t="s">
        <v>98</v>
      </c>
      <c r="F18" s="19">
        <v>12000</v>
      </c>
      <c r="G18" s="24">
        <v>809.21</v>
      </c>
      <c r="H18" s="24">
        <v>3.61</v>
      </c>
      <c r="I18" s="31"/>
      <c r="J18" s="35"/>
    </row>
    <row r="19" spans="2:10" x14ac:dyDescent="0.25">
      <c r="B19" s="8" t="s">
        <v>164</v>
      </c>
      <c r="C19" s="56" t="s">
        <v>165</v>
      </c>
      <c r="D19" s="53" t="s">
        <v>166</v>
      </c>
      <c r="E19" s="6" t="s">
        <v>51</v>
      </c>
      <c r="F19" s="19">
        <v>404000</v>
      </c>
      <c r="G19" s="24">
        <v>749.02</v>
      </c>
      <c r="H19" s="24">
        <v>3.34</v>
      </c>
      <c r="I19" s="31"/>
      <c r="J19" s="35"/>
    </row>
    <row r="20" spans="2:10" x14ac:dyDescent="0.25">
      <c r="B20" s="8" t="s">
        <v>76</v>
      </c>
      <c r="C20" s="56" t="s">
        <v>77</v>
      </c>
      <c r="D20" s="53" t="s">
        <v>78</v>
      </c>
      <c r="E20" s="6" t="s">
        <v>79</v>
      </c>
      <c r="F20" s="19">
        <v>79600</v>
      </c>
      <c r="G20" s="24">
        <v>717.67</v>
      </c>
      <c r="H20" s="24">
        <v>3.2</v>
      </c>
      <c r="I20" s="31"/>
      <c r="J20" s="35"/>
    </row>
    <row r="21" spans="2:10" x14ac:dyDescent="0.25">
      <c r="B21" s="8" t="s">
        <v>171</v>
      </c>
      <c r="C21" s="56" t="s">
        <v>172</v>
      </c>
      <c r="D21" s="53" t="s">
        <v>173</v>
      </c>
      <c r="E21" s="6" t="s">
        <v>55</v>
      </c>
      <c r="F21" s="19">
        <v>168000</v>
      </c>
      <c r="G21" s="24">
        <v>593.12</v>
      </c>
      <c r="H21" s="24">
        <v>2.64</v>
      </c>
      <c r="I21" s="31"/>
      <c r="J21" s="35"/>
    </row>
    <row r="22" spans="2:10" x14ac:dyDescent="0.25">
      <c r="B22" s="8" t="s">
        <v>65</v>
      </c>
      <c r="C22" s="56" t="s">
        <v>66</v>
      </c>
      <c r="D22" s="53" t="s">
        <v>67</v>
      </c>
      <c r="E22" s="6" t="s">
        <v>68</v>
      </c>
      <c r="F22" s="19">
        <v>136000</v>
      </c>
      <c r="G22" s="24">
        <v>572.49</v>
      </c>
      <c r="H22" s="24">
        <v>2.5499999999999998</v>
      </c>
      <c r="I22" s="31"/>
      <c r="J22" s="35"/>
    </row>
    <row r="23" spans="2:10" x14ac:dyDescent="0.25">
      <c r="B23" s="8" t="s">
        <v>433</v>
      </c>
      <c r="C23" s="56" t="s">
        <v>434</v>
      </c>
      <c r="D23" s="53" t="s">
        <v>435</v>
      </c>
      <c r="E23" s="6" t="s">
        <v>157</v>
      </c>
      <c r="F23" s="19">
        <v>14600</v>
      </c>
      <c r="G23" s="24">
        <v>517.03</v>
      </c>
      <c r="H23" s="24">
        <v>2.31</v>
      </c>
      <c r="I23" s="31"/>
      <c r="J23" s="35"/>
    </row>
    <row r="24" spans="2:10" x14ac:dyDescent="0.25">
      <c r="B24" s="8" t="s">
        <v>69</v>
      </c>
      <c r="C24" s="56" t="s">
        <v>70</v>
      </c>
      <c r="D24" s="53" t="s">
        <v>71</v>
      </c>
      <c r="E24" s="6" t="s">
        <v>72</v>
      </c>
      <c r="F24" s="19">
        <v>2300</v>
      </c>
      <c r="G24" s="24">
        <v>490.73</v>
      </c>
      <c r="H24" s="24">
        <v>2.19</v>
      </c>
      <c r="I24" s="31"/>
      <c r="J24" s="35"/>
    </row>
    <row r="25" spans="2:10" x14ac:dyDescent="0.25">
      <c r="B25" s="8" t="s">
        <v>448</v>
      </c>
      <c r="C25" s="56" t="s">
        <v>449</v>
      </c>
      <c r="D25" s="53" t="s">
        <v>450</v>
      </c>
      <c r="E25" s="6" t="s">
        <v>157</v>
      </c>
      <c r="F25" s="19">
        <v>40000</v>
      </c>
      <c r="G25" s="24">
        <v>442.56</v>
      </c>
      <c r="H25" s="24">
        <v>1.97</v>
      </c>
      <c r="I25" s="31"/>
      <c r="J25" s="35"/>
    </row>
    <row r="26" spans="2:10" x14ac:dyDescent="0.25">
      <c r="B26" s="8" t="s">
        <v>84</v>
      </c>
      <c r="C26" s="56" t="s">
        <v>85</v>
      </c>
      <c r="D26" s="53" t="s">
        <v>86</v>
      </c>
      <c r="E26" s="6" t="s">
        <v>41</v>
      </c>
      <c r="F26" s="19">
        <v>2100</v>
      </c>
      <c r="G26" s="24">
        <v>425.4</v>
      </c>
      <c r="H26" s="24">
        <v>1.9</v>
      </c>
      <c r="I26" s="31"/>
      <c r="J26" s="35"/>
    </row>
    <row r="27" spans="2:10" x14ac:dyDescent="0.25">
      <c r="B27" s="8" t="s">
        <v>108</v>
      </c>
      <c r="C27" s="56" t="s">
        <v>109</v>
      </c>
      <c r="D27" s="53" t="s">
        <v>110</v>
      </c>
      <c r="E27" s="6" t="s">
        <v>111</v>
      </c>
      <c r="F27" s="19">
        <v>53000</v>
      </c>
      <c r="G27" s="24">
        <v>410.59</v>
      </c>
      <c r="H27" s="24">
        <v>1.83</v>
      </c>
      <c r="I27" s="31"/>
      <c r="J27" s="35"/>
    </row>
    <row r="28" spans="2:10" x14ac:dyDescent="0.25">
      <c r="B28" s="8" t="s">
        <v>1499</v>
      </c>
      <c r="C28" s="56" t="s">
        <v>1381</v>
      </c>
      <c r="D28" s="53" t="s">
        <v>1500</v>
      </c>
      <c r="E28" s="6" t="s">
        <v>94</v>
      </c>
      <c r="F28" s="19">
        <v>330000</v>
      </c>
      <c r="G28" s="24">
        <v>406.23</v>
      </c>
      <c r="H28" s="24">
        <v>1.81</v>
      </c>
      <c r="I28" s="31"/>
      <c r="J28" s="35"/>
    </row>
    <row r="29" spans="2:10" x14ac:dyDescent="0.25">
      <c r="B29" s="8" t="s">
        <v>167</v>
      </c>
      <c r="C29" s="56" t="s">
        <v>168</v>
      </c>
      <c r="D29" s="53" t="s">
        <v>169</v>
      </c>
      <c r="E29" s="6" t="s">
        <v>170</v>
      </c>
      <c r="F29" s="19">
        <v>216000</v>
      </c>
      <c r="G29" s="24">
        <v>378.54</v>
      </c>
      <c r="H29" s="24">
        <v>1.69</v>
      </c>
      <c r="I29" s="31"/>
      <c r="J29" s="35"/>
    </row>
    <row r="30" spans="2:10" x14ac:dyDescent="0.25">
      <c r="B30" s="8" t="s">
        <v>154</v>
      </c>
      <c r="C30" s="56" t="s">
        <v>155</v>
      </c>
      <c r="D30" s="53" t="s">
        <v>156</v>
      </c>
      <c r="E30" s="6" t="s">
        <v>157</v>
      </c>
      <c r="F30" s="19">
        <v>84000</v>
      </c>
      <c r="G30" s="24">
        <v>373.97</v>
      </c>
      <c r="H30" s="24">
        <v>1.67</v>
      </c>
      <c r="I30" s="31"/>
      <c r="J30" s="35"/>
    </row>
    <row r="31" spans="2:10" x14ac:dyDescent="0.25">
      <c r="B31" s="8" t="s">
        <v>87</v>
      </c>
      <c r="C31" s="56" t="s">
        <v>88</v>
      </c>
      <c r="D31" s="53" t="s">
        <v>89</v>
      </c>
      <c r="E31" s="6" t="s">
        <v>90</v>
      </c>
      <c r="F31" s="19">
        <v>26000</v>
      </c>
      <c r="G31" s="24">
        <v>372.71</v>
      </c>
      <c r="H31" s="24">
        <v>1.66</v>
      </c>
      <c r="I31" s="31"/>
      <c r="J31" s="35"/>
    </row>
    <row r="32" spans="2:10" x14ac:dyDescent="0.25">
      <c r="B32" s="8" t="s">
        <v>105</v>
      </c>
      <c r="C32" s="56" t="s">
        <v>106</v>
      </c>
      <c r="D32" s="53" t="s">
        <v>107</v>
      </c>
      <c r="E32" s="6" t="s">
        <v>98</v>
      </c>
      <c r="F32" s="19">
        <v>75000</v>
      </c>
      <c r="G32" s="24">
        <v>351.23</v>
      </c>
      <c r="H32" s="24">
        <v>1.57</v>
      </c>
      <c r="I32" s="31"/>
      <c r="J32" s="35"/>
    </row>
    <row r="33" spans="2:10" x14ac:dyDescent="0.25">
      <c r="B33" s="8" t="s">
        <v>215</v>
      </c>
      <c r="C33" s="56" t="s">
        <v>216</v>
      </c>
      <c r="D33" s="53" t="s">
        <v>217</v>
      </c>
      <c r="E33" s="6" t="s">
        <v>218</v>
      </c>
      <c r="F33" s="19">
        <v>363000</v>
      </c>
      <c r="G33" s="24">
        <v>344.85</v>
      </c>
      <c r="H33" s="24">
        <v>1.54</v>
      </c>
      <c r="I33" s="31"/>
      <c r="J33" s="35"/>
    </row>
    <row r="34" spans="2:10" x14ac:dyDescent="0.25">
      <c r="B34" s="8" t="s">
        <v>1357</v>
      </c>
      <c r="C34" s="56" t="s">
        <v>1358</v>
      </c>
      <c r="D34" s="53" t="s">
        <v>1359</v>
      </c>
      <c r="E34" s="6" t="s">
        <v>196</v>
      </c>
      <c r="F34" s="19">
        <v>52000</v>
      </c>
      <c r="G34" s="24">
        <v>314.24</v>
      </c>
      <c r="H34" s="24">
        <v>1.4</v>
      </c>
      <c r="I34" s="31"/>
      <c r="J34" s="35"/>
    </row>
    <row r="35" spans="2:10" x14ac:dyDescent="0.25">
      <c r="B35" s="8" t="s">
        <v>115</v>
      </c>
      <c r="C35" s="56" t="s">
        <v>116</v>
      </c>
      <c r="D35" s="53" t="s">
        <v>117</v>
      </c>
      <c r="E35" s="6" t="s">
        <v>94</v>
      </c>
      <c r="F35" s="19">
        <v>24000</v>
      </c>
      <c r="G35" s="24">
        <v>311.88</v>
      </c>
      <c r="H35" s="24">
        <v>1.39</v>
      </c>
      <c r="I35" s="31"/>
      <c r="J35" s="35"/>
    </row>
    <row r="36" spans="2:10" x14ac:dyDescent="0.25">
      <c r="B36" s="8" t="s">
        <v>1491</v>
      </c>
      <c r="C36" s="56" t="s">
        <v>691</v>
      </c>
      <c r="D36" s="53" t="s">
        <v>1492</v>
      </c>
      <c r="E36" s="6" t="s">
        <v>94</v>
      </c>
      <c r="F36" s="19">
        <v>121000</v>
      </c>
      <c r="G36" s="24">
        <v>301.47000000000003</v>
      </c>
      <c r="H36" s="24">
        <v>1.34</v>
      </c>
      <c r="I36" s="31"/>
      <c r="J36" s="35"/>
    </row>
    <row r="37" spans="2:10" x14ac:dyDescent="0.25">
      <c r="B37" s="8" t="s">
        <v>2061</v>
      </c>
      <c r="C37" s="56" t="s">
        <v>2062</v>
      </c>
      <c r="D37" s="53" t="s">
        <v>2063</v>
      </c>
      <c r="E37" s="6" t="s">
        <v>274</v>
      </c>
      <c r="F37" s="19">
        <v>397000</v>
      </c>
      <c r="G37" s="24">
        <v>290.01</v>
      </c>
      <c r="H37" s="24">
        <v>1.29</v>
      </c>
      <c r="I37" s="31"/>
      <c r="J37" s="35"/>
    </row>
    <row r="38" spans="2:10" x14ac:dyDescent="0.25">
      <c r="B38" s="8" t="s">
        <v>1368</v>
      </c>
      <c r="C38" s="56" t="s">
        <v>1369</v>
      </c>
      <c r="D38" s="53" t="s">
        <v>1370</v>
      </c>
      <c r="E38" s="6" t="s">
        <v>196</v>
      </c>
      <c r="F38" s="19">
        <v>24000</v>
      </c>
      <c r="G38" s="24">
        <v>276.55</v>
      </c>
      <c r="H38" s="24">
        <v>1.23</v>
      </c>
      <c r="I38" s="31"/>
      <c r="J38" s="35"/>
    </row>
    <row r="39" spans="2:10" x14ac:dyDescent="0.25">
      <c r="B39" s="8" t="s">
        <v>243</v>
      </c>
      <c r="C39" s="56" t="s">
        <v>197</v>
      </c>
      <c r="D39" s="53" t="s">
        <v>244</v>
      </c>
      <c r="E39" s="6" t="s">
        <v>142</v>
      </c>
      <c r="F39" s="19">
        <v>111000</v>
      </c>
      <c r="G39" s="24">
        <v>260.74</v>
      </c>
      <c r="H39" s="24">
        <v>1.1599999999999999</v>
      </c>
      <c r="I39" s="31"/>
      <c r="J39" s="35"/>
    </row>
    <row r="40" spans="2:10" x14ac:dyDescent="0.25">
      <c r="B40" s="8" t="s">
        <v>1604</v>
      </c>
      <c r="C40" s="56" t="s">
        <v>1605</v>
      </c>
      <c r="D40" s="53" t="s">
        <v>1606</v>
      </c>
      <c r="E40" s="6" t="s">
        <v>94</v>
      </c>
      <c r="F40" s="19">
        <v>10900</v>
      </c>
      <c r="G40" s="24">
        <v>247.41</v>
      </c>
      <c r="H40" s="24">
        <v>1.1000000000000001</v>
      </c>
      <c r="I40" s="31"/>
      <c r="J40" s="35"/>
    </row>
    <row r="41" spans="2:10" x14ac:dyDescent="0.25">
      <c r="B41" s="8" t="s">
        <v>2216</v>
      </c>
      <c r="C41" s="56" t="s">
        <v>2217</v>
      </c>
      <c r="D41" s="53" t="s">
        <v>2218</v>
      </c>
      <c r="E41" s="6" t="s">
        <v>94</v>
      </c>
      <c r="F41" s="19">
        <v>50000</v>
      </c>
      <c r="G41" s="24">
        <v>241.28</v>
      </c>
      <c r="H41" s="24">
        <v>1.08</v>
      </c>
      <c r="I41" s="31"/>
      <c r="J41" s="35"/>
    </row>
    <row r="42" spans="2:10" x14ac:dyDescent="0.25">
      <c r="B42" s="8" t="s">
        <v>1488</v>
      </c>
      <c r="C42" s="56" t="s">
        <v>1489</v>
      </c>
      <c r="D42" s="53" t="s">
        <v>1490</v>
      </c>
      <c r="E42" s="6" t="s">
        <v>274</v>
      </c>
      <c r="F42" s="19">
        <v>28000</v>
      </c>
      <c r="G42" s="24">
        <v>240.93</v>
      </c>
      <c r="H42" s="24">
        <v>1.07</v>
      </c>
      <c r="I42" s="31"/>
      <c r="J42" s="35"/>
    </row>
    <row r="43" spans="2:10" x14ac:dyDescent="0.25">
      <c r="B43" s="8" t="s">
        <v>808</v>
      </c>
      <c r="C43" s="56" t="s">
        <v>809</v>
      </c>
      <c r="D43" s="53" t="s">
        <v>810</v>
      </c>
      <c r="E43" s="6" t="s">
        <v>274</v>
      </c>
      <c r="F43" s="19">
        <v>40000</v>
      </c>
      <c r="G43" s="24">
        <v>233.08</v>
      </c>
      <c r="H43" s="24">
        <v>1.04</v>
      </c>
      <c r="I43" s="31"/>
      <c r="J43" s="35"/>
    </row>
    <row r="44" spans="2:10" x14ac:dyDescent="0.25">
      <c r="B44" s="8" t="s">
        <v>282</v>
      </c>
      <c r="C44" s="56" t="s">
        <v>283</v>
      </c>
      <c r="D44" s="53" t="s">
        <v>284</v>
      </c>
      <c r="E44" s="6" t="s">
        <v>254</v>
      </c>
      <c r="F44" s="19">
        <v>27000</v>
      </c>
      <c r="G44" s="24">
        <v>232.07</v>
      </c>
      <c r="H44" s="24">
        <v>1.03</v>
      </c>
      <c r="I44" s="31"/>
      <c r="J44" s="35"/>
    </row>
    <row r="45" spans="2:10" x14ac:dyDescent="0.25">
      <c r="B45" s="8" t="s">
        <v>1365</v>
      </c>
      <c r="C45" s="56" t="s">
        <v>1366</v>
      </c>
      <c r="D45" s="53" t="s">
        <v>1367</v>
      </c>
      <c r="E45" s="6" t="s">
        <v>47</v>
      </c>
      <c r="F45" s="19">
        <v>14000</v>
      </c>
      <c r="G45" s="24">
        <v>226.53</v>
      </c>
      <c r="H45" s="24">
        <v>1.01</v>
      </c>
      <c r="I45" s="31"/>
      <c r="J45" s="35"/>
    </row>
    <row r="46" spans="2:10" x14ac:dyDescent="0.25">
      <c r="B46" s="8" t="s">
        <v>2244</v>
      </c>
      <c r="C46" s="56" t="s">
        <v>2245</v>
      </c>
      <c r="D46" s="53" t="s">
        <v>2246</v>
      </c>
      <c r="E46" s="6" t="s">
        <v>98</v>
      </c>
      <c r="F46" s="19">
        <v>300000</v>
      </c>
      <c r="G46" s="24">
        <v>223.2</v>
      </c>
      <c r="H46" s="24">
        <v>1</v>
      </c>
      <c r="I46" s="31"/>
      <c r="J46" s="35"/>
    </row>
    <row r="47" spans="2:10" x14ac:dyDescent="0.25">
      <c r="B47" s="8" t="s">
        <v>265</v>
      </c>
      <c r="C47" s="56" t="s">
        <v>266</v>
      </c>
      <c r="D47" s="53" t="s">
        <v>267</v>
      </c>
      <c r="E47" s="6" t="s">
        <v>157</v>
      </c>
      <c r="F47" s="19">
        <v>15000</v>
      </c>
      <c r="G47" s="24">
        <v>219.23</v>
      </c>
      <c r="H47" s="24">
        <v>0.98</v>
      </c>
      <c r="I47" s="31"/>
      <c r="J47" s="35"/>
    </row>
    <row r="48" spans="2:10" x14ac:dyDescent="0.25">
      <c r="B48" s="8" t="s">
        <v>3162</v>
      </c>
      <c r="C48" s="56" t="s">
        <v>3163</v>
      </c>
      <c r="D48" s="53" t="s">
        <v>3164</v>
      </c>
      <c r="E48" s="6" t="s">
        <v>504</v>
      </c>
      <c r="F48" s="19">
        <v>9800</v>
      </c>
      <c r="G48" s="24">
        <v>215.11</v>
      </c>
      <c r="H48" s="24">
        <v>0.96</v>
      </c>
      <c r="I48" s="31"/>
      <c r="J48" s="35"/>
    </row>
    <row r="49" spans="2:10" x14ac:dyDescent="0.25">
      <c r="B49" s="8" t="s">
        <v>2214</v>
      </c>
      <c r="C49" s="56" t="s">
        <v>1048</v>
      </c>
      <c r="D49" s="53" t="s">
        <v>2215</v>
      </c>
      <c r="E49" s="6" t="s">
        <v>94</v>
      </c>
      <c r="F49" s="19">
        <v>46000</v>
      </c>
      <c r="G49" s="24">
        <v>213.14</v>
      </c>
      <c r="H49" s="24">
        <v>0.95</v>
      </c>
      <c r="I49" s="31"/>
      <c r="J49" s="35"/>
    </row>
    <row r="50" spans="2:10" x14ac:dyDescent="0.25">
      <c r="B50" s="8" t="s">
        <v>3165</v>
      </c>
      <c r="C50" s="56" t="s">
        <v>3166</v>
      </c>
      <c r="D50" s="53" t="s">
        <v>3167</v>
      </c>
      <c r="E50" s="6" t="s">
        <v>196</v>
      </c>
      <c r="F50" s="19">
        <v>52000</v>
      </c>
      <c r="G50" s="24">
        <v>208</v>
      </c>
      <c r="H50" s="24">
        <v>0.93</v>
      </c>
      <c r="I50" s="31"/>
      <c r="J50" s="35"/>
    </row>
    <row r="51" spans="2:10" x14ac:dyDescent="0.25">
      <c r="B51" s="8" t="s">
        <v>150</v>
      </c>
      <c r="C51" s="56" t="s">
        <v>151</v>
      </c>
      <c r="D51" s="53" t="s">
        <v>152</v>
      </c>
      <c r="E51" s="6" t="s">
        <v>153</v>
      </c>
      <c r="F51" s="19">
        <v>55000</v>
      </c>
      <c r="G51" s="24">
        <v>197.86</v>
      </c>
      <c r="H51" s="24">
        <v>0.88</v>
      </c>
      <c r="I51" s="31"/>
      <c r="J51" s="35"/>
    </row>
    <row r="52" spans="2:10" x14ac:dyDescent="0.25">
      <c r="B52" s="8" t="s">
        <v>275</v>
      </c>
      <c r="C52" s="56" t="s">
        <v>276</v>
      </c>
      <c r="D52" s="53" t="s">
        <v>277</v>
      </c>
      <c r="E52" s="6" t="s">
        <v>218</v>
      </c>
      <c r="F52" s="19">
        <v>500000</v>
      </c>
      <c r="G52" s="24">
        <v>139.5</v>
      </c>
      <c r="H52" s="24">
        <v>0.62</v>
      </c>
      <c r="I52" s="31"/>
      <c r="J52" s="35"/>
    </row>
    <row r="53" spans="2:10" x14ac:dyDescent="0.25">
      <c r="B53" s="8" t="s">
        <v>707</v>
      </c>
      <c r="C53" s="56" t="s">
        <v>708</v>
      </c>
      <c r="D53" s="53" t="s">
        <v>709</v>
      </c>
      <c r="E53" s="6" t="s">
        <v>218</v>
      </c>
      <c r="F53" s="19">
        <v>92941</v>
      </c>
      <c r="G53" s="24">
        <v>128.58000000000001</v>
      </c>
      <c r="H53" s="24">
        <v>0.56999999999999995</v>
      </c>
      <c r="I53" s="31"/>
      <c r="J53" s="35"/>
    </row>
    <row r="54" spans="2:10" x14ac:dyDescent="0.25">
      <c r="B54" s="8" t="s">
        <v>466</v>
      </c>
      <c r="C54" s="56" t="s">
        <v>467</v>
      </c>
      <c r="D54" s="53" t="s">
        <v>468</v>
      </c>
      <c r="E54" s="6" t="s">
        <v>254</v>
      </c>
      <c r="F54" s="19">
        <v>5400</v>
      </c>
      <c r="G54" s="24">
        <v>49.91</v>
      </c>
      <c r="H54" s="24">
        <v>0.22</v>
      </c>
      <c r="I54" s="31"/>
      <c r="J54" s="35"/>
    </row>
    <row r="55" spans="2:10" x14ac:dyDescent="0.25">
      <c r="B55" s="8" t="s">
        <v>180</v>
      </c>
      <c r="C55" s="56" t="s">
        <v>53</v>
      </c>
      <c r="D55" s="53" t="s">
        <v>181</v>
      </c>
      <c r="E55" s="6" t="s">
        <v>55</v>
      </c>
      <c r="F55" s="19">
        <v>1933</v>
      </c>
      <c r="G55" s="24">
        <v>25.97</v>
      </c>
      <c r="H55" s="24">
        <v>0.12</v>
      </c>
      <c r="I55" s="31"/>
      <c r="J55" s="35" t="s">
        <v>182</v>
      </c>
    </row>
    <row r="56" spans="2:10" x14ac:dyDescent="0.25">
      <c r="C56" s="57" t="s">
        <v>35</v>
      </c>
      <c r="D56" s="53"/>
      <c r="E56" s="6"/>
      <c r="F56" s="19"/>
      <c r="G56" s="25">
        <v>22152.34</v>
      </c>
      <c r="H56" s="25">
        <v>98.77</v>
      </c>
      <c r="I56" s="31"/>
      <c r="J56" s="35"/>
    </row>
    <row r="57" spans="2:10" x14ac:dyDescent="0.25">
      <c r="C57" s="56"/>
      <c r="D57" s="53"/>
      <c r="E57" s="6"/>
      <c r="F57" s="19"/>
      <c r="G57" s="24"/>
      <c r="H57" s="24"/>
      <c r="I57" s="31"/>
      <c r="J57" s="35"/>
    </row>
    <row r="58" spans="2:10" x14ac:dyDescent="0.25">
      <c r="C58" s="57" t="s">
        <v>3</v>
      </c>
      <c r="D58" s="53"/>
      <c r="E58" s="6"/>
      <c r="F58" s="19"/>
      <c r="G58" s="24" t="s">
        <v>2</v>
      </c>
      <c r="H58" s="24" t="s">
        <v>2</v>
      </c>
      <c r="I58" s="31"/>
      <c r="J58" s="35"/>
    </row>
    <row r="59" spans="2:10" x14ac:dyDescent="0.25">
      <c r="C59" s="56"/>
      <c r="D59" s="53"/>
      <c r="E59" s="6"/>
      <c r="F59" s="19"/>
      <c r="G59" s="24"/>
      <c r="H59" s="24"/>
      <c r="I59" s="31"/>
      <c r="J59" s="35"/>
    </row>
    <row r="60" spans="2:10" x14ac:dyDescent="0.25">
      <c r="C60" s="57" t="s">
        <v>4</v>
      </c>
      <c r="D60" s="53"/>
      <c r="E60" s="6"/>
      <c r="F60" s="19"/>
      <c r="G60" s="24" t="s">
        <v>2</v>
      </c>
      <c r="H60" s="24" t="s">
        <v>2</v>
      </c>
      <c r="I60" s="31"/>
      <c r="J60" s="35"/>
    </row>
    <row r="61" spans="2:10" x14ac:dyDescent="0.25">
      <c r="C61" s="56"/>
      <c r="D61" s="53"/>
      <c r="E61" s="6"/>
      <c r="F61" s="19"/>
      <c r="G61" s="24"/>
      <c r="H61" s="24"/>
      <c r="I61" s="31"/>
      <c r="J61" s="35"/>
    </row>
    <row r="62" spans="2:10" x14ac:dyDescent="0.25">
      <c r="C62" s="57" t="s">
        <v>5</v>
      </c>
      <c r="D62" s="53"/>
      <c r="E62" s="6"/>
      <c r="F62" s="19"/>
      <c r="G62" s="24"/>
      <c r="H62" s="24"/>
      <c r="I62" s="31"/>
      <c r="J62" s="35"/>
    </row>
    <row r="63" spans="2:10" x14ac:dyDescent="0.25">
      <c r="C63" s="56"/>
      <c r="D63" s="53"/>
      <c r="E63" s="6"/>
      <c r="F63" s="19"/>
      <c r="G63" s="24"/>
      <c r="H63" s="24"/>
      <c r="I63" s="31"/>
      <c r="J63" s="35"/>
    </row>
    <row r="64" spans="2:10" x14ac:dyDescent="0.25">
      <c r="C64" s="57" t="s">
        <v>6</v>
      </c>
      <c r="D64" s="53"/>
      <c r="E64" s="6"/>
      <c r="F64" s="19"/>
      <c r="G64" s="24" t="s">
        <v>2</v>
      </c>
      <c r="H64" s="24" t="s">
        <v>2</v>
      </c>
      <c r="I64" s="31"/>
      <c r="J64" s="35"/>
    </row>
    <row r="65" spans="3:10" x14ac:dyDescent="0.25">
      <c r="C65" s="56"/>
      <c r="D65" s="53"/>
      <c r="E65" s="6"/>
      <c r="F65" s="19"/>
      <c r="G65" s="24"/>
      <c r="H65" s="24"/>
      <c r="I65" s="31"/>
      <c r="J65" s="35"/>
    </row>
    <row r="66" spans="3:10" x14ac:dyDescent="0.25">
      <c r="C66" s="57" t="s">
        <v>7</v>
      </c>
      <c r="D66" s="53"/>
      <c r="E66" s="6"/>
      <c r="F66" s="19"/>
      <c r="G66" s="24" t="s">
        <v>2</v>
      </c>
      <c r="H66" s="24" t="s">
        <v>2</v>
      </c>
      <c r="I66" s="31"/>
      <c r="J66" s="35"/>
    </row>
    <row r="67" spans="3:10" x14ac:dyDescent="0.25">
      <c r="C67" s="56"/>
      <c r="D67" s="53"/>
      <c r="E67" s="6"/>
      <c r="F67" s="19"/>
      <c r="G67" s="24"/>
      <c r="H67" s="24"/>
      <c r="I67" s="31"/>
      <c r="J67" s="35"/>
    </row>
    <row r="68" spans="3:10" x14ac:dyDescent="0.25">
      <c r="C68" s="57" t="s">
        <v>8</v>
      </c>
      <c r="D68" s="53"/>
      <c r="E68" s="6"/>
      <c r="F68" s="19"/>
      <c r="G68" s="24" t="s">
        <v>2</v>
      </c>
      <c r="H68" s="24" t="s">
        <v>2</v>
      </c>
      <c r="I68" s="31"/>
      <c r="J68" s="35"/>
    </row>
    <row r="69" spans="3:10" x14ac:dyDescent="0.25">
      <c r="C69" s="56"/>
      <c r="D69" s="53"/>
      <c r="E69" s="6"/>
      <c r="F69" s="19"/>
      <c r="G69" s="24"/>
      <c r="H69" s="24"/>
      <c r="I69" s="31"/>
      <c r="J69" s="35"/>
    </row>
    <row r="70" spans="3:10" x14ac:dyDescent="0.25">
      <c r="C70" s="57" t="s">
        <v>9</v>
      </c>
      <c r="D70" s="53"/>
      <c r="E70" s="6"/>
      <c r="F70" s="19"/>
      <c r="G70" s="24" t="s">
        <v>2</v>
      </c>
      <c r="H70" s="24" t="s">
        <v>2</v>
      </c>
      <c r="I70" s="31"/>
      <c r="J70" s="35"/>
    </row>
    <row r="71" spans="3:10" x14ac:dyDescent="0.25">
      <c r="C71" s="56"/>
      <c r="D71" s="53"/>
      <c r="E71" s="6"/>
      <c r="F71" s="19"/>
      <c r="G71" s="24"/>
      <c r="H71" s="24"/>
      <c r="I71" s="31"/>
      <c r="J71" s="35"/>
    </row>
    <row r="72" spans="3:10" x14ac:dyDescent="0.25">
      <c r="C72" s="57" t="s">
        <v>10</v>
      </c>
      <c r="D72" s="53"/>
      <c r="E72" s="6"/>
      <c r="F72" s="19"/>
      <c r="G72" s="24" t="s">
        <v>2</v>
      </c>
      <c r="H72" s="24" t="s">
        <v>2</v>
      </c>
      <c r="I72" s="31"/>
      <c r="J72" s="35"/>
    </row>
    <row r="73" spans="3:10" x14ac:dyDescent="0.25">
      <c r="C73" s="56"/>
      <c r="D73" s="53"/>
      <c r="E73" s="6"/>
      <c r="F73" s="19"/>
      <c r="G73" s="24"/>
      <c r="H73" s="24"/>
      <c r="I73" s="31"/>
      <c r="J73" s="35"/>
    </row>
    <row r="74" spans="3:10" x14ac:dyDescent="0.25">
      <c r="C74" s="57" t="s">
        <v>11</v>
      </c>
      <c r="D74" s="53"/>
      <c r="E74" s="6"/>
      <c r="F74" s="19"/>
      <c r="G74" s="24"/>
      <c r="H74" s="24"/>
      <c r="I74" s="31"/>
      <c r="J74" s="35"/>
    </row>
    <row r="75" spans="3:10" x14ac:dyDescent="0.25">
      <c r="C75" s="56"/>
      <c r="D75" s="53"/>
      <c r="E75" s="6"/>
      <c r="F75" s="19"/>
      <c r="G75" s="24"/>
      <c r="H75" s="24"/>
      <c r="I75" s="31"/>
      <c r="J75" s="35"/>
    </row>
    <row r="76" spans="3:10" x14ac:dyDescent="0.25">
      <c r="C76" s="57" t="s">
        <v>13</v>
      </c>
      <c r="D76" s="53"/>
      <c r="E76" s="6"/>
      <c r="F76" s="19"/>
      <c r="G76" s="24" t="s">
        <v>2</v>
      </c>
      <c r="H76" s="24" t="s">
        <v>2</v>
      </c>
      <c r="I76" s="31"/>
      <c r="J76" s="35"/>
    </row>
    <row r="77" spans="3:10" x14ac:dyDescent="0.25">
      <c r="C77" s="56"/>
      <c r="D77" s="53"/>
      <c r="E77" s="6"/>
      <c r="F77" s="19"/>
      <c r="G77" s="24"/>
      <c r="H77" s="24"/>
      <c r="I77" s="31"/>
      <c r="J77" s="35"/>
    </row>
    <row r="78" spans="3:10" x14ac:dyDescent="0.25">
      <c r="C78" s="57" t="s">
        <v>14</v>
      </c>
      <c r="D78" s="53"/>
      <c r="E78" s="6"/>
      <c r="F78" s="19"/>
      <c r="G78" s="24" t="s">
        <v>2</v>
      </c>
      <c r="H78" s="24" t="s">
        <v>2</v>
      </c>
      <c r="I78" s="31"/>
      <c r="J78" s="35"/>
    </row>
    <row r="79" spans="3:10" x14ac:dyDescent="0.25">
      <c r="C79" s="56"/>
      <c r="D79" s="53"/>
      <c r="E79" s="6"/>
      <c r="F79" s="19"/>
      <c r="G79" s="24"/>
      <c r="H79" s="24"/>
      <c r="I79" s="31"/>
      <c r="J79" s="35"/>
    </row>
    <row r="80" spans="3:10" x14ac:dyDescent="0.25">
      <c r="C80" s="57" t="s">
        <v>15</v>
      </c>
      <c r="D80" s="53"/>
      <c r="E80" s="6"/>
      <c r="F80" s="19"/>
      <c r="G80" s="24" t="s">
        <v>2</v>
      </c>
      <c r="H80" s="24" t="s">
        <v>2</v>
      </c>
      <c r="I80" s="31"/>
      <c r="J80" s="35"/>
    </row>
    <row r="81" spans="1:10" x14ac:dyDescent="0.25">
      <c r="C81" s="56"/>
      <c r="D81" s="53"/>
      <c r="E81" s="6"/>
      <c r="F81" s="19"/>
      <c r="G81" s="24"/>
      <c r="H81" s="24"/>
      <c r="I81" s="31"/>
      <c r="J81" s="35"/>
    </row>
    <row r="82" spans="1:10" x14ac:dyDescent="0.25">
      <c r="C82" s="57" t="s">
        <v>16</v>
      </c>
      <c r="D82" s="53"/>
      <c r="E82" s="6"/>
      <c r="F82" s="19"/>
      <c r="G82" s="24" t="s">
        <v>2</v>
      </c>
      <c r="H82" s="24" t="s">
        <v>2</v>
      </c>
      <c r="I82" s="31"/>
      <c r="J82" s="35"/>
    </row>
    <row r="83" spans="1:10" x14ac:dyDescent="0.25">
      <c r="C83" s="56"/>
      <c r="D83" s="53"/>
      <c r="E83" s="6"/>
      <c r="F83" s="19"/>
      <c r="G83" s="24"/>
      <c r="H83" s="24"/>
      <c r="I83" s="31"/>
      <c r="J83" s="35"/>
    </row>
    <row r="84" spans="1:10" x14ac:dyDescent="0.25">
      <c r="A84" s="10"/>
      <c r="B84" s="28"/>
      <c r="C84" s="58" t="s">
        <v>17</v>
      </c>
      <c r="D84" s="53"/>
      <c r="E84" s="6"/>
      <c r="F84" s="19"/>
      <c r="G84" s="24"/>
      <c r="H84" s="24"/>
      <c r="I84" s="31"/>
      <c r="J84" s="35"/>
    </row>
    <row r="85" spans="1:10" x14ac:dyDescent="0.25">
      <c r="A85" s="28"/>
      <c r="B85" s="28"/>
      <c r="C85" s="58" t="s">
        <v>18</v>
      </c>
      <c r="D85" s="53"/>
      <c r="E85" s="6"/>
      <c r="F85" s="19"/>
      <c r="G85" s="24" t="s">
        <v>2</v>
      </c>
      <c r="H85" s="24" t="s">
        <v>2</v>
      </c>
      <c r="I85" s="31"/>
      <c r="J85" s="35"/>
    </row>
    <row r="86" spans="1:10" x14ac:dyDescent="0.25">
      <c r="A86" s="28"/>
      <c r="B86" s="28"/>
      <c r="C86" s="58"/>
      <c r="D86" s="53"/>
      <c r="E86" s="6"/>
      <c r="F86" s="19"/>
      <c r="G86" s="24"/>
      <c r="H86" s="24"/>
      <c r="I86" s="31"/>
      <c r="J86" s="35"/>
    </row>
    <row r="87" spans="1:10" x14ac:dyDescent="0.25">
      <c r="A87" s="28"/>
      <c r="B87" s="28"/>
      <c r="C87" s="58" t="s">
        <v>19</v>
      </c>
      <c r="D87" s="53"/>
      <c r="E87" s="6"/>
      <c r="F87" s="19"/>
      <c r="G87" s="24" t="s">
        <v>2</v>
      </c>
      <c r="H87" s="24" t="s">
        <v>2</v>
      </c>
      <c r="I87" s="31"/>
      <c r="J87" s="35"/>
    </row>
    <row r="88" spans="1:10" x14ac:dyDescent="0.25">
      <c r="A88" s="28"/>
      <c r="B88" s="28"/>
      <c r="C88" s="58"/>
      <c r="D88" s="53"/>
      <c r="E88" s="6"/>
      <c r="F88" s="19"/>
      <c r="G88" s="24"/>
      <c r="H88" s="24"/>
      <c r="I88" s="31"/>
      <c r="J88" s="35"/>
    </row>
    <row r="89" spans="1:10" x14ac:dyDescent="0.25">
      <c r="A89" s="28"/>
      <c r="B89" s="28"/>
      <c r="C89" s="58" t="s">
        <v>20</v>
      </c>
      <c r="D89" s="53"/>
      <c r="E89" s="6"/>
      <c r="F89" s="19"/>
      <c r="G89" s="24" t="s">
        <v>2</v>
      </c>
      <c r="H89" s="24" t="s">
        <v>2</v>
      </c>
      <c r="I89" s="31"/>
      <c r="J89" s="35"/>
    </row>
    <row r="90" spans="1:10" x14ac:dyDescent="0.25">
      <c r="A90" s="28"/>
      <c r="B90" s="28"/>
      <c r="C90" s="58"/>
      <c r="D90" s="53"/>
      <c r="E90" s="6"/>
      <c r="F90" s="19"/>
      <c r="G90" s="24"/>
      <c r="H90" s="24"/>
      <c r="I90" s="31"/>
      <c r="J90" s="35"/>
    </row>
    <row r="91" spans="1:10" x14ac:dyDescent="0.25">
      <c r="A91" s="28"/>
      <c r="B91" s="28"/>
      <c r="C91" s="58" t="s">
        <v>21</v>
      </c>
      <c r="D91" s="53"/>
      <c r="E91" s="6"/>
      <c r="F91" s="19"/>
      <c r="G91" s="24" t="s">
        <v>2</v>
      </c>
      <c r="H91" s="24" t="s">
        <v>2</v>
      </c>
      <c r="I91" s="31"/>
      <c r="J91" s="35"/>
    </row>
    <row r="92" spans="1:10" x14ac:dyDescent="0.25">
      <c r="A92" s="28"/>
      <c r="B92" s="28"/>
      <c r="C92" s="58"/>
      <c r="D92" s="53"/>
      <c r="E92" s="6"/>
      <c r="F92" s="19"/>
      <c r="G92" s="24"/>
      <c r="H92" s="24"/>
      <c r="I92" s="31"/>
      <c r="J92" s="35"/>
    </row>
    <row r="93" spans="1:10" x14ac:dyDescent="0.25">
      <c r="C93" s="59" t="s">
        <v>22</v>
      </c>
      <c r="D93" s="53"/>
      <c r="E93" s="6"/>
      <c r="F93" s="19"/>
      <c r="G93" s="24"/>
      <c r="H93" s="24"/>
      <c r="I93" s="31"/>
      <c r="J93" s="35"/>
    </row>
    <row r="94" spans="1:10" x14ac:dyDescent="0.25">
      <c r="B94" s="8" t="s">
        <v>33</v>
      </c>
      <c r="C94" s="56" t="s">
        <v>34</v>
      </c>
      <c r="D94" s="53"/>
      <c r="E94" s="6"/>
      <c r="F94" s="19"/>
      <c r="G94" s="24">
        <v>280</v>
      </c>
      <c r="H94" s="24">
        <v>1.25</v>
      </c>
      <c r="I94" s="31"/>
      <c r="J94" s="35"/>
    </row>
    <row r="95" spans="1:10" x14ac:dyDescent="0.25">
      <c r="C95" s="57" t="s">
        <v>35</v>
      </c>
      <c r="D95" s="53"/>
      <c r="E95" s="6"/>
      <c r="F95" s="19"/>
      <c r="G95" s="25">
        <v>280</v>
      </c>
      <c r="H95" s="25">
        <v>1.25</v>
      </c>
      <c r="I95" s="31"/>
      <c r="J95" s="35"/>
    </row>
    <row r="96" spans="1:10" x14ac:dyDescent="0.25">
      <c r="C96" s="56"/>
      <c r="D96" s="53"/>
      <c r="E96" s="6"/>
      <c r="F96" s="19"/>
      <c r="G96" s="24"/>
      <c r="H96" s="24"/>
      <c r="I96" s="31"/>
      <c r="J96" s="35"/>
    </row>
    <row r="97" spans="1:10" x14ac:dyDescent="0.25">
      <c r="A97" s="10"/>
      <c r="B97" s="28"/>
      <c r="C97" s="58" t="s">
        <v>23</v>
      </c>
      <c r="D97" s="53"/>
      <c r="E97" s="6"/>
      <c r="F97" s="19"/>
      <c r="G97" s="24"/>
      <c r="H97" s="24"/>
      <c r="I97" s="31"/>
      <c r="J97" s="35"/>
    </row>
    <row r="98" spans="1:10" x14ac:dyDescent="0.25">
      <c r="A98" s="28"/>
      <c r="B98" s="28"/>
      <c r="C98" s="60" t="s">
        <v>3398</v>
      </c>
      <c r="D98" s="53"/>
      <c r="E98" s="6"/>
      <c r="F98" s="19"/>
      <c r="G98" s="24" t="s">
        <v>2</v>
      </c>
      <c r="H98" s="24" t="s">
        <v>2</v>
      </c>
      <c r="I98" s="31"/>
      <c r="J98" s="35"/>
    </row>
    <row r="99" spans="1:10" x14ac:dyDescent="0.25">
      <c r="B99" s="8"/>
      <c r="C99" s="56" t="s">
        <v>36</v>
      </c>
      <c r="D99" s="53"/>
      <c r="E99" s="6"/>
      <c r="F99" s="19"/>
      <c r="G99" s="24">
        <v>-6.64</v>
      </c>
      <c r="H99" s="24">
        <v>-1.9999999999999997E-2</v>
      </c>
      <c r="I99" s="31"/>
      <c r="J99" s="35"/>
    </row>
    <row r="100" spans="1:10" x14ac:dyDescent="0.25">
      <c r="C100" s="57" t="s">
        <v>35</v>
      </c>
      <c r="D100" s="53"/>
      <c r="E100" s="6"/>
      <c r="F100" s="19"/>
      <c r="G100" s="25">
        <v>-6.64</v>
      </c>
      <c r="H100" s="25">
        <v>-1.9999999999999997E-2</v>
      </c>
      <c r="I100" s="31"/>
      <c r="J100" s="35"/>
    </row>
    <row r="101" spans="1:10" x14ac:dyDescent="0.25">
      <c r="C101" s="56"/>
      <c r="D101" s="53"/>
      <c r="E101" s="6"/>
      <c r="F101" s="19"/>
      <c r="G101" s="24"/>
      <c r="H101" s="24"/>
      <c r="I101" s="31"/>
      <c r="J101" s="35"/>
    </row>
    <row r="102" spans="1:10" x14ac:dyDescent="0.25">
      <c r="C102" s="61" t="s">
        <v>37</v>
      </c>
      <c r="D102" s="54"/>
      <c r="E102" s="5"/>
      <c r="F102" s="20"/>
      <c r="G102" s="26">
        <v>22425.7</v>
      </c>
      <c r="H102" s="26">
        <f>SUMIFS(H:H,C:C,"Total")</f>
        <v>100</v>
      </c>
      <c r="I102" s="32"/>
      <c r="J102" s="36"/>
    </row>
    <row r="105" spans="1:10" x14ac:dyDescent="0.25">
      <c r="C105" s="1" t="s">
        <v>38</v>
      </c>
    </row>
    <row r="106" spans="1:10" x14ac:dyDescent="0.25">
      <c r="C106" s="2" t="s">
        <v>39</v>
      </c>
    </row>
    <row r="107" spans="1:10" x14ac:dyDescent="0.25">
      <c r="C107" s="2" t="s">
        <v>40</v>
      </c>
    </row>
    <row r="108" spans="1:10" x14ac:dyDescent="0.25">
      <c r="C108" s="2" t="s">
        <v>3430</v>
      </c>
    </row>
  </sheetData>
  <hyperlinks>
    <hyperlink ref="J2" location="'Index'!A1" display="'Index'!A1"/>
  </hyperlinks>
  <pageMargins left="0.7" right="0.7" top="0.75" bottom="0.75" header="0.3" footer="0.3"/>
  <pageSetup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FactsheetsAndPortfolioContentType" ma:contentTypeID="0x010057EDD44F7E994BA09660CCACED10E20E0008707C0D5E97491E8ABB3F6F8DCE125A00583CEA6C0554DF48ADB9DA9AE07A8EF3" ma:contentTypeVersion="1" ma:contentTypeDescription="My Content Type" ma:contentTypeScope="" ma:versionID="0ade33f072faf61ee9f1567a9c471209">
  <xsd:schema xmlns:xsd="http://www.w3.org/2001/XMLSchema" xmlns:xs="http://www.w3.org/2001/XMLSchema" xmlns:p="http://schemas.microsoft.com/office/2006/metadata/properties" xmlns:ns2="F466BF19-4563-4491-8129-C45FF9D079F0" targetNamespace="http://schemas.microsoft.com/office/2006/metadata/properties" ma:root="true" ma:fieldsID="774e85a347bcd36fe4e79f58275cb693" ns2:_="">
    <xsd:import namespace="F466BF19-4563-4491-8129-C45FF9D079F0"/>
    <xsd:element name="properties">
      <xsd:complexType>
        <xsd:sequence>
          <xsd:element name="documentManagement">
            <xsd:complexType>
              <xsd:all>
                <xsd:element ref="ns2:il_FAndP_Year_1" minOccurs="0"/>
                <xsd:element ref="ns2:il__FAndP_Month_1" minOccurs="0"/>
                <xsd:element ref="ns2:il_FAndP_SC_1" minOccurs="0"/>
                <xsd:element ref="ns2:il_FAndP_SN_1" minOccurs="0"/>
                <xsd:element ref="ns2:il_FAndP_isActive_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66BF19-4563-4491-8129-C45FF9D079F0" elementFormDefault="qualified">
    <xsd:import namespace="http://schemas.microsoft.com/office/2006/documentManagement/types"/>
    <xsd:import namespace="http://schemas.microsoft.com/office/infopath/2007/PartnerControls"/>
    <xsd:element name="il_FAndP_Year_1" ma:index="2" nillable="true" ma:displayName="FundGuruYear" ma:internalName="il_FAndP_Year_1">
      <xsd:simpleType>
        <xsd:restriction base="dms:Text"/>
      </xsd:simpleType>
    </xsd:element>
    <xsd:element name="il__FAndP_Month_1" ma:index="3" nillable="true" ma:displayName="Month" ma:internalName="il__FAndP_Month_1">
      <xsd:simpleType>
        <xsd:restriction base="dms:Choice">
          <xsd:enumeration value="&#10;        January&#10;      "/>
          <xsd:enumeration value="&#10;        February&#10;      "/>
          <xsd:enumeration value="&#10;        March&#10;      "/>
          <xsd:enumeration value="&#10;        April&#10;      "/>
          <xsd:enumeration value="&#10;        May&#10;      "/>
          <xsd:enumeration value="&#10;        June&#10;      "/>
          <xsd:enumeration value="&#10;        July&#10;      "/>
          <xsd:enumeration value="&#10;        August&#10;      "/>
          <xsd:enumeration value="&#10;        September&#10;      "/>
          <xsd:enumeration value="&#10;        October&#10;      "/>
          <xsd:enumeration value="&#10;        November&#10;      "/>
          <xsd:enumeration value="&#10;        December&#10;      "/>
        </xsd:restriction>
      </xsd:simpleType>
    </xsd:element>
    <xsd:element name="il_FAndP_SC_1" ma:index="4" nillable="true" ma:displayName="Scheme Category" ma:internalName="il_FAndP_SC_1">
      <xsd:simpleType>
        <xsd:restriction base="dms:Text"/>
      </xsd:simpleType>
    </xsd:element>
    <xsd:element name="il_FAndP_SN_1" ma:index="5" nillable="true" ma:displayName="Scheme Name" ma:internalName="il_FAndP_SN_1">
      <xsd:simpleType>
        <xsd:restriction base="dms:Text"/>
      </xsd:simpleType>
    </xsd:element>
    <xsd:element name="il_FAndP_isActive_1" ma:index="6" nillable="true" ma:displayName="isActive" ma:default="1" ma:internalName="il_FAndP_isActive_1">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ListForm</Display>
  <Edit>ListForm</Edit>
  <New>ListForm</New>
</FormTemplates>
</file>

<file path=customXml/item3.xml><?xml version="1.0" encoding="utf-8"?>
<p:properties xmlns:p="http://schemas.microsoft.com/office/2006/metadata/properties" xmlns:xsi="http://www.w3.org/2001/XMLSchema-instance" xmlns:pc="http://schemas.microsoft.com/office/infopath/2007/PartnerControls">
  <documentManagement>
    <il_FAndP_SC_1 xmlns="F466BF19-4563-4491-8129-C45FF9D079F0">999</il_FAndP_SC_1>
    <il_FAndP_isActive_1 xmlns="F466BF19-4563-4491-8129-C45FF9D079F0">true</il_FAndP_isActive_1>
    <il_FAndP_Year_1 xmlns="F466BF19-4563-4491-8129-C45FF9D079F0">2020</il_FAndP_Year_1>
    <il_FAndP_SN_1 xmlns="F466BF19-4563-4491-8129-C45FF9D079F0">999</il_FAndP_SN_1>
    <il__FAndP_Month_1 xmlns="F466BF19-4563-4491-8129-C45FF9D079F0">September</il__FAndP_Month_1>
  </documentManagement>
</p:properties>
</file>

<file path=customXml/itemProps1.xml><?xml version="1.0" encoding="utf-8"?>
<ds:datastoreItem xmlns:ds="http://schemas.openxmlformats.org/officeDocument/2006/customXml" ds:itemID="{7C196533-0BE3-4760-B08A-FCBDD219A1B5}"/>
</file>

<file path=customXml/itemProps2.xml><?xml version="1.0" encoding="utf-8"?>
<ds:datastoreItem xmlns:ds="http://schemas.openxmlformats.org/officeDocument/2006/customXml" ds:itemID="{2553C29D-DFD5-4E99-8F66-15E96A5962EC}"/>
</file>

<file path=customXml/itemProps3.xml><?xml version="1.0" encoding="utf-8"?>
<ds:datastoreItem xmlns:ds="http://schemas.openxmlformats.org/officeDocument/2006/customXml" ds:itemID="{0C77872A-CA9A-4E3C-A8B6-B25E8A02DF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140</vt:i4>
      </vt:variant>
      <vt:variant>
        <vt:lpstr>Named Ranges</vt:lpstr>
      </vt:variant>
      <vt:variant>
        <vt:i4>7234</vt:i4>
      </vt:variant>
    </vt:vector>
  </HeadingPairs>
  <TitlesOfParts>
    <vt:vector size="7374" baseType="lpstr">
      <vt:lpstr>Index</vt:lpstr>
      <vt:lpstr>SMEEF</vt:lpstr>
      <vt:lpstr>SLMF</vt:lpstr>
      <vt:lpstr>SLTEF</vt:lpstr>
      <vt:lpstr>SMGLF</vt:lpstr>
      <vt:lpstr>SEHF</vt:lpstr>
      <vt:lpstr>SMIF</vt:lpstr>
      <vt:lpstr>SCOF</vt:lpstr>
      <vt:lpstr>STOF</vt:lpstr>
      <vt:lpstr>SHOF</vt:lpstr>
      <vt:lpstr>SCF</vt:lpstr>
      <vt:lpstr>SNIF</vt:lpstr>
      <vt:lpstr>SMCBF</vt:lpstr>
      <vt:lpstr>SOF</vt:lpstr>
      <vt:lpstr>SMMDF</vt:lpstr>
      <vt:lpstr>SLF</vt:lpstr>
      <vt:lpstr>SDBF</vt:lpstr>
      <vt:lpstr>SSF</vt:lpstr>
      <vt:lpstr>SCRF</vt:lpstr>
      <vt:lpstr>SFEF</vt:lpstr>
      <vt:lpstr>SDHF</vt:lpstr>
      <vt:lpstr>SMUSD</vt:lpstr>
      <vt:lpstr>SMIDCAP</vt:lpstr>
      <vt:lpstr>SMCMF</vt:lpstr>
      <vt:lpstr>SMCOMMA</vt:lpstr>
      <vt:lpstr>SMGF</vt:lpstr>
      <vt:lpstr>SMMULTI</vt:lpstr>
      <vt:lpstr>SMAAF</vt:lpstr>
      <vt:lpstr>SBLUECHIP</vt:lpstr>
      <vt:lpstr>SAOF</vt:lpstr>
      <vt:lpstr>SIF</vt:lpstr>
      <vt:lpstr>SMLDF</vt:lpstr>
      <vt:lpstr>SSTDF</vt:lpstr>
      <vt:lpstr>SETF-Gold</vt:lpstr>
      <vt:lpstr>SPSU</vt:lpstr>
      <vt:lpstr>SGF</vt:lpstr>
      <vt:lpstr>STAF-II</vt:lpstr>
      <vt:lpstr>SETF-SENSEX</vt:lpstr>
      <vt:lpstr>SSCF</vt:lpstr>
      <vt:lpstr>SBPF</vt:lpstr>
      <vt:lpstr>STAF-III</vt:lpstr>
      <vt:lpstr>SEOF-I</vt:lpstr>
      <vt:lpstr>SLTAF-I</vt:lpstr>
      <vt:lpstr>SLTAF-II</vt:lpstr>
      <vt:lpstr>SBFS</vt:lpstr>
      <vt:lpstr>SDAAF</vt:lpstr>
      <vt:lpstr>SETF-NN50</vt:lpstr>
      <vt:lpstr>SETF-NBank</vt:lpstr>
      <vt:lpstr>SETF-BSE 100</vt:lpstr>
      <vt:lpstr>SESF</vt:lpstr>
      <vt:lpstr>SETF-Nifty 50</vt:lpstr>
      <vt:lpstr>SEOF-IV</vt:lpstr>
      <vt:lpstr>SLTAF-III</vt:lpstr>
      <vt:lpstr>SETF-10 Yr Gilt</vt:lpstr>
      <vt:lpstr>SLTAF-IV</vt:lpstr>
      <vt:lpstr>SDAFS-XXIV</vt:lpstr>
      <vt:lpstr>SDAFS-XXV</vt:lpstr>
      <vt:lpstr>SLTAF-V</vt:lpstr>
      <vt:lpstr>SDFS-C-7</vt:lpstr>
      <vt:lpstr>SDAFS-XXVI</vt:lpstr>
      <vt:lpstr>SDFS-C-8</vt:lpstr>
      <vt:lpstr>SDFS-C-9</vt:lpstr>
      <vt:lpstr>SDFS-C-10</vt:lpstr>
      <vt:lpstr>SDAFS-XXVII</vt:lpstr>
      <vt:lpstr>SDFS-C-12</vt:lpstr>
      <vt:lpstr>SDFS-C-14</vt:lpstr>
      <vt:lpstr>SLTAF-VI</vt:lpstr>
      <vt:lpstr>SDAFS-XXVIII</vt:lpstr>
      <vt:lpstr>SDFS-C-16</vt:lpstr>
      <vt:lpstr>SDFS-C-18</vt:lpstr>
      <vt:lpstr>SDFS-C-19</vt:lpstr>
      <vt:lpstr>SDAFS-XXIX</vt:lpstr>
      <vt:lpstr>SDFS-C-20</vt:lpstr>
      <vt:lpstr>SDFS-C-21</vt:lpstr>
      <vt:lpstr>SDFS-C-22</vt:lpstr>
      <vt:lpstr>SDFS-C-23</vt:lpstr>
      <vt:lpstr>SETF-SN50</vt:lpstr>
      <vt:lpstr>SDFS-C-24</vt:lpstr>
      <vt:lpstr>SDFS-C-25</vt:lpstr>
      <vt:lpstr>SDAFS-XXX</vt:lpstr>
      <vt:lpstr>SDFS-C-26</vt:lpstr>
      <vt:lpstr>SDFS-C-27</vt:lpstr>
      <vt:lpstr>SDFS-C-28</vt:lpstr>
      <vt:lpstr>SDFS-C-30</vt:lpstr>
      <vt:lpstr>SETF-Quality</vt:lpstr>
      <vt:lpstr>SDFS-C-32</vt:lpstr>
      <vt:lpstr>SDFS-C-33</vt:lpstr>
      <vt:lpstr>SDFS-C-34</vt:lpstr>
      <vt:lpstr>SDFS-C-35</vt:lpstr>
      <vt:lpstr>SDFS-C-38</vt:lpstr>
      <vt:lpstr>SCBF</vt:lpstr>
      <vt:lpstr>SDFS-C-40</vt:lpstr>
      <vt:lpstr>SDFS-C-41</vt:lpstr>
      <vt:lpstr>SDFS-C-43</vt:lpstr>
      <vt:lpstr>SDFS-C-44</vt:lpstr>
      <vt:lpstr>SCPOF-A1</vt:lpstr>
      <vt:lpstr>SDFS-C-46</vt:lpstr>
      <vt:lpstr>SEMVF</vt:lpstr>
      <vt:lpstr>SDFS-C-48</vt:lpstr>
      <vt:lpstr>SDFS-C-49</vt:lpstr>
      <vt:lpstr>SCPOF-Series A (Plan 2)</vt:lpstr>
      <vt:lpstr>SDFS-C-50</vt:lpstr>
      <vt:lpstr>SFMP- Series 1</vt:lpstr>
      <vt:lpstr>SFMP- Series 2</vt:lpstr>
      <vt:lpstr>SFMP- Series 3</vt:lpstr>
      <vt:lpstr>SCPOF-Series A (Plan 3)</vt:lpstr>
      <vt:lpstr>SFMP- Series 6</vt:lpstr>
      <vt:lpstr>SFMP- Series 7</vt:lpstr>
      <vt:lpstr>SFMP- Series 8</vt:lpstr>
      <vt:lpstr>SCPOF-Series A (Plan 4)</vt:lpstr>
      <vt:lpstr>SFMP- Series 9</vt:lpstr>
      <vt:lpstr>SFMP- Series 10</vt:lpstr>
      <vt:lpstr>SFMP- Series 11</vt:lpstr>
      <vt:lpstr>SFMP- Series 12</vt:lpstr>
      <vt:lpstr>SFMP- Series 13</vt:lpstr>
      <vt:lpstr>SFMP- Series 14</vt:lpstr>
      <vt:lpstr>SFMP- Series 15</vt:lpstr>
      <vt:lpstr>SFMP- Series 16</vt:lpstr>
      <vt:lpstr>SFMP- Series 17</vt:lpstr>
      <vt:lpstr>SCPOF-Series A (Plan 5)</vt:lpstr>
      <vt:lpstr>SFMP- Series 18</vt:lpstr>
      <vt:lpstr>SCPOF-Series A (Plan 6)</vt:lpstr>
      <vt:lpstr>SFMP- Series 19</vt:lpstr>
      <vt:lpstr>SFMP- Series 20</vt:lpstr>
      <vt:lpstr>SFMP- Series 21</vt:lpstr>
      <vt:lpstr>SFMP- Series 22</vt:lpstr>
      <vt:lpstr>SFMP- Series 23</vt:lpstr>
      <vt:lpstr>SFMP- Series 24</vt:lpstr>
      <vt:lpstr>SFMP- Series 25</vt:lpstr>
      <vt:lpstr>SFMP- Series 26</vt:lpstr>
      <vt:lpstr>SFMP- Series 27</vt:lpstr>
      <vt:lpstr>SCPOF-Series A (Plan 7)</vt:lpstr>
      <vt:lpstr>SFMP- Series 28</vt:lpstr>
      <vt:lpstr>SCPOF-Series A (Plan 8)</vt:lpstr>
      <vt:lpstr>SFMP- Series 31</vt:lpstr>
      <vt:lpstr>SFMP- Series 32</vt:lpstr>
      <vt:lpstr>SFMP- Series 33</vt:lpstr>
      <vt:lpstr>SFMP- Series 34</vt:lpstr>
      <vt:lpstr>SMCBF-Investment Plan</vt:lpstr>
      <vt:lpstr>SBIRIOS</vt:lpstr>
      <vt:lpstr>XDO_?CLASS_3?100?</vt:lpstr>
      <vt:lpstr>XDO_?CLASS_3?101?</vt:lpstr>
      <vt:lpstr>XDO_?CLASS_3?102?</vt:lpstr>
      <vt:lpstr>XDO_?CLASS_3?103?</vt:lpstr>
      <vt:lpstr>XDO_?CLASS_3?104?</vt:lpstr>
      <vt:lpstr>XDO_?CLASS_3?105?</vt:lpstr>
      <vt:lpstr>XDO_?CLASS_3?106?</vt:lpstr>
      <vt:lpstr>XDO_?CLASS_3?107?</vt:lpstr>
      <vt:lpstr>XDO_?CLASS_3?108?</vt:lpstr>
      <vt:lpstr>XDO_?CLASS_3?109?</vt:lpstr>
      <vt:lpstr>XDO_?CLASS_3?110?</vt:lpstr>
      <vt:lpstr>XDO_?CLASS_3?111?</vt:lpstr>
      <vt:lpstr>XDO_?CLASS_3?112?</vt:lpstr>
      <vt:lpstr>XDO_?CLASS_3?113?</vt:lpstr>
      <vt:lpstr>XDO_?CLASS_3?114?</vt:lpstr>
      <vt:lpstr>XDO_?CLASS_3?115?</vt:lpstr>
      <vt:lpstr>XDO_?CLASS_3?116?</vt:lpstr>
      <vt:lpstr>XDO_?CLASS_3?117?</vt:lpstr>
      <vt:lpstr>XDO_?CLASS_3?118?</vt:lpstr>
      <vt:lpstr>XDO_?CLASS_3?119?</vt:lpstr>
      <vt:lpstr>XDO_?CLASS_3?120?</vt:lpstr>
      <vt:lpstr>XDO_?CLASS_3?121?</vt:lpstr>
      <vt:lpstr>XDO_?CLASS_3?122?</vt:lpstr>
      <vt:lpstr>XDO_?CLASS_3?123?</vt:lpstr>
      <vt:lpstr>XDO_?CLASS_3?124?</vt:lpstr>
      <vt:lpstr>XDO_?CLASS_3?125?</vt:lpstr>
      <vt:lpstr>XDO_?CLASS_3?126?</vt:lpstr>
      <vt:lpstr>XDO_?CLASS_3?127?</vt:lpstr>
      <vt:lpstr>XDO_?CLASS_3?128?</vt:lpstr>
      <vt:lpstr>XDO_?CLASS_3?129?</vt:lpstr>
      <vt:lpstr>XDO_?CLASS_3?13?</vt:lpstr>
      <vt:lpstr>XDO_?CLASS_3?130?</vt:lpstr>
      <vt:lpstr>XDO_?CLASS_3?131?</vt:lpstr>
      <vt:lpstr>XDO_?CLASS_3?132?</vt:lpstr>
      <vt:lpstr>XDO_?CLASS_3?133?</vt:lpstr>
      <vt:lpstr>XDO_?CLASS_3?134?</vt:lpstr>
      <vt:lpstr>XDO_?CLASS_3?135?</vt:lpstr>
      <vt:lpstr>XDO_?CLASS_3?136?</vt:lpstr>
      <vt:lpstr>XDO_?CLASS_3?137?</vt:lpstr>
      <vt:lpstr>XDO_?CLASS_3?138?</vt:lpstr>
      <vt:lpstr>XDO_?CLASS_3?139?</vt:lpstr>
      <vt:lpstr>XDO_?CLASS_3?14?</vt:lpstr>
      <vt:lpstr>XDO_?CLASS_3?140?</vt:lpstr>
      <vt:lpstr>XDO_?CLASS_3?141?</vt:lpstr>
      <vt:lpstr>XDO_?CLASS_3?142?</vt:lpstr>
      <vt:lpstr>XDO_?CLASS_3?143?</vt:lpstr>
      <vt:lpstr>XDO_?CLASS_3?144?</vt:lpstr>
      <vt:lpstr>XDO_?CLASS_3?145?</vt:lpstr>
      <vt:lpstr>XDO_?CLASS_3?146?</vt:lpstr>
      <vt:lpstr>XDO_?CLASS_3?147?</vt:lpstr>
      <vt:lpstr>XDO_?CLASS_3?148?</vt:lpstr>
      <vt:lpstr>XDO_?CLASS_3?149?</vt:lpstr>
      <vt:lpstr>XDO_?CLASS_3?150?</vt:lpstr>
      <vt:lpstr>XDO_?CLASS_3?151?</vt:lpstr>
      <vt:lpstr>XDO_?CLASS_3?152?</vt:lpstr>
      <vt:lpstr>XDO_?CLASS_3?153?</vt:lpstr>
      <vt:lpstr>XDO_?CLASS_3?154?</vt:lpstr>
      <vt:lpstr>XDO_?CLASS_3?155?</vt:lpstr>
      <vt:lpstr>XDO_?CLASS_3?156?</vt:lpstr>
      <vt:lpstr>XDO_?CLASS_3?157?</vt:lpstr>
      <vt:lpstr>XDO_?CLASS_3?158?</vt:lpstr>
      <vt:lpstr>XDO_?CLASS_3?159?</vt:lpstr>
      <vt:lpstr>XDO_?CLASS_3?17?</vt:lpstr>
      <vt:lpstr>XDO_?CLASS_3?20?</vt:lpstr>
      <vt:lpstr>XDO_?CLASS_3?24?</vt:lpstr>
      <vt:lpstr>XDO_?CLASS_3?27?</vt:lpstr>
      <vt:lpstr>XDO_?CLASS_3?28?</vt:lpstr>
      <vt:lpstr>XDO_?CLASS_3?29?</vt:lpstr>
      <vt:lpstr>XDO_?CLASS_3?30?</vt:lpstr>
      <vt:lpstr>XDO_?CLASS_3?31?</vt:lpstr>
      <vt:lpstr>XDO_?CLASS_3?32?</vt:lpstr>
      <vt:lpstr>XDO_?CLASS_3?33?</vt:lpstr>
      <vt:lpstr>XDO_?CLASS_3?34?</vt:lpstr>
      <vt:lpstr>XDO_?CLASS_3?35?</vt:lpstr>
      <vt:lpstr>XDO_?CLASS_3?36?</vt:lpstr>
      <vt:lpstr>XDO_?CLASS_3?37?</vt:lpstr>
      <vt:lpstr>XDO_?CLASS_3?38?</vt:lpstr>
      <vt:lpstr>XDO_?CLASS_3?39?</vt:lpstr>
      <vt:lpstr>XDO_?CLASS_3?40?</vt:lpstr>
      <vt:lpstr>XDO_?CLASS_3?41?</vt:lpstr>
      <vt:lpstr>XDO_?CLASS_3?42?</vt:lpstr>
      <vt:lpstr>XDO_?CLASS_3?43?</vt:lpstr>
      <vt:lpstr>XDO_?CLASS_3?44?</vt:lpstr>
      <vt:lpstr>XDO_?CLASS_3?45?</vt:lpstr>
      <vt:lpstr>XDO_?CLASS_3?46?</vt:lpstr>
      <vt:lpstr>XDO_?CLASS_3?47?</vt:lpstr>
      <vt:lpstr>XDO_?CLASS_3?48?</vt:lpstr>
      <vt:lpstr>XDO_?CLASS_3?49?</vt:lpstr>
      <vt:lpstr>XDO_?CLASS_3?50?</vt:lpstr>
      <vt:lpstr>XDO_?CLASS_3?51?</vt:lpstr>
      <vt:lpstr>XDO_?CLASS_3?52?</vt:lpstr>
      <vt:lpstr>XDO_?CLASS_3?53?</vt:lpstr>
      <vt:lpstr>XDO_?CLASS_3?54?</vt:lpstr>
      <vt:lpstr>XDO_?CLASS_3?55?</vt:lpstr>
      <vt:lpstr>XDO_?CLASS_3?56?</vt:lpstr>
      <vt:lpstr>XDO_?CLASS_3?57?</vt:lpstr>
      <vt:lpstr>XDO_?CLASS_3?58?</vt:lpstr>
      <vt:lpstr>XDO_?CLASS_3?59?</vt:lpstr>
      <vt:lpstr>XDO_?CLASS_3?6?</vt:lpstr>
      <vt:lpstr>XDO_?CLASS_3?60?</vt:lpstr>
      <vt:lpstr>XDO_?CLASS_3?61?</vt:lpstr>
      <vt:lpstr>XDO_?CLASS_3?62?</vt:lpstr>
      <vt:lpstr>XDO_?CLASS_3?63?</vt:lpstr>
      <vt:lpstr>XDO_?CLASS_3?64?</vt:lpstr>
      <vt:lpstr>XDO_?CLASS_3?65?</vt:lpstr>
      <vt:lpstr>XDO_?CLASS_3?66?</vt:lpstr>
      <vt:lpstr>XDO_?CLASS_3?67?</vt:lpstr>
      <vt:lpstr>XDO_?CLASS_3?68?</vt:lpstr>
      <vt:lpstr>XDO_?CLASS_3?69?</vt:lpstr>
      <vt:lpstr>XDO_?CLASS_3?70?</vt:lpstr>
      <vt:lpstr>XDO_?CLASS_3?71?</vt:lpstr>
      <vt:lpstr>XDO_?CLASS_3?72?</vt:lpstr>
      <vt:lpstr>XDO_?CLASS_3?73?</vt:lpstr>
      <vt:lpstr>XDO_?CLASS_3?74?</vt:lpstr>
      <vt:lpstr>XDO_?CLASS_3?75?</vt:lpstr>
      <vt:lpstr>XDO_?CLASS_3?76?</vt:lpstr>
      <vt:lpstr>XDO_?CLASS_3?77?</vt:lpstr>
      <vt:lpstr>XDO_?CLASS_3?78?</vt:lpstr>
      <vt:lpstr>XDO_?CLASS_3?79?</vt:lpstr>
      <vt:lpstr>XDO_?CLASS_3?80?</vt:lpstr>
      <vt:lpstr>XDO_?CLASS_3?81?</vt:lpstr>
      <vt:lpstr>XDO_?CLASS_3?82?</vt:lpstr>
      <vt:lpstr>XDO_?CLASS_3?83?</vt:lpstr>
      <vt:lpstr>XDO_?CLASS_3?84?</vt:lpstr>
      <vt:lpstr>XDO_?CLASS_3?85?</vt:lpstr>
      <vt:lpstr>XDO_?CLASS_3?86?</vt:lpstr>
      <vt:lpstr>XDO_?CLASS_3?87?</vt:lpstr>
      <vt:lpstr>XDO_?CLASS_3?88?</vt:lpstr>
      <vt:lpstr>XDO_?CLASS_3?89?</vt:lpstr>
      <vt:lpstr>XDO_?CLASS_3?90?</vt:lpstr>
      <vt:lpstr>XDO_?CLASS_3?91?</vt:lpstr>
      <vt:lpstr>XDO_?CLASS_3?92?</vt:lpstr>
      <vt:lpstr>XDO_?CLASS_3?93?</vt:lpstr>
      <vt:lpstr>XDO_?CLASS_3?94?</vt:lpstr>
      <vt:lpstr>XDO_?CLASS_3?95?</vt:lpstr>
      <vt:lpstr>XDO_?CLASS_3?96?</vt:lpstr>
      <vt:lpstr>XDO_?CLASS_3?97?</vt:lpstr>
      <vt:lpstr>XDO_?CLASS_3?98?</vt:lpstr>
      <vt:lpstr>XDO_?CLASS_3?99?</vt:lpstr>
      <vt:lpstr>XDO_?FINAL_ISIN?100?</vt:lpstr>
      <vt:lpstr>XDO_?FINAL_ISIN?101?</vt:lpstr>
      <vt:lpstr>XDO_?FINAL_ISIN?102?</vt:lpstr>
      <vt:lpstr>XDO_?FINAL_ISIN?103?</vt:lpstr>
      <vt:lpstr>XDO_?FINAL_ISIN?104?</vt:lpstr>
      <vt:lpstr>XDO_?FINAL_ISIN?105?</vt:lpstr>
      <vt:lpstr>XDO_?FINAL_ISIN?106?</vt:lpstr>
      <vt:lpstr>XDO_?FINAL_ISIN?107?</vt:lpstr>
      <vt:lpstr>XDO_?FINAL_ISIN?108?</vt:lpstr>
      <vt:lpstr>XDO_?FINAL_ISIN?109?</vt:lpstr>
      <vt:lpstr>XDO_?FINAL_ISIN?110?</vt:lpstr>
      <vt:lpstr>XDO_?FINAL_ISIN?111?</vt:lpstr>
      <vt:lpstr>XDO_?FINAL_ISIN?112?</vt:lpstr>
      <vt:lpstr>XDO_?FINAL_ISIN?113?</vt:lpstr>
      <vt:lpstr>XDO_?FINAL_ISIN?114?</vt:lpstr>
      <vt:lpstr>XDO_?FINAL_ISIN?115?</vt:lpstr>
      <vt:lpstr>XDO_?FINAL_ISIN?116?</vt:lpstr>
      <vt:lpstr>XDO_?FINAL_ISIN?117?</vt:lpstr>
      <vt:lpstr>XDO_?FINAL_ISIN?118?</vt:lpstr>
      <vt:lpstr>XDO_?FINAL_ISIN?119?</vt:lpstr>
      <vt:lpstr>XDO_?FINAL_ISIN?12?</vt:lpstr>
      <vt:lpstr>XDO_?FINAL_ISIN?120?</vt:lpstr>
      <vt:lpstr>XDO_?FINAL_ISIN?121?</vt:lpstr>
      <vt:lpstr>XDO_?FINAL_ISIN?122?</vt:lpstr>
      <vt:lpstr>XDO_?FINAL_ISIN?123?</vt:lpstr>
      <vt:lpstr>XDO_?FINAL_ISIN?124?</vt:lpstr>
      <vt:lpstr>XDO_?FINAL_ISIN?125?</vt:lpstr>
      <vt:lpstr>XDO_?FINAL_ISIN?126?</vt:lpstr>
      <vt:lpstr>XDO_?FINAL_ISIN?127?</vt:lpstr>
      <vt:lpstr>XDO_?FINAL_ISIN?128?</vt:lpstr>
      <vt:lpstr>XDO_?FINAL_ISIN?129?</vt:lpstr>
      <vt:lpstr>XDO_?FINAL_ISIN?13?</vt:lpstr>
      <vt:lpstr>XDO_?FINAL_ISIN?130?</vt:lpstr>
      <vt:lpstr>XDO_?FINAL_ISIN?131?</vt:lpstr>
      <vt:lpstr>XDO_?FINAL_ISIN?132?</vt:lpstr>
      <vt:lpstr>XDO_?FINAL_ISIN?133?</vt:lpstr>
      <vt:lpstr>XDO_?FINAL_ISIN?134?</vt:lpstr>
      <vt:lpstr>XDO_?FINAL_ISIN?135?</vt:lpstr>
      <vt:lpstr>XDO_?FINAL_ISIN?136?</vt:lpstr>
      <vt:lpstr>XDO_?FINAL_ISIN?137?</vt:lpstr>
      <vt:lpstr>XDO_?FINAL_ISIN?138?</vt:lpstr>
      <vt:lpstr>XDO_?FINAL_ISIN?139?</vt:lpstr>
      <vt:lpstr>XDO_?FINAL_ISIN?14?</vt:lpstr>
      <vt:lpstr>XDO_?FINAL_ISIN?140?</vt:lpstr>
      <vt:lpstr>XDO_?FINAL_ISIN?141?</vt:lpstr>
      <vt:lpstr>XDO_?FINAL_ISIN?142?</vt:lpstr>
      <vt:lpstr>XDO_?FINAL_ISIN?143?</vt:lpstr>
      <vt:lpstr>XDO_?FINAL_ISIN?144?</vt:lpstr>
      <vt:lpstr>XDO_?FINAL_ISIN?145?</vt:lpstr>
      <vt:lpstr>XDO_?FINAL_ISIN?146?</vt:lpstr>
      <vt:lpstr>XDO_?FINAL_ISIN?147?</vt:lpstr>
      <vt:lpstr>XDO_?FINAL_ISIN?148?</vt:lpstr>
      <vt:lpstr>XDO_?FINAL_ISIN?149?</vt:lpstr>
      <vt:lpstr>XDO_?FINAL_ISIN?15?</vt:lpstr>
      <vt:lpstr>XDO_?FINAL_ISIN?150?</vt:lpstr>
      <vt:lpstr>XDO_?FINAL_ISIN?151?</vt:lpstr>
      <vt:lpstr>XDO_?FINAL_ISIN?152?</vt:lpstr>
      <vt:lpstr>XDO_?FINAL_ISIN?153?</vt:lpstr>
      <vt:lpstr>XDO_?FINAL_ISIN?154?</vt:lpstr>
      <vt:lpstr>XDO_?FINAL_ISIN?155?</vt:lpstr>
      <vt:lpstr>XDO_?FINAL_ISIN?156?</vt:lpstr>
      <vt:lpstr>XDO_?FINAL_ISIN?157?</vt:lpstr>
      <vt:lpstr>XDO_?FINAL_ISIN?158?</vt:lpstr>
      <vt:lpstr>XDO_?FINAL_ISIN?159?</vt:lpstr>
      <vt:lpstr>XDO_?FINAL_ISIN?16?</vt:lpstr>
      <vt:lpstr>XDO_?FINAL_ISIN?160?</vt:lpstr>
      <vt:lpstr>XDO_?FINAL_ISIN?161?</vt:lpstr>
      <vt:lpstr>XDO_?FINAL_ISIN?162?</vt:lpstr>
      <vt:lpstr>XDO_?FINAL_ISIN?163?</vt:lpstr>
      <vt:lpstr>XDO_?FINAL_ISIN?164?</vt:lpstr>
      <vt:lpstr>XDO_?FINAL_ISIN?165?</vt:lpstr>
      <vt:lpstr>XDO_?FINAL_ISIN?166?</vt:lpstr>
      <vt:lpstr>XDO_?FINAL_ISIN?167?</vt:lpstr>
      <vt:lpstr>XDO_?FINAL_ISIN?168?</vt:lpstr>
      <vt:lpstr>XDO_?FINAL_ISIN?169?</vt:lpstr>
      <vt:lpstr>XDO_?FINAL_ISIN?17?</vt:lpstr>
      <vt:lpstr>XDO_?FINAL_ISIN?170?</vt:lpstr>
      <vt:lpstr>XDO_?FINAL_ISIN?171?</vt:lpstr>
      <vt:lpstr>XDO_?FINAL_ISIN?172?</vt:lpstr>
      <vt:lpstr>XDO_?FINAL_ISIN?173?</vt:lpstr>
      <vt:lpstr>XDO_?FINAL_ISIN?174?</vt:lpstr>
      <vt:lpstr>XDO_?FINAL_ISIN?175?</vt:lpstr>
      <vt:lpstr>XDO_?FINAL_ISIN?176?</vt:lpstr>
      <vt:lpstr>XDO_?FINAL_ISIN?177?</vt:lpstr>
      <vt:lpstr>XDO_?FINAL_ISIN?178?</vt:lpstr>
      <vt:lpstr>XDO_?FINAL_ISIN?179?</vt:lpstr>
      <vt:lpstr>XDO_?FINAL_ISIN?180?</vt:lpstr>
      <vt:lpstr>XDO_?FINAL_ISIN?181?</vt:lpstr>
      <vt:lpstr>XDO_?FINAL_ISIN?182?</vt:lpstr>
      <vt:lpstr>XDO_?FINAL_ISIN?183?</vt:lpstr>
      <vt:lpstr>XDO_?FINAL_ISIN?184?</vt:lpstr>
      <vt:lpstr>XDO_?FINAL_ISIN?185?</vt:lpstr>
      <vt:lpstr>XDO_?FINAL_ISIN?186?</vt:lpstr>
      <vt:lpstr>XDO_?FINAL_ISIN?187?</vt:lpstr>
      <vt:lpstr>XDO_?FINAL_ISIN?188?</vt:lpstr>
      <vt:lpstr>XDO_?FINAL_ISIN?189?</vt:lpstr>
      <vt:lpstr>XDO_?FINAL_ISIN?190?</vt:lpstr>
      <vt:lpstr>XDO_?FINAL_ISIN?191?</vt:lpstr>
      <vt:lpstr>XDO_?FINAL_ISIN?192?</vt:lpstr>
      <vt:lpstr>XDO_?FINAL_ISIN?193?</vt:lpstr>
      <vt:lpstr>XDO_?FINAL_ISIN?194?</vt:lpstr>
      <vt:lpstr>XDO_?FINAL_ISIN?195?</vt:lpstr>
      <vt:lpstr>XDO_?FINAL_ISIN?196?</vt:lpstr>
      <vt:lpstr>XDO_?FINAL_ISIN?197?</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XDO_?FINAL_ISIN?207?</vt:lpstr>
      <vt:lpstr>XDO_?FINAL_ISIN?208?</vt:lpstr>
      <vt:lpstr>XDO_?FINAL_ISIN?209?</vt:lpstr>
      <vt:lpstr>XDO_?FINAL_ISIN?210?</vt:lpstr>
      <vt:lpstr>XDO_?FINAL_ISIN?211?</vt:lpstr>
      <vt:lpstr>XDO_?FINAL_ISIN?212?</vt:lpstr>
      <vt:lpstr>XDO_?FINAL_ISIN?213?</vt:lpstr>
      <vt:lpstr>XDO_?FINAL_ISIN?214?</vt:lpstr>
      <vt:lpstr>XDO_?FINAL_ISIN?215?</vt:lpstr>
      <vt:lpstr>XDO_?FINAL_ISIN?216?</vt:lpstr>
      <vt:lpstr>XDO_?FINAL_ISIN?217?</vt:lpstr>
      <vt:lpstr>XDO_?FINAL_ISIN?218?</vt:lpstr>
      <vt:lpstr>XDO_?FINAL_ISIN?219?</vt:lpstr>
      <vt:lpstr>XDO_?FINAL_ISIN?220?</vt:lpstr>
      <vt:lpstr>XDO_?FINAL_ISIN?221?</vt:lpstr>
      <vt:lpstr>XDO_?FINAL_ISIN?222?</vt:lpstr>
      <vt:lpstr>XDO_?FINAL_ISIN?223?</vt:lpstr>
      <vt:lpstr>XDO_?FINAL_ISIN?224?</vt:lpstr>
      <vt:lpstr>XDO_?FINAL_ISIN?225?</vt:lpstr>
      <vt:lpstr>XDO_?FINAL_ISIN?226?</vt:lpstr>
      <vt:lpstr>XDO_?FINAL_ISIN?227?</vt:lpstr>
      <vt:lpstr>XDO_?FINAL_ISIN?228?</vt:lpstr>
      <vt:lpstr>XDO_?FINAL_ISIN?229?</vt:lpstr>
      <vt:lpstr>XDO_?FINAL_ISIN?230?</vt:lpstr>
      <vt:lpstr>XDO_?FINAL_ISIN?231?</vt:lpstr>
      <vt:lpstr>XDO_?FINAL_ISIN?232?</vt:lpstr>
      <vt:lpstr>XDO_?FINAL_ISIN?233?</vt:lpstr>
      <vt:lpstr>XDO_?FINAL_ISIN?234?</vt:lpstr>
      <vt:lpstr>XDO_?FINAL_ISIN?235?</vt:lpstr>
      <vt:lpstr>XDO_?FINAL_ISIN?236?</vt:lpstr>
      <vt:lpstr>XDO_?FINAL_ISIN?237?</vt:lpstr>
      <vt:lpstr>XDO_?FINAL_ISIN?238?</vt:lpstr>
      <vt:lpstr>XDO_?FINAL_ISIN?239?</vt:lpstr>
      <vt:lpstr>XDO_?FINAL_ISIN?240?</vt:lpstr>
      <vt:lpstr>XDO_?FINAL_ISIN?241?</vt:lpstr>
      <vt:lpstr>XDO_?FINAL_ISIN?242?</vt:lpstr>
      <vt:lpstr>XDO_?FINAL_ISIN?243?</vt:lpstr>
      <vt:lpstr>XDO_?FINAL_ISIN?244?</vt:lpstr>
      <vt:lpstr>XDO_?FINAL_ISIN?245?</vt:lpstr>
      <vt:lpstr>XDO_?FINAL_ISIN?246?</vt:lpstr>
      <vt:lpstr>XDO_?FINAL_ISIN?247?</vt:lpstr>
      <vt:lpstr>XDO_?FINAL_ISIN?248?</vt:lpstr>
      <vt:lpstr>XDO_?FINAL_ISIN?249?</vt:lpstr>
      <vt:lpstr>XDO_?FINAL_ISIN?250?</vt:lpstr>
      <vt:lpstr>XDO_?FINAL_ISIN?251?</vt:lpstr>
      <vt:lpstr>XDO_?FINAL_ISIN?252?</vt:lpstr>
      <vt:lpstr>XDO_?FINAL_ISIN?253?</vt:lpstr>
      <vt:lpstr>XDO_?FINAL_ISIN?254?</vt:lpstr>
      <vt:lpstr>XDO_?FINAL_ISIN?255?</vt:lpstr>
      <vt:lpstr>XDO_?FINAL_ISIN?256?</vt:lpstr>
      <vt:lpstr>XDO_?FINAL_ISIN?257?</vt:lpstr>
      <vt:lpstr>XDO_?FINAL_ISIN?258?</vt:lpstr>
      <vt:lpstr>XDO_?FINAL_ISIN?259?</vt:lpstr>
      <vt:lpstr>XDO_?FINAL_ISIN?260?</vt:lpstr>
      <vt:lpstr>XDO_?FINAL_ISIN?261?</vt:lpstr>
      <vt:lpstr>XDO_?FINAL_ISIN?262?</vt:lpstr>
      <vt:lpstr>XDO_?FINAL_ISIN?263?</vt:lpstr>
      <vt:lpstr>XDO_?FINAL_ISIN?264?</vt:lpstr>
      <vt:lpstr>XDO_?FINAL_ISIN?265?</vt:lpstr>
      <vt:lpstr>XDO_?FINAL_ISIN?266?</vt:lpstr>
      <vt:lpstr>XDO_?FINAL_ISIN?267?</vt:lpstr>
      <vt:lpstr>XDO_?FINAL_ISIN?268?</vt:lpstr>
      <vt:lpstr>XDO_?FINAL_ISIN?269?</vt:lpstr>
      <vt:lpstr>XDO_?FINAL_ISIN?270?</vt:lpstr>
      <vt:lpstr>XDO_?FINAL_ISIN?271?</vt:lpstr>
      <vt:lpstr>XDO_?FINAL_ISIN?272?</vt:lpstr>
      <vt:lpstr>XDO_?FINAL_ISIN?273?</vt:lpstr>
      <vt:lpstr>XDO_?FINAL_ISIN?274?</vt:lpstr>
      <vt:lpstr>XDO_?FINAL_ISIN?275?</vt:lpstr>
      <vt:lpstr>XDO_?FINAL_ISIN?276?</vt:lpstr>
      <vt:lpstr>XDO_?FINAL_ISIN?277?</vt:lpstr>
      <vt:lpstr>XDO_?FINAL_ISIN?278?</vt:lpstr>
      <vt:lpstr>XDO_?FINAL_ISIN?279?</vt:lpstr>
      <vt:lpstr>XDO_?FINAL_ISIN?280?</vt:lpstr>
      <vt:lpstr>XDO_?FINAL_ISIN?281?</vt:lpstr>
      <vt:lpstr>XDO_?FINAL_ISIN?282?</vt:lpstr>
      <vt:lpstr>XDO_?FINAL_ISIN?283?</vt:lpstr>
      <vt:lpstr>XDO_?FINAL_ISIN?284?</vt:lpstr>
      <vt:lpstr>XDO_?FINAL_ISIN?285?</vt:lpstr>
      <vt:lpstr>XDO_?FINAL_ISIN?286?</vt:lpstr>
      <vt:lpstr>XDO_?FINAL_ISIN?287?</vt:lpstr>
      <vt:lpstr>XDO_?FINAL_ISIN?288?</vt:lpstr>
      <vt:lpstr>XDO_?FINAL_ISIN?289?</vt:lpstr>
      <vt:lpstr>XDO_?FINAL_ISIN?290?</vt:lpstr>
      <vt:lpstr>XDO_?FINAL_ISIN?291?</vt:lpstr>
      <vt:lpstr>XDO_?FINAL_ISIN?292?</vt:lpstr>
      <vt:lpstr>XDO_?FINAL_ISIN?293?</vt:lpstr>
      <vt:lpstr>XDO_?FINAL_ISIN?294?</vt:lpstr>
      <vt:lpstr>XDO_?FINAL_ISIN?295?</vt:lpstr>
      <vt:lpstr>XDO_?FINAL_ISIN?296?</vt:lpstr>
      <vt:lpstr>XDO_?FINAL_ISIN?297?</vt:lpstr>
      <vt:lpstr>XDO_?FINAL_ISIN?298?</vt:lpstr>
      <vt:lpstr>XDO_?FINAL_ISIN?299?</vt:lpstr>
      <vt:lpstr>XDO_?FINAL_ISIN?300?</vt:lpstr>
      <vt:lpstr>XDO_?FINAL_ISIN?301?</vt:lpstr>
      <vt:lpstr>XDO_?FINAL_ISIN?302?</vt:lpstr>
      <vt:lpstr>XDO_?FINAL_ISIN?303?</vt:lpstr>
      <vt:lpstr>XDO_?FINAL_ISIN?304?</vt:lpstr>
      <vt:lpstr>XDO_?FINAL_ISIN?305?</vt:lpstr>
      <vt:lpstr>XDO_?FINAL_ISIN?306?</vt:lpstr>
      <vt:lpstr>XDO_?FINAL_ISIN?307?</vt:lpstr>
      <vt:lpstr>XDO_?FINAL_ISIN?308?</vt:lpstr>
      <vt:lpstr>XDO_?FINAL_ISIN?309?</vt:lpstr>
      <vt:lpstr>XDO_?FINAL_ISIN?310?</vt:lpstr>
      <vt:lpstr>XDO_?FINAL_ISIN?311?</vt:lpstr>
      <vt:lpstr>XDO_?FINAL_ISIN?312?</vt:lpstr>
      <vt:lpstr>XDO_?FINAL_ISIN?313?</vt:lpstr>
      <vt:lpstr>XDO_?FINAL_ISIN?314?</vt:lpstr>
      <vt:lpstr>XDO_?FINAL_ISIN?315?</vt:lpstr>
      <vt:lpstr>XDO_?FINAL_ISIN?316?</vt:lpstr>
      <vt:lpstr>XDO_?FINAL_ISIN?317?</vt:lpstr>
      <vt:lpstr>XDO_?FINAL_ISIN?318?</vt:lpstr>
      <vt:lpstr>XDO_?FINAL_ISIN?319?</vt:lpstr>
      <vt:lpstr>XDO_?FINAL_ISIN?320?</vt:lpstr>
      <vt:lpstr>XDO_?FINAL_ISIN?321?</vt:lpstr>
      <vt:lpstr>XDO_?FINAL_ISIN?322?</vt:lpstr>
      <vt:lpstr>XDO_?FINAL_ISIN?323?</vt:lpstr>
      <vt:lpstr>XDO_?FINAL_ISIN?324?</vt:lpstr>
      <vt:lpstr>XDO_?FINAL_ISIN?325?</vt:lpstr>
      <vt:lpstr>XDO_?FINAL_ISIN?326?</vt:lpstr>
      <vt:lpstr>XDO_?FINAL_ISIN?327?</vt:lpstr>
      <vt:lpstr>XDO_?FINAL_ISIN?328?</vt:lpstr>
      <vt:lpstr>XDO_?FINAL_ISIN?329?</vt:lpstr>
      <vt:lpstr>XDO_?FINAL_ISIN?330?</vt:lpstr>
      <vt:lpstr>XDO_?FINAL_ISIN?331?</vt:lpstr>
      <vt:lpstr>XDO_?FINAL_ISIN?332?</vt:lpstr>
      <vt:lpstr>XDO_?FINAL_ISIN?333?</vt:lpstr>
      <vt:lpstr>XDO_?FINAL_ISIN?334?</vt:lpstr>
      <vt:lpstr>XDO_?FINAL_ISIN?335?</vt:lpstr>
      <vt:lpstr>XDO_?FINAL_ISIN?336?</vt:lpstr>
      <vt:lpstr>XDO_?FINAL_ISIN?337?</vt:lpstr>
      <vt:lpstr>XDO_?FINAL_ISIN?338?</vt:lpstr>
      <vt:lpstr>XDO_?FINAL_ISIN?339?</vt:lpstr>
      <vt:lpstr>XDO_?FINAL_ISIN?340?</vt:lpstr>
      <vt:lpstr>XDO_?FINAL_ISIN?341?</vt:lpstr>
      <vt:lpstr>XDO_?FINAL_ISIN?342?</vt:lpstr>
      <vt:lpstr>XDO_?FINAL_ISIN?343?</vt:lpstr>
      <vt:lpstr>XDO_?FINAL_ISIN?344?</vt:lpstr>
      <vt:lpstr>XDO_?FINAL_ISIN?345?</vt:lpstr>
      <vt:lpstr>XDO_?FINAL_ISIN?346?</vt:lpstr>
      <vt:lpstr>XDO_?FINAL_ISIN?347?</vt:lpstr>
      <vt:lpstr>XDO_?FINAL_ISIN?348?</vt:lpstr>
      <vt:lpstr>XDO_?FINAL_ISIN?349?</vt:lpstr>
      <vt:lpstr>XDO_?FINAL_ISIN?350?</vt:lpstr>
      <vt:lpstr>XDO_?FINAL_ISIN?351?</vt:lpstr>
      <vt:lpstr>XDO_?FINAL_ISIN?352?</vt:lpstr>
      <vt:lpstr>XDO_?FINAL_ISIN?353?</vt:lpstr>
      <vt:lpstr>XDO_?FINAL_ISIN?354?</vt:lpstr>
      <vt:lpstr>XDO_?FINAL_ISIN?355?</vt:lpstr>
      <vt:lpstr>XDO_?FINAL_ISIN?356?</vt:lpstr>
      <vt:lpstr>XDO_?FINAL_ISIN?357?</vt:lpstr>
      <vt:lpstr>XDO_?FINAL_ISIN?358?</vt:lpstr>
      <vt:lpstr>XDO_?FINAL_ISIN?359?</vt:lpstr>
      <vt:lpstr>XDO_?FINAL_ISIN?36?</vt:lpstr>
      <vt:lpstr>XDO_?FINAL_ISIN?360?</vt:lpstr>
      <vt:lpstr>XDO_?FINAL_ISIN?361?</vt:lpstr>
      <vt:lpstr>XDO_?FINAL_ISIN?362?</vt:lpstr>
      <vt:lpstr>XDO_?FINAL_ISIN?363?</vt:lpstr>
      <vt:lpstr>XDO_?FINAL_ISIN?364?</vt:lpstr>
      <vt:lpstr>XDO_?FINAL_ISIN?365?</vt:lpstr>
      <vt:lpstr>XDO_?FINAL_ISIN?366?</vt:lpstr>
      <vt:lpstr>XDO_?FINAL_ISIN?367?</vt:lpstr>
      <vt:lpstr>XDO_?FINAL_ISIN?368?</vt:lpstr>
      <vt:lpstr>XDO_?FINAL_ISIN?369?</vt:lpstr>
      <vt:lpstr>XDO_?FINAL_ISIN?37?</vt:lpstr>
      <vt:lpstr>XDO_?FINAL_ISIN?370?</vt:lpstr>
      <vt:lpstr>XDO_?FINAL_ISIN?371?</vt:lpstr>
      <vt:lpstr>XDO_?FINAL_ISIN?372?</vt:lpstr>
      <vt:lpstr>XDO_?FINAL_ISIN?373?</vt:lpstr>
      <vt:lpstr>XDO_?FINAL_ISIN?374?</vt:lpstr>
      <vt:lpstr>XDO_?FINAL_ISIN?375?</vt:lpstr>
      <vt:lpstr>XDO_?FINAL_ISIN?376?</vt:lpstr>
      <vt:lpstr>XDO_?FINAL_ISIN?377?</vt:lpstr>
      <vt:lpstr>XDO_?FINAL_ISIN?378?</vt:lpstr>
      <vt:lpstr>XDO_?FINAL_ISIN?379?</vt:lpstr>
      <vt:lpstr>XDO_?FINAL_ISIN?38?</vt:lpstr>
      <vt:lpstr>XDO_?FINAL_ISIN?380?</vt:lpstr>
      <vt:lpstr>XDO_?FINAL_ISIN?381?</vt:lpstr>
      <vt:lpstr>XDO_?FINAL_ISIN?382?</vt:lpstr>
      <vt:lpstr>XDO_?FINAL_ISIN?383?</vt:lpstr>
      <vt:lpstr>XDO_?FINAL_ISIN?384?</vt:lpstr>
      <vt:lpstr>XDO_?FINAL_ISIN?385?</vt:lpstr>
      <vt:lpstr>XDO_?FINAL_ISIN?386?</vt:lpstr>
      <vt:lpstr>XDO_?FINAL_ISIN?387?</vt:lpstr>
      <vt:lpstr>XDO_?FINAL_ISIN?388?</vt:lpstr>
      <vt:lpstr>XDO_?FINAL_ISIN?389?</vt:lpstr>
      <vt:lpstr>XDO_?FINAL_ISIN?39?</vt:lpstr>
      <vt:lpstr>XDO_?FINAL_ISIN?390?</vt:lpstr>
      <vt:lpstr>XDO_?FINAL_ISIN?391?</vt:lpstr>
      <vt:lpstr>XDO_?FINAL_ISIN?392?</vt:lpstr>
      <vt:lpstr>XDO_?FINAL_ISIN?393?</vt:lpstr>
      <vt:lpstr>XDO_?FINAL_ISIN?394?</vt:lpstr>
      <vt:lpstr>XDO_?FINAL_ISIN?395?</vt:lpstr>
      <vt:lpstr>XDO_?FINAL_ISIN?396?</vt:lpstr>
      <vt:lpstr>XDO_?FINAL_ISIN?397?</vt:lpstr>
      <vt:lpstr>XDO_?FINAL_ISIN?398?</vt:lpstr>
      <vt:lpstr>XDO_?FINAL_ISIN?399?</vt:lpstr>
      <vt:lpstr>XDO_?FINAL_ISIN?40?</vt:lpstr>
      <vt:lpstr>XDO_?FINAL_ISIN?400?</vt:lpstr>
      <vt:lpstr>XDO_?FINAL_ISIN?401?</vt:lpstr>
      <vt:lpstr>XDO_?FINAL_ISIN?402?</vt:lpstr>
      <vt:lpstr>XDO_?FINAL_ISIN?403?</vt:lpstr>
      <vt:lpstr>XDO_?FINAL_ISIN?404?</vt:lpstr>
      <vt:lpstr>XDO_?FINAL_ISIN?405?</vt:lpstr>
      <vt:lpstr>XDO_?FINAL_ISIN?406?</vt:lpstr>
      <vt:lpstr>XDO_?FINAL_ISIN?407?</vt:lpstr>
      <vt:lpstr>XDO_?FINAL_ISIN?408?</vt:lpstr>
      <vt:lpstr>XDO_?FINAL_ISIN?409?</vt:lpstr>
      <vt:lpstr>XDO_?FINAL_ISIN?41?</vt:lpstr>
      <vt:lpstr>XDO_?FINAL_ISIN?410?</vt:lpstr>
      <vt:lpstr>XDO_?FINAL_ISIN?411?</vt:lpstr>
      <vt:lpstr>XDO_?FINAL_ISIN?412?</vt:lpstr>
      <vt:lpstr>XDO_?FINAL_ISIN?413?</vt:lpstr>
      <vt:lpstr>XDO_?FINAL_ISIN?414?</vt:lpstr>
      <vt:lpstr>XDO_?FINAL_ISIN?415?</vt:lpstr>
      <vt:lpstr>XDO_?FINAL_ISIN?416?</vt:lpstr>
      <vt:lpstr>XDO_?FINAL_ISIN?417?</vt:lpstr>
      <vt:lpstr>XDO_?FINAL_ISIN?418?</vt:lpstr>
      <vt:lpstr>XDO_?FINAL_ISIN?419?</vt:lpstr>
      <vt:lpstr>XDO_?FINAL_ISIN?42?</vt:lpstr>
      <vt:lpstr>XDO_?FINAL_ISIN?420?</vt:lpstr>
      <vt:lpstr>XDO_?FINAL_ISIN?421?</vt:lpstr>
      <vt:lpstr>XDO_?FINAL_ISIN?422?</vt:lpstr>
      <vt:lpstr>XDO_?FINAL_ISIN?423?</vt:lpstr>
      <vt:lpstr>XDO_?FINAL_ISIN?424?</vt:lpstr>
      <vt:lpstr>XDO_?FINAL_ISIN?425?</vt:lpstr>
      <vt:lpstr>XDO_?FINAL_ISIN?426?</vt:lpstr>
      <vt:lpstr>XDO_?FINAL_ISIN?427?</vt:lpstr>
      <vt:lpstr>XDO_?FINAL_ISIN?428?</vt:lpstr>
      <vt:lpstr>XDO_?FINAL_ISIN?429?</vt:lpstr>
      <vt:lpstr>XDO_?FINAL_ISIN?43?</vt:lpstr>
      <vt:lpstr>XDO_?FINAL_ISIN?430?</vt:lpstr>
      <vt:lpstr>XDO_?FINAL_ISIN?431?</vt:lpstr>
      <vt:lpstr>XDO_?FINAL_ISIN?432?</vt:lpstr>
      <vt:lpstr>XDO_?FINAL_ISIN?433?</vt:lpstr>
      <vt:lpstr>XDO_?FINAL_ISIN?434?</vt:lpstr>
      <vt:lpstr>XDO_?FINAL_ISIN?435?</vt:lpstr>
      <vt:lpstr>XDO_?FINAL_ISIN?436?</vt:lpstr>
      <vt:lpstr>XDO_?FINAL_ISIN?437?</vt:lpstr>
      <vt:lpstr>XDO_?FINAL_ISIN?438?</vt:lpstr>
      <vt:lpstr>XDO_?FINAL_ISIN?439?</vt:lpstr>
      <vt:lpstr>XDO_?FINAL_ISIN?440?</vt:lpstr>
      <vt:lpstr>XDO_?FINAL_ISIN?441?</vt:lpstr>
      <vt:lpstr>XDO_?FINAL_ISIN?442?</vt:lpstr>
      <vt:lpstr>XDO_?FINAL_ISIN?443?</vt:lpstr>
      <vt:lpstr>XDO_?FINAL_ISIN?444?</vt:lpstr>
      <vt:lpstr>XDO_?FINAL_ISIN?445?</vt:lpstr>
      <vt:lpstr>XDO_?FINAL_ISIN?446?</vt:lpstr>
      <vt:lpstr>XDO_?FINAL_ISIN?447?</vt:lpstr>
      <vt:lpstr>XDO_?FINAL_ISIN?448?</vt:lpstr>
      <vt:lpstr>XDO_?FINAL_ISIN?449?</vt:lpstr>
      <vt:lpstr>XDO_?FINAL_ISIN?450?</vt:lpstr>
      <vt:lpstr>XDO_?FINAL_ISIN?451?</vt:lpstr>
      <vt:lpstr>XDO_?FINAL_ISIN?452?</vt:lpstr>
      <vt:lpstr>XDO_?FINAL_ISIN?453?</vt:lpstr>
      <vt:lpstr>XDO_?FINAL_ISIN?454?</vt:lpstr>
      <vt:lpstr>XDO_?FINAL_ISIN?455?</vt:lpstr>
      <vt:lpstr>XDO_?FINAL_ISIN?456?</vt:lpstr>
      <vt:lpstr>XDO_?FINAL_ISIN?457?</vt:lpstr>
      <vt:lpstr>XDO_?FINAL_ISIN?458?</vt:lpstr>
      <vt:lpstr>XDO_?FINAL_ISIN?459?</vt:lpstr>
      <vt:lpstr>XDO_?FINAL_ISIN?460?</vt:lpstr>
      <vt:lpstr>XDO_?FINAL_ISIN?461?</vt:lpstr>
      <vt:lpstr>XDO_?FINAL_ISIN?462?</vt:lpstr>
      <vt:lpstr>XDO_?FINAL_ISIN?463?</vt:lpstr>
      <vt:lpstr>XDO_?FINAL_ISIN?464?</vt:lpstr>
      <vt:lpstr>XDO_?FINAL_ISIN?465?</vt:lpstr>
      <vt:lpstr>XDO_?FINAL_ISIN?466?</vt:lpstr>
      <vt:lpstr>XDO_?FINAL_ISIN?467?</vt:lpstr>
      <vt:lpstr>XDO_?FINAL_ISIN?468?</vt:lpstr>
      <vt:lpstr>XDO_?FINAL_ISIN?469?</vt:lpstr>
      <vt:lpstr>XDO_?FINAL_ISIN?470?</vt:lpstr>
      <vt:lpstr>XDO_?FINAL_ISIN?471?</vt:lpstr>
      <vt:lpstr>XDO_?FINAL_ISIN?472?</vt:lpstr>
      <vt:lpstr>XDO_?FINAL_ISIN?473?</vt:lpstr>
      <vt:lpstr>XDO_?FINAL_ISIN?474?</vt:lpstr>
      <vt:lpstr>XDO_?FINAL_ISIN?475?</vt:lpstr>
      <vt:lpstr>XDO_?FINAL_ISIN?476?</vt:lpstr>
      <vt:lpstr>XDO_?FINAL_ISIN?477?</vt:lpstr>
      <vt:lpstr>XDO_?FINAL_ISIN?478?</vt:lpstr>
      <vt:lpstr>XDO_?FINAL_ISIN?479?</vt:lpstr>
      <vt:lpstr>XDO_?FINAL_ISIN?480?</vt:lpstr>
      <vt:lpstr>XDO_?FINAL_ISIN?481?</vt:lpstr>
      <vt:lpstr>XDO_?FINAL_ISIN?482?</vt:lpstr>
      <vt:lpstr>XDO_?FINAL_ISIN?483?</vt:lpstr>
      <vt:lpstr>XDO_?FINAL_ISIN?484?</vt:lpstr>
      <vt:lpstr>XDO_?FINAL_ISIN?485?</vt:lpstr>
      <vt:lpstr>XDO_?FINAL_ISIN?486?</vt:lpstr>
      <vt:lpstr>XDO_?FINAL_ISIN?487?</vt:lpstr>
      <vt:lpstr>XDO_?FINAL_ISIN?488?</vt:lpstr>
      <vt:lpstr>XDO_?FINAL_ISIN?489?</vt:lpstr>
      <vt:lpstr>XDO_?FINAL_ISIN?490?</vt:lpstr>
      <vt:lpstr>XDO_?FINAL_ISIN?491?</vt:lpstr>
      <vt:lpstr>XDO_?FINAL_ISIN?492?</vt:lpstr>
      <vt:lpstr>XDO_?FINAL_ISIN?493?</vt:lpstr>
      <vt:lpstr>XDO_?FINAL_ISIN?494?</vt:lpstr>
      <vt:lpstr>XDO_?FINAL_ISIN?495?</vt:lpstr>
      <vt:lpstr>XDO_?FINAL_ISIN?496?</vt:lpstr>
      <vt:lpstr>XDO_?FINAL_ISIN?497?</vt:lpstr>
      <vt:lpstr>XDO_?FINAL_ISIN?498?</vt:lpstr>
      <vt:lpstr>XDO_?FINAL_ISIN?499?</vt:lpstr>
      <vt:lpstr>XDO_?FINAL_ISIN?50?</vt:lpstr>
      <vt:lpstr>XDO_?FINAL_ISIN?500?</vt:lpstr>
      <vt:lpstr>XDO_?FINAL_ISIN?501?</vt:lpstr>
      <vt:lpstr>XDO_?FINAL_ISIN?502?</vt:lpstr>
      <vt:lpstr>XDO_?FINAL_ISIN?503?</vt:lpstr>
      <vt:lpstr>XDO_?FINAL_ISIN?504?</vt:lpstr>
      <vt:lpstr>XDO_?FINAL_ISIN?505?</vt:lpstr>
      <vt:lpstr>XDO_?FINAL_ISIN?506?</vt:lpstr>
      <vt:lpstr>XDO_?FINAL_ISIN?507?</vt:lpstr>
      <vt:lpstr>XDO_?FINAL_ISIN?508?</vt:lpstr>
      <vt:lpstr>XDO_?FINAL_ISIN?509?</vt:lpstr>
      <vt:lpstr>XDO_?FINAL_ISIN?51?</vt:lpstr>
      <vt:lpstr>XDO_?FINAL_ISIN?510?</vt:lpstr>
      <vt:lpstr>XDO_?FINAL_ISIN?511?</vt:lpstr>
      <vt:lpstr>XDO_?FINAL_ISIN?512?</vt:lpstr>
      <vt:lpstr>XDO_?FINAL_ISIN?513?</vt:lpstr>
      <vt:lpstr>XDO_?FINAL_ISIN?514?</vt:lpstr>
      <vt:lpstr>XDO_?FINAL_ISIN?515?</vt:lpstr>
      <vt:lpstr>XDO_?FINAL_ISIN?516?</vt:lpstr>
      <vt:lpstr>XDO_?FINAL_ISIN?517?</vt:lpstr>
      <vt:lpstr>XDO_?FINAL_ISIN?518?</vt:lpstr>
      <vt:lpstr>XDO_?FINAL_ISIN?519?</vt:lpstr>
      <vt:lpstr>XDO_?FINAL_ISIN?52?</vt:lpstr>
      <vt:lpstr>XDO_?FINAL_ISIN?520?</vt:lpstr>
      <vt:lpstr>XDO_?FINAL_ISIN?521?</vt:lpstr>
      <vt:lpstr>XDO_?FINAL_ISIN?522?</vt:lpstr>
      <vt:lpstr>XDO_?FINAL_ISIN?523?</vt:lpstr>
      <vt:lpstr>XDO_?FINAL_ISIN?524?</vt:lpstr>
      <vt:lpstr>XDO_?FINAL_ISIN?525?</vt:lpstr>
      <vt:lpstr>XDO_?FINAL_ISIN?526?</vt:lpstr>
      <vt:lpstr>XDO_?FINAL_ISIN?527?</vt:lpstr>
      <vt:lpstr>XDO_?FINAL_ISIN?528?</vt:lpstr>
      <vt:lpstr>XDO_?FINAL_ISIN?529?</vt:lpstr>
      <vt:lpstr>XDO_?FINAL_ISIN?53?</vt:lpstr>
      <vt:lpstr>XDO_?FINAL_ISIN?530?</vt:lpstr>
      <vt:lpstr>XDO_?FINAL_ISIN?531?</vt:lpstr>
      <vt:lpstr>XDO_?FINAL_ISIN?532?</vt:lpstr>
      <vt:lpstr>XDO_?FINAL_ISIN?533?</vt:lpstr>
      <vt:lpstr>XDO_?FINAL_ISIN?534?</vt:lpstr>
      <vt:lpstr>XDO_?FINAL_ISIN?535?</vt:lpstr>
      <vt:lpstr>XDO_?FINAL_ISIN?536?</vt:lpstr>
      <vt:lpstr>XDO_?FINAL_ISIN?537?</vt:lpstr>
      <vt:lpstr>XDO_?FINAL_ISIN?538?</vt:lpstr>
      <vt:lpstr>XDO_?FINAL_ISIN?539?</vt:lpstr>
      <vt:lpstr>XDO_?FINAL_ISIN?54?</vt:lpstr>
      <vt:lpstr>XDO_?FINAL_ISIN?540?</vt:lpstr>
      <vt:lpstr>XDO_?FINAL_ISIN?541?</vt:lpstr>
      <vt:lpstr>XDO_?FINAL_ISIN?542?</vt:lpstr>
      <vt:lpstr>XDO_?FINAL_ISIN?543?</vt:lpstr>
      <vt:lpstr>XDO_?FINAL_ISIN?544?</vt:lpstr>
      <vt:lpstr>XDO_?FINAL_ISIN?545?</vt:lpstr>
      <vt:lpstr>XDO_?FINAL_ISIN?546?</vt:lpstr>
      <vt:lpstr>XDO_?FINAL_ISIN?547?</vt:lpstr>
      <vt:lpstr>XDO_?FINAL_ISIN?548?</vt:lpstr>
      <vt:lpstr>XDO_?FINAL_ISIN?549?</vt:lpstr>
      <vt:lpstr>XDO_?FINAL_ISIN?550?</vt:lpstr>
      <vt:lpstr>XDO_?FINAL_ISIN?551?</vt:lpstr>
      <vt:lpstr>XDO_?FINAL_ISIN?552?</vt:lpstr>
      <vt:lpstr>XDO_?FINAL_ISIN?553?</vt:lpstr>
      <vt:lpstr>XDO_?FINAL_ISIN?554?</vt:lpstr>
      <vt:lpstr>XDO_?FINAL_ISIN?555?</vt:lpstr>
      <vt:lpstr>XDO_?FINAL_ISIN?556?</vt:lpstr>
      <vt:lpstr>XDO_?FINAL_ISIN?557?</vt:lpstr>
      <vt:lpstr>XDO_?FINAL_ISIN?558?</vt:lpstr>
      <vt:lpstr>XDO_?FINAL_ISIN?559?</vt:lpstr>
      <vt:lpstr>XDO_?FINAL_ISIN?560?</vt:lpstr>
      <vt:lpstr>XDO_?FINAL_ISIN?561?</vt:lpstr>
      <vt:lpstr>XDO_?FINAL_ISIN?562?</vt:lpstr>
      <vt:lpstr>XDO_?FINAL_ISIN?563?</vt:lpstr>
      <vt:lpstr>XDO_?FINAL_ISIN?564?</vt:lpstr>
      <vt:lpstr>XDO_?FINAL_ISIN?565?</vt:lpstr>
      <vt:lpstr>XDO_?FINAL_ISIN?566?</vt:lpstr>
      <vt:lpstr>XDO_?FINAL_ISIN?567?</vt:lpstr>
      <vt:lpstr>XDO_?FINAL_ISIN?568?</vt:lpstr>
      <vt:lpstr>XDO_?FINAL_ISIN?569?</vt:lpstr>
      <vt:lpstr>XDO_?FINAL_ISIN?570?</vt:lpstr>
      <vt:lpstr>XDO_?FINAL_ISIN?571?</vt:lpstr>
      <vt:lpstr>XDO_?FINAL_ISIN?572?</vt:lpstr>
      <vt:lpstr>XDO_?FINAL_ISIN?573?</vt:lpstr>
      <vt:lpstr>XDO_?FINAL_ISIN?574?</vt:lpstr>
      <vt:lpstr>XDO_?FINAL_ISIN?575?</vt:lpstr>
      <vt:lpstr>XDO_?FINAL_ISIN?576?</vt:lpstr>
      <vt:lpstr>XDO_?FINAL_ISIN?577?</vt:lpstr>
      <vt:lpstr>XDO_?FINAL_ISIN?578?</vt:lpstr>
      <vt:lpstr>XDO_?FINAL_ISIN?579?</vt:lpstr>
      <vt:lpstr>XDO_?FINAL_ISIN?580?</vt:lpstr>
      <vt:lpstr>XDO_?FINAL_ISIN?581?</vt:lpstr>
      <vt:lpstr>XDO_?FINAL_ISIN?582?</vt:lpstr>
      <vt:lpstr>XDO_?FINAL_ISIN?583?</vt:lpstr>
      <vt:lpstr>XDO_?FINAL_ISIN?584?</vt:lpstr>
      <vt:lpstr>XDO_?FINAL_ISIN?585?</vt:lpstr>
      <vt:lpstr>XDO_?FINAL_ISIN?586?</vt:lpstr>
      <vt:lpstr>XDO_?FINAL_ISIN?587?</vt:lpstr>
      <vt:lpstr>XDO_?FINAL_ISIN?588?</vt:lpstr>
      <vt:lpstr>XDO_?FINAL_ISIN?589?</vt:lpstr>
      <vt:lpstr>XDO_?FINAL_ISIN?590?</vt:lpstr>
      <vt:lpstr>XDO_?FINAL_ISIN?591?</vt:lpstr>
      <vt:lpstr>XDO_?FINAL_ISIN?592?</vt:lpstr>
      <vt:lpstr>XDO_?FINAL_ISIN?593?</vt:lpstr>
      <vt:lpstr>XDO_?FINAL_ISIN?594?</vt:lpstr>
      <vt:lpstr>XDO_?FINAL_ISIN?595?</vt:lpstr>
      <vt:lpstr>XDO_?FINAL_ISIN?596?</vt:lpstr>
      <vt:lpstr>XDO_?FINAL_ISIN?597?</vt:lpstr>
      <vt:lpstr>XDO_?FINAL_ISIN?598?</vt:lpstr>
      <vt:lpstr>XDO_?FINAL_ISIN?599?</vt:lpstr>
      <vt:lpstr>XDO_?FINAL_ISIN?600?</vt:lpstr>
      <vt:lpstr>XDO_?FINAL_ISIN?601?</vt:lpstr>
      <vt:lpstr>XDO_?FINAL_ISIN?602?</vt:lpstr>
      <vt:lpstr>XDO_?FINAL_ISIN?603?</vt:lpstr>
      <vt:lpstr>XDO_?FINAL_ISIN?604?</vt:lpstr>
      <vt:lpstr>XDO_?FINAL_ISIN?605?</vt:lpstr>
      <vt:lpstr>XDO_?FINAL_ISIN?606?</vt:lpstr>
      <vt:lpstr>XDO_?FINAL_ISIN?607?</vt:lpstr>
      <vt:lpstr>XDO_?FINAL_ISIN?608?</vt:lpstr>
      <vt:lpstr>XDO_?FINAL_ISIN?609?</vt:lpstr>
      <vt:lpstr>XDO_?FINAL_ISIN?61?</vt:lpstr>
      <vt:lpstr>XDO_?FINAL_ISIN?610?</vt:lpstr>
      <vt:lpstr>XDO_?FINAL_ISIN?611?</vt:lpstr>
      <vt:lpstr>XDO_?FINAL_ISIN?612?</vt:lpstr>
      <vt:lpstr>XDO_?FINAL_ISIN?613?</vt:lpstr>
      <vt:lpstr>XDO_?FINAL_ISIN?614?</vt:lpstr>
      <vt:lpstr>XDO_?FINAL_ISIN?615?</vt:lpstr>
      <vt:lpstr>XDO_?FINAL_ISIN?616?</vt:lpstr>
      <vt:lpstr>XDO_?FINAL_ISIN?617?</vt:lpstr>
      <vt:lpstr>XDO_?FINAL_ISIN?618?</vt:lpstr>
      <vt:lpstr>XDO_?FINAL_ISIN?619?</vt:lpstr>
      <vt:lpstr>XDO_?FINAL_ISIN?62?</vt:lpstr>
      <vt:lpstr>XDO_?FINAL_ISIN?620?</vt:lpstr>
      <vt:lpstr>XDO_?FINAL_ISIN?621?</vt:lpstr>
      <vt:lpstr>XDO_?FINAL_ISIN?622?</vt:lpstr>
      <vt:lpstr>XDO_?FINAL_ISIN?623?</vt:lpstr>
      <vt:lpstr>XDO_?FINAL_ISIN?624?</vt:lpstr>
      <vt:lpstr>XDO_?FINAL_ISIN?625?</vt:lpstr>
      <vt:lpstr>XDO_?FINAL_ISIN?626?</vt:lpstr>
      <vt:lpstr>XDO_?FINAL_ISIN?627?</vt:lpstr>
      <vt:lpstr>XDO_?FINAL_ISIN?628?</vt:lpstr>
      <vt:lpstr>XDO_?FINAL_ISIN?629?</vt:lpstr>
      <vt:lpstr>XDO_?FINAL_ISIN?63?</vt:lpstr>
      <vt:lpstr>XDO_?FINAL_ISIN?630?</vt:lpstr>
      <vt:lpstr>XDO_?FINAL_ISIN?631?</vt:lpstr>
      <vt:lpstr>XDO_?FINAL_ISIN?632?</vt:lpstr>
      <vt:lpstr>XDO_?FINAL_ISIN?633?</vt:lpstr>
      <vt:lpstr>XDO_?FINAL_ISIN?634?</vt:lpstr>
      <vt:lpstr>XDO_?FINAL_ISIN?635?</vt:lpstr>
      <vt:lpstr>XDO_?FINAL_ISIN?636?</vt:lpstr>
      <vt:lpstr>XDO_?FINAL_ISIN?637?</vt:lpstr>
      <vt:lpstr>XDO_?FINAL_ISIN?638?</vt:lpstr>
      <vt:lpstr>XDO_?FINAL_ISIN?639?</vt:lpstr>
      <vt:lpstr>XDO_?FINAL_ISIN?64?</vt:lpstr>
      <vt:lpstr>XDO_?FINAL_ISIN?640?</vt:lpstr>
      <vt:lpstr>XDO_?FINAL_ISIN?641?</vt:lpstr>
      <vt:lpstr>XDO_?FINAL_ISIN?642?</vt:lpstr>
      <vt:lpstr>XDO_?FINAL_ISIN?643?</vt:lpstr>
      <vt:lpstr>XDO_?FINAL_ISIN?644?</vt:lpstr>
      <vt:lpstr>XDO_?FINAL_ISIN?645?</vt:lpstr>
      <vt:lpstr>XDO_?FINAL_ISIN?646?</vt:lpstr>
      <vt:lpstr>XDO_?FINAL_ISIN?647?</vt:lpstr>
      <vt:lpstr>XDO_?FINAL_ISIN?648?</vt:lpstr>
      <vt:lpstr>XDO_?FINAL_ISIN?649?</vt:lpstr>
      <vt:lpstr>XDO_?FINAL_ISIN?65?</vt:lpstr>
      <vt:lpstr>XDO_?FINAL_ISIN?650?</vt:lpstr>
      <vt:lpstr>XDO_?FINAL_ISIN?651?</vt:lpstr>
      <vt:lpstr>XDO_?FINAL_ISIN?652?</vt:lpstr>
      <vt:lpstr>XDO_?FINAL_ISIN?653?</vt:lpstr>
      <vt:lpstr>XDO_?FINAL_ISIN?654?</vt:lpstr>
      <vt:lpstr>XDO_?FINAL_ISIN?655?</vt:lpstr>
      <vt:lpstr>XDO_?FINAL_ISIN?656?</vt:lpstr>
      <vt:lpstr>XDO_?FINAL_ISIN?657?</vt:lpstr>
      <vt:lpstr>XDO_?FINAL_ISIN?658?</vt:lpstr>
      <vt:lpstr>XDO_?FINAL_ISIN?659?</vt:lpstr>
      <vt:lpstr>XDO_?FINAL_ISIN?66?</vt:lpstr>
      <vt:lpstr>XDO_?FINAL_ISIN?660?</vt:lpstr>
      <vt:lpstr>XDO_?FINAL_ISIN?661?</vt:lpstr>
      <vt:lpstr>XDO_?FINAL_ISIN?662?</vt:lpstr>
      <vt:lpstr>XDO_?FINAL_ISIN?663?</vt:lpstr>
      <vt:lpstr>XDO_?FINAL_ISIN?664?</vt:lpstr>
      <vt:lpstr>XDO_?FINAL_ISIN?665?</vt:lpstr>
      <vt:lpstr>XDO_?FINAL_ISIN?666?</vt:lpstr>
      <vt:lpstr>XDO_?FINAL_ISIN?667?</vt:lpstr>
      <vt:lpstr>XDO_?FINAL_ISIN?668?</vt:lpstr>
      <vt:lpstr>XDO_?FINAL_ISIN?669?</vt:lpstr>
      <vt:lpstr>XDO_?FINAL_ISIN?67?</vt:lpstr>
      <vt:lpstr>XDO_?FINAL_ISIN?670?</vt:lpstr>
      <vt:lpstr>XDO_?FINAL_ISIN?671?</vt:lpstr>
      <vt:lpstr>XDO_?FINAL_ISIN?672?</vt:lpstr>
      <vt:lpstr>XDO_?FINAL_ISIN?673?</vt:lpstr>
      <vt:lpstr>XDO_?FINAL_ISIN?674?</vt:lpstr>
      <vt:lpstr>XDO_?FINAL_ISIN?675?</vt:lpstr>
      <vt:lpstr>XDO_?FINAL_ISIN?676?</vt:lpstr>
      <vt:lpstr>XDO_?FINAL_ISIN?677?</vt:lpstr>
      <vt:lpstr>XDO_?FINAL_ISIN?678?</vt:lpstr>
      <vt:lpstr>XDO_?FINAL_ISIN?679?</vt:lpstr>
      <vt:lpstr>XDO_?FINAL_ISIN?68?</vt:lpstr>
      <vt:lpstr>XDO_?FINAL_ISIN?680?</vt:lpstr>
      <vt:lpstr>XDO_?FINAL_ISIN?681?</vt:lpstr>
      <vt:lpstr>XDO_?FINAL_ISIN?682?</vt:lpstr>
      <vt:lpstr>XDO_?FINAL_ISIN?683?</vt:lpstr>
      <vt:lpstr>XDO_?FINAL_ISIN?684?</vt:lpstr>
      <vt:lpstr>XDO_?FINAL_ISIN?685?</vt:lpstr>
      <vt:lpstr>XDO_?FINAL_ISIN?686?</vt:lpstr>
      <vt:lpstr>XDO_?FINAL_ISIN?687?</vt:lpstr>
      <vt:lpstr>XDO_?FINAL_ISIN?688?</vt:lpstr>
      <vt:lpstr>XDO_?FINAL_ISIN?689?</vt:lpstr>
      <vt:lpstr>XDO_?FINAL_ISIN?690?</vt:lpstr>
      <vt:lpstr>XDO_?FINAL_ISIN?691?</vt:lpstr>
      <vt:lpstr>XDO_?FINAL_ISIN?692?</vt:lpstr>
      <vt:lpstr>XDO_?FINAL_ISIN?76?</vt:lpstr>
      <vt:lpstr>XDO_?FINAL_ISIN?77?</vt:lpstr>
      <vt:lpstr>XDO_?FINAL_ISIN?78?</vt:lpstr>
      <vt:lpstr>XDO_?FINAL_ISIN?79?</vt:lpstr>
      <vt:lpstr>XDO_?FINAL_ISIN?84?</vt:lpstr>
      <vt:lpstr>XDO_?FINAL_ISIN?85?</vt:lpstr>
      <vt:lpstr>XDO_?FINAL_ISIN?86?</vt:lpstr>
      <vt:lpstr>XDO_?FINAL_ISIN?87?</vt:lpstr>
      <vt:lpstr>XDO_?FINAL_ISIN?88?</vt:lpstr>
      <vt:lpstr>XDO_?FINAL_ISIN?89?</vt:lpstr>
      <vt:lpstr>XDO_?FINAL_ISIN?90?</vt:lpstr>
      <vt:lpstr>XDO_?FINAL_ISIN?91?</vt:lpstr>
      <vt:lpstr>XDO_?FINAL_ISIN?92?</vt:lpstr>
      <vt:lpstr>XDO_?FINAL_ISIN?93?</vt:lpstr>
      <vt:lpstr>XDO_?FINAL_ISIN?94?</vt:lpstr>
      <vt:lpstr>XDO_?FINAL_ISIN?95?</vt:lpstr>
      <vt:lpstr>XDO_?FINAL_ISIN?96?</vt:lpstr>
      <vt:lpstr>XDO_?FINAL_ISIN?97?</vt:lpstr>
      <vt:lpstr>XDO_?FINAL_ISIN?98?</vt:lpstr>
      <vt:lpstr>XDO_?FINAL_ISIN?99?</vt:lpstr>
      <vt:lpstr>XDO_?FINAL_MV?100?</vt:lpstr>
      <vt:lpstr>XDO_?FINAL_MV?101?</vt:lpstr>
      <vt:lpstr>XDO_?FINAL_MV?102?</vt:lpstr>
      <vt:lpstr>XDO_?FINAL_MV?103?</vt:lpstr>
      <vt:lpstr>XDO_?FINAL_MV?104?</vt:lpstr>
      <vt:lpstr>XDO_?FINAL_MV?105?</vt:lpstr>
      <vt:lpstr>XDO_?FINAL_MV?106?</vt:lpstr>
      <vt:lpstr>XDO_?FINAL_MV?107?</vt:lpstr>
      <vt:lpstr>XDO_?FINAL_MV?108?</vt:lpstr>
      <vt:lpstr>XDO_?FINAL_MV?109?</vt:lpstr>
      <vt:lpstr>XDO_?FINAL_MV?110?</vt:lpstr>
      <vt:lpstr>XDO_?FINAL_MV?111?</vt:lpstr>
      <vt:lpstr>XDO_?FINAL_MV?112?</vt:lpstr>
      <vt:lpstr>XDO_?FINAL_MV?113?</vt:lpstr>
      <vt:lpstr>XDO_?FINAL_MV?114?</vt:lpstr>
      <vt:lpstr>XDO_?FINAL_MV?115?</vt:lpstr>
      <vt:lpstr>XDO_?FINAL_MV?116?</vt:lpstr>
      <vt:lpstr>XDO_?FINAL_MV?117?</vt:lpstr>
      <vt:lpstr>XDO_?FINAL_MV?118?</vt:lpstr>
      <vt:lpstr>XDO_?FINAL_MV?119?</vt:lpstr>
      <vt:lpstr>XDO_?FINAL_MV?12?</vt:lpstr>
      <vt:lpstr>XDO_?FINAL_MV?120?</vt:lpstr>
      <vt:lpstr>XDO_?FINAL_MV?121?</vt:lpstr>
      <vt:lpstr>XDO_?FINAL_MV?122?</vt:lpstr>
      <vt:lpstr>XDO_?FINAL_MV?123?</vt:lpstr>
      <vt:lpstr>XDO_?FINAL_MV?124?</vt:lpstr>
      <vt:lpstr>XDO_?FINAL_MV?125?</vt:lpstr>
      <vt:lpstr>XDO_?FINAL_MV?126?</vt:lpstr>
      <vt:lpstr>XDO_?FINAL_MV?127?</vt:lpstr>
      <vt:lpstr>XDO_?FINAL_MV?128?</vt:lpstr>
      <vt:lpstr>XDO_?FINAL_MV?129?</vt:lpstr>
      <vt:lpstr>XDO_?FINAL_MV?13?</vt:lpstr>
      <vt:lpstr>XDO_?FINAL_MV?130?</vt:lpstr>
      <vt:lpstr>XDO_?FINAL_MV?131?</vt:lpstr>
      <vt:lpstr>XDO_?FINAL_MV?132?</vt:lpstr>
      <vt:lpstr>XDO_?FINAL_MV?133?</vt:lpstr>
      <vt:lpstr>XDO_?FINAL_MV?134?</vt:lpstr>
      <vt:lpstr>XDO_?FINAL_MV?135?</vt:lpstr>
      <vt:lpstr>XDO_?FINAL_MV?136?</vt:lpstr>
      <vt:lpstr>XDO_?FINAL_MV?137?</vt:lpstr>
      <vt:lpstr>XDO_?FINAL_MV?138?</vt:lpstr>
      <vt:lpstr>XDO_?FINAL_MV?139?</vt:lpstr>
      <vt:lpstr>XDO_?FINAL_MV?14?</vt:lpstr>
      <vt:lpstr>XDO_?FINAL_MV?140?</vt:lpstr>
      <vt:lpstr>XDO_?FINAL_MV?141?</vt:lpstr>
      <vt:lpstr>XDO_?FINAL_MV?142?</vt:lpstr>
      <vt:lpstr>XDO_?FINAL_MV?143?</vt:lpstr>
      <vt:lpstr>XDO_?FINAL_MV?144?</vt:lpstr>
      <vt:lpstr>XDO_?FINAL_MV?145?</vt:lpstr>
      <vt:lpstr>XDO_?FINAL_MV?146?</vt:lpstr>
      <vt:lpstr>XDO_?FINAL_MV?147?</vt:lpstr>
      <vt:lpstr>XDO_?FINAL_MV?148?</vt:lpstr>
      <vt:lpstr>XDO_?FINAL_MV?149?</vt:lpstr>
      <vt:lpstr>XDO_?FINAL_MV?15?</vt:lpstr>
      <vt:lpstr>XDO_?FINAL_MV?150?</vt:lpstr>
      <vt:lpstr>XDO_?FINAL_MV?151?</vt:lpstr>
      <vt:lpstr>XDO_?FINAL_MV?152?</vt:lpstr>
      <vt:lpstr>XDO_?FINAL_MV?153?</vt:lpstr>
      <vt:lpstr>XDO_?FINAL_MV?154?</vt:lpstr>
      <vt:lpstr>XDO_?FINAL_MV?155?</vt:lpstr>
      <vt:lpstr>XDO_?FINAL_MV?156?</vt:lpstr>
      <vt:lpstr>XDO_?FINAL_MV?157?</vt:lpstr>
      <vt:lpstr>XDO_?FINAL_MV?158?</vt:lpstr>
      <vt:lpstr>XDO_?FINAL_MV?159?</vt:lpstr>
      <vt:lpstr>XDO_?FINAL_MV?16?</vt:lpstr>
      <vt:lpstr>XDO_?FINAL_MV?160?</vt:lpstr>
      <vt:lpstr>XDO_?FINAL_MV?161?</vt:lpstr>
      <vt:lpstr>XDO_?FINAL_MV?162?</vt:lpstr>
      <vt:lpstr>XDO_?FINAL_MV?163?</vt:lpstr>
      <vt:lpstr>XDO_?FINAL_MV?164?</vt:lpstr>
      <vt:lpstr>XDO_?FINAL_MV?165?</vt:lpstr>
      <vt:lpstr>XDO_?FINAL_MV?166?</vt:lpstr>
      <vt:lpstr>XDO_?FINAL_MV?167?</vt:lpstr>
      <vt:lpstr>XDO_?FINAL_MV?168?</vt:lpstr>
      <vt:lpstr>XDO_?FINAL_MV?169?</vt:lpstr>
      <vt:lpstr>XDO_?FINAL_MV?17?</vt:lpstr>
      <vt:lpstr>XDO_?FINAL_MV?170?</vt:lpstr>
      <vt:lpstr>XDO_?FINAL_MV?171?</vt:lpstr>
      <vt:lpstr>XDO_?FINAL_MV?172?</vt:lpstr>
      <vt:lpstr>XDO_?FINAL_MV?173?</vt:lpstr>
      <vt:lpstr>XDO_?FINAL_MV?174?</vt:lpstr>
      <vt:lpstr>XDO_?FINAL_MV?175?</vt:lpstr>
      <vt:lpstr>XDO_?FINAL_MV?176?</vt:lpstr>
      <vt:lpstr>XDO_?FINAL_MV?177?</vt:lpstr>
      <vt:lpstr>XDO_?FINAL_MV?178?</vt:lpstr>
      <vt:lpstr>XDO_?FINAL_MV?179?</vt:lpstr>
      <vt:lpstr>XDO_?FINAL_MV?180?</vt:lpstr>
      <vt:lpstr>XDO_?FINAL_MV?181?</vt:lpstr>
      <vt:lpstr>XDO_?FINAL_MV?182?</vt:lpstr>
      <vt:lpstr>XDO_?FINAL_MV?183?</vt:lpstr>
      <vt:lpstr>XDO_?FINAL_MV?184?</vt:lpstr>
      <vt:lpstr>XDO_?FINAL_MV?185?</vt:lpstr>
      <vt:lpstr>XDO_?FINAL_MV?186?</vt:lpstr>
      <vt:lpstr>XDO_?FINAL_MV?187?</vt:lpstr>
      <vt:lpstr>XDO_?FINAL_MV?188?</vt:lpstr>
      <vt:lpstr>XDO_?FINAL_MV?189?</vt:lpstr>
      <vt:lpstr>XDO_?FINAL_MV?190?</vt:lpstr>
      <vt:lpstr>XDO_?FINAL_MV?191?</vt:lpstr>
      <vt:lpstr>XDO_?FINAL_MV?192?</vt:lpstr>
      <vt:lpstr>XDO_?FINAL_MV?193?</vt:lpstr>
      <vt:lpstr>XDO_?FINAL_MV?194?</vt:lpstr>
      <vt:lpstr>XDO_?FINAL_MV?195?</vt:lpstr>
      <vt:lpstr>XDO_?FINAL_MV?196?</vt:lpstr>
      <vt:lpstr>XDO_?FINAL_MV?197?</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XDO_?FINAL_MV?207?</vt:lpstr>
      <vt:lpstr>XDO_?FINAL_MV?208?</vt:lpstr>
      <vt:lpstr>XDO_?FINAL_MV?209?</vt:lpstr>
      <vt:lpstr>XDO_?FINAL_MV?210?</vt:lpstr>
      <vt:lpstr>XDO_?FINAL_MV?211?</vt:lpstr>
      <vt:lpstr>XDO_?FINAL_MV?212?</vt:lpstr>
      <vt:lpstr>XDO_?FINAL_MV?213?</vt:lpstr>
      <vt:lpstr>XDO_?FINAL_MV?214?</vt:lpstr>
      <vt:lpstr>XDO_?FINAL_MV?215?</vt:lpstr>
      <vt:lpstr>XDO_?FINAL_MV?216?</vt:lpstr>
      <vt:lpstr>XDO_?FINAL_MV?217?</vt:lpstr>
      <vt:lpstr>XDO_?FINAL_MV?218?</vt:lpstr>
      <vt:lpstr>XDO_?FINAL_MV?219?</vt:lpstr>
      <vt:lpstr>XDO_?FINAL_MV?220?</vt:lpstr>
      <vt:lpstr>XDO_?FINAL_MV?221?</vt:lpstr>
      <vt:lpstr>XDO_?FINAL_MV?222?</vt:lpstr>
      <vt:lpstr>XDO_?FINAL_MV?223?</vt:lpstr>
      <vt:lpstr>XDO_?FINAL_MV?224?</vt:lpstr>
      <vt:lpstr>XDO_?FINAL_MV?225?</vt:lpstr>
      <vt:lpstr>XDO_?FINAL_MV?226?</vt:lpstr>
      <vt:lpstr>XDO_?FINAL_MV?227?</vt:lpstr>
      <vt:lpstr>XDO_?FINAL_MV?228?</vt:lpstr>
      <vt:lpstr>XDO_?FINAL_MV?229?</vt:lpstr>
      <vt:lpstr>XDO_?FINAL_MV?230?</vt:lpstr>
      <vt:lpstr>XDO_?FINAL_MV?231?</vt:lpstr>
      <vt:lpstr>XDO_?FINAL_MV?232?</vt:lpstr>
      <vt:lpstr>XDO_?FINAL_MV?233?</vt:lpstr>
      <vt:lpstr>XDO_?FINAL_MV?234?</vt:lpstr>
      <vt:lpstr>XDO_?FINAL_MV?235?</vt:lpstr>
      <vt:lpstr>XDO_?FINAL_MV?236?</vt:lpstr>
      <vt:lpstr>XDO_?FINAL_MV?237?</vt:lpstr>
      <vt:lpstr>XDO_?FINAL_MV?238?</vt:lpstr>
      <vt:lpstr>XDO_?FINAL_MV?239?</vt:lpstr>
      <vt:lpstr>XDO_?FINAL_MV?240?</vt:lpstr>
      <vt:lpstr>XDO_?FINAL_MV?241?</vt:lpstr>
      <vt:lpstr>XDO_?FINAL_MV?242?</vt:lpstr>
      <vt:lpstr>XDO_?FINAL_MV?243?</vt:lpstr>
      <vt:lpstr>XDO_?FINAL_MV?244?</vt:lpstr>
      <vt:lpstr>XDO_?FINAL_MV?245?</vt:lpstr>
      <vt:lpstr>XDO_?FINAL_MV?246?</vt:lpstr>
      <vt:lpstr>XDO_?FINAL_MV?247?</vt:lpstr>
      <vt:lpstr>XDO_?FINAL_MV?248?</vt:lpstr>
      <vt:lpstr>XDO_?FINAL_MV?249?</vt:lpstr>
      <vt:lpstr>XDO_?FINAL_MV?250?</vt:lpstr>
      <vt:lpstr>XDO_?FINAL_MV?251?</vt:lpstr>
      <vt:lpstr>XDO_?FINAL_MV?252?</vt:lpstr>
      <vt:lpstr>XDO_?FINAL_MV?253?</vt:lpstr>
      <vt:lpstr>XDO_?FINAL_MV?254?</vt:lpstr>
      <vt:lpstr>XDO_?FINAL_MV?255?</vt:lpstr>
      <vt:lpstr>XDO_?FINAL_MV?256?</vt:lpstr>
      <vt:lpstr>XDO_?FINAL_MV?257?</vt:lpstr>
      <vt:lpstr>XDO_?FINAL_MV?258?</vt:lpstr>
      <vt:lpstr>XDO_?FINAL_MV?259?</vt:lpstr>
      <vt:lpstr>XDO_?FINAL_MV?260?</vt:lpstr>
      <vt:lpstr>XDO_?FINAL_MV?261?</vt:lpstr>
      <vt:lpstr>XDO_?FINAL_MV?262?</vt:lpstr>
      <vt:lpstr>XDO_?FINAL_MV?263?</vt:lpstr>
      <vt:lpstr>XDO_?FINAL_MV?264?</vt:lpstr>
      <vt:lpstr>XDO_?FINAL_MV?265?</vt:lpstr>
      <vt:lpstr>XDO_?FINAL_MV?266?</vt:lpstr>
      <vt:lpstr>XDO_?FINAL_MV?267?</vt:lpstr>
      <vt:lpstr>XDO_?FINAL_MV?268?</vt:lpstr>
      <vt:lpstr>XDO_?FINAL_MV?269?</vt:lpstr>
      <vt:lpstr>XDO_?FINAL_MV?270?</vt:lpstr>
      <vt:lpstr>XDO_?FINAL_MV?271?</vt:lpstr>
      <vt:lpstr>XDO_?FINAL_MV?272?</vt:lpstr>
      <vt:lpstr>XDO_?FINAL_MV?273?</vt:lpstr>
      <vt:lpstr>XDO_?FINAL_MV?274?</vt:lpstr>
      <vt:lpstr>XDO_?FINAL_MV?275?</vt:lpstr>
      <vt:lpstr>XDO_?FINAL_MV?276?</vt:lpstr>
      <vt:lpstr>XDO_?FINAL_MV?277?</vt:lpstr>
      <vt:lpstr>XDO_?FINAL_MV?278?</vt:lpstr>
      <vt:lpstr>XDO_?FINAL_MV?279?</vt:lpstr>
      <vt:lpstr>XDO_?FINAL_MV?280?</vt:lpstr>
      <vt:lpstr>XDO_?FINAL_MV?281?</vt:lpstr>
      <vt:lpstr>XDO_?FINAL_MV?282?</vt:lpstr>
      <vt:lpstr>XDO_?FINAL_MV?283?</vt:lpstr>
      <vt:lpstr>XDO_?FINAL_MV?284?</vt:lpstr>
      <vt:lpstr>XDO_?FINAL_MV?285?</vt:lpstr>
      <vt:lpstr>XDO_?FINAL_MV?286?</vt:lpstr>
      <vt:lpstr>XDO_?FINAL_MV?287?</vt:lpstr>
      <vt:lpstr>XDO_?FINAL_MV?288?</vt:lpstr>
      <vt:lpstr>XDO_?FINAL_MV?289?</vt:lpstr>
      <vt:lpstr>XDO_?FINAL_MV?290?</vt:lpstr>
      <vt:lpstr>XDO_?FINAL_MV?291?</vt:lpstr>
      <vt:lpstr>XDO_?FINAL_MV?292?</vt:lpstr>
      <vt:lpstr>XDO_?FINAL_MV?293?</vt:lpstr>
      <vt:lpstr>XDO_?FINAL_MV?294?</vt:lpstr>
      <vt:lpstr>XDO_?FINAL_MV?295?</vt:lpstr>
      <vt:lpstr>XDO_?FINAL_MV?296?</vt:lpstr>
      <vt:lpstr>XDO_?FINAL_MV?297?</vt:lpstr>
      <vt:lpstr>XDO_?FINAL_MV?298?</vt:lpstr>
      <vt:lpstr>XDO_?FINAL_MV?299?</vt:lpstr>
      <vt:lpstr>XDO_?FINAL_MV?300?</vt:lpstr>
      <vt:lpstr>XDO_?FINAL_MV?301?</vt:lpstr>
      <vt:lpstr>XDO_?FINAL_MV?302?</vt:lpstr>
      <vt:lpstr>XDO_?FINAL_MV?303?</vt:lpstr>
      <vt:lpstr>XDO_?FINAL_MV?304?</vt:lpstr>
      <vt:lpstr>XDO_?FINAL_MV?305?</vt:lpstr>
      <vt:lpstr>XDO_?FINAL_MV?306?</vt:lpstr>
      <vt:lpstr>XDO_?FINAL_MV?307?</vt:lpstr>
      <vt:lpstr>XDO_?FINAL_MV?308?</vt:lpstr>
      <vt:lpstr>XDO_?FINAL_MV?309?</vt:lpstr>
      <vt:lpstr>XDO_?FINAL_MV?310?</vt:lpstr>
      <vt:lpstr>XDO_?FINAL_MV?311?</vt:lpstr>
      <vt:lpstr>XDO_?FINAL_MV?312?</vt:lpstr>
      <vt:lpstr>XDO_?FINAL_MV?313?</vt:lpstr>
      <vt:lpstr>XDO_?FINAL_MV?314?</vt:lpstr>
      <vt:lpstr>XDO_?FINAL_MV?315?</vt:lpstr>
      <vt:lpstr>XDO_?FINAL_MV?316?</vt:lpstr>
      <vt:lpstr>XDO_?FINAL_MV?317?</vt:lpstr>
      <vt:lpstr>XDO_?FINAL_MV?318?</vt:lpstr>
      <vt:lpstr>XDO_?FINAL_MV?319?</vt:lpstr>
      <vt:lpstr>XDO_?FINAL_MV?320?</vt:lpstr>
      <vt:lpstr>XDO_?FINAL_MV?321?</vt:lpstr>
      <vt:lpstr>XDO_?FINAL_MV?322?</vt:lpstr>
      <vt:lpstr>XDO_?FINAL_MV?323?</vt:lpstr>
      <vt:lpstr>XDO_?FINAL_MV?324?</vt:lpstr>
      <vt:lpstr>XDO_?FINAL_MV?325?</vt:lpstr>
      <vt:lpstr>XDO_?FINAL_MV?326?</vt:lpstr>
      <vt:lpstr>XDO_?FINAL_MV?327?</vt:lpstr>
      <vt:lpstr>XDO_?FINAL_MV?328?</vt:lpstr>
      <vt:lpstr>XDO_?FINAL_MV?329?</vt:lpstr>
      <vt:lpstr>XDO_?FINAL_MV?330?</vt:lpstr>
      <vt:lpstr>XDO_?FINAL_MV?331?</vt:lpstr>
      <vt:lpstr>XDO_?FINAL_MV?332?</vt:lpstr>
      <vt:lpstr>XDO_?FINAL_MV?333?</vt:lpstr>
      <vt:lpstr>XDO_?FINAL_MV?334?</vt:lpstr>
      <vt:lpstr>XDO_?FINAL_MV?335?</vt:lpstr>
      <vt:lpstr>XDO_?FINAL_MV?336?</vt:lpstr>
      <vt:lpstr>XDO_?FINAL_MV?337?</vt:lpstr>
      <vt:lpstr>XDO_?FINAL_MV?338?</vt:lpstr>
      <vt:lpstr>XDO_?FINAL_MV?339?</vt:lpstr>
      <vt:lpstr>XDO_?FINAL_MV?340?</vt:lpstr>
      <vt:lpstr>XDO_?FINAL_MV?341?</vt:lpstr>
      <vt:lpstr>XDO_?FINAL_MV?342?</vt:lpstr>
      <vt:lpstr>XDO_?FINAL_MV?343?</vt:lpstr>
      <vt:lpstr>XDO_?FINAL_MV?344?</vt:lpstr>
      <vt:lpstr>XDO_?FINAL_MV?345?</vt:lpstr>
      <vt:lpstr>XDO_?FINAL_MV?346?</vt:lpstr>
      <vt:lpstr>XDO_?FINAL_MV?347?</vt:lpstr>
      <vt:lpstr>XDO_?FINAL_MV?348?</vt:lpstr>
      <vt:lpstr>XDO_?FINAL_MV?349?</vt:lpstr>
      <vt:lpstr>XDO_?FINAL_MV?350?</vt:lpstr>
      <vt:lpstr>XDO_?FINAL_MV?351?</vt:lpstr>
      <vt:lpstr>XDO_?FINAL_MV?352?</vt:lpstr>
      <vt:lpstr>XDO_?FINAL_MV?353?</vt:lpstr>
      <vt:lpstr>XDO_?FINAL_MV?354?</vt:lpstr>
      <vt:lpstr>XDO_?FINAL_MV?355?</vt:lpstr>
      <vt:lpstr>XDO_?FINAL_MV?356?</vt:lpstr>
      <vt:lpstr>XDO_?FINAL_MV?357?</vt:lpstr>
      <vt:lpstr>XDO_?FINAL_MV?358?</vt:lpstr>
      <vt:lpstr>XDO_?FINAL_MV?359?</vt:lpstr>
      <vt:lpstr>XDO_?FINAL_MV?36?</vt:lpstr>
      <vt:lpstr>XDO_?FINAL_MV?360?</vt:lpstr>
      <vt:lpstr>XDO_?FINAL_MV?361?</vt:lpstr>
      <vt:lpstr>XDO_?FINAL_MV?362?</vt:lpstr>
      <vt:lpstr>XDO_?FINAL_MV?363?</vt:lpstr>
      <vt:lpstr>XDO_?FINAL_MV?364?</vt:lpstr>
      <vt:lpstr>XDO_?FINAL_MV?365?</vt:lpstr>
      <vt:lpstr>XDO_?FINAL_MV?366?</vt:lpstr>
      <vt:lpstr>XDO_?FINAL_MV?367?</vt:lpstr>
      <vt:lpstr>XDO_?FINAL_MV?368?</vt:lpstr>
      <vt:lpstr>XDO_?FINAL_MV?369?</vt:lpstr>
      <vt:lpstr>XDO_?FINAL_MV?37?</vt:lpstr>
      <vt:lpstr>XDO_?FINAL_MV?370?</vt:lpstr>
      <vt:lpstr>XDO_?FINAL_MV?371?</vt:lpstr>
      <vt:lpstr>XDO_?FINAL_MV?372?</vt:lpstr>
      <vt:lpstr>XDO_?FINAL_MV?373?</vt:lpstr>
      <vt:lpstr>XDO_?FINAL_MV?374?</vt:lpstr>
      <vt:lpstr>XDO_?FINAL_MV?375?</vt:lpstr>
      <vt:lpstr>XDO_?FINAL_MV?376?</vt:lpstr>
      <vt:lpstr>XDO_?FINAL_MV?377?</vt:lpstr>
      <vt:lpstr>XDO_?FINAL_MV?378?</vt:lpstr>
      <vt:lpstr>XDO_?FINAL_MV?379?</vt:lpstr>
      <vt:lpstr>XDO_?FINAL_MV?38?</vt:lpstr>
      <vt:lpstr>XDO_?FINAL_MV?380?</vt:lpstr>
      <vt:lpstr>XDO_?FINAL_MV?381?</vt:lpstr>
      <vt:lpstr>XDO_?FINAL_MV?382?</vt:lpstr>
      <vt:lpstr>XDO_?FINAL_MV?383?</vt:lpstr>
      <vt:lpstr>XDO_?FINAL_MV?384?</vt:lpstr>
      <vt:lpstr>XDO_?FINAL_MV?385?</vt:lpstr>
      <vt:lpstr>XDO_?FINAL_MV?386?</vt:lpstr>
      <vt:lpstr>XDO_?FINAL_MV?387?</vt:lpstr>
      <vt:lpstr>XDO_?FINAL_MV?388?</vt:lpstr>
      <vt:lpstr>XDO_?FINAL_MV?389?</vt:lpstr>
      <vt:lpstr>XDO_?FINAL_MV?39?</vt:lpstr>
      <vt:lpstr>XDO_?FINAL_MV?390?</vt:lpstr>
      <vt:lpstr>XDO_?FINAL_MV?391?</vt:lpstr>
      <vt:lpstr>XDO_?FINAL_MV?392?</vt:lpstr>
      <vt:lpstr>XDO_?FINAL_MV?393?</vt:lpstr>
      <vt:lpstr>XDO_?FINAL_MV?394?</vt:lpstr>
      <vt:lpstr>XDO_?FINAL_MV?395?</vt:lpstr>
      <vt:lpstr>XDO_?FINAL_MV?396?</vt:lpstr>
      <vt:lpstr>XDO_?FINAL_MV?397?</vt:lpstr>
      <vt:lpstr>XDO_?FINAL_MV?398?</vt:lpstr>
      <vt:lpstr>XDO_?FINAL_MV?399?</vt:lpstr>
      <vt:lpstr>XDO_?FINAL_MV?40?</vt:lpstr>
      <vt:lpstr>XDO_?FINAL_MV?400?</vt:lpstr>
      <vt:lpstr>XDO_?FINAL_MV?401?</vt:lpstr>
      <vt:lpstr>XDO_?FINAL_MV?402?</vt:lpstr>
      <vt:lpstr>XDO_?FINAL_MV?403?</vt:lpstr>
      <vt:lpstr>XDO_?FINAL_MV?404?</vt:lpstr>
      <vt:lpstr>XDO_?FINAL_MV?405?</vt:lpstr>
      <vt:lpstr>XDO_?FINAL_MV?406?</vt:lpstr>
      <vt:lpstr>XDO_?FINAL_MV?407?</vt:lpstr>
      <vt:lpstr>XDO_?FINAL_MV?408?</vt:lpstr>
      <vt:lpstr>XDO_?FINAL_MV?409?</vt:lpstr>
      <vt:lpstr>XDO_?FINAL_MV?41?</vt:lpstr>
      <vt:lpstr>XDO_?FINAL_MV?410?</vt:lpstr>
      <vt:lpstr>XDO_?FINAL_MV?411?</vt:lpstr>
      <vt:lpstr>XDO_?FINAL_MV?412?</vt:lpstr>
      <vt:lpstr>XDO_?FINAL_MV?413?</vt:lpstr>
      <vt:lpstr>XDO_?FINAL_MV?414?</vt:lpstr>
      <vt:lpstr>XDO_?FINAL_MV?415?</vt:lpstr>
      <vt:lpstr>XDO_?FINAL_MV?416?</vt:lpstr>
      <vt:lpstr>XDO_?FINAL_MV?417?</vt:lpstr>
      <vt:lpstr>XDO_?FINAL_MV?418?</vt:lpstr>
      <vt:lpstr>XDO_?FINAL_MV?419?</vt:lpstr>
      <vt:lpstr>XDO_?FINAL_MV?42?</vt:lpstr>
      <vt:lpstr>XDO_?FINAL_MV?420?</vt:lpstr>
      <vt:lpstr>XDO_?FINAL_MV?421?</vt:lpstr>
      <vt:lpstr>XDO_?FINAL_MV?422?</vt:lpstr>
      <vt:lpstr>XDO_?FINAL_MV?423?</vt:lpstr>
      <vt:lpstr>XDO_?FINAL_MV?424?</vt:lpstr>
      <vt:lpstr>XDO_?FINAL_MV?425?</vt:lpstr>
      <vt:lpstr>XDO_?FINAL_MV?426?</vt:lpstr>
      <vt:lpstr>XDO_?FINAL_MV?427?</vt:lpstr>
      <vt:lpstr>XDO_?FINAL_MV?428?</vt:lpstr>
      <vt:lpstr>XDO_?FINAL_MV?429?</vt:lpstr>
      <vt:lpstr>XDO_?FINAL_MV?43?</vt:lpstr>
      <vt:lpstr>XDO_?FINAL_MV?430?</vt:lpstr>
      <vt:lpstr>XDO_?FINAL_MV?431?</vt:lpstr>
      <vt:lpstr>XDO_?FINAL_MV?432?</vt:lpstr>
      <vt:lpstr>XDO_?FINAL_MV?433?</vt:lpstr>
      <vt:lpstr>XDO_?FINAL_MV?434?</vt:lpstr>
      <vt:lpstr>XDO_?FINAL_MV?435?</vt:lpstr>
      <vt:lpstr>XDO_?FINAL_MV?436?</vt:lpstr>
      <vt:lpstr>XDO_?FINAL_MV?437?</vt:lpstr>
      <vt:lpstr>XDO_?FINAL_MV?438?</vt:lpstr>
      <vt:lpstr>XDO_?FINAL_MV?439?</vt:lpstr>
      <vt:lpstr>XDO_?FINAL_MV?440?</vt:lpstr>
      <vt:lpstr>XDO_?FINAL_MV?441?</vt:lpstr>
      <vt:lpstr>XDO_?FINAL_MV?442?</vt:lpstr>
      <vt:lpstr>XDO_?FINAL_MV?443?</vt:lpstr>
      <vt:lpstr>XDO_?FINAL_MV?444?</vt:lpstr>
      <vt:lpstr>XDO_?FINAL_MV?445?</vt:lpstr>
      <vt:lpstr>XDO_?FINAL_MV?446?</vt:lpstr>
      <vt:lpstr>XDO_?FINAL_MV?447?</vt:lpstr>
      <vt:lpstr>XDO_?FINAL_MV?448?</vt:lpstr>
      <vt:lpstr>XDO_?FINAL_MV?449?</vt:lpstr>
      <vt:lpstr>XDO_?FINAL_MV?450?</vt:lpstr>
      <vt:lpstr>XDO_?FINAL_MV?451?</vt:lpstr>
      <vt:lpstr>XDO_?FINAL_MV?452?</vt:lpstr>
      <vt:lpstr>XDO_?FINAL_MV?453?</vt:lpstr>
      <vt:lpstr>XDO_?FINAL_MV?454?</vt:lpstr>
      <vt:lpstr>XDO_?FINAL_MV?455?</vt:lpstr>
      <vt:lpstr>XDO_?FINAL_MV?456?</vt:lpstr>
      <vt:lpstr>XDO_?FINAL_MV?457?</vt:lpstr>
      <vt:lpstr>XDO_?FINAL_MV?458?</vt:lpstr>
      <vt:lpstr>XDO_?FINAL_MV?459?</vt:lpstr>
      <vt:lpstr>XDO_?FINAL_MV?460?</vt:lpstr>
      <vt:lpstr>XDO_?FINAL_MV?461?</vt:lpstr>
      <vt:lpstr>XDO_?FINAL_MV?462?</vt:lpstr>
      <vt:lpstr>XDO_?FINAL_MV?463?</vt:lpstr>
      <vt:lpstr>XDO_?FINAL_MV?464?</vt:lpstr>
      <vt:lpstr>XDO_?FINAL_MV?465?</vt:lpstr>
      <vt:lpstr>XDO_?FINAL_MV?466?</vt:lpstr>
      <vt:lpstr>XDO_?FINAL_MV?467?</vt:lpstr>
      <vt:lpstr>XDO_?FINAL_MV?468?</vt:lpstr>
      <vt:lpstr>XDO_?FINAL_MV?469?</vt:lpstr>
      <vt:lpstr>XDO_?FINAL_MV?470?</vt:lpstr>
      <vt:lpstr>XDO_?FINAL_MV?471?</vt:lpstr>
      <vt:lpstr>XDO_?FINAL_MV?472?</vt:lpstr>
      <vt:lpstr>XDO_?FINAL_MV?473?</vt:lpstr>
      <vt:lpstr>XDO_?FINAL_MV?474?</vt:lpstr>
      <vt:lpstr>XDO_?FINAL_MV?475?</vt:lpstr>
      <vt:lpstr>XDO_?FINAL_MV?476?</vt:lpstr>
      <vt:lpstr>XDO_?FINAL_MV?477?</vt:lpstr>
      <vt:lpstr>XDO_?FINAL_MV?478?</vt:lpstr>
      <vt:lpstr>XDO_?FINAL_MV?479?</vt:lpstr>
      <vt:lpstr>XDO_?FINAL_MV?480?</vt:lpstr>
      <vt:lpstr>XDO_?FINAL_MV?481?</vt:lpstr>
      <vt:lpstr>XDO_?FINAL_MV?482?</vt:lpstr>
      <vt:lpstr>XDO_?FINAL_MV?483?</vt:lpstr>
      <vt:lpstr>XDO_?FINAL_MV?484?</vt:lpstr>
      <vt:lpstr>XDO_?FINAL_MV?485?</vt:lpstr>
      <vt:lpstr>XDO_?FINAL_MV?486?</vt:lpstr>
      <vt:lpstr>XDO_?FINAL_MV?487?</vt:lpstr>
      <vt:lpstr>XDO_?FINAL_MV?488?</vt:lpstr>
      <vt:lpstr>XDO_?FINAL_MV?489?</vt:lpstr>
      <vt:lpstr>XDO_?FINAL_MV?490?</vt:lpstr>
      <vt:lpstr>XDO_?FINAL_MV?491?</vt:lpstr>
      <vt:lpstr>XDO_?FINAL_MV?492?</vt:lpstr>
      <vt:lpstr>XDO_?FINAL_MV?493?</vt:lpstr>
      <vt:lpstr>XDO_?FINAL_MV?494?</vt:lpstr>
      <vt:lpstr>XDO_?FINAL_MV?495?</vt:lpstr>
      <vt:lpstr>XDO_?FINAL_MV?496?</vt:lpstr>
      <vt:lpstr>XDO_?FINAL_MV?497?</vt:lpstr>
      <vt:lpstr>XDO_?FINAL_MV?498?</vt:lpstr>
      <vt:lpstr>XDO_?FINAL_MV?499?</vt:lpstr>
      <vt:lpstr>XDO_?FINAL_MV?50?</vt:lpstr>
      <vt:lpstr>XDO_?FINAL_MV?500?</vt:lpstr>
      <vt:lpstr>XDO_?FINAL_MV?501?</vt:lpstr>
      <vt:lpstr>XDO_?FINAL_MV?502?</vt:lpstr>
      <vt:lpstr>XDO_?FINAL_MV?503?</vt:lpstr>
      <vt:lpstr>XDO_?FINAL_MV?504?</vt:lpstr>
      <vt:lpstr>XDO_?FINAL_MV?505?</vt:lpstr>
      <vt:lpstr>XDO_?FINAL_MV?506?</vt:lpstr>
      <vt:lpstr>XDO_?FINAL_MV?507?</vt:lpstr>
      <vt:lpstr>XDO_?FINAL_MV?508?</vt:lpstr>
      <vt:lpstr>XDO_?FINAL_MV?509?</vt:lpstr>
      <vt:lpstr>XDO_?FINAL_MV?51?</vt:lpstr>
      <vt:lpstr>XDO_?FINAL_MV?510?</vt:lpstr>
      <vt:lpstr>XDO_?FINAL_MV?511?</vt:lpstr>
      <vt:lpstr>XDO_?FINAL_MV?512?</vt:lpstr>
      <vt:lpstr>XDO_?FINAL_MV?513?</vt:lpstr>
      <vt:lpstr>XDO_?FINAL_MV?514?</vt:lpstr>
      <vt:lpstr>XDO_?FINAL_MV?515?</vt:lpstr>
      <vt:lpstr>XDO_?FINAL_MV?516?</vt:lpstr>
      <vt:lpstr>XDO_?FINAL_MV?517?</vt:lpstr>
      <vt:lpstr>XDO_?FINAL_MV?518?</vt:lpstr>
      <vt:lpstr>XDO_?FINAL_MV?519?</vt:lpstr>
      <vt:lpstr>XDO_?FINAL_MV?52?</vt:lpstr>
      <vt:lpstr>XDO_?FINAL_MV?520?</vt:lpstr>
      <vt:lpstr>XDO_?FINAL_MV?521?</vt:lpstr>
      <vt:lpstr>XDO_?FINAL_MV?522?</vt:lpstr>
      <vt:lpstr>XDO_?FINAL_MV?523?</vt:lpstr>
      <vt:lpstr>XDO_?FINAL_MV?524?</vt:lpstr>
      <vt:lpstr>XDO_?FINAL_MV?525?</vt:lpstr>
      <vt:lpstr>XDO_?FINAL_MV?526?</vt:lpstr>
      <vt:lpstr>XDO_?FINAL_MV?527?</vt:lpstr>
      <vt:lpstr>XDO_?FINAL_MV?528?</vt:lpstr>
      <vt:lpstr>XDO_?FINAL_MV?529?</vt:lpstr>
      <vt:lpstr>XDO_?FINAL_MV?53?</vt:lpstr>
      <vt:lpstr>XDO_?FINAL_MV?530?</vt:lpstr>
      <vt:lpstr>XDO_?FINAL_MV?531?</vt:lpstr>
      <vt:lpstr>XDO_?FINAL_MV?532?</vt:lpstr>
      <vt:lpstr>XDO_?FINAL_MV?533?</vt:lpstr>
      <vt:lpstr>XDO_?FINAL_MV?534?</vt:lpstr>
      <vt:lpstr>XDO_?FINAL_MV?535?</vt:lpstr>
      <vt:lpstr>XDO_?FINAL_MV?536?</vt:lpstr>
      <vt:lpstr>XDO_?FINAL_MV?537?</vt:lpstr>
      <vt:lpstr>XDO_?FINAL_MV?538?</vt:lpstr>
      <vt:lpstr>XDO_?FINAL_MV?539?</vt:lpstr>
      <vt:lpstr>XDO_?FINAL_MV?54?</vt:lpstr>
      <vt:lpstr>XDO_?FINAL_MV?540?</vt:lpstr>
      <vt:lpstr>XDO_?FINAL_MV?541?</vt:lpstr>
      <vt:lpstr>XDO_?FINAL_MV?542?</vt:lpstr>
      <vt:lpstr>XDO_?FINAL_MV?543?</vt:lpstr>
      <vt:lpstr>XDO_?FINAL_MV?544?</vt:lpstr>
      <vt:lpstr>XDO_?FINAL_MV?545?</vt:lpstr>
      <vt:lpstr>XDO_?FINAL_MV?546?</vt:lpstr>
      <vt:lpstr>XDO_?FINAL_MV?547?</vt:lpstr>
      <vt:lpstr>XDO_?FINAL_MV?548?</vt:lpstr>
      <vt:lpstr>XDO_?FINAL_MV?549?</vt:lpstr>
      <vt:lpstr>XDO_?FINAL_MV?550?</vt:lpstr>
      <vt:lpstr>XDO_?FINAL_MV?551?</vt:lpstr>
      <vt:lpstr>XDO_?FINAL_MV?552?</vt:lpstr>
      <vt:lpstr>XDO_?FINAL_MV?553?</vt:lpstr>
      <vt:lpstr>XDO_?FINAL_MV?554?</vt:lpstr>
      <vt:lpstr>XDO_?FINAL_MV?555?</vt:lpstr>
      <vt:lpstr>XDO_?FINAL_MV?556?</vt:lpstr>
      <vt:lpstr>XDO_?FINAL_MV?557?</vt:lpstr>
      <vt:lpstr>XDO_?FINAL_MV?558?</vt:lpstr>
      <vt:lpstr>XDO_?FINAL_MV?559?</vt:lpstr>
      <vt:lpstr>XDO_?FINAL_MV?560?</vt:lpstr>
      <vt:lpstr>XDO_?FINAL_MV?561?</vt:lpstr>
      <vt:lpstr>XDO_?FINAL_MV?562?</vt:lpstr>
      <vt:lpstr>XDO_?FINAL_MV?563?</vt:lpstr>
      <vt:lpstr>XDO_?FINAL_MV?564?</vt:lpstr>
      <vt:lpstr>XDO_?FINAL_MV?565?</vt:lpstr>
      <vt:lpstr>XDO_?FINAL_MV?566?</vt:lpstr>
      <vt:lpstr>XDO_?FINAL_MV?567?</vt:lpstr>
      <vt:lpstr>XDO_?FINAL_MV?568?</vt:lpstr>
      <vt:lpstr>XDO_?FINAL_MV?569?</vt:lpstr>
      <vt:lpstr>XDO_?FINAL_MV?570?</vt:lpstr>
      <vt:lpstr>XDO_?FINAL_MV?571?</vt:lpstr>
      <vt:lpstr>XDO_?FINAL_MV?572?</vt:lpstr>
      <vt:lpstr>XDO_?FINAL_MV?573?</vt:lpstr>
      <vt:lpstr>XDO_?FINAL_MV?574?</vt:lpstr>
      <vt:lpstr>XDO_?FINAL_MV?575?</vt:lpstr>
      <vt:lpstr>XDO_?FINAL_MV?576?</vt:lpstr>
      <vt:lpstr>XDO_?FINAL_MV?577?</vt:lpstr>
      <vt:lpstr>XDO_?FINAL_MV?578?</vt:lpstr>
      <vt:lpstr>XDO_?FINAL_MV?579?</vt:lpstr>
      <vt:lpstr>XDO_?FINAL_MV?580?</vt:lpstr>
      <vt:lpstr>XDO_?FINAL_MV?581?</vt:lpstr>
      <vt:lpstr>XDO_?FINAL_MV?582?</vt:lpstr>
      <vt:lpstr>XDO_?FINAL_MV?583?</vt:lpstr>
      <vt:lpstr>XDO_?FINAL_MV?584?</vt:lpstr>
      <vt:lpstr>XDO_?FINAL_MV?585?</vt:lpstr>
      <vt:lpstr>XDO_?FINAL_MV?586?</vt:lpstr>
      <vt:lpstr>XDO_?FINAL_MV?587?</vt:lpstr>
      <vt:lpstr>XDO_?FINAL_MV?588?</vt:lpstr>
      <vt:lpstr>XDO_?FINAL_MV?589?</vt:lpstr>
      <vt:lpstr>XDO_?FINAL_MV?590?</vt:lpstr>
      <vt:lpstr>XDO_?FINAL_MV?591?</vt:lpstr>
      <vt:lpstr>XDO_?FINAL_MV?592?</vt:lpstr>
      <vt:lpstr>XDO_?FINAL_MV?593?</vt:lpstr>
      <vt:lpstr>XDO_?FINAL_MV?594?</vt:lpstr>
      <vt:lpstr>XDO_?FINAL_MV?595?</vt:lpstr>
      <vt:lpstr>XDO_?FINAL_MV?596?</vt:lpstr>
      <vt:lpstr>XDO_?FINAL_MV?597?</vt:lpstr>
      <vt:lpstr>XDO_?FINAL_MV?598?</vt:lpstr>
      <vt:lpstr>XDO_?FINAL_MV?599?</vt:lpstr>
      <vt:lpstr>XDO_?FINAL_MV?600?</vt:lpstr>
      <vt:lpstr>XDO_?FINAL_MV?601?</vt:lpstr>
      <vt:lpstr>XDO_?FINAL_MV?602?</vt:lpstr>
      <vt:lpstr>XDO_?FINAL_MV?603?</vt:lpstr>
      <vt:lpstr>XDO_?FINAL_MV?604?</vt:lpstr>
      <vt:lpstr>XDO_?FINAL_MV?605?</vt:lpstr>
      <vt:lpstr>XDO_?FINAL_MV?606?</vt:lpstr>
      <vt:lpstr>XDO_?FINAL_MV?607?</vt:lpstr>
      <vt:lpstr>XDO_?FINAL_MV?608?</vt:lpstr>
      <vt:lpstr>XDO_?FINAL_MV?609?</vt:lpstr>
      <vt:lpstr>XDO_?FINAL_MV?61?</vt:lpstr>
      <vt:lpstr>XDO_?FINAL_MV?610?</vt:lpstr>
      <vt:lpstr>XDO_?FINAL_MV?611?</vt:lpstr>
      <vt:lpstr>XDO_?FINAL_MV?612?</vt:lpstr>
      <vt:lpstr>XDO_?FINAL_MV?613?</vt:lpstr>
      <vt:lpstr>XDO_?FINAL_MV?614?</vt:lpstr>
      <vt:lpstr>XDO_?FINAL_MV?615?</vt:lpstr>
      <vt:lpstr>XDO_?FINAL_MV?616?</vt:lpstr>
      <vt:lpstr>XDO_?FINAL_MV?617?</vt:lpstr>
      <vt:lpstr>XDO_?FINAL_MV?618?</vt:lpstr>
      <vt:lpstr>XDO_?FINAL_MV?619?</vt:lpstr>
      <vt:lpstr>XDO_?FINAL_MV?62?</vt:lpstr>
      <vt:lpstr>XDO_?FINAL_MV?620?</vt:lpstr>
      <vt:lpstr>XDO_?FINAL_MV?621?</vt:lpstr>
      <vt:lpstr>XDO_?FINAL_MV?622?</vt:lpstr>
      <vt:lpstr>XDO_?FINAL_MV?623?</vt:lpstr>
      <vt:lpstr>XDO_?FINAL_MV?624?</vt:lpstr>
      <vt:lpstr>XDO_?FINAL_MV?625?</vt:lpstr>
      <vt:lpstr>XDO_?FINAL_MV?626?</vt:lpstr>
      <vt:lpstr>XDO_?FINAL_MV?627?</vt:lpstr>
      <vt:lpstr>XDO_?FINAL_MV?628?</vt:lpstr>
      <vt:lpstr>XDO_?FINAL_MV?629?</vt:lpstr>
      <vt:lpstr>XDO_?FINAL_MV?63?</vt:lpstr>
      <vt:lpstr>XDO_?FINAL_MV?630?</vt:lpstr>
      <vt:lpstr>XDO_?FINAL_MV?631?</vt:lpstr>
      <vt:lpstr>XDO_?FINAL_MV?632?</vt:lpstr>
      <vt:lpstr>XDO_?FINAL_MV?633?</vt:lpstr>
      <vt:lpstr>XDO_?FINAL_MV?634?</vt:lpstr>
      <vt:lpstr>XDO_?FINAL_MV?635?</vt:lpstr>
      <vt:lpstr>XDO_?FINAL_MV?636?</vt:lpstr>
      <vt:lpstr>XDO_?FINAL_MV?637?</vt:lpstr>
      <vt:lpstr>XDO_?FINAL_MV?638?</vt:lpstr>
      <vt:lpstr>XDO_?FINAL_MV?639?</vt:lpstr>
      <vt:lpstr>XDO_?FINAL_MV?64?</vt:lpstr>
      <vt:lpstr>XDO_?FINAL_MV?640?</vt:lpstr>
      <vt:lpstr>XDO_?FINAL_MV?641?</vt:lpstr>
      <vt:lpstr>XDO_?FINAL_MV?642?</vt:lpstr>
      <vt:lpstr>XDO_?FINAL_MV?643?</vt:lpstr>
      <vt:lpstr>XDO_?FINAL_MV?644?</vt:lpstr>
      <vt:lpstr>XDO_?FINAL_MV?645?</vt:lpstr>
      <vt:lpstr>XDO_?FINAL_MV?646?</vt:lpstr>
      <vt:lpstr>XDO_?FINAL_MV?647?</vt:lpstr>
      <vt:lpstr>XDO_?FINAL_MV?648?</vt:lpstr>
      <vt:lpstr>XDO_?FINAL_MV?649?</vt:lpstr>
      <vt:lpstr>XDO_?FINAL_MV?65?</vt:lpstr>
      <vt:lpstr>XDO_?FINAL_MV?650?</vt:lpstr>
      <vt:lpstr>XDO_?FINAL_MV?651?</vt:lpstr>
      <vt:lpstr>XDO_?FINAL_MV?652?</vt:lpstr>
      <vt:lpstr>XDO_?FINAL_MV?653?</vt:lpstr>
      <vt:lpstr>XDO_?FINAL_MV?654?</vt:lpstr>
      <vt:lpstr>XDO_?FINAL_MV?655?</vt:lpstr>
      <vt:lpstr>XDO_?FINAL_MV?656?</vt:lpstr>
      <vt:lpstr>XDO_?FINAL_MV?657?</vt:lpstr>
      <vt:lpstr>XDO_?FINAL_MV?658?</vt:lpstr>
      <vt:lpstr>XDO_?FINAL_MV?659?</vt:lpstr>
      <vt:lpstr>XDO_?FINAL_MV?66?</vt:lpstr>
      <vt:lpstr>XDO_?FINAL_MV?660?</vt:lpstr>
      <vt:lpstr>XDO_?FINAL_MV?661?</vt:lpstr>
      <vt:lpstr>XDO_?FINAL_MV?662?</vt:lpstr>
      <vt:lpstr>XDO_?FINAL_MV?663?</vt:lpstr>
      <vt:lpstr>XDO_?FINAL_MV?664?</vt:lpstr>
      <vt:lpstr>XDO_?FINAL_MV?665?</vt:lpstr>
      <vt:lpstr>XDO_?FINAL_MV?666?</vt:lpstr>
      <vt:lpstr>XDO_?FINAL_MV?667?</vt:lpstr>
      <vt:lpstr>XDO_?FINAL_MV?668?</vt:lpstr>
      <vt:lpstr>XDO_?FINAL_MV?669?</vt:lpstr>
      <vt:lpstr>XDO_?FINAL_MV?67?</vt:lpstr>
      <vt:lpstr>XDO_?FINAL_MV?670?</vt:lpstr>
      <vt:lpstr>XDO_?FINAL_MV?671?</vt:lpstr>
      <vt:lpstr>XDO_?FINAL_MV?672?</vt:lpstr>
      <vt:lpstr>XDO_?FINAL_MV?673?</vt:lpstr>
      <vt:lpstr>XDO_?FINAL_MV?674?</vt:lpstr>
      <vt:lpstr>XDO_?FINAL_MV?675?</vt:lpstr>
      <vt:lpstr>XDO_?FINAL_MV?676?</vt:lpstr>
      <vt:lpstr>XDO_?FINAL_MV?677?</vt:lpstr>
      <vt:lpstr>XDO_?FINAL_MV?678?</vt:lpstr>
      <vt:lpstr>XDO_?FINAL_MV?679?</vt:lpstr>
      <vt:lpstr>XDO_?FINAL_MV?68?</vt:lpstr>
      <vt:lpstr>XDO_?FINAL_MV?680?</vt:lpstr>
      <vt:lpstr>XDO_?FINAL_MV?681?</vt:lpstr>
      <vt:lpstr>XDO_?FINAL_MV?682?</vt:lpstr>
      <vt:lpstr>XDO_?FINAL_MV?683?</vt:lpstr>
      <vt:lpstr>XDO_?FINAL_MV?684?</vt:lpstr>
      <vt:lpstr>XDO_?FINAL_MV?685?</vt:lpstr>
      <vt:lpstr>XDO_?FINAL_MV?686?</vt:lpstr>
      <vt:lpstr>XDO_?FINAL_MV?687?</vt:lpstr>
      <vt:lpstr>XDO_?FINAL_MV?688?</vt:lpstr>
      <vt:lpstr>XDO_?FINAL_MV?689?</vt:lpstr>
      <vt:lpstr>XDO_?FINAL_MV?690?</vt:lpstr>
      <vt:lpstr>XDO_?FINAL_MV?691?</vt:lpstr>
      <vt:lpstr>XDO_?FINAL_MV?692?</vt:lpstr>
      <vt:lpstr>XDO_?FINAL_MV?76?</vt:lpstr>
      <vt:lpstr>XDO_?FINAL_MV?77?</vt:lpstr>
      <vt:lpstr>XDO_?FINAL_MV?78?</vt:lpstr>
      <vt:lpstr>XDO_?FINAL_MV?79?</vt:lpstr>
      <vt:lpstr>XDO_?FINAL_MV?84?</vt:lpstr>
      <vt:lpstr>XDO_?FINAL_MV?85?</vt:lpstr>
      <vt:lpstr>XDO_?FINAL_MV?86?</vt:lpstr>
      <vt:lpstr>XDO_?FINAL_MV?87?</vt:lpstr>
      <vt:lpstr>XDO_?FINAL_MV?88?</vt:lpstr>
      <vt:lpstr>XDO_?FINAL_MV?89?</vt:lpstr>
      <vt:lpstr>XDO_?FINAL_MV?90?</vt:lpstr>
      <vt:lpstr>XDO_?FINAL_MV?91?</vt:lpstr>
      <vt:lpstr>XDO_?FINAL_MV?92?</vt:lpstr>
      <vt:lpstr>XDO_?FINAL_MV?93?</vt:lpstr>
      <vt:lpstr>XDO_?FINAL_MV?94?</vt:lpstr>
      <vt:lpstr>XDO_?FINAL_MV?95?</vt:lpstr>
      <vt:lpstr>XDO_?FINAL_MV?96?</vt:lpstr>
      <vt:lpstr>XDO_?FINAL_MV?97?</vt:lpstr>
      <vt:lpstr>XDO_?FINAL_MV?98?</vt:lpstr>
      <vt:lpstr>XDO_?FINAL_MV?99?</vt:lpstr>
      <vt:lpstr>XDO_?FINAL_NAME?100?</vt:lpstr>
      <vt:lpstr>XDO_?FINAL_NAME?101?</vt:lpstr>
      <vt:lpstr>XDO_?FINAL_NAME?102?</vt:lpstr>
      <vt:lpstr>XDO_?FINAL_NAME?103?</vt:lpstr>
      <vt:lpstr>XDO_?FINAL_NAME?104?</vt:lpstr>
      <vt:lpstr>XDO_?FINAL_NAME?105?</vt:lpstr>
      <vt:lpstr>XDO_?FINAL_NAME?106?</vt:lpstr>
      <vt:lpstr>XDO_?FINAL_NAME?107?</vt:lpstr>
      <vt:lpstr>XDO_?FINAL_NAME?108?</vt:lpstr>
      <vt:lpstr>XDO_?FINAL_NAME?109?</vt:lpstr>
      <vt:lpstr>XDO_?FINAL_NAME?110?</vt:lpstr>
      <vt:lpstr>XDO_?FINAL_NAME?111?</vt:lpstr>
      <vt:lpstr>XDO_?FINAL_NAME?112?</vt:lpstr>
      <vt:lpstr>XDO_?FINAL_NAME?113?</vt:lpstr>
      <vt:lpstr>XDO_?FINAL_NAME?114?</vt:lpstr>
      <vt:lpstr>XDO_?FINAL_NAME?115?</vt:lpstr>
      <vt:lpstr>XDO_?FINAL_NAME?116?</vt:lpstr>
      <vt:lpstr>XDO_?FINAL_NAME?117?</vt:lpstr>
      <vt:lpstr>XDO_?FINAL_NAME?118?</vt:lpstr>
      <vt:lpstr>XDO_?FINAL_NAME?119?</vt:lpstr>
      <vt:lpstr>XDO_?FINAL_NAME?12?</vt:lpstr>
      <vt:lpstr>XDO_?FINAL_NAME?120?</vt:lpstr>
      <vt:lpstr>XDO_?FINAL_NAME?121?</vt:lpstr>
      <vt:lpstr>XDO_?FINAL_NAME?122?</vt:lpstr>
      <vt:lpstr>XDO_?FINAL_NAME?123?</vt:lpstr>
      <vt:lpstr>XDO_?FINAL_NAME?124?</vt:lpstr>
      <vt:lpstr>XDO_?FINAL_NAME?125?</vt:lpstr>
      <vt:lpstr>XDO_?FINAL_NAME?126?</vt:lpstr>
      <vt:lpstr>XDO_?FINAL_NAME?127?</vt:lpstr>
      <vt:lpstr>XDO_?FINAL_NAME?128?</vt:lpstr>
      <vt:lpstr>XDO_?FINAL_NAME?129?</vt:lpstr>
      <vt:lpstr>XDO_?FINAL_NAME?13?</vt:lpstr>
      <vt:lpstr>XDO_?FINAL_NAME?130?</vt:lpstr>
      <vt:lpstr>XDO_?FINAL_NAME?131?</vt:lpstr>
      <vt:lpstr>XDO_?FINAL_NAME?132?</vt:lpstr>
      <vt:lpstr>XDO_?FINAL_NAME?133?</vt:lpstr>
      <vt:lpstr>XDO_?FINAL_NAME?134?</vt:lpstr>
      <vt:lpstr>XDO_?FINAL_NAME?135?</vt:lpstr>
      <vt:lpstr>XDO_?FINAL_NAME?136?</vt:lpstr>
      <vt:lpstr>XDO_?FINAL_NAME?137?</vt:lpstr>
      <vt:lpstr>XDO_?FINAL_NAME?138?</vt:lpstr>
      <vt:lpstr>XDO_?FINAL_NAME?139?</vt:lpstr>
      <vt:lpstr>XDO_?FINAL_NAME?14?</vt:lpstr>
      <vt:lpstr>XDO_?FINAL_NAME?140?</vt:lpstr>
      <vt:lpstr>XDO_?FINAL_NAME?141?</vt:lpstr>
      <vt:lpstr>XDO_?FINAL_NAME?142?</vt:lpstr>
      <vt:lpstr>XDO_?FINAL_NAME?143?</vt:lpstr>
      <vt:lpstr>XDO_?FINAL_NAME?144?</vt:lpstr>
      <vt:lpstr>XDO_?FINAL_NAME?145?</vt:lpstr>
      <vt:lpstr>XDO_?FINAL_NAME?146?</vt:lpstr>
      <vt:lpstr>XDO_?FINAL_NAME?147?</vt:lpstr>
      <vt:lpstr>XDO_?FINAL_NAME?148?</vt:lpstr>
      <vt:lpstr>XDO_?FINAL_NAME?149?</vt:lpstr>
      <vt:lpstr>XDO_?FINAL_NAME?15?</vt:lpstr>
      <vt:lpstr>XDO_?FINAL_NAME?150?</vt:lpstr>
      <vt:lpstr>XDO_?FINAL_NAME?151?</vt:lpstr>
      <vt:lpstr>XDO_?FINAL_NAME?152?</vt:lpstr>
      <vt:lpstr>XDO_?FINAL_NAME?153?</vt:lpstr>
      <vt:lpstr>XDO_?FINAL_NAME?154?</vt:lpstr>
      <vt:lpstr>XDO_?FINAL_NAME?155?</vt:lpstr>
      <vt:lpstr>XDO_?FINAL_NAME?156?</vt:lpstr>
      <vt:lpstr>XDO_?FINAL_NAME?157?</vt:lpstr>
      <vt:lpstr>XDO_?FINAL_NAME?158?</vt:lpstr>
      <vt:lpstr>XDO_?FINAL_NAME?159?</vt:lpstr>
      <vt:lpstr>XDO_?FINAL_NAME?16?</vt:lpstr>
      <vt:lpstr>XDO_?FINAL_NAME?160?</vt:lpstr>
      <vt:lpstr>XDO_?FINAL_NAME?161?</vt:lpstr>
      <vt:lpstr>XDO_?FINAL_NAME?162?</vt:lpstr>
      <vt:lpstr>XDO_?FINAL_NAME?163?</vt:lpstr>
      <vt:lpstr>XDO_?FINAL_NAME?164?</vt:lpstr>
      <vt:lpstr>XDO_?FINAL_NAME?165?</vt:lpstr>
      <vt:lpstr>XDO_?FINAL_NAME?166?</vt:lpstr>
      <vt:lpstr>XDO_?FINAL_NAME?167?</vt:lpstr>
      <vt:lpstr>XDO_?FINAL_NAME?168?</vt:lpstr>
      <vt:lpstr>XDO_?FINAL_NAME?169?</vt:lpstr>
      <vt:lpstr>XDO_?FINAL_NAME?17?</vt:lpstr>
      <vt:lpstr>XDO_?FINAL_NAME?170?</vt:lpstr>
      <vt:lpstr>XDO_?FINAL_NAME?171?</vt:lpstr>
      <vt:lpstr>XDO_?FINAL_NAME?172?</vt:lpstr>
      <vt:lpstr>XDO_?FINAL_NAME?173?</vt:lpstr>
      <vt:lpstr>XDO_?FINAL_NAME?174?</vt:lpstr>
      <vt:lpstr>XDO_?FINAL_NAME?175?</vt:lpstr>
      <vt:lpstr>XDO_?FINAL_NAME?176?</vt:lpstr>
      <vt:lpstr>XDO_?FINAL_NAME?177?</vt:lpstr>
      <vt:lpstr>XDO_?FINAL_NAME?178?</vt:lpstr>
      <vt:lpstr>XDO_?FINAL_NAME?179?</vt:lpstr>
      <vt:lpstr>XDO_?FINAL_NAME?180?</vt:lpstr>
      <vt:lpstr>XDO_?FINAL_NAME?181?</vt:lpstr>
      <vt:lpstr>XDO_?FINAL_NAME?182?</vt:lpstr>
      <vt:lpstr>XDO_?FINAL_NAME?183?</vt:lpstr>
      <vt:lpstr>XDO_?FINAL_NAME?184?</vt:lpstr>
      <vt:lpstr>XDO_?FINAL_NAME?185?</vt:lpstr>
      <vt:lpstr>XDO_?FINAL_NAME?186?</vt:lpstr>
      <vt:lpstr>XDO_?FINAL_NAME?187?</vt:lpstr>
      <vt:lpstr>XDO_?FINAL_NAME?188?</vt:lpstr>
      <vt:lpstr>XDO_?FINAL_NAME?189?</vt:lpstr>
      <vt:lpstr>XDO_?FINAL_NAME?190?</vt:lpstr>
      <vt:lpstr>XDO_?FINAL_NAME?191?</vt:lpstr>
      <vt:lpstr>XDO_?FINAL_NAME?192?</vt:lpstr>
      <vt:lpstr>XDO_?FINAL_NAME?193?</vt:lpstr>
      <vt:lpstr>XDO_?FINAL_NAME?194?</vt:lpstr>
      <vt:lpstr>XDO_?FINAL_NAME?195?</vt:lpstr>
      <vt:lpstr>XDO_?FINAL_NAME?196?</vt:lpstr>
      <vt:lpstr>XDO_?FINAL_NAME?197?</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XDO_?FINAL_NAME?207?</vt:lpstr>
      <vt:lpstr>XDO_?FINAL_NAME?208?</vt:lpstr>
      <vt:lpstr>XDO_?FINAL_NAME?209?</vt:lpstr>
      <vt:lpstr>XDO_?FINAL_NAME?210?</vt:lpstr>
      <vt:lpstr>XDO_?FINAL_NAME?211?</vt:lpstr>
      <vt:lpstr>XDO_?FINAL_NAME?212?</vt:lpstr>
      <vt:lpstr>XDO_?FINAL_NAME?213?</vt:lpstr>
      <vt:lpstr>XDO_?FINAL_NAME?214?</vt:lpstr>
      <vt:lpstr>XDO_?FINAL_NAME?215?</vt:lpstr>
      <vt:lpstr>XDO_?FINAL_NAME?216?</vt:lpstr>
      <vt:lpstr>XDO_?FINAL_NAME?217?</vt:lpstr>
      <vt:lpstr>XDO_?FINAL_NAME?218?</vt:lpstr>
      <vt:lpstr>XDO_?FINAL_NAME?219?</vt:lpstr>
      <vt:lpstr>XDO_?FINAL_NAME?220?</vt:lpstr>
      <vt:lpstr>XDO_?FINAL_NAME?221?</vt:lpstr>
      <vt:lpstr>XDO_?FINAL_NAME?222?</vt:lpstr>
      <vt:lpstr>XDO_?FINAL_NAME?223?</vt:lpstr>
      <vt:lpstr>XDO_?FINAL_NAME?224?</vt:lpstr>
      <vt:lpstr>XDO_?FINAL_NAME?225?</vt:lpstr>
      <vt:lpstr>XDO_?FINAL_NAME?226?</vt:lpstr>
      <vt:lpstr>XDO_?FINAL_NAME?227?</vt:lpstr>
      <vt:lpstr>XDO_?FINAL_NAME?228?</vt:lpstr>
      <vt:lpstr>XDO_?FINAL_NAME?229?</vt:lpstr>
      <vt:lpstr>XDO_?FINAL_NAME?230?</vt:lpstr>
      <vt:lpstr>XDO_?FINAL_NAME?231?</vt:lpstr>
      <vt:lpstr>XDO_?FINAL_NAME?232?</vt:lpstr>
      <vt:lpstr>XDO_?FINAL_NAME?233?</vt:lpstr>
      <vt:lpstr>XDO_?FINAL_NAME?234?</vt:lpstr>
      <vt:lpstr>XDO_?FINAL_NAME?235?</vt:lpstr>
      <vt:lpstr>XDO_?FINAL_NAME?236?</vt:lpstr>
      <vt:lpstr>XDO_?FINAL_NAME?237?</vt:lpstr>
      <vt:lpstr>XDO_?FINAL_NAME?238?</vt:lpstr>
      <vt:lpstr>XDO_?FINAL_NAME?239?</vt:lpstr>
      <vt:lpstr>XDO_?FINAL_NAME?240?</vt:lpstr>
      <vt:lpstr>XDO_?FINAL_NAME?241?</vt:lpstr>
      <vt:lpstr>XDO_?FINAL_NAME?242?</vt:lpstr>
      <vt:lpstr>XDO_?FINAL_NAME?243?</vt:lpstr>
      <vt:lpstr>XDO_?FINAL_NAME?244?</vt:lpstr>
      <vt:lpstr>XDO_?FINAL_NAME?245?</vt:lpstr>
      <vt:lpstr>XDO_?FINAL_NAME?246?</vt:lpstr>
      <vt:lpstr>XDO_?FINAL_NAME?247?</vt:lpstr>
      <vt:lpstr>XDO_?FINAL_NAME?248?</vt:lpstr>
      <vt:lpstr>XDO_?FINAL_NAME?249?</vt:lpstr>
      <vt:lpstr>XDO_?FINAL_NAME?250?</vt:lpstr>
      <vt:lpstr>XDO_?FINAL_NAME?251?</vt:lpstr>
      <vt:lpstr>XDO_?FINAL_NAME?252?</vt:lpstr>
      <vt:lpstr>XDO_?FINAL_NAME?253?</vt:lpstr>
      <vt:lpstr>XDO_?FINAL_NAME?254?</vt:lpstr>
      <vt:lpstr>XDO_?FINAL_NAME?255?</vt:lpstr>
      <vt:lpstr>XDO_?FINAL_NAME?256?</vt:lpstr>
      <vt:lpstr>XDO_?FINAL_NAME?257?</vt:lpstr>
      <vt:lpstr>XDO_?FINAL_NAME?258?</vt:lpstr>
      <vt:lpstr>XDO_?FINAL_NAME?259?</vt:lpstr>
      <vt:lpstr>XDO_?FINAL_NAME?260?</vt:lpstr>
      <vt:lpstr>XDO_?FINAL_NAME?261?</vt:lpstr>
      <vt:lpstr>XDO_?FINAL_NAME?262?</vt:lpstr>
      <vt:lpstr>XDO_?FINAL_NAME?263?</vt:lpstr>
      <vt:lpstr>XDO_?FINAL_NAME?264?</vt:lpstr>
      <vt:lpstr>XDO_?FINAL_NAME?265?</vt:lpstr>
      <vt:lpstr>XDO_?FINAL_NAME?266?</vt:lpstr>
      <vt:lpstr>XDO_?FINAL_NAME?267?</vt:lpstr>
      <vt:lpstr>XDO_?FINAL_NAME?268?</vt:lpstr>
      <vt:lpstr>XDO_?FINAL_NAME?269?</vt:lpstr>
      <vt:lpstr>XDO_?FINAL_NAME?270?</vt:lpstr>
      <vt:lpstr>XDO_?FINAL_NAME?271?</vt:lpstr>
      <vt:lpstr>XDO_?FINAL_NAME?272?</vt:lpstr>
      <vt:lpstr>XDO_?FINAL_NAME?273?</vt:lpstr>
      <vt:lpstr>XDO_?FINAL_NAME?274?</vt:lpstr>
      <vt:lpstr>XDO_?FINAL_NAME?275?</vt:lpstr>
      <vt:lpstr>XDO_?FINAL_NAME?276?</vt:lpstr>
      <vt:lpstr>XDO_?FINAL_NAME?277?</vt:lpstr>
      <vt:lpstr>XDO_?FINAL_NAME?278?</vt:lpstr>
      <vt:lpstr>XDO_?FINAL_NAME?279?</vt:lpstr>
      <vt:lpstr>XDO_?FINAL_NAME?280?</vt:lpstr>
      <vt:lpstr>XDO_?FINAL_NAME?281?</vt:lpstr>
      <vt:lpstr>XDO_?FINAL_NAME?282?</vt:lpstr>
      <vt:lpstr>XDO_?FINAL_NAME?283?</vt:lpstr>
      <vt:lpstr>XDO_?FINAL_NAME?284?</vt:lpstr>
      <vt:lpstr>XDO_?FINAL_NAME?285?</vt:lpstr>
      <vt:lpstr>XDO_?FINAL_NAME?286?</vt:lpstr>
      <vt:lpstr>XDO_?FINAL_NAME?287?</vt:lpstr>
      <vt:lpstr>XDO_?FINAL_NAME?288?</vt:lpstr>
      <vt:lpstr>XDO_?FINAL_NAME?289?</vt:lpstr>
      <vt:lpstr>XDO_?FINAL_NAME?290?</vt:lpstr>
      <vt:lpstr>XDO_?FINAL_NAME?291?</vt:lpstr>
      <vt:lpstr>XDO_?FINAL_NAME?292?</vt:lpstr>
      <vt:lpstr>XDO_?FINAL_NAME?293?</vt:lpstr>
      <vt:lpstr>XDO_?FINAL_NAME?294?</vt:lpstr>
      <vt:lpstr>XDO_?FINAL_NAME?295?</vt:lpstr>
      <vt:lpstr>XDO_?FINAL_NAME?296?</vt:lpstr>
      <vt:lpstr>XDO_?FINAL_NAME?297?</vt:lpstr>
      <vt:lpstr>XDO_?FINAL_NAME?298?</vt:lpstr>
      <vt:lpstr>XDO_?FINAL_NAME?299?</vt:lpstr>
      <vt:lpstr>XDO_?FINAL_NAME?300?</vt:lpstr>
      <vt:lpstr>XDO_?FINAL_NAME?301?</vt:lpstr>
      <vt:lpstr>XDO_?FINAL_NAME?302?</vt:lpstr>
      <vt:lpstr>XDO_?FINAL_NAME?303?</vt:lpstr>
      <vt:lpstr>XDO_?FINAL_NAME?304?</vt:lpstr>
      <vt:lpstr>XDO_?FINAL_NAME?305?</vt:lpstr>
      <vt:lpstr>XDO_?FINAL_NAME?306?</vt:lpstr>
      <vt:lpstr>XDO_?FINAL_NAME?307?</vt:lpstr>
      <vt:lpstr>XDO_?FINAL_NAME?308?</vt:lpstr>
      <vt:lpstr>XDO_?FINAL_NAME?309?</vt:lpstr>
      <vt:lpstr>XDO_?FINAL_NAME?310?</vt:lpstr>
      <vt:lpstr>XDO_?FINAL_NAME?311?</vt:lpstr>
      <vt:lpstr>XDO_?FINAL_NAME?312?</vt:lpstr>
      <vt:lpstr>XDO_?FINAL_NAME?313?</vt:lpstr>
      <vt:lpstr>XDO_?FINAL_NAME?314?</vt:lpstr>
      <vt:lpstr>XDO_?FINAL_NAME?315?</vt:lpstr>
      <vt:lpstr>XDO_?FINAL_NAME?316?</vt:lpstr>
      <vt:lpstr>XDO_?FINAL_NAME?317?</vt:lpstr>
      <vt:lpstr>XDO_?FINAL_NAME?318?</vt:lpstr>
      <vt:lpstr>XDO_?FINAL_NAME?319?</vt:lpstr>
      <vt:lpstr>XDO_?FINAL_NAME?320?</vt:lpstr>
      <vt:lpstr>XDO_?FINAL_NAME?321?</vt:lpstr>
      <vt:lpstr>XDO_?FINAL_NAME?322?</vt:lpstr>
      <vt:lpstr>XDO_?FINAL_NAME?323?</vt:lpstr>
      <vt:lpstr>XDO_?FINAL_NAME?324?</vt:lpstr>
      <vt:lpstr>XDO_?FINAL_NAME?325?</vt:lpstr>
      <vt:lpstr>XDO_?FINAL_NAME?326?</vt:lpstr>
      <vt:lpstr>XDO_?FINAL_NAME?327?</vt:lpstr>
      <vt:lpstr>XDO_?FINAL_NAME?328?</vt:lpstr>
      <vt:lpstr>XDO_?FINAL_NAME?329?</vt:lpstr>
      <vt:lpstr>XDO_?FINAL_NAME?330?</vt:lpstr>
      <vt:lpstr>XDO_?FINAL_NAME?331?</vt:lpstr>
      <vt:lpstr>XDO_?FINAL_NAME?332?</vt:lpstr>
      <vt:lpstr>XDO_?FINAL_NAME?333?</vt:lpstr>
      <vt:lpstr>XDO_?FINAL_NAME?334?</vt:lpstr>
      <vt:lpstr>XDO_?FINAL_NAME?335?</vt:lpstr>
      <vt:lpstr>XDO_?FINAL_NAME?336?</vt:lpstr>
      <vt:lpstr>XDO_?FINAL_NAME?337?</vt:lpstr>
      <vt:lpstr>XDO_?FINAL_NAME?338?</vt:lpstr>
      <vt:lpstr>XDO_?FINAL_NAME?339?</vt:lpstr>
      <vt:lpstr>XDO_?FINAL_NAME?340?</vt:lpstr>
      <vt:lpstr>XDO_?FINAL_NAME?341?</vt:lpstr>
      <vt:lpstr>XDO_?FINAL_NAME?342?</vt:lpstr>
      <vt:lpstr>XDO_?FINAL_NAME?343?</vt:lpstr>
      <vt:lpstr>XDO_?FINAL_NAME?344?</vt:lpstr>
      <vt:lpstr>XDO_?FINAL_NAME?345?</vt:lpstr>
      <vt:lpstr>XDO_?FINAL_NAME?346?</vt:lpstr>
      <vt:lpstr>XDO_?FINAL_NAME?347?</vt:lpstr>
      <vt:lpstr>XDO_?FINAL_NAME?348?</vt:lpstr>
      <vt:lpstr>XDO_?FINAL_NAME?349?</vt:lpstr>
      <vt:lpstr>XDO_?FINAL_NAME?350?</vt:lpstr>
      <vt:lpstr>XDO_?FINAL_NAME?351?</vt:lpstr>
      <vt:lpstr>XDO_?FINAL_NAME?352?</vt:lpstr>
      <vt:lpstr>XDO_?FINAL_NAME?353?</vt:lpstr>
      <vt:lpstr>XDO_?FINAL_NAME?354?</vt:lpstr>
      <vt:lpstr>XDO_?FINAL_NAME?355?</vt:lpstr>
      <vt:lpstr>XDO_?FINAL_NAME?356?</vt:lpstr>
      <vt:lpstr>XDO_?FINAL_NAME?357?</vt:lpstr>
      <vt:lpstr>XDO_?FINAL_NAME?358?</vt:lpstr>
      <vt:lpstr>XDO_?FINAL_NAME?359?</vt:lpstr>
      <vt:lpstr>XDO_?FINAL_NAME?36?</vt:lpstr>
      <vt:lpstr>XDO_?FINAL_NAME?360?</vt:lpstr>
      <vt:lpstr>XDO_?FINAL_NAME?361?</vt:lpstr>
      <vt:lpstr>XDO_?FINAL_NAME?362?</vt:lpstr>
      <vt:lpstr>XDO_?FINAL_NAME?363?</vt:lpstr>
      <vt:lpstr>XDO_?FINAL_NAME?364?</vt:lpstr>
      <vt:lpstr>XDO_?FINAL_NAME?365?</vt:lpstr>
      <vt:lpstr>XDO_?FINAL_NAME?366?</vt:lpstr>
      <vt:lpstr>XDO_?FINAL_NAME?367?</vt:lpstr>
      <vt:lpstr>XDO_?FINAL_NAME?368?</vt:lpstr>
      <vt:lpstr>XDO_?FINAL_NAME?369?</vt:lpstr>
      <vt:lpstr>XDO_?FINAL_NAME?37?</vt:lpstr>
      <vt:lpstr>XDO_?FINAL_NAME?370?</vt:lpstr>
      <vt:lpstr>XDO_?FINAL_NAME?371?</vt:lpstr>
      <vt:lpstr>XDO_?FINAL_NAME?372?</vt:lpstr>
      <vt:lpstr>XDO_?FINAL_NAME?373?</vt:lpstr>
      <vt:lpstr>XDO_?FINAL_NAME?374?</vt:lpstr>
      <vt:lpstr>XDO_?FINAL_NAME?375?</vt:lpstr>
      <vt:lpstr>XDO_?FINAL_NAME?376?</vt:lpstr>
      <vt:lpstr>XDO_?FINAL_NAME?377?</vt:lpstr>
      <vt:lpstr>XDO_?FINAL_NAME?378?</vt:lpstr>
      <vt:lpstr>XDO_?FINAL_NAME?379?</vt:lpstr>
      <vt:lpstr>XDO_?FINAL_NAME?38?</vt:lpstr>
      <vt:lpstr>XDO_?FINAL_NAME?380?</vt:lpstr>
      <vt:lpstr>XDO_?FINAL_NAME?381?</vt:lpstr>
      <vt:lpstr>XDO_?FINAL_NAME?382?</vt:lpstr>
      <vt:lpstr>XDO_?FINAL_NAME?383?</vt:lpstr>
      <vt:lpstr>XDO_?FINAL_NAME?384?</vt:lpstr>
      <vt:lpstr>XDO_?FINAL_NAME?385?</vt:lpstr>
      <vt:lpstr>XDO_?FINAL_NAME?386?</vt:lpstr>
      <vt:lpstr>XDO_?FINAL_NAME?387?</vt:lpstr>
      <vt:lpstr>XDO_?FINAL_NAME?388?</vt:lpstr>
      <vt:lpstr>XDO_?FINAL_NAME?389?</vt:lpstr>
      <vt:lpstr>XDO_?FINAL_NAME?39?</vt:lpstr>
      <vt:lpstr>XDO_?FINAL_NAME?390?</vt:lpstr>
      <vt:lpstr>XDO_?FINAL_NAME?391?</vt:lpstr>
      <vt:lpstr>XDO_?FINAL_NAME?392?</vt:lpstr>
      <vt:lpstr>XDO_?FINAL_NAME?393?</vt:lpstr>
      <vt:lpstr>XDO_?FINAL_NAME?394?</vt:lpstr>
      <vt:lpstr>XDO_?FINAL_NAME?395?</vt:lpstr>
      <vt:lpstr>XDO_?FINAL_NAME?396?</vt:lpstr>
      <vt:lpstr>XDO_?FINAL_NAME?397?</vt:lpstr>
      <vt:lpstr>XDO_?FINAL_NAME?398?</vt:lpstr>
      <vt:lpstr>XDO_?FINAL_NAME?399?</vt:lpstr>
      <vt:lpstr>XDO_?FINAL_NAME?40?</vt:lpstr>
      <vt:lpstr>XDO_?FINAL_NAME?400?</vt:lpstr>
      <vt:lpstr>XDO_?FINAL_NAME?401?</vt:lpstr>
      <vt:lpstr>XDO_?FINAL_NAME?402?</vt:lpstr>
      <vt:lpstr>XDO_?FINAL_NAME?403?</vt:lpstr>
      <vt:lpstr>XDO_?FINAL_NAME?404?</vt:lpstr>
      <vt:lpstr>XDO_?FINAL_NAME?405?</vt:lpstr>
      <vt:lpstr>XDO_?FINAL_NAME?406?</vt:lpstr>
      <vt:lpstr>XDO_?FINAL_NAME?407?</vt:lpstr>
      <vt:lpstr>XDO_?FINAL_NAME?408?</vt:lpstr>
      <vt:lpstr>XDO_?FINAL_NAME?409?</vt:lpstr>
      <vt:lpstr>XDO_?FINAL_NAME?41?</vt:lpstr>
      <vt:lpstr>XDO_?FINAL_NAME?410?</vt:lpstr>
      <vt:lpstr>XDO_?FINAL_NAME?411?</vt:lpstr>
      <vt:lpstr>XDO_?FINAL_NAME?412?</vt:lpstr>
      <vt:lpstr>XDO_?FINAL_NAME?413?</vt:lpstr>
      <vt:lpstr>XDO_?FINAL_NAME?414?</vt:lpstr>
      <vt:lpstr>XDO_?FINAL_NAME?415?</vt:lpstr>
      <vt:lpstr>XDO_?FINAL_NAME?416?</vt:lpstr>
      <vt:lpstr>XDO_?FINAL_NAME?417?</vt:lpstr>
      <vt:lpstr>XDO_?FINAL_NAME?418?</vt:lpstr>
      <vt:lpstr>XDO_?FINAL_NAME?419?</vt:lpstr>
      <vt:lpstr>XDO_?FINAL_NAME?42?</vt:lpstr>
      <vt:lpstr>XDO_?FINAL_NAME?420?</vt:lpstr>
      <vt:lpstr>XDO_?FINAL_NAME?421?</vt:lpstr>
      <vt:lpstr>XDO_?FINAL_NAME?422?</vt:lpstr>
      <vt:lpstr>XDO_?FINAL_NAME?423?</vt:lpstr>
      <vt:lpstr>XDO_?FINAL_NAME?424?</vt:lpstr>
      <vt:lpstr>XDO_?FINAL_NAME?425?</vt:lpstr>
      <vt:lpstr>XDO_?FINAL_NAME?426?</vt:lpstr>
      <vt:lpstr>XDO_?FINAL_NAME?427?</vt:lpstr>
      <vt:lpstr>XDO_?FINAL_NAME?428?</vt:lpstr>
      <vt:lpstr>XDO_?FINAL_NAME?429?</vt:lpstr>
      <vt:lpstr>XDO_?FINAL_NAME?43?</vt:lpstr>
      <vt:lpstr>XDO_?FINAL_NAME?430?</vt:lpstr>
      <vt:lpstr>XDO_?FINAL_NAME?431?</vt:lpstr>
      <vt:lpstr>XDO_?FINAL_NAME?432?</vt:lpstr>
      <vt:lpstr>XDO_?FINAL_NAME?433?</vt:lpstr>
      <vt:lpstr>XDO_?FINAL_NAME?434?</vt:lpstr>
      <vt:lpstr>XDO_?FINAL_NAME?435?</vt:lpstr>
      <vt:lpstr>XDO_?FINAL_NAME?436?</vt:lpstr>
      <vt:lpstr>XDO_?FINAL_NAME?437?</vt:lpstr>
      <vt:lpstr>XDO_?FINAL_NAME?438?</vt:lpstr>
      <vt:lpstr>XDO_?FINAL_NAME?439?</vt:lpstr>
      <vt:lpstr>XDO_?FINAL_NAME?440?</vt:lpstr>
      <vt:lpstr>XDO_?FINAL_NAME?441?</vt:lpstr>
      <vt:lpstr>XDO_?FINAL_NAME?442?</vt:lpstr>
      <vt:lpstr>XDO_?FINAL_NAME?443?</vt:lpstr>
      <vt:lpstr>XDO_?FINAL_NAME?444?</vt:lpstr>
      <vt:lpstr>XDO_?FINAL_NAME?445?</vt:lpstr>
      <vt:lpstr>XDO_?FINAL_NAME?446?</vt:lpstr>
      <vt:lpstr>XDO_?FINAL_NAME?447?</vt:lpstr>
      <vt:lpstr>XDO_?FINAL_NAME?448?</vt:lpstr>
      <vt:lpstr>XDO_?FINAL_NAME?449?</vt:lpstr>
      <vt:lpstr>XDO_?FINAL_NAME?450?</vt:lpstr>
      <vt:lpstr>XDO_?FINAL_NAME?451?</vt:lpstr>
      <vt:lpstr>XDO_?FINAL_NAME?452?</vt:lpstr>
      <vt:lpstr>XDO_?FINAL_NAME?453?</vt:lpstr>
      <vt:lpstr>XDO_?FINAL_NAME?454?</vt:lpstr>
      <vt:lpstr>XDO_?FINAL_NAME?455?</vt:lpstr>
      <vt:lpstr>XDO_?FINAL_NAME?456?</vt:lpstr>
      <vt:lpstr>XDO_?FINAL_NAME?457?</vt:lpstr>
      <vt:lpstr>XDO_?FINAL_NAME?458?</vt:lpstr>
      <vt:lpstr>XDO_?FINAL_NAME?459?</vt:lpstr>
      <vt:lpstr>XDO_?FINAL_NAME?460?</vt:lpstr>
      <vt:lpstr>XDO_?FINAL_NAME?461?</vt:lpstr>
      <vt:lpstr>XDO_?FINAL_NAME?462?</vt:lpstr>
      <vt:lpstr>XDO_?FINAL_NAME?463?</vt:lpstr>
      <vt:lpstr>XDO_?FINAL_NAME?464?</vt:lpstr>
      <vt:lpstr>XDO_?FINAL_NAME?465?</vt:lpstr>
      <vt:lpstr>XDO_?FINAL_NAME?466?</vt:lpstr>
      <vt:lpstr>XDO_?FINAL_NAME?467?</vt:lpstr>
      <vt:lpstr>XDO_?FINAL_NAME?468?</vt:lpstr>
      <vt:lpstr>XDO_?FINAL_NAME?469?</vt:lpstr>
      <vt:lpstr>XDO_?FINAL_NAME?470?</vt:lpstr>
      <vt:lpstr>XDO_?FINAL_NAME?471?</vt:lpstr>
      <vt:lpstr>XDO_?FINAL_NAME?472?</vt:lpstr>
      <vt:lpstr>XDO_?FINAL_NAME?473?</vt:lpstr>
      <vt:lpstr>XDO_?FINAL_NAME?474?</vt:lpstr>
      <vt:lpstr>XDO_?FINAL_NAME?475?</vt:lpstr>
      <vt:lpstr>XDO_?FINAL_NAME?476?</vt:lpstr>
      <vt:lpstr>XDO_?FINAL_NAME?477?</vt:lpstr>
      <vt:lpstr>XDO_?FINAL_NAME?478?</vt:lpstr>
      <vt:lpstr>XDO_?FINAL_NAME?479?</vt:lpstr>
      <vt:lpstr>XDO_?FINAL_NAME?480?</vt:lpstr>
      <vt:lpstr>XDO_?FINAL_NAME?481?</vt:lpstr>
      <vt:lpstr>XDO_?FINAL_NAME?482?</vt:lpstr>
      <vt:lpstr>XDO_?FINAL_NAME?483?</vt:lpstr>
      <vt:lpstr>XDO_?FINAL_NAME?484?</vt:lpstr>
      <vt:lpstr>XDO_?FINAL_NAME?485?</vt:lpstr>
      <vt:lpstr>XDO_?FINAL_NAME?486?</vt:lpstr>
      <vt:lpstr>XDO_?FINAL_NAME?487?</vt:lpstr>
      <vt:lpstr>XDO_?FINAL_NAME?488?</vt:lpstr>
      <vt:lpstr>XDO_?FINAL_NAME?489?</vt:lpstr>
      <vt:lpstr>XDO_?FINAL_NAME?490?</vt:lpstr>
      <vt:lpstr>XDO_?FINAL_NAME?491?</vt:lpstr>
      <vt:lpstr>XDO_?FINAL_NAME?492?</vt:lpstr>
      <vt:lpstr>XDO_?FINAL_NAME?493?</vt:lpstr>
      <vt:lpstr>XDO_?FINAL_NAME?494?</vt:lpstr>
      <vt:lpstr>XDO_?FINAL_NAME?495?</vt:lpstr>
      <vt:lpstr>XDO_?FINAL_NAME?496?</vt:lpstr>
      <vt:lpstr>XDO_?FINAL_NAME?497?</vt:lpstr>
      <vt:lpstr>XDO_?FINAL_NAME?498?</vt:lpstr>
      <vt:lpstr>XDO_?FINAL_NAME?499?</vt:lpstr>
      <vt:lpstr>XDO_?FINAL_NAME?50?</vt:lpstr>
      <vt:lpstr>XDO_?FINAL_NAME?500?</vt:lpstr>
      <vt:lpstr>XDO_?FINAL_NAME?501?</vt:lpstr>
      <vt:lpstr>XDO_?FINAL_NAME?502?</vt:lpstr>
      <vt:lpstr>XDO_?FINAL_NAME?503?</vt:lpstr>
      <vt:lpstr>XDO_?FINAL_NAME?504?</vt:lpstr>
      <vt:lpstr>XDO_?FINAL_NAME?505?</vt:lpstr>
      <vt:lpstr>XDO_?FINAL_NAME?506?</vt:lpstr>
      <vt:lpstr>XDO_?FINAL_NAME?507?</vt:lpstr>
      <vt:lpstr>XDO_?FINAL_NAME?508?</vt:lpstr>
      <vt:lpstr>XDO_?FINAL_NAME?509?</vt:lpstr>
      <vt:lpstr>XDO_?FINAL_NAME?51?</vt:lpstr>
      <vt:lpstr>XDO_?FINAL_NAME?510?</vt:lpstr>
      <vt:lpstr>XDO_?FINAL_NAME?511?</vt:lpstr>
      <vt:lpstr>XDO_?FINAL_NAME?512?</vt:lpstr>
      <vt:lpstr>XDO_?FINAL_NAME?513?</vt:lpstr>
      <vt:lpstr>XDO_?FINAL_NAME?514?</vt:lpstr>
      <vt:lpstr>XDO_?FINAL_NAME?515?</vt:lpstr>
      <vt:lpstr>XDO_?FINAL_NAME?516?</vt:lpstr>
      <vt:lpstr>XDO_?FINAL_NAME?517?</vt:lpstr>
      <vt:lpstr>XDO_?FINAL_NAME?518?</vt:lpstr>
      <vt:lpstr>XDO_?FINAL_NAME?519?</vt:lpstr>
      <vt:lpstr>XDO_?FINAL_NAME?52?</vt:lpstr>
      <vt:lpstr>XDO_?FINAL_NAME?520?</vt:lpstr>
      <vt:lpstr>XDO_?FINAL_NAME?521?</vt:lpstr>
      <vt:lpstr>XDO_?FINAL_NAME?522?</vt:lpstr>
      <vt:lpstr>XDO_?FINAL_NAME?523?</vt:lpstr>
      <vt:lpstr>XDO_?FINAL_NAME?524?</vt:lpstr>
      <vt:lpstr>XDO_?FINAL_NAME?525?</vt:lpstr>
      <vt:lpstr>XDO_?FINAL_NAME?526?</vt:lpstr>
      <vt:lpstr>XDO_?FINAL_NAME?527?</vt:lpstr>
      <vt:lpstr>XDO_?FINAL_NAME?528?</vt:lpstr>
      <vt:lpstr>XDO_?FINAL_NAME?529?</vt:lpstr>
      <vt:lpstr>XDO_?FINAL_NAME?53?</vt:lpstr>
      <vt:lpstr>XDO_?FINAL_NAME?530?</vt:lpstr>
      <vt:lpstr>XDO_?FINAL_NAME?531?</vt:lpstr>
      <vt:lpstr>XDO_?FINAL_NAME?532?</vt:lpstr>
      <vt:lpstr>XDO_?FINAL_NAME?533?</vt:lpstr>
      <vt:lpstr>XDO_?FINAL_NAME?534?</vt:lpstr>
      <vt:lpstr>XDO_?FINAL_NAME?535?</vt:lpstr>
      <vt:lpstr>XDO_?FINAL_NAME?536?</vt:lpstr>
      <vt:lpstr>XDO_?FINAL_NAME?537?</vt:lpstr>
      <vt:lpstr>XDO_?FINAL_NAME?538?</vt:lpstr>
      <vt:lpstr>XDO_?FINAL_NAME?539?</vt:lpstr>
      <vt:lpstr>XDO_?FINAL_NAME?54?</vt:lpstr>
      <vt:lpstr>XDO_?FINAL_NAME?540?</vt:lpstr>
      <vt:lpstr>XDO_?FINAL_NAME?541?</vt:lpstr>
      <vt:lpstr>XDO_?FINAL_NAME?542?</vt:lpstr>
      <vt:lpstr>XDO_?FINAL_NAME?543?</vt:lpstr>
      <vt:lpstr>XDO_?FINAL_NAME?544?</vt:lpstr>
      <vt:lpstr>XDO_?FINAL_NAME?545?</vt:lpstr>
      <vt:lpstr>XDO_?FINAL_NAME?546?</vt:lpstr>
      <vt:lpstr>XDO_?FINAL_NAME?547?</vt:lpstr>
      <vt:lpstr>XDO_?FINAL_NAME?548?</vt:lpstr>
      <vt:lpstr>XDO_?FINAL_NAME?549?</vt:lpstr>
      <vt:lpstr>XDO_?FINAL_NAME?550?</vt:lpstr>
      <vt:lpstr>XDO_?FINAL_NAME?551?</vt:lpstr>
      <vt:lpstr>XDO_?FINAL_NAME?552?</vt:lpstr>
      <vt:lpstr>XDO_?FINAL_NAME?553?</vt:lpstr>
      <vt:lpstr>XDO_?FINAL_NAME?554?</vt:lpstr>
      <vt:lpstr>XDO_?FINAL_NAME?555?</vt:lpstr>
      <vt:lpstr>XDO_?FINAL_NAME?556?</vt:lpstr>
      <vt:lpstr>XDO_?FINAL_NAME?557?</vt:lpstr>
      <vt:lpstr>XDO_?FINAL_NAME?558?</vt:lpstr>
      <vt:lpstr>XDO_?FINAL_NAME?559?</vt:lpstr>
      <vt:lpstr>XDO_?FINAL_NAME?560?</vt:lpstr>
      <vt:lpstr>XDO_?FINAL_NAME?561?</vt:lpstr>
      <vt:lpstr>XDO_?FINAL_NAME?562?</vt:lpstr>
      <vt:lpstr>XDO_?FINAL_NAME?563?</vt:lpstr>
      <vt:lpstr>XDO_?FINAL_NAME?564?</vt:lpstr>
      <vt:lpstr>XDO_?FINAL_NAME?565?</vt:lpstr>
      <vt:lpstr>XDO_?FINAL_NAME?566?</vt:lpstr>
      <vt:lpstr>XDO_?FINAL_NAME?567?</vt:lpstr>
      <vt:lpstr>XDO_?FINAL_NAME?568?</vt:lpstr>
      <vt:lpstr>XDO_?FINAL_NAME?569?</vt:lpstr>
      <vt:lpstr>XDO_?FINAL_NAME?570?</vt:lpstr>
      <vt:lpstr>XDO_?FINAL_NAME?571?</vt:lpstr>
      <vt:lpstr>XDO_?FINAL_NAME?572?</vt:lpstr>
      <vt:lpstr>XDO_?FINAL_NAME?573?</vt:lpstr>
      <vt:lpstr>XDO_?FINAL_NAME?574?</vt:lpstr>
      <vt:lpstr>XDO_?FINAL_NAME?575?</vt:lpstr>
      <vt:lpstr>XDO_?FINAL_NAME?576?</vt:lpstr>
      <vt:lpstr>XDO_?FINAL_NAME?577?</vt:lpstr>
      <vt:lpstr>XDO_?FINAL_NAME?578?</vt:lpstr>
      <vt:lpstr>XDO_?FINAL_NAME?579?</vt:lpstr>
      <vt:lpstr>XDO_?FINAL_NAME?580?</vt:lpstr>
      <vt:lpstr>XDO_?FINAL_NAME?581?</vt:lpstr>
      <vt:lpstr>XDO_?FINAL_NAME?582?</vt:lpstr>
      <vt:lpstr>XDO_?FINAL_NAME?583?</vt:lpstr>
      <vt:lpstr>XDO_?FINAL_NAME?584?</vt:lpstr>
      <vt:lpstr>XDO_?FINAL_NAME?585?</vt:lpstr>
      <vt:lpstr>XDO_?FINAL_NAME?586?</vt:lpstr>
      <vt:lpstr>XDO_?FINAL_NAME?587?</vt:lpstr>
      <vt:lpstr>XDO_?FINAL_NAME?588?</vt:lpstr>
      <vt:lpstr>XDO_?FINAL_NAME?589?</vt:lpstr>
      <vt:lpstr>XDO_?FINAL_NAME?590?</vt:lpstr>
      <vt:lpstr>XDO_?FINAL_NAME?591?</vt:lpstr>
      <vt:lpstr>XDO_?FINAL_NAME?592?</vt:lpstr>
      <vt:lpstr>XDO_?FINAL_NAME?593?</vt:lpstr>
      <vt:lpstr>XDO_?FINAL_NAME?594?</vt:lpstr>
      <vt:lpstr>XDO_?FINAL_NAME?595?</vt:lpstr>
      <vt:lpstr>XDO_?FINAL_NAME?596?</vt:lpstr>
      <vt:lpstr>XDO_?FINAL_NAME?597?</vt:lpstr>
      <vt:lpstr>XDO_?FINAL_NAME?598?</vt:lpstr>
      <vt:lpstr>XDO_?FINAL_NAME?599?</vt:lpstr>
      <vt:lpstr>XDO_?FINAL_NAME?600?</vt:lpstr>
      <vt:lpstr>XDO_?FINAL_NAME?601?</vt:lpstr>
      <vt:lpstr>XDO_?FINAL_NAME?602?</vt:lpstr>
      <vt:lpstr>XDO_?FINAL_NAME?603?</vt:lpstr>
      <vt:lpstr>XDO_?FINAL_NAME?604?</vt:lpstr>
      <vt:lpstr>XDO_?FINAL_NAME?605?</vt:lpstr>
      <vt:lpstr>XDO_?FINAL_NAME?606?</vt:lpstr>
      <vt:lpstr>XDO_?FINAL_NAME?607?</vt:lpstr>
      <vt:lpstr>XDO_?FINAL_NAME?608?</vt:lpstr>
      <vt:lpstr>XDO_?FINAL_NAME?609?</vt:lpstr>
      <vt:lpstr>XDO_?FINAL_NAME?61?</vt:lpstr>
      <vt:lpstr>XDO_?FINAL_NAME?610?</vt:lpstr>
      <vt:lpstr>XDO_?FINAL_NAME?611?</vt:lpstr>
      <vt:lpstr>XDO_?FINAL_NAME?612?</vt:lpstr>
      <vt:lpstr>XDO_?FINAL_NAME?613?</vt:lpstr>
      <vt:lpstr>XDO_?FINAL_NAME?614?</vt:lpstr>
      <vt:lpstr>XDO_?FINAL_NAME?615?</vt:lpstr>
      <vt:lpstr>XDO_?FINAL_NAME?616?</vt:lpstr>
      <vt:lpstr>XDO_?FINAL_NAME?617?</vt:lpstr>
      <vt:lpstr>XDO_?FINAL_NAME?618?</vt:lpstr>
      <vt:lpstr>XDO_?FINAL_NAME?619?</vt:lpstr>
      <vt:lpstr>XDO_?FINAL_NAME?62?</vt:lpstr>
      <vt:lpstr>XDO_?FINAL_NAME?620?</vt:lpstr>
      <vt:lpstr>XDO_?FINAL_NAME?621?</vt:lpstr>
      <vt:lpstr>XDO_?FINAL_NAME?622?</vt:lpstr>
      <vt:lpstr>XDO_?FINAL_NAME?623?</vt:lpstr>
      <vt:lpstr>XDO_?FINAL_NAME?624?</vt:lpstr>
      <vt:lpstr>XDO_?FINAL_NAME?625?</vt:lpstr>
      <vt:lpstr>XDO_?FINAL_NAME?626?</vt:lpstr>
      <vt:lpstr>XDO_?FINAL_NAME?627?</vt:lpstr>
      <vt:lpstr>XDO_?FINAL_NAME?628?</vt:lpstr>
      <vt:lpstr>XDO_?FINAL_NAME?629?</vt:lpstr>
      <vt:lpstr>XDO_?FINAL_NAME?63?</vt:lpstr>
      <vt:lpstr>XDO_?FINAL_NAME?630?</vt:lpstr>
      <vt:lpstr>XDO_?FINAL_NAME?631?</vt:lpstr>
      <vt:lpstr>XDO_?FINAL_NAME?632?</vt:lpstr>
      <vt:lpstr>XDO_?FINAL_NAME?633?</vt:lpstr>
      <vt:lpstr>XDO_?FINAL_NAME?634?</vt:lpstr>
      <vt:lpstr>XDO_?FINAL_NAME?635?</vt:lpstr>
      <vt:lpstr>XDO_?FINAL_NAME?636?</vt:lpstr>
      <vt:lpstr>XDO_?FINAL_NAME?637?</vt:lpstr>
      <vt:lpstr>XDO_?FINAL_NAME?638?</vt:lpstr>
      <vt:lpstr>XDO_?FINAL_NAME?639?</vt:lpstr>
      <vt:lpstr>XDO_?FINAL_NAME?64?</vt:lpstr>
      <vt:lpstr>XDO_?FINAL_NAME?640?</vt:lpstr>
      <vt:lpstr>XDO_?FINAL_NAME?641?</vt:lpstr>
      <vt:lpstr>XDO_?FINAL_NAME?642?</vt:lpstr>
      <vt:lpstr>XDO_?FINAL_NAME?643?</vt:lpstr>
      <vt:lpstr>XDO_?FINAL_NAME?644?</vt:lpstr>
      <vt:lpstr>XDO_?FINAL_NAME?645?</vt:lpstr>
      <vt:lpstr>XDO_?FINAL_NAME?646?</vt:lpstr>
      <vt:lpstr>XDO_?FINAL_NAME?647?</vt:lpstr>
      <vt:lpstr>XDO_?FINAL_NAME?648?</vt:lpstr>
      <vt:lpstr>XDO_?FINAL_NAME?649?</vt:lpstr>
      <vt:lpstr>XDO_?FINAL_NAME?65?</vt:lpstr>
      <vt:lpstr>XDO_?FINAL_NAME?650?</vt:lpstr>
      <vt:lpstr>XDO_?FINAL_NAME?651?</vt:lpstr>
      <vt:lpstr>XDO_?FINAL_NAME?652?</vt:lpstr>
      <vt:lpstr>XDO_?FINAL_NAME?653?</vt:lpstr>
      <vt:lpstr>XDO_?FINAL_NAME?654?</vt:lpstr>
      <vt:lpstr>XDO_?FINAL_NAME?655?</vt:lpstr>
      <vt:lpstr>XDO_?FINAL_NAME?656?</vt:lpstr>
      <vt:lpstr>XDO_?FINAL_NAME?657?</vt:lpstr>
      <vt:lpstr>XDO_?FINAL_NAME?658?</vt:lpstr>
      <vt:lpstr>XDO_?FINAL_NAME?659?</vt:lpstr>
      <vt:lpstr>XDO_?FINAL_NAME?66?</vt:lpstr>
      <vt:lpstr>XDO_?FINAL_NAME?660?</vt:lpstr>
      <vt:lpstr>XDO_?FINAL_NAME?661?</vt:lpstr>
      <vt:lpstr>XDO_?FINAL_NAME?662?</vt:lpstr>
      <vt:lpstr>XDO_?FINAL_NAME?663?</vt:lpstr>
      <vt:lpstr>XDO_?FINAL_NAME?664?</vt:lpstr>
      <vt:lpstr>XDO_?FINAL_NAME?665?</vt:lpstr>
      <vt:lpstr>XDO_?FINAL_NAME?666?</vt:lpstr>
      <vt:lpstr>XDO_?FINAL_NAME?667?</vt:lpstr>
      <vt:lpstr>XDO_?FINAL_NAME?668?</vt:lpstr>
      <vt:lpstr>XDO_?FINAL_NAME?669?</vt:lpstr>
      <vt:lpstr>XDO_?FINAL_NAME?67?</vt:lpstr>
      <vt:lpstr>XDO_?FINAL_NAME?670?</vt:lpstr>
      <vt:lpstr>XDO_?FINAL_NAME?671?</vt:lpstr>
      <vt:lpstr>XDO_?FINAL_NAME?672?</vt:lpstr>
      <vt:lpstr>XDO_?FINAL_NAME?673?</vt:lpstr>
      <vt:lpstr>XDO_?FINAL_NAME?674?</vt:lpstr>
      <vt:lpstr>XDO_?FINAL_NAME?675?</vt:lpstr>
      <vt:lpstr>XDO_?FINAL_NAME?676?</vt:lpstr>
      <vt:lpstr>XDO_?FINAL_NAME?677?</vt:lpstr>
      <vt:lpstr>XDO_?FINAL_NAME?678?</vt:lpstr>
      <vt:lpstr>XDO_?FINAL_NAME?679?</vt:lpstr>
      <vt:lpstr>XDO_?FINAL_NAME?68?</vt:lpstr>
      <vt:lpstr>XDO_?FINAL_NAME?680?</vt:lpstr>
      <vt:lpstr>XDO_?FINAL_NAME?681?</vt:lpstr>
      <vt:lpstr>XDO_?FINAL_NAME?682?</vt:lpstr>
      <vt:lpstr>XDO_?FINAL_NAME?683?</vt:lpstr>
      <vt:lpstr>XDO_?FINAL_NAME?684?</vt:lpstr>
      <vt:lpstr>XDO_?FINAL_NAME?685?</vt:lpstr>
      <vt:lpstr>XDO_?FINAL_NAME?686?</vt:lpstr>
      <vt:lpstr>XDO_?FINAL_NAME?687?</vt:lpstr>
      <vt:lpstr>XDO_?FINAL_NAME?688?</vt:lpstr>
      <vt:lpstr>XDO_?FINAL_NAME?689?</vt:lpstr>
      <vt:lpstr>XDO_?FINAL_NAME?690?</vt:lpstr>
      <vt:lpstr>XDO_?FINAL_NAME?691?</vt:lpstr>
      <vt:lpstr>XDO_?FINAL_NAME?692?</vt:lpstr>
      <vt:lpstr>XDO_?FINAL_NAME?76?</vt:lpstr>
      <vt:lpstr>XDO_?FINAL_NAME?77?</vt:lpstr>
      <vt:lpstr>XDO_?FINAL_NAME?78?</vt:lpstr>
      <vt:lpstr>XDO_?FINAL_NAME?79?</vt:lpstr>
      <vt:lpstr>XDO_?FINAL_NAME?84?</vt:lpstr>
      <vt:lpstr>XDO_?FINAL_NAME?85?</vt:lpstr>
      <vt:lpstr>XDO_?FINAL_NAME?86?</vt:lpstr>
      <vt:lpstr>XDO_?FINAL_NAME?87?</vt:lpstr>
      <vt:lpstr>XDO_?FINAL_NAME?88?</vt:lpstr>
      <vt:lpstr>XDO_?FINAL_NAME?89?</vt:lpstr>
      <vt:lpstr>XDO_?FINAL_NAME?90?</vt:lpstr>
      <vt:lpstr>XDO_?FINAL_NAME?91?</vt:lpstr>
      <vt:lpstr>XDO_?FINAL_NAME?92?</vt:lpstr>
      <vt:lpstr>XDO_?FINAL_NAME?93?</vt:lpstr>
      <vt:lpstr>XDO_?FINAL_NAME?94?</vt:lpstr>
      <vt:lpstr>XDO_?FINAL_NAME?95?</vt:lpstr>
      <vt:lpstr>XDO_?FINAL_NAME?96?</vt:lpstr>
      <vt:lpstr>XDO_?FINAL_NAME?97?</vt:lpstr>
      <vt:lpstr>XDO_?FINAL_NAME?98?</vt:lpstr>
      <vt:lpstr>XDO_?FINAL_NAME?99?</vt:lpstr>
      <vt:lpstr>XDO_?FINAL_PER_NET?100?</vt:lpstr>
      <vt:lpstr>XDO_?FINAL_PER_NET?101?</vt:lpstr>
      <vt:lpstr>XDO_?FINAL_PER_NET?102?</vt:lpstr>
      <vt:lpstr>XDO_?FINAL_PER_NET?103?</vt:lpstr>
      <vt:lpstr>XDO_?FINAL_PER_NET?104?</vt:lpstr>
      <vt:lpstr>XDO_?FINAL_PER_NET?105?</vt:lpstr>
      <vt:lpstr>XDO_?FINAL_PER_NET?106?</vt:lpstr>
      <vt:lpstr>XDO_?FINAL_PER_NET?107?</vt:lpstr>
      <vt:lpstr>XDO_?FINAL_PER_NET?108?</vt:lpstr>
      <vt:lpstr>XDO_?FINAL_PER_NET?109?</vt:lpstr>
      <vt:lpstr>XDO_?FINAL_PER_NET?110?</vt:lpstr>
      <vt:lpstr>XDO_?FINAL_PER_NET?111?</vt:lpstr>
      <vt:lpstr>XDO_?FINAL_PER_NET?112?</vt:lpstr>
      <vt:lpstr>XDO_?FINAL_PER_NET?113?</vt:lpstr>
      <vt:lpstr>XDO_?FINAL_PER_NET?114?</vt:lpstr>
      <vt:lpstr>XDO_?FINAL_PER_NET?115?</vt:lpstr>
      <vt:lpstr>XDO_?FINAL_PER_NET?116?</vt:lpstr>
      <vt:lpstr>XDO_?FINAL_PER_NET?117?</vt:lpstr>
      <vt:lpstr>XDO_?FINAL_PER_NET?118?</vt:lpstr>
      <vt:lpstr>XDO_?FINAL_PER_NET?119?</vt:lpstr>
      <vt:lpstr>XDO_?FINAL_PER_NET?12?</vt:lpstr>
      <vt:lpstr>XDO_?FINAL_PER_NET?120?</vt:lpstr>
      <vt:lpstr>XDO_?FINAL_PER_NET?121?</vt:lpstr>
      <vt:lpstr>XDO_?FINAL_PER_NET?122?</vt:lpstr>
      <vt:lpstr>XDO_?FINAL_PER_NET?123?</vt:lpstr>
      <vt:lpstr>XDO_?FINAL_PER_NET?124?</vt:lpstr>
      <vt:lpstr>XDO_?FINAL_PER_NET?125?</vt:lpstr>
      <vt:lpstr>XDO_?FINAL_PER_NET?126?</vt:lpstr>
      <vt:lpstr>XDO_?FINAL_PER_NET?127?</vt:lpstr>
      <vt:lpstr>XDO_?FINAL_PER_NET?128?</vt:lpstr>
      <vt:lpstr>XDO_?FINAL_PER_NET?129?</vt:lpstr>
      <vt:lpstr>XDO_?FINAL_PER_NET?13?</vt:lpstr>
      <vt:lpstr>XDO_?FINAL_PER_NET?130?</vt:lpstr>
      <vt:lpstr>XDO_?FINAL_PER_NET?131?</vt:lpstr>
      <vt:lpstr>XDO_?FINAL_PER_NET?132?</vt:lpstr>
      <vt:lpstr>XDO_?FINAL_PER_NET?133?</vt:lpstr>
      <vt:lpstr>XDO_?FINAL_PER_NET?134?</vt:lpstr>
      <vt:lpstr>XDO_?FINAL_PER_NET?135?</vt:lpstr>
      <vt:lpstr>XDO_?FINAL_PER_NET?136?</vt:lpstr>
      <vt:lpstr>XDO_?FINAL_PER_NET?137?</vt:lpstr>
      <vt:lpstr>XDO_?FINAL_PER_NET?138?</vt:lpstr>
      <vt:lpstr>XDO_?FINAL_PER_NET?139?</vt:lpstr>
      <vt:lpstr>XDO_?FINAL_PER_NET?14?</vt:lpstr>
      <vt:lpstr>XDO_?FINAL_PER_NET?140?</vt:lpstr>
      <vt:lpstr>XDO_?FINAL_PER_NET?141?</vt:lpstr>
      <vt:lpstr>XDO_?FINAL_PER_NET?142?</vt:lpstr>
      <vt:lpstr>XDO_?FINAL_PER_NET?143?</vt:lpstr>
      <vt:lpstr>XDO_?FINAL_PER_NET?144?</vt:lpstr>
      <vt:lpstr>XDO_?FINAL_PER_NET?145?</vt:lpstr>
      <vt:lpstr>XDO_?FINAL_PER_NET?146?</vt:lpstr>
      <vt:lpstr>XDO_?FINAL_PER_NET?147?</vt:lpstr>
      <vt:lpstr>XDO_?FINAL_PER_NET?148?</vt:lpstr>
      <vt:lpstr>XDO_?FINAL_PER_NET?149?</vt:lpstr>
      <vt:lpstr>XDO_?FINAL_PER_NET?15?</vt:lpstr>
      <vt:lpstr>XDO_?FINAL_PER_NET?150?</vt:lpstr>
      <vt:lpstr>XDO_?FINAL_PER_NET?151?</vt:lpstr>
      <vt:lpstr>XDO_?FINAL_PER_NET?152?</vt:lpstr>
      <vt:lpstr>XDO_?FINAL_PER_NET?153?</vt:lpstr>
      <vt:lpstr>XDO_?FINAL_PER_NET?154?</vt:lpstr>
      <vt:lpstr>XDO_?FINAL_PER_NET?155?</vt:lpstr>
      <vt:lpstr>XDO_?FINAL_PER_NET?156?</vt:lpstr>
      <vt:lpstr>XDO_?FINAL_PER_NET?157?</vt:lpstr>
      <vt:lpstr>XDO_?FINAL_PER_NET?158?</vt:lpstr>
      <vt:lpstr>XDO_?FINAL_PER_NET?159?</vt:lpstr>
      <vt:lpstr>XDO_?FINAL_PER_NET?16?</vt:lpstr>
      <vt:lpstr>XDO_?FINAL_PER_NET?160?</vt:lpstr>
      <vt:lpstr>XDO_?FINAL_PER_NET?161?</vt:lpstr>
      <vt:lpstr>XDO_?FINAL_PER_NET?162?</vt:lpstr>
      <vt:lpstr>XDO_?FINAL_PER_NET?163?</vt:lpstr>
      <vt:lpstr>XDO_?FINAL_PER_NET?164?</vt:lpstr>
      <vt:lpstr>XDO_?FINAL_PER_NET?165?</vt:lpstr>
      <vt:lpstr>XDO_?FINAL_PER_NET?166?</vt:lpstr>
      <vt:lpstr>XDO_?FINAL_PER_NET?167?</vt:lpstr>
      <vt:lpstr>XDO_?FINAL_PER_NET?168?</vt:lpstr>
      <vt:lpstr>XDO_?FINAL_PER_NET?169?</vt:lpstr>
      <vt:lpstr>XDO_?FINAL_PER_NET?17?</vt:lpstr>
      <vt:lpstr>XDO_?FINAL_PER_NET?170?</vt:lpstr>
      <vt:lpstr>XDO_?FINAL_PER_NET?171?</vt:lpstr>
      <vt:lpstr>XDO_?FINAL_PER_NET?172?</vt:lpstr>
      <vt:lpstr>XDO_?FINAL_PER_NET?173?</vt:lpstr>
      <vt:lpstr>XDO_?FINAL_PER_NET?174?</vt:lpstr>
      <vt:lpstr>XDO_?FINAL_PER_NET?175?</vt:lpstr>
      <vt:lpstr>XDO_?FINAL_PER_NET?176?</vt:lpstr>
      <vt:lpstr>XDO_?FINAL_PER_NET?177?</vt:lpstr>
      <vt:lpstr>XDO_?FINAL_PER_NET?178?</vt:lpstr>
      <vt:lpstr>XDO_?FINAL_PER_NET?179?</vt:lpstr>
      <vt:lpstr>XDO_?FINAL_PER_NET?180?</vt:lpstr>
      <vt:lpstr>XDO_?FINAL_PER_NET?181?</vt:lpstr>
      <vt:lpstr>XDO_?FINAL_PER_NET?182?</vt:lpstr>
      <vt:lpstr>XDO_?FINAL_PER_NET?183?</vt:lpstr>
      <vt:lpstr>XDO_?FINAL_PER_NET?184?</vt:lpstr>
      <vt:lpstr>XDO_?FINAL_PER_NET?185?</vt:lpstr>
      <vt:lpstr>XDO_?FINAL_PER_NET?186?</vt:lpstr>
      <vt:lpstr>XDO_?FINAL_PER_NET?187?</vt:lpstr>
      <vt:lpstr>XDO_?FINAL_PER_NET?188?</vt:lpstr>
      <vt:lpstr>XDO_?FINAL_PER_NET?189?</vt:lpstr>
      <vt:lpstr>XDO_?FINAL_PER_NET?190?</vt:lpstr>
      <vt:lpstr>XDO_?FINAL_PER_NET?191?</vt:lpstr>
      <vt:lpstr>XDO_?FINAL_PER_NET?192?</vt:lpstr>
      <vt:lpstr>XDO_?FINAL_PER_NET?193?</vt:lpstr>
      <vt:lpstr>XDO_?FINAL_PER_NET?194?</vt:lpstr>
      <vt:lpstr>XDO_?FINAL_PER_NET?195?</vt:lpstr>
      <vt:lpstr>XDO_?FINAL_PER_NET?196?</vt:lpstr>
      <vt:lpstr>XDO_?FINAL_PER_NET?197?</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XDO_?FINAL_PER_NET?207?</vt:lpstr>
      <vt:lpstr>XDO_?FINAL_PER_NET?208?</vt:lpstr>
      <vt:lpstr>XDO_?FINAL_PER_NET?209?</vt:lpstr>
      <vt:lpstr>XDO_?FINAL_PER_NET?210?</vt:lpstr>
      <vt:lpstr>XDO_?FINAL_PER_NET?211?</vt:lpstr>
      <vt:lpstr>XDO_?FINAL_PER_NET?212?</vt:lpstr>
      <vt:lpstr>XDO_?FINAL_PER_NET?213?</vt:lpstr>
      <vt:lpstr>XDO_?FINAL_PER_NET?214?</vt:lpstr>
      <vt:lpstr>XDO_?FINAL_PER_NET?215?</vt:lpstr>
      <vt:lpstr>XDO_?FINAL_PER_NET?216?</vt:lpstr>
      <vt:lpstr>XDO_?FINAL_PER_NET?217?</vt:lpstr>
      <vt:lpstr>XDO_?FINAL_PER_NET?218?</vt:lpstr>
      <vt:lpstr>XDO_?FINAL_PER_NET?219?</vt:lpstr>
      <vt:lpstr>XDO_?FINAL_PER_NET?220?</vt:lpstr>
      <vt:lpstr>XDO_?FINAL_PER_NET?221?</vt:lpstr>
      <vt:lpstr>XDO_?FINAL_PER_NET?222?</vt:lpstr>
      <vt:lpstr>XDO_?FINAL_PER_NET?223?</vt:lpstr>
      <vt:lpstr>XDO_?FINAL_PER_NET?224?</vt:lpstr>
      <vt:lpstr>XDO_?FINAL_PER_NET?225?</vt:lpstr>
      <vt:lpstr>XDO_?FINAL_PER_NET?226?</vt:lpstr>
      <vt:lpstr>XDO_?FINAL_PER_NET?227?</vt:lpstr>
      <vt:lpstr>XDO_?FINAL_PER_NET?228?</vt:lpstr>
      <vt:lpstr>XDO_?FINAL_PER_NET?229?</vt:lpstr>
      <vt:lpstr>XDO_?FINAL_PER_NET?230?</vt:lpstr>
      <vt:lpstr>XDO_?FINAL_PER_NET?231?</vt:lpstr>
      <vt:lpstr>XDO_?FINAL_PER_NET?232?</vt:lpstr>
      <vt:lpstr>XDO_?FINAL_PER_NET?233?</vt:lpstr>
      <vt:lpstr>XDO_?FINAL_PER_NET?234?</vt:lpstr>
      <vt:lpstr>XDO_?FINAL_PER_NET?235?</vt:lpstr>
      <vt:lpstr>XDO_?FINAL_PER_NET?236?</vt:lpstr>
      <vt:lpstr>XDO_?FINAL_PER_NET?237?</vt:lpstr>
      <vt:lpstr>XDO_?FINAL_PER_NET?238?</vt:lpstr>
      <vt:lpstr>XDO_?FINAL_PER_NET?239?</vt:lpstr>
      <vt:lpstr>XDO_?FINAL_PER_NET?240?</vt:lpstr>
      <vt:lpstr>XDO_?FINAL_PER_NET?241?</vt:lpstr>
      <vt:lpstr>XDO_?FINAL_PER_NET?242?</vt:lpstr>
      <vt:lpstr>XDO_?FINAL_PER_NET?243?</vt:lpstr>
      <vt:lpstr>XDO_?FINAL_PER_NET?244?</vt:lpstr>
      <vt:lpstr>XDO_?FINAL_PER_NET?245?</vt:lpstr>
      <vt:lpstr>XDO_?FINAL_PER_NET?246?</vt:lpstr>
      <vt:lpstr>XDO_?FINAL_PER_NET?247?</vt:lpstr>
      <vt:lpstr>XDO_?FINAL_PER_NET?248?</vt:lpstr>
      <vt:lpstr>XDO_?FINAL_PER_NET?249?</vt:lpstr>
      <vt:lpstr>XDO_?FINAL_PER_NET?250?</vt:lpstr>
      <vt:lpstr>XDO_?FINAL_PER_NET?251?</vt:lpstr>
      <vt:lpstr>XDO_?FINAL_PER_NET?252?</vt:lpstr>
      <vt:lpstr>XDO_?FINAL_PER_NET?253?</vt:lpstr>
      <vt:lpstr>XDO_?FINAL_PER_NET?254?</vt:lpstr>
      <vt:lpstr>XDO_?FINAL_PER_NET?255?</vt:lpstr>
      <vt:lpstr>XDO_?FINAL_PER_NET?256?</vt:lpstr>
      <vt:lpstr>XDO_?FINAL_PER_NET?257?</vt:lpstr>
      <vt:lpstr>XDO_?FINAL_PER_NET?258?</vt:lpstr>
      <vt:lpstr>XDO_?FINAL_PER_NET?259?</vt:lpstr>
      <vt:lpstr>XDO_?FINAL_PER_NET?260?</vt:lpstr>
      <vt:lpstr>XDO_?FINAL_PER_NET?261?</vt:lpstr>
      <vt:lpstr>XDO_?FINAL_PER_NET?262?</vt:lpstr>
      <vt:lpstr>XDO_?FINAL_PER_NET?263?</vt:lpstr>
      <vt:lpstr>XDO_?FINAL_PER_NET?264?</vt:lpstr>
      <vt:lpstr>XDO_?FINAL_PER_NET?265?</vt:lpstr>
      <vt:lpstr>XDO_?FINAL_PER_NET?266?</vt:lpstr>
      <vt:lpstr>XDO_?FINAL_PER_NET?267?</vt:lpstr>
      <vt:lpstr>XDO_?FINAL_PER_NET?268?</vt:lpstr>
      <vt:lpstr>XDO_?FINAL_PER_NET?269?</vt:lpstr>
      <vt:lpstr>XDO_?FINAL_PER_NET?270?</vt:lpstr>
      <vt:lpstr>XDO_?FINAL_PER_NET?271?</vt:lpstr>
      <vt:lpstr>XDO_?FINAL_PER_NET?272?</vt:lpstr>
      <vt:lpstr>XDO_?FINAL_PER_NET?273?</vt:lpstr>
      <vt:lpstr>XDO_?FINAL_PER_NET?274?</vt:lpstr>
      <vt:lpstr>XDO_?FINAL_PER_NET?275?</vt:lpstr>
      <vt:lpstr>XDO_?FINAL_PER_NET?276?</vt:lpstr>
      <vt:lpstr>XDO_?FINAL_PER_NET?277?</vt:lpstr>
      <vt:lpstr>XDO_?FINAL_PER_NET?278?</vt:lpstr>
      <vt:lpstr>XDO_?FINAL_PER_NET?279?</vt:lpstr>
      <vt:lpstr>XDO_?FINAL_PER_NET?280?</vt:lpstr>
      <vt:lpstr>XDO_?FINAL_PER_NET?281?</vt:lpstr>
      <vt:lpstr>XDO_?FINAL_PER_NET?282?</vt:lpstr>
      <vt:lpstr>XDO_?FINAL_PER_NET?283?</vt:lpstr>
      <vt:lpstr>XDO_?FINAL_PER_NET?284?</vt:lpstr>
      <vt:lpstr>XDO_?FINAL_PER_NET?285?</vt:lpstr>
      <vt:lpstr>XDO_?FINAL_PER_NET?286?</vt:lpstr>
      <vt:lpstr>XDO_?FINAL_PER_NET?287?</vt:lpstr>
      <vt:lpstr>XDO_?FINAL_PER_NET?288?</vt:lpstr>
      <vt:lpstr>XDO_?FINAL_PER_NET?289?</vt:lpstr>
      <vt:lpstr>XDO_?FINAL_PER_NET?290?</vt:lpstr>
      <vt:lpstr>XDO_?FINAL_PER_NET?291?</vt:lpstr>
      <vt:lpstr>XDO_?FINAL_PER_NET?292?</vt:lpstr>
      <vt:lpstr>XDO_?FINAL_PER_NET?293?</vt:lpstr>
      <vt:lpstr>XDO_?FINAL_PER_NET?294?</vt:lpstr>
      <vt:lpstr>XDO_?FINAL_PER_NET?295?</vt:lpstr>
      <vt:lpstr>XDO_?FINAL_PER_NET?296?</vt:lpstr>
      <vt:lpstr>XDO_?FINAL_PER_NET?297?</vt:lpstr>
      <vt:lpstr>XDO_?FINAL_PER_NET?298?</vt:lpstr>
      <vt:lpstr>XDO_?FINAL_PER_NET?299?</vt:lpstr>
      <vt:lpstr>XDO_?FINAL_PER_NET?300?</vt:lpstr>
      <vt:lpstr>XDO_?FINAL_PER_NET?301?</vt:lpstr>
      <vt:lpstr>XDO_?FINAL_PER_NET?302?</vt:lpstr>
      <vt:lpstr>XDO_?FINAL_PER_NET?303?</vt:lpstr>
      <vt:lpstr>XDO_?FINAL_PER_NET?304?</vt:lpstr>
      <vt:lpstr>XDO_?FINAL_PER_NET?305?</vt:lpstr>
      <vt:lpstr>XDO_?FINAL_PER_NET?306?</vt:lpstr>
      <vt:lpstr>XDO_?FINAL_PER_NET?307?</vt:lpstr>
      <vt:lpstr>XDO_?FINAL_PER_NET?308?</vt:lpstr>
      <vt:lpstr>XDO_?FINAL_PER_NET?309?</vt:lpstr>
      <vt:lpstr>XDO_?FINAL_PER_NET?310?</vt:lpstr>
      <vt:lpstr>XDO_?FINAL_PER_NET?311?</vt:lpstr>
      <vt:lpstr>XDO_?FINAL_PER_NET?312?</vt:lpstr>
      <vt:lpstr>XDO_?FINAL_PER_NET?313?</vt:lpstr>
      <vt:lpstr>XDO_?FINAL_PER_NET?314?</vt:lpstr>
      <vt:lpstr>XDO_?FINAL_PER_NET?315?</vt:lpstr>
      <vt:lpstr>XDO_?FINAL_PER_NET?316?</vt:lpstr>
      <vt:lpstr>XDO_?FINAL_PER_NET?317?</vt:lpstr>
      <vt:lpstr>XDO_?FINAL_PER_NET?318?</vt:lpstr>
      <vt:lpstr>XDO_?FINAL_PER_NET?319?</vt:lpstr>
      <vt:lpstr>XDO_?FINAL_PER_NET?320?</vt:lpstr>
      <vt:lpstr>XDO_?FINAL_PER_NET?321?</vt:lpstr>
      <vt:lpstr>XDO_?FINAL_PER_NET?322?</vt:lpstr>
      <vt:lpstr>XDO_?FINAL_PER_NET?323?</vt:lpstr>
      <vt:lpstr>XDO_?FINAL_PER_NET?324?</vt:lpstr>
      <vt:lpstr>XDO_?FINAL_PER_NET?325?</vt:lpstr>
      <vt:lpstr>XDO_?FINAL_PER_NET?326?</vt:lpstr>
      <vt:lpstr>XDO_?FINAL_PER_NET?327?</vt:lpstr>
      <vt:lpstr>XDO_?FINAL_PER_NET?328?</vt:lpstr>
      <vt:lpstr>XDO_?FINAL_PER_NET?329?</vt:lpstr>
      <vt:lpstr>XDO_?FINAL_PER_NET?330?</vt:lpstr>
      <vt:lpstr>XDO_?FINAL_PER_NET?331?</vt:lpstr>
      <vt:lpstr>XDO_?FINAL_PER_NET?332?</vt:lpstr>
      <vt:lpstr>XDO_?FINAL_PER_NET?333?</vt:lpstr>
      <vt:lpstr>XDO_?FINAL_PER_NET?334?</vt:lpstr>
      <vt:lpstr>XDO_?FINAL_PER_NET?335?</vt:lpstr>
      <vt:lpstr>XDO_?FINAL_PER_NET?336?</vt:lpstr>
      <vt:lpstr>XDO_?FINAL_PER_NET?337?</vt:lpstr>
      <vt:lpstr>XDO_?FINAL_PER_NET?338?</vt:lpstr>
      <vt:lpstr>XDO_?FINAL_PER_NET?339?</vt:lpstr>
      <vt:lpstr>XDO_?FINAL_PER_NET?340?</vt:lpstr>
      <vt:lpstr>XDO_?FINAL_PER_NET?341?</vt:lpstr>
      <vt:lpstr>XDO_?FINAL_PER_NET?342?</vt:lpstr>
      <vt:lpstr>XDO_?FINAL_PER_NET?343?</vt:lpstr>
      <vt:lpstr>XDO_?FINAL_PER_NET?344?</vt:lpstr>
      <vt:lpstr>XDO_?FINAL_PER_NET?345?</vt:lpstr>
      <vt:lpstr>XDO_?FINAL_PER_NET?346?</vt:lpstr>
      <vt:lpstr>XDO_?FINAL_PER_NET?347?</vt:lpstr>
      <vt:lpstr>XDO_?FINAL_PER_NET?348?</vt:lpstr>
      <vt:lpstr>XDO_?FINAL_PER_NET?349?</vt:lpstr>
      <vt:lpstr>XDO_?FINAL_PER_NET?350?</vt:lpstr>
      <vt:lpstr>XDO_?FINAL_PER_NET?351?</vt:lpstr>
      <vt:lpstr>XDO_?FINAL_PER_NET?352?</vt:lpstr>
      <vt:lpstr>XDO_?FINAL_PER_NET?353?</vt:lpstr>
      <vt:lpstr>XDO_?FINAL_PER_NET?354?</vt:lpstr>
      <vt:lpstr>XDO_?FINAL_PER_NET?355?</vt:lpstr>
      <vt:lpstr>XDO_?FINAL_PER_NET?356?</vt:lpstr>
      <vt:lpstr>XDO_?FINAL_PER_NET?357?</vt:lpstr>
      <vt:lpstr>XDO_?FINAL_PER_NET?358?</vt:lpstr>
      <vt:lpstr>XDO_?FINAL_PER_NET?359?</vt:lpstr>
      <vt:lpstr>XDO_?FINAL_PER_NET?36?</vt:lpstr>
      <vt:lpstr>XDO_?FINAL_PER_NET?360?</vt:lpstr>
      <vt:lpstr>XDO_?FINAL_PER_NET?361?</vt:lpstr>
      <vt:lpstr>XDO_?FINAL_PER_NET?362?</vt:lpstr>
      <vt:lpstr>XDO_?FINAL_PER_NET?363?</vt:lpstr>
      <vt:lpstr>XDO_?FINAL_PER_NET?364?</vt:lpstr>
      <vt:lpstr>XDO_?FINAL_PER_NET?365?</vt:lpstr>
      <vt:lpstr>XDO_?FINAL_PER_NET?366?</vt:lpstr>
      <vt:lpstr>XDO_?FINAL_PER_NET?367?</vt:lpstr>
      <vt:lpstr>XDO_?FINAL_PER_NET?368?</vt:lpstr>
      <vt:lpstr>XDO_?FINAL_PER_NET?369?</vt:lpstr>
      <vt:lpstr>XDO_?FINAL_PER_NET?37?</vt:lpstr>
      <vt:lpstr>XDO_?FINAL_PER_NET?370?</vt:lpstr>
      <vt:lpstr>XDO_?FINAL_PER_NET?371?</vt:lpstr>
      <vt:lpstr>XDO_?FINAL_PER_NET?372?</vt:lpstr>
      <vt:lpstr>XDO_?FINAL_PER_NET?373?</vt:lpstr>
      <vt:lpstr>XDO_?FINAL_PER_NET?374?</vt:lpstr>
      <vt:lpstr>XDO_?FINAL_PER_NET?375?</vt:lpstr>
      <vt:lpstr>XDO_?FINAL_PER_NET?376?</vt:lpstr>
      <vt:lpstr>XDO_?FINAL_PER_NET?377?</vt:lpstr>
      <vt:lpstr>XDO_?FINAL_PER_NET?378?</vt:lpstr>
      <vt:lpstr>XDO_?FINAL_PER_NET?379?</vt:lpstr>
      <vt:lpstr>XDO_?FINAL_PER_NET?38?</vt:lpstr>
      <vt:lpstr>XDO_?FINAL_PER_NET?380?</vt:lpstr>
      <vt:lpstr>XDO_?FINAL_PER_NET?381?</vt:lpstr>
      <vt:lpstr>XDO_?FINAL_PER_NET?382?</vt:lpstr>
      <vt:lpstr>XDO_?FINAL_PER_NET?383?</vt:lpstr>
      <vt:lpstr>XDO_?FINAL_PER_NET?384?</vt:lpstr>
      <vt:lpstr>XDO_?FINAL_PER_NET?385?</vt:lpstr>
      <vt:lpstr>XDO_?FINAL_PER_NET?386?</vt:lpstr>
      <vt:lpstr>XDO_?FINAL_PER_NET?387?</vt:lpstr>
      <vt:lpstr>XDO_?FINAL_PER_NET?388?</vt:lpstr>
      <vt:lpstr>XDO_?FINAL_PER_NET?389?</vt:lpstr>
      <vt:lpstr>XDO_?FINAL_PER_NET?39?</vt:lpstr>
      <vt:lpstr>XDO_?FINAL_PER_NET?390?</vt:lpstr>
      <vt:lpstr>XDO_?FINAL_PER_NET?391?</vt:lpstr>
      <vt:lpstr>XDO_?FINAL_PER_NET?392?</vt:lpstr>
      <vt:lpstr>XDO_?FINAL_PER_NET?393?</vt:lpstr>
      <vt:lpstr>XDO_?FINAL_PER_NET?394?</vt:lpstr>
      <vt:lpstr>XDO_?FINAL_PER_NET?395?</vt:lpstr>
      <vt:lpstr>XDO_?FINAL_PER_NET?396?</vt:lpstr>
      <vt:lpstr>XDO_?FINAL_PER_NET?397?</vt:lpstr>
      <vt:lpstr>XDO_?FINAL_PER_NET?398?</vt:lpstr>
      <vt:lpstr>XDO_?FINAL_PER_NET?399?</vt:lpstr>
      <vt:lpstr>XDO_?FINAL_PER_NET?40?</vt:lpstr>
      <vt:lpstr>XDO_?FINAL_PER_NET?400?</vt:lpstr>
      <vt:lpstr>XDO_?FINAL_PER_NET?401?</vt:lpstr>
      <vt:lpstr>XDO_?FINAL_PER_NET?402?</vt:lpstr>
      <vt:lpstr>XDO_?FINAL_PER_NET?403?</vt:lpstr>
      <vt:lpstr>XDO_?FINAL_PER_NET?404?</vt:lpstr>
      <vt:lpstr>XDO_?FINAL_PER_NET?405?</vt:lpstr>
      <vt:lpstr>XDO_?FINAL_PER_NET?406?</vt:lpstr>
      <vt:lpstr>XDO_?FINAL_PER_NET?407?</vt:lpstr>
      <vt:lpstr>XDO_?FINAL_PER_NET?408?</vt:lpstr>
      <vt:lpstr>XDO_?FINAL_PER_NET?409?</vt:lpstr>
      <vt:lpstr>XDO_?FINAL_PER_NET?41?</vt:lpstr>
      <vt:lpstr>XDO_?FINAL_PER_NET?410?</vt:lpstr>
      <vt:lpstr>XDO_?FINAL_PER_NET?411?</vt:lpstr>
      <vt:lpstr>XDO_?FINAL_PER_NET?412?</vt:lpstr>
      <vt:lpstr>XDO_?FINAL_PER_NET?413?</vt:lpstr>
      <vt:lpstr>XDO_?FINAL_PER_NET?414?</vt:lpstr>
      <vt:lpstr>XDO_?FINAL_PER_NET?415?</vt:lpstr>
      <vt:lpstr>XDO_?FINAL_PER_NET?416?</vt:lpstr>
      <vt:lpstr>XDO_?FINAL_PER_NET?417?</vt:lpstr>
      <vt:lpstr>XDO_?FINAL_PER_NET?418?</vt:lpstr>
      <vt:lpstr>XDO_?FINAL_PER_NET?419?</vt:lpstr>
      <vt:lpstr>XDO_?FINAL_PER_NET?42?</vt:lpstr>
      <vt:lpstr>XDO_?FINAL_PER_NET?420?</vt:lpstr>
      <vt:lpstr>XDO_?FINAL_PER_NET?421?</vt:lpstr>
      <vt:lpstr>XDO_?FINAL_PER_NET?422?</vt:lpstr>
      <vt:lpstr>XDO_?FINAL_PER_NET?423?</vt:lpstr>
      <vt:lpstr>XDO_?FINAL_PER_NET?424?</vt:lpstr>
      <vt:lpstr>XDO_?FINAL_PER_NET?425?</vt:lpstr>
      <vt:lpstr>XDO_?FINAL_PER_NET?426?</vt:lpstr>
      <vt:lpstr>XDO_?FINAL_PER_NET?427?</vt:lpstr>
      <vt:lpstr>XDO_?FINAL_PER_NET?428?</vt:lpstr>
      <vt:lpstr>XDO_?FINAL_PER_NET?429?</vt:lpstr>
      <vt:lpstr>XDO_?FINAL_PER_NET?43?</vt:lpstr>
      <vt:lpstr>XDO_?FINAL_PER_NET?430?</vt:lpstr>
      <vt:lpstr>XDO_?FINAL_PER_NET?431?</vt:lpstr>
      <vt:lpstr>XDO_?FINAL_PER_NET?432?</vt:lpstr>
      <vt:lpstr>XDO_?FINAL_PER_NET?433?</vt:lpstr>
      <vt:lpstr>XDO_?FINAL_PER_NET?434?</vt:lpstr>
      <vt:lpstr>XDO_?FINAL_PER_NET?435?</vt:lpstr>
      <vt:lpstr>XDO_?FINAL_PER_NET?436?</vt:lpstr>
      <vt:lpstr>XDO_?FINAL_PER_NET?437?</vt:lpstr>
      <vt:lpstr>XDO_?FINAL_PER_NET?438?</vt:lpstr>
      <vt:lpstr>XDO_?FINAL_PER_NET?439?</vt:lpstr>
      <vt:lpstr>XDO_?FINAL_PER_NET?440?</vt:lpstr>
      <vt:lpstr>XDO_?FINAL_PER_NET?441?</vt:lpstr>
      <vt:lpstr>XDO_?FINAL_PER_NET?442?</vt:lpstr>
      <vt:lpstr>XDO_?FINAL_PER_NET?443?</vt:lpstr>
      <vt:lpstr>XDO_?FINAL_PER_NET?444?</vt:lpstr>
      <vt:lpstr>XDO_?FINAL_PER_NET?445?</vt:lpstr>
      <vt:lpstr>XDO_?FINAL_PER_NET?446?</vt:lpstr>
      <vt:lpstr>XDO_?FINAL_PER_NET?447?</vt:lpstr>
      <vt:lpstr>XDO_?FINAL_PER_NET?448?</vt:lpstr>
      <vt:lpstr>XDO_?FINAL_PER_NET?449?</vt:lpstr>
      <vt:lpstr>XDO_?FINAL_PER_NET?450?</vt:lpstr>
      <vt:lpstr>XDO_?FINAL_PER_NET?451?</vt:lpstr>
      <vt:lpstr>XDO_?FINAL_PER_NET?452?</vt:lpstr>
      <vt:lpstr>XDO_?FINAL_PER_NET?453?</vt:lpstr>
      <vt:lpstr>XDO_?FINAL_PER_NET?454?</vt:lpstr>
      <vt:lpstr>XDO_?FINAL_PER_NET?455?</vt:lpstr>
      <vt:lpstr>XDO_?FINAL_PER_NET?456?</vt:lpstr>
      <vt:lpstr>XDO_?FINAL_PER_NET?457?</vt:lpstr>
      <vt:lpstr>XDO_?FINAL_PER_NET?458?</vt:lpstr>
      <vt:lpstr>XDO_?FINAL_PER_NET?459?</vt:lpstr>
      <vt:lpstr>XDO_?FINAL_PER_NET?460?</vt:lpstr>
      <vt:lpstr>XDO_?FINAL_PER_NET?461?</vt:lpstr>
      <vt:lpstr>XDO_?FINAL_PER_NET?462?</vt:lpstr>
      <vt:lpstr>XDO_?FINAL_PER_NET?463?</vt:lpstr>
      <vt:lpstr>XDO_?FINAL_PER_NET?464?</vt:lpstr>
      <vt:lpstr>XDO_?FINAL_PER_NET?465?</vt:lpstr>
      <vt:lpstr>XDO_?FINAL_PER_NET?466?</vt:lpstr>
      <vt:lpstr>XDO_?FINAL_PER_NET?467?</vt:lpstr>
      <vt:lpstr>XDO_?FINAL_PER_NET?468?</vt:lpstr>
      <vt:lpstr>XDO_?FINAL_PER_NET?469?</vt:lpstr>
      <vt:lpstr>XDO_?FINAL_PER_NET?470?</vt:lpstr>
      <vt:lpstr>XDO_?FINAL_PER_NET?471?</vt:lpstr>
      <vt:lpstr>XDO_?FINAL_PER_NET?472?</vt:lpstr>
      <vt:lpstr>XDO_?FINAL_PER_NET?473?</vt:lpstr>
      <vt:lpstr>XDO_?FINAL_PER_NET?474?</vt:lpstr>
      <vt:lpstr>XDO_?FINAL_PER_NET?475?</vt:lpstr>
      <vt:lpstr>XDO_?FINAL_PER_NET?476?</vt:lpstr>
      <vt:lpstr>XDO_?FINAL_PER_NET?477?</vt:lpstr>
      <vt:lpstr>XDO_?FINAL_PER_NET?478?</vt:lpstr>
      <vt:lpstr>XDO_?FINAL_PER_NET?479?</vt:lpstr>
      <vt:lpstr>XDO_?FINAL_PER_NET?480?</vt:lpstr>
      <vt:lpstr>XDO_?FINAL_PER_NET?481?</vt:lpstr>
      <vt:lpstr>XDO_?FINAL_PER_NET?482?</vt:lpstr>
      <vt:lpstr>XDO_?FINAL_PER_NET?483?</vt:lpstr>
      <vt:lpstr>XDO_?FINAL_PER_NET?484?</vt:lpstr>
      <vt:lpstr>XDO_?FINAL_PER_NET?485?</vt:lpstr>
      <vt:lpstr>XDO_?FINAL_PER_NET?486?</vt:lpstr>
      <vt:lpstr>XDO_?FINAL_PER_NET?487?</vt:lpstr>
      <vt:lpstr>XDO_?FINAL_PER_NET?488?</vt:lpstr>
      <vt:lpstr>XDO_?FINAL_PER_NET?489?</vt:lpstr>
      <vt:lpstr>XDO_?FINAL_PER_NET?490?</vt:lpstr>
      <vt:lpstr>XDO_?FINAL_PER_NET?491?</vt:lpstr>
      <vt:lpstr>XDO_?FINAL_PER_NET?492?</vt:lpstr>
      <vt:lpstr>XDO_?FINAL_PER_NET?493?</vt:lpstr>
      <vt:lpstr>XDO_?FINAL_PER_NET?494?</vt:lpstr>
      <vt:lpstr>XDO_?FINAL_PER_NET?495?</vt:lpstr>
      <vt:lpstr>XDO_?FINAL_PER_NET?496?</vt:lpstr>
      <vt:lpstr>XDO_?FINAL_PER_NET?497?</vt:lpstr>
      <vt:lpstr>XDO_?FINAL_PER_NET?498?</vt:lpstr>
      <vt:lpstr>XDO_?FINAL_PER_NET?499?</vt:lpstr>
      <vt:lpstr>XDO_?FINAL_PER_NET?50?</vt:lpstr>
      <vt:lpstr>XDO_?FINAL_PER_NET?500?</vt:lpstr>
      <vt:lpstr>XDO_?FINAL_PER_NET?501?</vt:lpstr>
      <vt:lpstr>XDO_?FINAL_PER_NET?502?</vt:lpstr>
      <vt:lpstr>XDO_?FINAL_PER_NET?503?</vt:lpstr>
      <vt:lpstr>XDO_?FINAL_PER_NET?504?</vt:lpstr>
      <vt:lpstr>XDO_?FINAL_PER_NET?505?</vt:lpstr>
      <vt:lpstr>XDO_?FINAL_PER_NET?506?</vt:lpstr>
      <vt:lpstr>XDO_?FINAL_PER_NET?507?</vt:lpstr>
      <vt:lpstr>XDO_?FINAL_PER_NET?508?</vt:lpstr>
      <vt:lpstr>XDO_?FINAL_PER_NET?509?</vt:lpstr>
      <vt:lpstr>XDO_?FINAL_PER_NET?51?</vt:lpstr>
      <vt:lpstr>XDO_?FINAL_PER_NET?510?</vt:lpstr>
      <vt:lpstr>XDO_?FINAL_PER_NET?511?</vt:lpstr>
      <vt:lpstr>XDO_?FINAL_PER_NET?512?</vt:lpstr>
      <vt:lpstr>XDO_?FINAL_PER_NET?513?</vt:lpstr>
      <vt:lpstr>XDO_?FINAL_PER_NET?514?</vt:lpstr>
      <vt:lpstr>XDO_?FINAL_PER_NET?515?</vt:lpstr>
      <vt:lpstr>XDO_?FINAL_PER_NET?516?</vt:lpstr>
      <vt:lpstr>XDO_?FINAL_PER_NET?517?</vt:lpstr>
      <vt:lpstr>XDO_?FINAL_PER_NET?518?</vt:lpstr>
      <vt:lpstr>XDO_?FINAL_PER_NET?519?</vt:lpstr>
      <vt:lpstr>XDO_?FINAL_PER_NET?52?</vt:lpstr>
      <vt:lpstr>XDO_?FINAL_PER_NET?520?</vt:lpstr>
      <vt:lpstr>XDO_?FINAL_PER_NET?521?</vt:lpstr>
      <vt:lpstr>XDO_?FINAL_PER_NET?522?</vt:lpstr>
      <vt:lpstr>XDO_?FINAL_PER_NET?523?</vt:lpstr>
      <vt:lpstr>XDO_?FINAL_PER_NET?524?</vt:lpstr>
      <vt:lpstr>XDO_?FINAL_PER_NET?525?</vt:lpstr>
      <vt:lpstr>XDO_?FINAL_PER_NET?526?</vt:lpstr>
      <vt:lpstr>XDO_?FINAL_PER_NET?527?</vt:lpstr>
      <vt:lpstr>XDO_?FINAL_PER_NET?528?</vt:lpstr>
      <vt:lpstr>XDO_?FINAL_PER_NET?529?</vt:lpstr>
      <vt:lpstr>XDO_?FINAL_PER_NET?53?</vt:lpstr>
      <vt:lpstr>XDO_?FINAL_PER_NET?530?</vt:lpstr>
      <vt:lpstr>XDO_?FINAL_PER_NET?531?</vt:lpstr>
      <vt:lpstr>XDO_?FINAL_PER_NET?532?</vt:lpstr>
      <vt:lpstr>XDO_?FINAL_PER_NET?533?</vt:lpstr>
      <vt:lpstr>XDO_?FINAL_PER_NET?534?</vt:lpstr>
      <vt:lpstr>XDO_?FINAL_PER_NET?535?</vt:lpstr>
      <vt:lpstr>XDO_?FINAL_PER_NET?536?</vt:lpstr>
      <vt:lpstr>XDO_?FINAL_PER_NET?537?</vt:lpstr>
      <vt:lpstr>XDO_?FINAL_PER_NET?538?</vt:lpstr>
      <vt:lpstr>XDO_?FINAL_PER_NET?539?</vt:lpstr>
      <vt:lpstr>XDO_?FINAL_PER_NET?54?</vt:lpstr>
      <vt:lpstr>XDO_?FINAL_PER_NET?540?</vt:lpstr>
      <vt:lpstr>XDO_?FINAL_PER_NET?541?</vt:lpstr>
      <vt:lpstr>XDO_?FINAL_PER_NET?542?</vt:lpstr>
      <vt:lpstr>XDO_?FINAL_PER_NET?543?</vt:lpstr>
      <vt:lpstr>XDO_?FINAL_PER_NET?544?</vt:lpstr>
      <vt:lpstr>XDO_?FINAL_PER_NET?545?</vt:lpstr>
      <vt:lpstr>XDO_?FINAL_PER_NET?546?</vt:lpstr>
      <vt:lpstr>XDO_?FINAL_PER_NET?547?</vt:lpstr>
      <vt:lpstr>XDO_?FINAL_PER_NET?548?</vt:lpstr>
      <vt:lpstr>XDO_?FINAL_PER_NET?549?</vt:lpstr>
      <vt:lpstr>XDO_?FINAL_PER_NET?550?</vt:lpstr>
      <vt:lpstr>XDO_?FINAL_PER_NET?551?</vt:lpstr>
      <vt:lpstr>XDO_?FINAL_PER_NET?552?</vt:lpstr>
      <vt:lpstr>XDO_?FINAL_PER_NET?553?</vt:lpstr>
      <vt:lpstr>XDO_?FINAL_PER_NET?554?</vt:lpstr>
      <vt:lpstr>XDO_?FINAL_PER_NET?555?</vt:lpstr>
      <vt:lpstr>XDO_?FINAL_PER_NET?556?</vt:lpstr>
      <vt:lpstr>XDO_?FINAL_PER_NET?557?</vt:lpstr>
      <vt:lpstr>XDO_?FINAL_PER_NET?558?</vt:lpstr>
      <vt:lpstr>XDO_?FINAL_PER_NET?559?</vt:lpstr>
      <vt:lpstr>XDO_?FINAL_PER_NET?560?</vt:lpstr>
      <vt:lpstr>XDO_?FINAL_PER_NET?561?</vt:lpstr>
      <vt:lpstr>XDO_?FINAL_PER_NET?562?</vt:lpstr>
      <vt:lpstr>XDO_?FINAL_PER_NET?563?</vt:lpstr>
      <vt:lpstr>XDO_?FINAL_PER_NET?564?</vt:lpstr>
      <vt:lpstr>XDO_?FINAL_PER_NET?565?</vt:lpstr>
      <vt:lpstr>XDO_?FINAL_PER_NET?566?</vt:lpstr>
      <vt:lpstr>XDO_?FINAL_PER_NET?567?</vt:lpstr>
      <vt:lpstr>XDO_?FINAL_PER_NET?568?</vt:lpstr>
      <vt:lpstr>XDO_?FINAL_PER_NET?569?</vt:lpstr>
      <vt:lpstr>XDO_?FINAL_PER_NET?570?</vt:lpstr>
      <vt:lpstr>XDO_?FINAL_PER_NET?571?</vt:lpstr>
      <vt:lpstr>XDO_?FINAL_PER_NET?572?</vt:lpstr>
      <vt:lpstr>XDO_?FINAL_PER_NET?573?</vt:lpstr>
      <vt:lpstr>XDO_?FINAL_PER_NET?574?</vt:lpstr>
      <vt:lpstr>XDO_?FINAL_PER_NET?575?</vt:lpstr>
      <vt:lpstr>XDO_?FINAL_PER_NET?576?</vt:lpstr>
      <vt:lpstr>XDO_?FINAL_PER_NET?577?</vt:lpstr>
      <vt:lpstr>XDO_?FINAL_PER_NET?578?</vt:lpstr>
      <vt:lpstr>XDO_?FINAL_PER_NET?579?</vt:lpstr>
      <vt:lpstr>XDO_?FINAL_PER_NET?580?</vt:lpstr>
      <vt:lpstr>XDO_?FINAL_PER_NET?581?</vt:lpstr>
      <vt:lpstr>XDO_?FINAL_PER_NET?582?</vt:lpstr>
      <vt:lpstr>XDO_?FINAL_PER_NET?583?</vt:lpstr>
      <vt:lpstr>XDO_?FINAL_PER_NET?584?</vt:lpstr>
      <vt:lpstr>XDO_?FINAL_PER_NET?585?</vt:lpstr>
      <vt:lpstr>XDO_?FINAL_PER_NET?586?</vt:lpstr>
      <vt:lpstr>XDO_?FINAL_PER_NET?587?</vt:lpstr>
      <vt:lpstr>XDO_?FINAL_PER_NET?588?</vt:lpstr>
      <vt:lpstr>XDO_?FINAL_PER_NET?589?</vt:lpstr>
      <vt:lpstr>XDO_?FINAL_PER_NET?590?</vt:lpstr>
      <vt:lpstr>XDO_?FINAL_PER_NET?591?</vt:lpstr>
      <vt:lpstr>XDO_?FINAL_PER_NET?592?</vt:lpstr>
      <vt:lpstr>XDO_?FINAL_PER_NET?593?</vt:lpstr>
      <vt:lpstr>XDO_?FINAL_PER_NET?594?</vt:lpstr>
      <vt:lpstr>XDO_?FINAL_PER_NET?595?</vt:lpstr>
      <vt:lpstr>XDO_?FINAL_PER_NET?596?</vt:lpstr>
      <vt:lpstr>XDO_?FINAL_PER_NET?597?</vt:lpstr>
      <vt:lpstr>XDO_?FINAL_PER_NET?598?</vt:lpstr>
      <vt:lpstr>XDO_?FINAL_PER_NET?599?</vt:lpstr>
      <vt:lpstr>XDO_?FINAL_PER_NET?600?</vt:lpstr>
      <vt:lpstr>XDO_?FINAL_PER_NET?601?</vt:lpstr>
      <vt:lpstr>XDO_?FINAL_PER_NET?602?</vt:lpstr>
      <vt:lpstr>XDO_?FINAL_PER_NET?603?</vt:lpstr>
      <vt:lpstr>XDO_?FINAL_PER_NET?604?</vt:lpstr>
      <vt:lpstr>XDO_?FINAL_PER_NET?605?</vt:lpstr>
      <vt:lpstr>XDO_?FINAL_PER_NET?606?</vt:lpstr>
      <vt:lpstr>XDO_?FINAL_PER_NET?607?</vt:lpstr>
      <vt:lpstr>XDO_?FINAL_PER_NET?608?</vt:lpstr>
      <vt:lpstr>XDO_?FINAL_PER_NET?609?</vt:lpstr>
      <vt:lpstr>XDO_?FINAL_PER_NET?61?</vt:lpstr>
      <vt:lpstr>XDO_?FINAL_PER_NET?610?</vt:lpstr>
      <vt:lpstr>XDO_?FINAL_PER_NET?611?</vt:lpstr>
      <vt:lpstr>XDO_?FINAL_PER_NET?612?</vt:lpstr>
      <vt:lpstr>XDO_?FINAL_PER_NET?613?</vt:lpstr>
      <vt:lpstr>XDO_?FINAL_PER_NET?614?</vt:lpstr>
      <vt:lpstr>XDO_?FINAL_PER_NET?615?</vt:lpstr>
      <vt:lpstr>XDO_?FINAL_PER_NET?616?</vt:lpstr>
      <vt:lpstr>XDO_?FINAL_PER_NET?617?</vt:lpstr>
      <vt:lpstr>XDO_?FINAL_PER_NET?618?</vt:lpstr>
      <vt:lpstr>XDO_?FINAL_PER_NET?619?</vt:lpstr>
      <vt:lpstr>XDO_?FINAL_PER_NET?62?</vt:lpstr>
      <vt:lpstr>XDO_?FINAL_PER_NET?620?</vt:lpstr>
      <vt:lpstr>XDO_?FINAL_PER_NET?621?</vt:lpstr>
      <vt:lpstr>XDO_?FINAL_PER_NET?622?</vt:lpstr>
      <vt:lpstr>XDO_?FINAL_PER_NET?623?</vt:lpstr>
      <vt:lpstr>XDO_?FINAL_PER_NET?624?</vt:lpstr>
      <vt:lpstr>XDO_?FINAL_PER_NET?625?</vt:lpstr>
      <vt:lpstr>XDO_?FINAL_PER_NET?626?</vt:lpstr>
      <vt:lpstr>XDO_?FINAL_PER_NET?627?</vt:lpstr>
      <vt:lpstr>XDO_?FINAL_PER_NET?628?</vt:lpstr>
      <vt:lpstr>XDO_?FINAL_PER_NET?629?</vt:lpstr>
      <vt:lpstr>XDO_?FINAL_PER_NET?63?</vt:lpstr>
      <vt:lpstr>XDO_?FINAL_PER_NET?630?</vt:lpstr>
      <vt:lpstr>XDO_?FINAL_PER_NET?631?</vt:lpstr>
      <vt:lpstr>XDO_?FINAL_PER_NET?632?</vt:lpstr>
      <vt:lpstr>XDO_?FINAL_PER_NET?633?</vt:lpstr>
      <vt:lpstr>XDO_?FINAL_PER_NET?634?</vt:lpstr>
      <vt:lpstr>XDO_?FINAL_PER_NET?635?</vt:lpstr>
      <vt:lpstr>XDO_?FINAL_PER_NET?636?</vt:lpstr>
      <vt:lpstr>XDO_?FINAL_PER_NET?637?</vt:lpstr>
      <vt:lpstr>XDO_?FINAL_PER_NET?638?</vt:lpstr>
      <vt:lpstr>XDO_?FINAL_PER_NET?639?</vt:lpstr>
      <vt:lpstr>XDO_?FINAL_PER_NET?64?</vt:lpstr>
      <vt:lpstr>XDO_?FINAL_PER_NET?640?</vt:lpstr>
      <vt:lpstr>XDO_?FINAL_PER_NET?641?</vt:lpstr>
      <vt:lpstr>XDO_?FINAL_PER_NET?642?</vt:lpstr>
      <vt:lpstr>XDO_?FINAL_PER_NET?643?</vt:lpstr>
      <vt:lpstr>XDO_?FINAL_PER_NET?644?</vt:lpstr>
      <vt:lpstr>XDO_?FINAL_PER_NET?645?</vt:lpstr>
      <vt:lpstr>XDO_?FINAL_PER_NET?646?</vt:lpstr>
      <vt:lpstr>XDO_?FINAL_PER_NET?647?</vt:lpstr>
      <vt:lpstr>XDO_?FINAL_PER_NET?648?</vt:lpstr>
      <vt:lpstr>XDO_?FINAL_PER_NET?649?</vt:lpstr>
      <vt:lpstr>XDO_?FINAL_PER_NET?65?</vt:lpstr>
      <vt:lpstr>XDO_?FINAL_PER_NET?650?</vt:lpstr>
      <vt:lpstr>XDO_?FINAL_PER_NET?651?</vt:lpstr>
      <vt:lpstr>XDO_?FINAL_PER_NET?652?</vt:lpstr>
      <vt:lpstr>XDO_?FINAL_PER_NET?653?</vt:lpstr>
      <vt:lpstr>XDO_?FINAL_PER_NET?654?</vt:lpstr>
      <vt:lpstr>XDO_?FINAL_PER_NET?655?</vt:lpstr>
      <vt:lpstr>XDO_?FINAL_PER_NET?656?</vt:lpstr>
      <vt:lpstr>XDO_?FINAL_PER_NET?657?</vt:lpstr>
      <vt:lpstr>XDO_?FINAL_PER_NET?658?</vt:lpstr>
      <vt:lpstr>XDO_?FINAL_PER_NET?659?</vt:lpstr>
      <vt:lpstr>XDO_?FINAL_PER_NET?66?</vt:lpstr>
      <vt:lpstr>XDO_?FINAL_PER_NET?660?</vt:lpstr>
      <vt:lpstr>XDO_?FINAL_PER_NET?661?</vt:lpstr>
      <vt:lpstr>XDO_?FINAL_PER_NET?662?</vt:lpstr>
      <vt:lpstr>XDO_?FINAL_PER_NET?663?</vt:lpstr>
      <vt:lpstr>XDO_?FINAL_PER_NET?664?</vt:lpstr>
      <vt:lpstr>XDO_?FINAL_PER_NET?665?</vt:lpstr>
      <vt:lpstr>XDO_?FINAL_PER_NET?666?</vt:lpstr>
      <vt:lpstr>XDO_?FINAL_PER_NET?667?</vt:lpstr>
      <vt:lpstr>XDO_?FINAL_PER_NET?668?</vt:lpstr>
      <vt:lpstr>XDO_?FINAL_PER_NET?669?</vt:lpstr>
      <vt:lpstr>XDO_?FINAL_PER_NET?67?</vt:lpstr>
      <vt:lpstr>XDO_?FINAL_PER_NET?670?</vt:lpstr>
      <vt:lpstr>XDO_?FINAL_PER_NET?671?</vt:lpstr>
      <vt:lpstr>XDO_?FINAL_PER_NET?672?</vt:lpstr>
      <vt:lpstr>XDO_?FINAL_PER_NET?673?</vt:lpstr>
      <vt:lpstr>XDO_?FINAL_PER_NET?674?</vt:lpstr>
      <vt:lpstr>XDO_?FINAL_PER_NET?675?</vt:lpstr>
      <vt:lpstr>XDO_?FINAL_PER_NET?676?</vt:lpstr>
      <vt:lpstr>XDO_?FINAL_PER_NET?677?</vt:lpstr>
      <vt:lpstr>XDO_?FINAL_PER_NET?678?</vt:lpstr>
      <vt:lpstr>XDO_?FINAL_PER_NET?679?</vt:lpstr>
      <vt:lpstr>XDO_?FINAL_PER_NET?68?</vt:lpstr>
      <vt:lpstr>XDO_?FINAL_PER_NET?680?</vt:lpstr>
      <vt:lpstr>XDO_?FINAL_PER_NET?681?</vt:lpstr>
      <vt:lpstr>XDO_?FINAL_PER_NET?682?</vt:lpstr>
      <vt:lpstr>XDO_?FINAL_PER_NET?683?</vt:lpstr>
      <vt:lpstr>XDO_?FINAL_PER_NET?684?</vt:lpstr>
      <vt:lpstr>XDO_?FINAL_PER_NET?685?</vt:lpstr>
      <vt:lpstr>XDO_?FINAL_PER_NET?686?</vt:lpstr>
      <vt:lpstr>XDO_?FINAL_PER_NET?687?</vt:lpstr>
      <vt:lpstr>XDO_?FINAL_PER_NET?688?</vt:lpstr>
      <vt:lpstr>XDO_?FINAL_PER_NET?689?</vt:lpstr>
      <vt:lpstr>XDO_?FINAL_PER_NET?690?</vt:lpstr>
      <vt:lpstr>XDO_?FINAL_PER_NET?691?</vt:lpstr>
      <vt:lpstr>XDO_?FINAL_PER_NET?692?</vt:lpstr>
      <vt:lpstr>XDO_?FINAL_PER_NET?76?</vt:lpstr>
      <vt:lpstr>XDO_?FINAL_PER_NET?77?</vt:lpstr>
      <vt:lpstr>XDO_?FINAL_PER_NET?78?</vt:lpstr>
      <vt:lpstr>XDO_?FINAL_PER_NET?79?</vt:lpstr>
      <vt:lpstr>XDO_?FINAL_PER_NET?84?</vt:lpstr>
      <vt:lpstr>XDO_?FINAL_PER_NET?85?</vt:lpstr>
      <vt:lpstr>XDO_?FINAL_PER_NET?86?</vt:lpstr>
      <vt:lpstr>XDO_?FINAL_PER_NET?87?</vt:lpstr>
      <vt:lpstr>XDO_?FINAL_PER_NET?88?</vt:lpstr>
      <vt:lpstr>XDO_?FINAL_PER_NET?89?</vt:lpstr>
      <vt:lpstr>XDO_?FINAL_PER_NET?90?</vt:lpstr>
      <vt:lpstr>XDO_?FINAL_PER_NET?91?</vt:lpstr>
      <vt:lpstr>XDO_?FINAL_PER_NET?92?</vt:lpstr>
      <vt:lpstr>XDO_?FINAL_PER_NET?93?</vt:lpstr>
      <vt:lpstr>XDO_?FINAL_PER_NET?94?</vt:lpstr>
      <vt:lpstr>XDO_?FINAL_PER_NET?95?</vt:lpstr>
      <vt:lpstr>XDO_?FINAL_PER_NET?96?</vt:lpstr>
      <vt:lpstr>XDO_?FINAL_PER_NET?97?</vt:lpstr>
      <vt:lpstr>XDO_?FINAL_PER_NET?98?</vt:lpstr>
      <vt:lpstr>XDO_?FINAL_PER_NET?99?</vt:lpstr>
      <vt:lpstr>XDO_?FINAL_QUANTITE?100?</vt:lpstr>
      <vt:lpstr>XDO_?FINAL_QUANTITE?101?</vt:lpstr>
      <vt:lpstr>XDO_?FINAL_QUANTITE?102?</vt:lpstr>
      <vt:lpstr>XDO_?FINAL_QUANTITE?103?</vt:lpstr>
      <vt:lpstr>XDO_?FINAL_QUANTITE?104?</vt:lpstr>
      <vt:lpstr>XDO_?FINAL_QUANTITE?105?</vt:lpstr>
      <vt:lpstr>XDO_?FINAL_QUANTITE?106?</vt:lpstr>
      <vt:lpstr>XDO_?FINAL_QUANTITE?107?</vt:lpstr>
      <vt:lpstr>XDO_?FINAL_QUANTITE?108?</vt:lpstr>
      <vt:lpstr>XDO_?FINAL_QUANTITE?109?</vt:lpstr>
      <vt:lpstr>XDO_?FINAL_QUANTITE?110?</vt:lpstr>
      <vt:lpstr>XDO_?FINAL_QUANTITE?111?</vt:lpstr>
      <vt:lpstr>XDO_?FINAL_QUANTITE?112?</vt:lpstr>
      <vt:lpstr>XDO_?FINAL_QUANTITE?113?</vt:lpstr>
      <vt:lpstr>XDO_?FINAL_QUANTITE?114?</vt:lpstr>
      <vt:lpstr>XDO_?FINAL_QUANTITE?115?</vt:lpstr>
      <vt:lpstr>XDO_?FINAL_QUANTITE?116?</vt:lpstr>
      <vt:lpstr>XDO_?FINAL_QUANTITE?117?</vt:lpstr>
      <vt:lpstr>XDO_?FINAL_QUANTITE?118?</vt:lpstr>
      <vt:lpstr>XDO_?FINAL_QUANTITE?119?</vt:lpstr>
      <vt:lpstr>XDO_?FINAL_QUANTITE?12?</vt:lpstr>
      <vt:lpstr>XDO_?FINAL_QUANTITE?120?</vt:lpstr>
      <vt:lpstr>XDO_?FINAL_QUANTITE?121?</vt:lpstr>
      <vt:lpstr>XDO_?FINAL_QUANTITE?122?</vt:lpstr>
      <vt:lpstr>XDO_?FINAL_QUANTITE?123?</vt:lpstr>
      <vt:lpstr>XDO_?FINAL_QUANTITE?124?</vt:lpstr>
      <vt:lpstr>XDO_?FINAL_QUANTITE?125?</vt:lpstr>
      <vt:lpstr>XDO_?FINAL_QUANTITE?126?</vt:lpstr>
      <vt:lpstr>XDO_?FINAL_QUANTITE?127?</vt:lpstr>
      <vt:lpstr>XDO_?FINAL_QUANTITE?128?</vt:lpstr>
      <vt:lpstr>XDO_?FINAL_QUANTITE?129?</vt:lpstr>
      <vt:lpstr>XDO_?FINAL_QUANTITE?13?</vt:lpstr>
      <vt:lpstr>XDO_?FINAL_QUANTITE?130?</vt:lpstr>
      <vt:lpstr>XDO_?FINAL_QUANTITE?131?</vt:lpstr>
      <vt:lpstr>XDO_?FINAL_QUANTITE?132?</vt:lpstr>
      <vt:lpstr>XDO_?FINAL_QUANTITE?133?</vt:lpstr>
      <vt:lpstr>XDO_?FINAL_QUANTITE?134?</vt:lpstr>
      <vt:lpstr>XDO_?FINAL_QUANTITE?135?</vt:lpstr>
      <vt:lpstr>XDO_?FINAL_QUANTITE?136?</vt:lpstr>
      <vt:lpstr>XDO_?FINAL_QUANTITE?137?</vt:lpstr>
      <vt:lpstr>XDO_?FINAL_QUANTITE?138?</vt:lpstr>
      <vt:lpstr>XDO_?FINAL_QUANTITE?139?</vt:lpstr>
      <vt:lpstr>XDO_?FINAL_QUANTITE?14?</vt:lpstr>
      <vt:lpstr>XDO_?FINAL_QUANTITE?140?</vt:lpstr>
      <vt:lpstr>XDO_?FINAL_QUANTITE?141?</vt:lpstr>
      <vt:lpstr>XDO_?FINAL_QUANTITE?142?</vt:lpstr>
      <vt:lpstr>XDO_?FINAL_QUANTITE?143?</vt:lpstr>
      <vt:lpstr>XDO_?FINAL_QUANTITE?144?</vt:lpstr>
      <vt:lpstr>XDO_?FINAL_QUANTITE?145?</vt:lpstr>
      <vt:lpstr>XDO_?FINAL_QUANTITE?146?</vt:lpstr>
      <vt:lpstr>XDO_?FINAL_QUANTITE?147?</vt:lpstr>
      <vt:lpstr>XDO_?FINAL_QUANTITE?148?</vt:lpstr>
      <vt:lpstr>XDO_?FINAL_QUANTITE?149?</vt:lpstr>
      <vt:lpstr>XDO_?FINAL_QUANTITE?15?</vt:lpstr>
      <vt:lpstr>XDO_?FINAL_QUANTITE?150?</vt:lpstr>
      <vt:lpstr>XDO_?FINAL_QUANTITE?151?</vt:lpstr>
      <vt:lpstr>XDO_?FINAL_QUANTITE?152?</vt:lpstr>
      <vt:lpstr>XDO_?FINAL_QUANTITE?153?</vt:lpstr>
      <vt:lpstr>XDO_?FINAL_QUANTITE?154?</vt:lpstr>
      <vt:lpstr>XDO_?FINAL_QUANTITE?155?</vt:lpstr>
      <vt:lpstr>XDO_?FINAL_QUANTITE?156?</vt:lpstr>
      <vt:lpstr>XDO_?FINAL_QUANTITE?157?</vt:lpstr>
      <vt:lpstr>XDO_?FINAL_QUANTITE?158?</vt:lpstr>
      <vt:lpstr>XDO_?FINAL_QUANTITE?159?</vt:lpstr>
      <vt:lpstr>XDO_?FINAL_QUANTITE?16?</vt:lpstr>
      <vt:lpstr>XDO_?FINAL_QUANTITE?160?</vt:lpstr>
      <vt:lpstr>XDO_?FINAL_QUANTITE?161?</vt:lpstr>
      <vt:lpstr>XDO_?FINAL_QUANTITE?162?</vt:lpstr>
      <vt:lpstr>XDO_?FINAL_QUANTITE?163?</vt:lpstr>
      <vt:lpstr>XDO_?FINAL_QUANTITE?164?</vt:lpstr>
      <vt:lpstr>XDO_?FINAL_QUANTITE?165?</vt:lpstr>
      <vt:lpstr>XDO_?FINAL_QUANTITE?166?</vt:lpstr>
      <vt:lpstr>XDO_?FINAL_QUANTITE?167?</vt:lpstr>
      <vt:lpstr>XDO_?FINAL_QUANTITE?168?</vt:lpstr>
      <vt:lpstr>XDO_?FINAL_QUANTITE?169?</vt:lpstr>
      <vt:lpstr>XDO_?FINAL_QUANTITE?17?</vt:lpstr>
      <vt:lpstr>XDO_?FINAL_QUANTITE?170?</vt:lpstr>
      <vt:lpstr>XDO_?FINAL_QUANTITE?171?</vt:lpstr>
      <vt:lpstr>XDO_?FINAL_QUANTITE?172?</vt:lpstr>
      <vt:lpstr>XDO_?FINAL_QUANTITE?173?</vt:lpstr>
      <vt:lpstr>XDO_?FINAL_QUANTITE?174?</vt:lpstr>
      <vt:lpstr>XDO_?FINAL_QUANTITE?175?</vt:lpstr>
      <vt:lpstr>XDO_?FINAL_QUANTITE?176?</vt:lpstr>
      <vt:lpstr>XDO_?FINAL_QUANTITE?177?</vt:lpstr>
      <vt:lpstr>XDO_?FINAL_QUANTITE?178?</vt:lpstr>
      <vt:lpstr>XDO_?FINAL_QUANTITE?179?</vt:lpstr>
      <vt:lpstr>XDO_?FINAL_QUANTITE?180?</vt:lpstr>
      <vt:lpstr>XDO_?FINAL_QUANTITE?181?</vt:lpstr>
      <vt:lpstr>XDO_?FINAL_QUANTITE?182?</vt:lpstr>
      <vt:lpstr>XDO_?FINAL_QUANTITE?183?</vt:lpstr>
      <vt:lpstr>XDO_?FINAL_QUANTITE?184?</vt:lpstr>
      <vt:lpstr>XDO_?FINAL_QUANTITE?185?</vt:lpstr>
      <vt:lpstr>XDO_?FINAL_QUANTITE?186?</vt:lpstr>
      <vt:lpstr>XDO_?FINAL_QUANTITE?187?</vt:lpstr>
      <vt:lpstr>XDO_?FINAL_QUANTITE?188?</vt:lpstr>
      <vt:lpstr>XDO_?FINAL_QUANTITE?189?</vt:lpstr>
      <vt:lpstr>XDO_?FINAL_QUANTITE?190?</vt:lpstr>
      <vt:lpstr>XDO_?FINAL_QUANTITE?191?</vt:lpstr>
      <vt:lpstr>XDO_?FINAL_QUANTITE?192?</vt:lpstr>
      <vt:lpstr>XDO_?FINAL_QUANTITE?193?</vt:lpstr>
      <vt:lpstr>XDO_?FINAL_QUANTITE?194?</vt:lpstr>
      <vt:lpstr>XDO_?FINAL_QUANTITE?195?</vt:lpstr>
      <vt:lpstr>XDO_?FINAL_QUANTITE?196?</vt:lpstr>
      <vt:lpstr>XDO_?FINAL_QUANTITE?197?</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XDO_?FINAL_QUANTITE?207?</vt:lpstr>
      <vt:lpstr>XDO_?FINAL_QUANTITE?208?</vt:lpstr>
      <vt:lpstr>XDO_?FINAL_QUANTITE?209?</vt:lpstr>
      <vt:lpstr>XDO_?FINAL_QUANTITE?210?</vt:lpstr>
      <vt:lpstr>XDO_?FINAL_QUANTITE?211?</vt:lpstr>
      <vt:lpstr>XDO_?FINAL_QUANTITE?212?</vt:lpstr>
      <vt:lpstr>XDO_?FINAL_QUANTITE?213?</vt:lpstr>
      <vt:lpstr>XDO_?FINAL_QUANTITE?214?</vt:lpstr>
      <vt:lpstr>XDO_?FINAL_QUANTITE?215?</vt:lpstr>
      <vt:lpstr>XDO_?FINAL_QUANTITE?216?</vt:lpstr>
      <vt:lpstr>XDO_?FINAL_QUANTITE?217?</vt:lpstr>
      <vt:lpstr>XDO_?FINAL_QUANTITE?218?</vt:lpstr>
      <vt:lpstr>XDO_?FINAL_QUANTITE?219?</vt:lpstr>
      <vt:lpstr>XDO_?FINAL_QUANTITE?220?</vt:lpstr>
      <vt:lpstr>XDO_?FINAL_QUANTITE?221?</vt:lpstr>
      <vt:lpstr>XDO_?FINAL_QUANTITE?222?</vt:lpstr>
      <vt:lpstr>XDO_?FINAL_QUANTITE?223?</vt:lpstr>
      <vt:lpstr>XDO_?FINAL_QUANTITE?224?</vt:lpstr>
      <vt:lpstr>XDO_?FINAL_QUANTITE?225?</vt:lpstr>
      <vt:lpstr>XDO_?FINAL_QUANTITE?226?</vt:lpstr>
      <vt:lpstr>XDO_?FINAL_QUANTITE?227?</vt:lpstr>
      <vt:lpstr>XDO_?FINAL_QUANTITE?228?</vt:lpstr>
      <vt:lpstr>XDO_?FINAL_QUANTITE?229?</vt:lpstr>
      <vt:lpstr>XDO_?FINAL_QUANTITE?230?</vt:lpstr>
      <vt:lpstr>XDO_?FINAL_QUANTITE?231?</vt:lpstr>
      <vt:lpstr>XDO_?FINAL_QUANTITE?232?</vt:lpstr>
      <vt:lpstr>XDO_?FINAL_QUANTITE?233?</vt:lpstr>
      <vt:lpstr>XDO_?FINAL_QUANTITE?234?</vt:lpstr>
      <vt:lpstr>XDO_?FINAL_QUANTITE?235?</vt:lpstr>
      <vt:lpstr>XDO_?FINAL_QUANTITE?236?</vt:lpstr>
      <vt:lpstr>XDO_?FINAL_QUANTITE?237?</vt:lpstr>
      <vt:lpstr>XDO_?FINAL_QUANTITE?238?</vt:lpstr>
      <vt:lpstr>XDO_?FINAL_QUANTITE?239?</vt:lpstr>
      <vt:lpstr>XDO_?FINAL_QUANTITE?240?</vt:lpstr>
      <vt:lpstr>XDO_?FINAL_QUANTITE?241?</vt:lpstr>
      <vt:lpstr>XDO_?FINAL_QUANTITE?242?</vt:lpstr>
      <vt:lpstr>XDO_?FINAL_QUANTITE?243?</vt:lpstr>
      <vt:lpstr>XDO_?FINAL_QUANTITE?244?</vt:lpstr>
      <vt:lpstr>XDO_?FINAL_QUANTITE?245?</vt:lpstr>
      <vt:lpstr>XDO_?FINAL_QUANTITE?246?</vt:lpstr>
      <vt:lpstr>XDO_?FINAL_QUANTITE?247?</vt:lpstr>
      <vt:lpstr>XDO_?FINAL_QUANTITE?248?</vt:lpstr>
      <vt:lpstr>XDO_?FINAL_QUANTITE?249?</vt:lpstr>
      <vt:lpstr>XDO_?FINAL_QUANTITE?250?</vt:lpstr>
      <vt:lpstr>XDO_?FINAL_QUANTITE?251?</vt:lpstr>
      <vt:lpstr>XDO_?FINAL_QUANTITE?252?</vt:lpstr>
      <vt:lpstr>XDO_?FINAL_QUANTITE?253?</vt:lpstr>
      <vt:lpstr>XDO_?FINAL_QUANTITE?254?</vt:lpstr>
      <vt:lpstr>XDO_?FINAL_QUANTITE?255?</vt:lpstr>
      <vt:lpstr>XDO_?FINAL_QUANTITE?256?</vt:lpstr>
      <vt:lpstr>XDO_?FINAL_QUANTITE?257?</vt:lpstr>
      <vt:lpstr>XDO_?FINAL_QUANTITE?258?</vt:lpstr>
      <vt:lpstr>XDO_?FINAL_QUANTITE?259?</vt:lpstr>
      <vt:lpstr>XDO_?FINAL_QUANTITE?260?</vt:lpstr>
      <vt:lpstr>XDO_?FINAL_QUANTITE?261?</vt:lpstr>
      <vt:lpstr>XDO_?FINAL_QUANTITE?262?</vt:lpstr>
      <vt:lpstr>XDO_?FINAL_QUANTITE?263?</vt:lpstr>
      <vt:lpstr>XDO_?FINAL_QUANTITE?264?</vt:lpstr>
      <vt:lpstr>XDO_?FINAL_QUANTITE?265?</vt:lpstr>
      <vt:lpstr>XDO_?FINAL_QUANTITE?266?</vt:lpstr>
      <vt:lpstr>XDO_?FINAL_QUANTITE?267?</vt:lpstr>
      <vt:lpstr>XDO_?FINAL_QUANTITE?268?</vt:lpstr>
      <vt:lpstr>XDO_?FINAL_QUANTITE?269?</vt:lpstr>
      <vt:lpstr>XDO_?FINAL_QUANTITE?270?</vt:lpstr>
      <vt:lpstr>XDO_?FINAL_QUANTITE?271?</vt:lpstr>
      <vt:lpstr>XDO_?FINAL_QUANTITE?272?</vt:lpstr>
      <vt:lpstr>XDO_?FINAL_QUANTITE?273?</vt:lpstr>
      <vt:lpstr>XDO_?FINAL_QUANTITE?274?</vt:lpstr>
      <vt:lpstr>XDO_?FINAL_QUANTITE?275?</vt:lpstr>
      <vt:lpstr>XDO_?FINAL_QUANTITE?276?</vt:lpstr>
      <vt:lpstr>XDO_?FINAL_QUANTITE?277?</vt:lpstr>
      <vt:lpstr>XDO_?FINAL_QUANTITE?278?</vt:lpstr>
      <vt:lpstr>XDO_?FINAL_QUANTITE?279?</vt:lpstr>
      <vt:lpstr>XDO_?FINAL_QUANTITE?280?</vt:lpstr>
      <vt:lpstr>XDO_?FINAL_QUANTITE?281?</vt:lpstr>
      <vt:lpstr>XDO_?FINAL_QUANTITE?282?</vt:lpstr>
      <vt:lpstr>XDO_?FINAL_QUANTITE?283?</vt:lpstr>
      <vt:lpstr>XDO_?FINAL_QUANTITE?284?</vt:lpstr>
      <vt:lpstr>XDO_?FINAL_QUANTITE?285?</vt:lpstr>
      <vt:lpstr>XDO_?FINAL_QUANTITE?286?</vt:lpstr>
      <vt:lpstr>XDO_?FINAL_QUANTITE?287?</vt:lpstr>
      <vt:lpstr>XDO_?FINAL_QUANTITE?288?</vt:lpstr>
      <vt:lpstr>XDO_?FINAL_QUANTITE?289?</vt:lpstr>
      <vt:lpstr>XDO_?FINAL_QUANTITE?290?</vt:lpstr>
      <vt:lpstr>XDO_?FINAL_QUANTITE?291?</vt:lpstr>
      <vt:lpstr>XDO_?FINAL_QUANTITE?292?</vt:lpstr>
      <vt:lpstr>XDO_?FINAL_QUANTITE?293?</vt:lpstr>
      <vt:lpstr>XDO_?FINAL_QUANTITE?294?</vt:lpstr>
      <vt:lpstr>XDO_?FINAL_QUANTITE?295?</vt:lpstr>
      <vt:lpstr>XDO_?FINAL_QUANTITE?296?</vt:lpstr>
      <vt:lpstr>XDO_?FINAL_QUANTITE?297?</vt:lpstr>
      <vt:lpstr>XDO_?FINAL_QUANTITE?298?</vt:lpstr>
      <vt:lpstr>XDO_?FINAL_QUANTITE?299?</vt:lpstr>
      <vt:lpstr>XDO_?FINAL_QUANTITE?300?</vt:lpstr>
      <vt:lpstr>XDO_?FINAL_QUANTITE?301?</vt:lpstr>
      <vt:lpstr>XDO_?FINAL_QUANTITE?302?</vt:lpstr>
      <vt:lpstr>XDO_?FINAL_QUANTITE?303?</vt:lpstr>
      <vt:lpstr>XDO_?FINAL_QUANTITE?304?</vt:lpstr>
      <vt:lpstr>XDO_?FINAL_QUANTITE?305?</vt:lpstr>
      <vt:lpstr>XDO_?FINAL_QUANTITE?306?</vt:lpstr>
      <vt:lpstr>XDO_?FINAL_QUANTITE?307?</vt:lpstr>
      <vt:lpstr>XDO_?FINAL_QUANTITE?308?</vt:lpstr>
      <vt:lpstr>XDO_?FINAL_QUANTITE?309?</vt:lpstr>
      <vt:lpstr>XDO_?FINAL_QUANTITE?310?</vt:lpstr>
      <vt:lpstr>XDO_?FINAL_QUANTITE?311?</vt:lpstr>
      <vt:lpstr>XDO_?FINAL_QUANTITE?312?</vt:lpstr>
      <vt:lpstr>XDO_?FINAL_QUANTITE?313?</vt:lpstr>
      <vt:lpstr>XDO_?FINAL_QUANTITE?314?</vt:lpstr>
      <vt:lpstr>XDO_?FINAL_QUANTITE?315?</vt:lpstr>
      <vt:lpstr>XDO_?FINAL_QUANTITE?316?</vt:lpstr>
      <vt:lpstr>XDO_?FINAL_QUANTITE?317?</vt:lpstr>
      <vt:lpstr>XDO_?FINAL_QUANTITE?318?</vt:lpstr>
      <vt:lpstr>XDO_?FINAL_QUANTITE?319?</vt:lpstr>
      <vt:lpstr>XDO_?FINAL_QUANTITE?320?</vt:lpstr>
      <vt:lpstr>XDO_?FINAL_QUANTITE?321?</vt:lpstr>
      <vt:lpstr>XDO_?FINAL_QUANTITE?322?</vt:lpstr>
      <vt:lpstr>XDO_?FINAL_QUANTITE?323?</vt:lpstr>
      <vt:lpstr>XDO_?FINAL_QUANTITE?324?</vt:lpstr>
      <vt:lpstr>XDO_?FINAL_QUANTITE?325?</vt:lpstr>
      <vt:lpstr>XDO_?FINAL_QUANTITE?326?</vt:lpstr>
      <vt:lpstr>XDO_?FINAL_QUANTITE?327?</vt:lpstr>
      <vt:lpstr>XDO_?FINAL_QUANTITE?328?</vt:lpstr>
      <vt:lpstr>XDO_?FINAL_QUANTITE?329?</vt:lpstr>
      <vt:lpstr>XDO_?FINAL_QUANTITE?330?</vt:lpstr>
      <vt:lpstr>XDO_?FINAL_QUANTITE?331?</vt:lpstr>
      <vt:lpstr>XDO_?FINAL_QUANTITE?332?</vt:lpstr>
      <vt:lpstr>XDO_?FINAL_QUANTITE?333?</vt:lpstr>
      <vt:lpstr>XDO_?FINAL_QUANTITE?334?</vt:lpstr>
      <vt:lpstr>XDO_?FINAL_QUANTITE?335?</vt:lpstr>
      <vt:lpstr>XDO_?FINAL_QUANTITE?336?</vt:lpstr>
      <vt:lpstr>XDO_?FINAL_QUANTITE?337?</vt:lpstr>
      <vt:lpstr>XDO_?FINAL_QUANTITE?338?</vt:lpstr>
      <vt:lpstr>XDO_?FINAL_QUANTITE?339?</vt:lpstr>
      <vt:lpstr>XDO_?FINAL_QUANTITE?340?</vt:lpstr>
      <vt:lpstr>XDO_?FINAL_QUANTITE?341?</vt:lpstr>
      <vt:lpstr>XDO_?FINAL_QUANTITE?342?</vt:lpstr>
      <vt:lpstr>XDO_?FINAL_QUANTITE?343?</vt:lpstr>
      <vt:lpstr>XDO_?FINAL_QUANTITE?344?</vt:lpstr>
      <vt:lpstr>XDO_?FINAL_QUANTITE?345?</vt:lpstr>
      <vt:lpstr>XDO_?FINAL_QUANTITE?346?</vt:lpstr>
      <vt:lpstr>XDO_?FINAL_QUANTITE?347?</vt:lpstr>
      <vt:lpstr>XDO_?FINAL_QUANTITE?348?</vt:lpstr>
      <vt:lpstr>XDO_?FINAL_QUANTITE?349?</vt:lpstr>
      <vt:lpstr>XDO_?FINAL_QUANTITE?350?</vt:lpstr>
      <vt:lpstr>XDO_?FINAL_QUANTITE?351?</vt:lpstr>
      <vt:lpstr>XDO_?FINAL_QUANTITE?352?</vt:lpstr>
      <vt:lpstr>XDO_?FINAL_QUANTITE?353?</vt:lpstr>
      <vt:lpstr>XDO_?FINAL_QUANTITE?354?</vt:lpstr>
      <vt:lpstr>XDO_?FINAL_QUANTITE?355?</vt:lpstr>
      <vt:lpstr>XDO_?FINAL_QUANTITE?356?</vt:lpstr>
      <vt:lpstr>XDO_?FINAL_QUANTITE?357?</vt:lpstr>
      <vt:lpstr>XDO_?FINAL_QUANTITE?358?</vt:lpstr>
      <vt:lpstr>XDO_?FINAL_QUANTITE?359?</vt:lpstr>
      <vt:lpstr>XDO_?FINAL_QUANTITE?36?</vt:lpstr>
      <vt:lpstr>XDO_?FINAL_QUANTITE?360?</vt:lpstr>
      <vt:lpstr>XDO_?FINAL_QUANTITE?361?</vt:lpstr>
      <vt:lpstr>XDO_?FINAL_QUANTITE?362?</vt:lpstr>
      <vt:lpstr>XDO_?FINAL_QUANTITE?363?</vt:lpstr>
      <vt:lpstr>XDO_?FINAL_QUANTITE?364?</vt:lpstr>
      <vt:lpstr>XDO_?FINAL_QUANTITE?365?</vt:lpstr>
      <vt:lpstr>XDO_?FINAL_QUANTITE?366?</vt:lpstr>
      <vt:lpstr>XDO_?FINAL_QUANTITE?367?</vt:lpstr>
      <vt:lpstr>XDO_?FINAL_QUANTITE?368?</vt:lpstr>
      <vt:lpstr>XDO_?FINAL_QUANTITE?369?</vt:lpstr>
      <vt:lpstr>XDO_?FINAL_QUANTITE?37?</vt:lpstr>
      <vt:lpstr>XDO_?FINAL_QUANTITE?370?</vt:lpstr>
      <vt:lpstr>XDO_?FINAL_QUANTITE?371?</vt:lpstr>
      <vt:lpstr>XDO_?FINAL_QUANTITE?372?</vt:lpstr>
      <vt:lpstr>XDO_?FINAL_QUANTITE?373?</vt:lpstr>
      <vt:lpstr>XDO_?FINAL_QUANTITE?374?</vt:lpstr>
      <vt:lpstr>XDO_?FINAL_QUANTITE?375?</vt:lpstr>
      <vt:lpstr>XDO_?FINAL_QUANTITE?376?</vt:lpstr>
      <vt:lpstr>XDO_?FINAL_QUANTITE?377?</vt:lpstr>
      <vt:lpstr>XDO_?FINAL_QUANTITE?378?</vt:lpstr>
      <vt:lpstr>XDO_?FINAL_QUANTITE?379?</vt:lpstr>
      <vt:lpstr>XDO_?FINAL_QUANTITE?38?</vt:lpstr>
      <vt:lpstr>XDO_?FINAL_QUANTITE?380?</vt:lpstr>
      <vt:lpstr>XDO_?FINAL_QUANTITE?381?</vt:lpstr>
      <vt:lpstr>XDO_?FINAL_QUANTITE?382?</vt:lpstr>
      <vt:lpstr>XDO_?FINAL_QUANTITE?383?</vt:lpstr>
      <vt:lpstr>XDO_?FINAL_QUANTITE?384?</vt:lpstr>
      <vt:lpstr>XDO_?FINAL_QUANTITE?385?</vt:lpstr>
      <vt:lpstr>XDO_?FINAL_QUANTITE?386?</vt:lpstr>
      <vt:lpstr>XDO_?FINAL_QUANTITE?387?</vt:lpstr>
      <vt:lpstr>XDO_?FINAL_QUANTITE?388?</vt:lpstr>
      <vt:lpstr>XDO_?FINAL_QUANTITE?389?</vt:lpstr>
      <vt:lpstr>XDO_?FINAL_QUANTITE?39?</vt:lpstr>
      <vt:lpstr>XDO_?FINAL_QUANTITE?390?</vt:lpstr>
      <vt:lpstr>XDO_?FINAL_QUANTITE?391?</vt:lpstr>
      <vt:lpstr>XDO_?FINAL_QUANTITE?392?</vt:lpstr>
      <vt:lpstr>XDO_?FINAL_QUANTITE?393?</vt:lpstr>
      <vt:lpstr>XDO_?FINAL_QUANTITE?394?</vt:lpstr>
      <vt:lpstr>XDO_?FINAL_QUANTITE?395?</vt:lpstr>
      <vt:lpstr>XDO_?FINAL_QUANTITE?396?</vt:lpstr>
      <vt:lpstr>XDO_?FINAL_QUANTITE?397?</vt:lpstr>
      <vt:lpstr>XDO_?FINAL_QUANTITE?398?</vt:lpstr>
      <vt:lpstr>XDO_?FINAL_QUANTITE?399?</vt:lpstr>
      <vt:lpstr>XDO_?FINAL_QUANTITE?40?</vt:lpstr>
      <vt:lpstr>XDO_?FINAL_QUANTITE?400?</vt:lpstr>
      <vt:lpstr>XDO_?FINAL_QUANTITE?401?</vt:lpstr>
      <vt:lpstr>XDO_?FINAL_QUANTITE?402?</vt:lpstr>
      <vt:lpstr>XDO_?FINAL_QUANTITE?403?</vt:lpstr>
      <vt:lpstr>XDO_?FINAL_QUANTITE?404?</vt:lpstr>
      <vt:lpstr>XDO_?FINAL_QUANTITE?405?</vt:lpstr>
      <vt:lpstr>XDO_?FINAL_QUANTITE?406?</vt:lpstr>
      <vt:lpstr>XDO_?FINAL_QUANTITE?407?</vt:lpstr>
      <vt:lpstr>XDO_?FINAL_QUANTITE?408?</vt:lpstr>
      <vt:lpstr>XDO_?FINAL_QUANTITE?409?</vt:lpstr>
      <vt:lpstr>XDO_?FINAL_QUANTITE?41?</vt:lpstr>
      <vt:lpstr>XDO_?FINAL_QUANTITE?410?</vt:lpstr>
      <vt:lpstr>XDO_?FINAL_QUANTITE?411?</vt:lpstr>
      <vt:lpstr>XDO_?FINAL_QUANTITE?412?</vt:lpstr>
      <vt:lpstr>XDO_?FINAL_QUANTITE?413?</vt:lpstr>
      <vt:lpstr>XDO_?FINAL_QUANTITE?414?</vt:lpstr>
      <vt:lpstr>XDO_?FINAL_QUANTITE?415?</vt:lpstr>
      <vt:lpstr>XDO_?FINAL_QUANTITE?416?</vt:lpstr>
      <vt:lpstr>XDO_?FINAL_QUANTITE?417?</vt:lpstr>
      <vt:lpstr>XDO_?FINAL_QUANTITE?418?</vt:lpstr>
      <vt:lpstr>XDO_?FINAL_QUANTITE?419?</vt:lpstr>
      <vt:lpstr>XDO_?FINAL_QUANTITE?42?</vt:lpstr>
      <vt:lpstr>XDO_?FINAL_QUANTITE?420?</vt:lpstr>
      <vt:lpstr>XDO_?FINAL_QUANTITE?421?</vt:lpstr>
      <vt:lpstr>XDO_?FINAL_QUANTITE?422?</vt:lpstr>
      <vt:lpstr>XDO_?FINAL_QUANTITE?423?</vt:lpstr>
      <vt:lpstr>XDO_?FINAL_QUANTITE?424?</vt:lpstr>
      <vt:lpstr>XDO_?FINAL_QUANTITE?425?</vt:lpstr>
      <vt:lpstr>XDO_?FINAL_QUANTITE?426?</vt:lpstr>
      <vt:lpstr>XDO_?FINAL_QUANTITE?427?</vt:lpstr>
      <vt:lpstr>XDO_?FINAL_QUANTITE?428?</vt:lpstr>
      <vt:lpstr>XDO_?FINAL_QUANTITE?429?</vt:lpstr>
      <vt:lpstr>XDO_?FINAL_QUANTITE?43?</vt:lpstr>
      <vt:lpstr>XDO_?FINAL_QUANTITE?430?</vt:lpstr>
      <vt:lpstr>XDO_?FINAL_QUANTITE?431?</vt:lpstr>
      <vt:lpstr>XDO_?FINAL_QUANTITE?432?</vt:lpstr>
      <vt:lpstr>XDO_?FINAL_QUANTITE?433?</vt:lpstr>
      <vt:lpstr>XDO_?FINAL_QUANTITE?434?</vt:lpstr>
      <vt:lpstr>XDO_?FINAL_QUANTITE?435?</vt:lpstr>
      <vt:lpstr>XDO_?FINAL_QUANTITE?436?</vt:lpstr>
      <vt:lpstr>XDO_?FINAL_QUANTITE?437?</vt:lpstr>
      <vt:lpstr>XDO_?FINAL_QUANTITE?438?</vt:lpstr>
      <vt:lpstr>XDO_?FINAL_QUANTITE?439?</vt:lpstr>
      <vt:lpstr>XDO_?FINAL_QUANTITE?440?</vt:lpstr>
      <vt:lpstr>XDO_?FINAL_QUANTITE?441?</vt:lpstr>
      <vt:lpstr>XDO_?FINAL_QUANTITE?442?</vt:lpstr>
      <vt:lpstr>XDO_?FINAL_QUANTITE?443?</vt:lpstr>
      <vt:lpstr>XDO_?FINAL_QUANTITE?444?</vt:lpstr>
      <vt:lpstr>XDO_?FINAL_QUANTITE?445?</vt:lpstr>
      <vt:lpstr>XDO_?FINAL_QUANTITE?446?</vt:lpstr>
      <vt:lpstr>XDO_?FINAL_QUANTITE?447?</vt:lpstr>
      <vt:lpstr>XDO_?FINAL_QUANTITE?448?</vt:lpstr>
      <vt:lpstr>XDO_?FINAL_QUANTITE?449?</vt:lpstr>
      <vt:lpstr>XDO_?FINAL_QUANTITE?450?</vt:lpstr>
      <vt:lpstr>XDO_?FINAL_QUANTITE?451?</vt:lpstr>
      <vt:lpstr>XDO_?FINAL_QUANTITE?452?</vt:lpstr>
      <vt:lpstr>XDO_?FINAL_QUANTITE?453?</vt:lpstr>
      <vt:lpstr>XDO_?FINAL_QUANTITE?454?</vt:lpstr>
      <vt:lpstr>XDO_?FINAL_QUANTITE?455?</vt:lpstr>
      <vt:lpstr>XDO_?FINAL_QUANTITE?456?</vt:lpstr>
      <vt:lpstr>XDO_?FINAL_QUANTITE?457?</vt:lpstr>
      <vt:lpstr>XDO_?FINAL_QUANTITE?458?</vt:lpstr>
      <vt:lpstr>XDO_?FINAL_QUANTITE?459?</vt:lpstr>
      <vt:lpstr>XDO_?FINAL_QUANTITE?460?</vt:lpstr>
      <vt:lpstr>XDO_?FINAL_QUANTITE?461?</vt:lpstr>
      <vt:lpstr>XDO_?FINAL_QUANTITE?462?</vt:lpstr>
      <vt:lpstr>XDO_?FINAL_QUANTITE?463?</vt:lpstr>
      <vt:lpstr>XDO_?FINAL_QUANTITE?464?</vt:lpstr>
      <vt:lpstr>XDO_?FINAL_QUANTITE?465?</vt:lpstr>
      <vt:lpstr>XDO_?FINAL_QUANTITE?466?</vt:lpstr>
      <vt:lpstr>XDO_?FINAL_QUANTITE?467?</vt:lpstr>
      <vt:lpstr>XDO_?FINAL_QUANTITE?468?</vt:lpstr>
      <vt:lpstr>XDO_?FINAL_QUANTITE?469?</vt:lpstr>
      <vt:lpstr>XDO_?FINAL_QUANTITE?470?</vt:lpstr>
      <vt:lpstr>XDO_?FINAL_QUANTITE?471?</vt:lpstr>
      <vt:lpstr>XDO_?FINAL_QUANTITE?472?</vt:lpstr>
      <vt:lpstr>XDO_?FINAL_QUANTITE?473?</vt:lpstr>
      <vt:lpstr>XDO_?FINAL_QUANTITE?474?</vt:lpstr>
      <vt:lpstr>XDO_?FINAL_QUANTITE?475?</vt:lpstr>
      <vt:lpstr>XDO_?FINAL_QUANTITE?476?</vt:lpstr>
      <vt:lpstr>XDO_?FINAL_QUANTITE?477?</vt:lpstr>
      <vt:lpstr>XDO_?FINAL_QUANTITE?478?</vt:lpstr>
      <vt:lpstr>XDO_?FINAL_QUANTITE?479?</vt:lpstr>
      <vt:lpstr>XDO_?FINAL_QUANTITE?480?</vt:lpstr>
      <vt:lpstr>XDO_?FINAL_QUANTITE?481?</vt:lpstr>
      <vt:lpstr>XDO_?FINAL_QUANTITE?482?</vt:lpstr>
      <vt:lpstr>XDO_?FINAL_QUANTITE?483?</vt:lpstr>
      <vt:lpstr>XDO_?FINAL_QUANTITE?484?</vt:lpstr>
      <vt:lpstr>XDO_?FINAL_QUANTITE?485?</vt:lpstr>
      <vt:lpstr>XDO_?FINAL_QUANTITE?486?</vt:lpstr>
      <vt:lpstr>XDO_?FINAL_QUANTITE?487?</vt:lpstr>
      <vt:lpstr>XDO_?FINAL_QUANTITE?488?</vt:lpstr>
      <vt:lpstr>XDO_?FINAL_QUANTITE?489?</vt:lpstr>
      <vt:lpstr>XDO_?FINAL_QUANTITE?490?</vt:lpstr>
      <vt:lpstr>XDO_?FINAL_QUANTITE?491?</vt:lpstr>
      <vt:lpstr>XDO_?FINAL_QUANTITE?492?</vt:lpstr>
      <vt:lpstr>XDO_?FINAL_QUANTITE?493?</vt:lpstr>
      <vt:lpstr>XDO_?FINAL_QUANTITE?494?</vt:lpstr>
      <vt:lpstr>XDO_?FINAL_QUANTITE?495?</vt:lpstr>
      <vt:lpstr>XDO_?FINAL_QUANTITE?496?</vt:lpstr>
      <vt:lpstr>XDO_?FINAL_QUANTITE?497?</vt:lpstr>
      <vt:lpstr>XDO_?FINAL_QUANTITE?498?</vt:lpstr>
      <vt:lpstr>XDO_?FINAL_QUANTITE?499?</vt:lpstr>
      <vt:lpstr>XDO_?FINAL_QUANTITE?50?</vt:lpstr>
      <vt:lpstr>XDO_?FINAL_QUANTITE?500?</vt:lpstr>
      <vt:lpstr>XDO_?FINAL_QUANTITE?501?</vt:lpstr>
      <vt:lpstr>XDO_?FINAL_QUANTITE?502?</vt:lpstr>
      <vt:lpstr>XDO_?FINAL_QUANTITE?503?</vt:lpstr>
      <vt:lpstr>XDO_?FINAL_QUANTITE?504?</vt:lpstr>
      <vt:lpstr>XDO_?FINAL_QUANTITE?505?</vt:lpstr>
      <vt:lpstr>XDO_?FINAL_QUANTITE?506?</vt:lpstr>
      <vt:lpstr>XDO_?FINAL_QUANTITE?507?</vt:lpstr>
      <vt:lpstr>XDO_?FINAL_QUANTITE?508?</vt:lpstr>
      <vt:lpstr>XDO_?FINAL_QUANTITE?509?</vt:lpstr>
      <vt:lpstr>XDO_?FINAL_QUANTITE?51?</vt:lpstr>
      <vt:lpstr>XDO_?FINAL_QUANTITE?510?</vt:lpstr>
      <vt:lpstr>XDO_?FINAL_QUANTITE?511?</vt:lpstr>
      <vt:lpstr>XDO_?FINAL_QUANTITE?512?</vt:lpstr>
      <vt:lpstr>XDO_?FINAL_QUANTITE?513?</vt:lpstr>
      <vt:lpstr>XDO_?FINAL_QUANTITE?514?</vt:lpstr>
      <vt:lpstr>XDO_?FINAL_QUANTITE?515?</vt:lpstr>
      <vt:lpstr>XDO_?FINAL_QUANTITE?516?</vt:lpstr>
      <vt:lpstr>XDO_?FINAL_QUANTITE?517?</vt:lpstr>
      <vt:lpstr>XDO_?FINAL_QUANTITE?518?</vt:lpstr>
      <vt:lpstr>XDO_?FINAL_QUANTITE?519?</vt:lpstr>
      <vt:lpstr>XDO_?FINAL_QUANTITE?52?</vt:lpstr>
      <vt:lpstr>XDO_?FINAL_QUANTITE?520?</vt:lpstr>
      <vt:lpstr>XDO_?FINAL_QUANTITE?521?</vt:lpstr>
      <vt:lpstr>XDO_?FINAL_QUANTITE?522?</vt:lpstr>
      <vt:lpstr>XDO_?FINAL_QUANTITE?523?</vt:lpstr>
      <vt:lpstr>XDO_?FINAL_QUANTITE?524?</vt:lpstr>
      <vt:lpstr>XDO_?FINAL_QUANTITE?525?</vt:lpstr>
      <vt:lpstr>XDO_?FINAL_QUANTITE?526?</vt:lpstr>
      <vt:lpstr>XDO_?FINAL_QUANTITE?527?</vt:lpstr>
      <vt:lpstr>XDO_?FINAL_QUANTITE?528?</vt:lpstr>
      <vt:lpstr>XDO_?FINAL_QUANTITE?529?</vt:lpstr>
      <vt:lpstr>XDO_?FINAL_QUANTITE?53?</vt:lpstr>
      <vt:lpstr>XDO_?FINAL_QUANTITE?530?</vt:lpstr>
      <vt:lpstr>XDO_?FINAL_QUANTITE?531?</vt:lpstr>
      <vt:lpstr>XDO_?FINAL_QUANTITE?532?</vt:lpstr>
      <vt:lpstr>XDO_?FINAL_QUANTITE?533?</vt:lpstr>
      <vt:lpstr>XDO_?FINAL_QUANTITE?534?</vt:lpstr>
      <vt:lpstr>XDO_?FINAL_QUANTITE?535?</vt:lpstr>
      <vt:lpstr>XDO_?FINAL_QUANTITE?536?</vt:lpstr>
      <vt:lpstr>XDO_?FINAL_QUANTITE?537?</vt:lpstr>
      <vt:lpstr>XDO_?FINAL_QUANTITE?538?</vt:lpstr>
      <vt:lpstr>XDO_?FINAL_QUANTITE?539?</vt:lpstr>
      <vt:lpstr>XDO_?FINAL_QUANTITE?54?</vt:lpstr>
      <vt:lpstr>XDO_?FINAL_QUANTITE?540?</vt:lpstr>
      <vt:lpstr>XDO_?FINAL_QUANTITE?541?</vt:lpstr>
      <vt:lpstr>XDO_?FINAL_QUANTITE?542?</vt:lpstr>
      <vt:lpstr>XDO_?FINAL_QUANTITE?543?</vt:lpstr>
      <vt:lpstr>XDO_?FINAL_QUANTITE?544?</vt:lpstr>
      <vt:lpstr>XDO_?FINAL_QUANTITE?545?</vt:lpstr>
      <vt:lpstr>XDO_?FINAL_QUANTITE?546?</vt:lpstr>
      <vt:lpstr>XDO_?FINAL_QUANTITE?547?</vt:lpstr>
      <vt:lpstr>XDO_?FINAL_QUANTITE?548?</vt:lpstr>
      <vt:lpstr>XDO_?FINAL_QUANTITE?549?</vt:lpstr>
      <vt:lpstr>XDO_?FINAL_QUANTITE?550?</vt:lpstr>
      <vt:lpstr>XDO_?FINAL_QUANTITE?551?</vt:lpstr>
      <vt:lpstr>XDO_?FINAL_QUANTITE?552?</vt:lpstr>
      <vt:lpstr>XDO_?FINAL_QUANTITE?553?</vt:lpstr>
      <vt:lpstr>XDO_?FINAL_QUANTITE?554?</vt:lpstr>
      <vt:lpstr>XDO_?FINAL_QUANTITE?555?</vt:lpstr>
      <vt:lpstr>XDO_?FINAL_QUANTITE?556?</vt:lpstr>
      <vt:lpstr>XDO_?FINAL_QUANTITE?557?</vt:lpstr>
      <vt:lpstr>XDO_?FINAL_QUANTITE?558?</vt:lpstr>
      <vt:lpstr>XDO_?FINAL_QUANTITE?559?</vt:lpstr>
      <vt:lpstr>XDO_?FINAL_QUANTITE?560?</vt:lpstr>
      <vt:lpstr>XDO_?FINAL_QUANTITE?561?</vt:lpstr>
      <vt:lpstr>XDO_?FINAL_QUANTITE?562?</vt:lpstr>
      <vt:lpstr>XDO_?FINAL_QUANTITE?563?</vt:lpstr>
      <vt:lpstr>XDO_?FINAL_QUANTITE?564?</vt:lpstr>
      <vt:lpstr>XDO_?FINAL_QUANTITE?565?</vt:lpstr>
      <vt:lpstr>XDO_?FINAL_QUANTITE?566?</vt:lpstr>
      <vt:lpstr>XDO_?FINAL_QUANTITE?567?</vt:lpstr>
      <vt:lpstr>XDO_?FINAL_QUANTITE?568?</vt:lpstr>
      <vt:lpstr>XDO_?FINAL_QUANTITE?569?</vt:lpstr>
      <vt:lpstr>XDO_?FINAL_QUANTITE?570?</vt:lpstr>
      <vt:lpstr>XDO_?FINAL_QUANTITE?571?</vt:lpstr>
      <vt:lpstr>XDO_?FINAL_QUANTITE?572?</vt:lpstr>
      <vt:lpstr>XDO_?FINAL_QUANTITE?573?</vt:lpstr>
      <vt:lpstr>XDO_?FINAL_QUANTITE?574?</vt:lpstr>
      <vt:lpstr>XDO_?FINAL_QUANTITE?575?</vt:lpstr>
      <vt:lpstr>XDO_?FINAL_QUANTITE?576?</vt:lpstr>
      <vt:lpstr>XDO_?FINAL_QUANTITE?577?</vt:lpstr>
      <vt:lpstr>XDO_?FINAL_QUANTITE?578?</vt:lpstr>
      <vt:lpstr>XDO_?FINAL_QUANTITE?579?</vt:lpstr>
      <vt:lpstr>XDO_?FINAL_QUANTITE?580?</vt:lpstr>
      <vt:lpstr>XDO_?FINAL_QUANTITE?581?</vt:lpstr>
      <vt:lpstr>XDO_?FINAL_QUANTITE?582?</vt:lpstr>
      <vt:lpstr>XDO_?FINAL_QUANTITE?583?</vt:lpstr>
      <vt:lpstr>XDO_?FINAL_QUANTITE?584?</vt:lpstr>
      <vt:lpstr>XDO_?FINAL_QUANTITE?585?</vt:lpstr>
      <vt:lpstr>XDO_?FINAL_QUANTITE?586?</vt:lpstr>
      <vt:lpstr>XDO_?FINAL_QUANTITE?587?</vt:lpstr>
      <vt:lpstr>XDO_?FINAL_QUANTITE?588?</vt:lpstr>
      <vt:lpstr>XDO_?FINAL_QUANTITE?589?</vt:lpstr>
      <vt:lpstr>XDO_?FINAL_QUANTITE?590?</vt:lpstr>
      <vt:lpstr>XDO_?FINAL_QUANTITE?591?</vt:lpstr>
      <vt:lpstr>XDO_?FINAL_QUANTITE?592?</vt:lpstr>
      <vt:lpstr>XDO_?FINAL_QUANTITE?593?</vt:lpstr>
      <vt:lpstr>XDO_?FINAL_QUANTITE?594?</vt:lpstr>
      <vt:lpstr>XDO_?FINAL_QUANTITE?595?</vt:lpstr>
      <vt:lpstr>XDO_?FINAL_QUANTITE?596?</vt:lpstr>
      <vt:lpstr>XDO_?FINAL_QUANTITE?597?</vt:lpstr>
      <vt:lpstr>XDO_?FINAL_QUANTITE?598?</vt:lpstr>
      <vt:lpstr>XDO_?FINAL_QUANTITE?599?</vt:lpstr>
      <vt:lpstr>XDO_?FINAL_QUANTITE?600?</vt:lpstr>
      <vt:lpstr>XDO_?FINAL_QUANTITE?601?</vt:lpstr>
      <vt:lpstr>XDO_?FINAL_QUANTITE?602?</vt:lpstr>
      <vt:lpstr>XDO_?FINAL_QUANTITE?603?</vt:lpstr>
      <vt:lpstr>XDO_?FINAL_QUANTITE?604?</vt:lpstr>
      <vt:lpstr>XDO_?FINAL_QUANTITE?605?</vt:lpstr>
      <vt:lpstr>XDO_?FINAL_QUANTITE?606?</vt:lpstr>
      <vt:lpstr>XDO_?FINAL_QUANTITE?607?</vt:lpstr>
      <vt:lpstr>XDO_?FINAL_QUANTITE?608?</vt:lpstr>
      <vt:lpstr>XDO_?FINAL_QUANTITE?609?</vt:lpstr>
      <vt:lpstr>XDO_?FINAL_QUANTITE?61?</vt:lpstr>
      <vt:lpstr>XDO_?FINAL_QUANTITE?610?</vt:lpstr>
      <vt:lpstr>XDO_?FINAL_QUANTITE?611?</vt:lpstr>
      <vt:lpstr>XDO_?FINAL_QUANTITE?612?</vt:lpstr>
      <vt:lpstr>XDO_?FINAL_QUANTITE?613?</vt:lpstr>
      <vt:lpstr>XDO_?FINAL_QUANTITE?614?</vt:lpstr>
      <vt:lpstr>XDO_?FINAL_QUANTITE?615?</vt:lpstr>
      <vt:lpstr>XDO_?FINAL_QUANTITE?616?</vt:lpstr>
      <vt:lpstr>XDO_?FINAL_QUANTITE?617?</vt:lpstr>
      <vt:lpstr>XDO_?FINAL_QUANTITE?618?</vt:lpstr>
      <vt:lpstr>XDO_?FINAL_QUANTITE?619?</vt:lpstr>
      <vt:lpstr>XDO_?FINAL_QUANTITE?62?</vt:lpstr>
      <vt:lpstr>XDO_?FINAL_QUANTITE?620?</vt:lpstr>
      <vt:lpstr>XDO_?FINAL_QUANTITE?621?</vt:lpstr>
      <vt:lpstr>XDO_?FINAL_QUANTITE?622?</vt:lpstr>
      <vt:lpstr>XDO_?FINAL_QUANTITE?623?</vt:lpstr>
      <vt:lpstr>XDO_?FINAL_QUANTITE?624?</vt:lpstr>
      <vt:lpstr>XDO_?FINAL_QUANTITE?625?</vt:lpstr>
      <vt:lpstr>XDO_?FINAL_QUANTITE?626?</vt:lpstr>
      <vt:lpstr>XDO_?FINAL_QUANTITE?627?</vt:lpstr>
      <vt:lpstr>XDO_?FINAL_QUANTITE?628?</vt:lpstr>
      <vt:lpstr>XDO_?FINAL_QUANTITE?629?</vt:lpstr>
      <vt:lpstr>XDO_?FINAL_QUANTITE?63?</vt:lpstr>
      <vt:lpstr>XDO_?FINAL_QUANTITE?630?</vt:lpstr>
      <vt:lpstr>XDO_?FINAL_QUANTITE?631?</vt:lpstr>
      <vt:lpstr>XDO_?FINAL_QUANTITE?632?</vt:lpstr>
      <vt:lpstr>XDO_?FINAL_QUANTITE?633?</vt:lpstr>
      <vt:lpstr>XDO_?FINAL_QUANTITE?634?</vt:lpstr>
      <vt:lpstr>XDO_?FINAL_QUANTITE?635?</vt:lpstr>
      <vt:lpstr>XDO_?FINAL_QUANTITE?636?</vt:lpstr>
      <vt:lpstr>XDO_?FINAL_QUANTITE?637?</vt:lpstr>
      <vt:lpstr>XDO_?FINAL_QUANTITE?638?</vt:lpstr>
      <vt:lpstr>XDO_?FINAL_QUANTITE?639?</vt:lpstr>
      <vt:lpstr>XDO_?FINAL_QUANTITE?64?</vt:lpstr>
      <vt:lpstr>XDO_?FINAL_QUANTITE?640?</vt:lpstr>
      <vt:lpstr>XDO_?FINAL_QUANTITE?641?</vt:lpstr>
      <vt:lpstr>XDO_?FINAL_QUANTITE?642?</vt:lpstr>
      <vt:lpstr>XDO_?FINAL_QUANTITE?643?</vt:lpstr>
      <vt:lpstr>XDO_?FINAL_QUANTITE?644?</vt:lpstr>
      <vt:lpstr>XDO_?FINAL_QUANTITE?645?</vt:lpstr>
      <vt:lpstr>XDO_?FINAL_QUANTITE?646?</vt:lpstr>
      <vt:lpstr>XDO_?FINAL_QUANTITE?647?</vt:lpstr>
      <vt:lpstr>XDO_?FINAL_QUANTITE?648?</vt:lpstr>
      <vt:lpstr>XDO_?FINAL_QUANTITE?649?</vt:lpstr>
      <vt:lpstr>XDO_?FINAL_QUANTITE?65?</vt:lpstr>
      <vt:lpstr>XDO_?FINAL_QUANTITE?650?</vt:lpstr>
      <vt:lpstr>XDO_?FINAL_QUANTITE?651?</vt:lpstr>
      <vt:lpstr>XDO_?FINAL_QUANTITE?652?</vt:lpstr>
      <vt:lpstr>XDO_?FINAL_QUANTITE?653?</vt:lpstr>
      <vt:lpstr>XDO_?FINAL_QUANTITE?654?</vt:lpstr>
      <vt:lpstr>XDO_?FINAL_QUANTITE?655?</vt:lpstr>
      <vt:lpstr>XDO_?FINAL_QUANTITE?656?</vt:lpstr>
      <vt:lpstr>XDO_?FINAL_QUANTITE?657?</vt:lpstr>
      <vt:lpstr>XDO_?FINAL_QUANTITE?658?</vt:lpstr>
      <vt:lpstr>XDO_?FINAL_QUANTITE?659?</vt:lpstr>
      <vt:lpstr>XDO_?FINAL_QUANTITE?66?</vt:lpstr>
      <vt:lpstr>XDO_?FINAL_QUANTITE?660?</vt:lpstr>
      <vt:lpstr>XDO_?FINAL_QUANTITE?661?</vt:lpstr>
      <vt:lpstr>XDO_?FINAL_QUANTITE?662?</vt:lpstr>
      <vt:lpstr>XDO_?FINAL_QUANTITE?663?</vt:lpstr>
      <vt:lpstr>XDO_?FINAL_QUANTITE?664?</vt:lpstr>
      <vt:lpstr>XDO_?FINAL_QUANTITE?665?</vt:lpstr>
      <vt:lpstr>XDO_?FINAL_QUANTITE?666?</vt:lpstr>
      <vt:lpstr>XDO_?FINAL_QUANTITE?667?</vt:lpstr>
      <vt:lpstr>XDO_?FINAL_QUANTITE?668?</vt:lpstr>
      <vt:lpstr>XDO_?FINAL_QUANTITE?669?</vt:lpstr>
      <vt:lpstr>XDO_?FINAL_QUANTITE?67?</vt:lpstr>
      <vt:lpstr>XDO_?FINAL_QUANTITE?670?</vt:lpstr>
      <vt:lpstr>XDO_?FINAL_QUANTITE?671?</vt:lpstr>
      <vt:lpstr>XDO_?FINAL_QUANTITE?672?</vt:lpstr>
      <vt:lpstr>XDO_?FINAL_QUANTITE?673?</vt:lpstr>
      <vt:lpstr>XDO_?FINAL_QUANTITE?674?</vt:lpstr>
      <vt:lpstr>XDO_?FINAL_QUANTITE?675?</vt:lpstr>
      <vt:lpstr>XDO_?FINAL_QUANTITE?676?</vt:lpstr>
      <vt:lpstr>XDO_?FINAL_QUANTITE?677?</vt:lpstr>
      <vt:lpstr>XDO_?FINAL_QUANTITE?678?</vt:lpstr>
      <vt:lpstr>XDO_?FINAL_QUANTITE?679?</vt:lpstr>
      <vt:lpstr>XDO_?FINAL_QUANTITE?68?</vt:lpstr>
      <vt:lpstr>XDO_?FINAL_QUANTITE?680?</vt:lpstr>
      <vt:lpstr>XDO_?FINAL_QUANTITE?681?</vt:lpstr>
      <vt:lpstr>XDO_?FINAL_QUANTITE?682?</vt:lpstr>
      <vt:lpstr>XDO_?FINAL_QUANTITE?683?</vt:lpstr>
      <vt:lpstr>XDO_?FINAL_QUANTITE?684?</vt:lpstr>
      <vt:lpstr>XDO_?FINAL_QUANTITE?685?</vt:lpstr>
      <vt:lpstr>XDO_?FINAL_QUANTITE?686?</vt:lpstr>
      <vt:lpstr>XDO_?FINAL_QUANTITE?687?</vt:lpstr>
      <vt:lpstr>XDO_?FINAL_QUANTITE?688?</vt:lpstr>
      <vt:lpstr>XDO_?FINAL_QUANTITE?689?</vt:lpstr>
      <vt:lpstr>XDO_?FINAL_QUANTITE?690?</vt:lpstr>
      <vt:lpstr>XDO_?FINAL_QUANTITE?691?</vt:lpstr>
      <vt:lpstr>XDO_?FINAL_QUANTITE?692?</vt:lpstr>
      <vt:lpstr>XDO_?FINAL_QUANTITE?76?</vt:lpstr>
      <vt:lpstr>XDO_?FINAL_QUANTITE?77?</vt:lpstr>
      <vt:lpstr>XDO_?FINAL_QUANTITE?78?</vt:lpstr>
      <vt:lpstr>XDO_?FINAL_QUANTITE?79?</vt:lpstr>
      <vt:lpstr>XDO_?FINAL_QUANTITE?84?</vt:lpstr>
      <vt:lpstr>XDO_?FINAL_QUANTITE?85?</vt:lpstr>
      <vt:lpstr>XDO_?FINAL_QUANTITE?86?</vt:lpstr>
      <vt:lpstr>XDO_?FINAL_QUANTITE?87?</vt:lpstr>
      <vt:lpstr>XDO_?FINAL_QUANTITE?88?</vt:lpstr>
      <vt:lpstr>XDO_?FINAL_QUANTITE?89?</vt:lpstr>
      <vt:lpstr>XDO_?FINAL_QUANTITE?90?</vt:lpstr>
      <vt:lpstr>XDO_?FINAL_QUANTITE?91?</vt:lpstr>
      <vt:lpstr>XDO_?FINAL_QUANTITE?92?</vt:lpstr>
      <vt:lpstr>XDO_?FINAL_QUANTITE?93?</vt:lpstr>
      <vt:lpstr>XDO_?FINAL_QUANTITE?94?</vt:lpstr>
      <vt:lpstr>XDO_?FINAL_QUANTITE?95?</vt:lpstr>
      <vt:lpstr>XDO_?FINAL_QUANTITE?96?</vt:lpstr>
      <vt:lpstr>XDO_?FINAL_QUANTITE?97?</vt:lpstr>
      <vt:lpstr>XDO_?FINAL_QUANTITE?98?</vt:lpstr>
      <vt:lpstr>XDO_?FINAL_QUANTITE?99?</vt:lpstr>
      <vt:lpstr>XDO_?NAMCNAME?100?</vt:lpstr>
      <vt:lpstr>XDO_?NAMCNAME?101?</vt:lpstr>
      <vt:lpstr>XDO_?NAMCNAME?102?</vt:lpstr>
      <vt:lpstr>XDO_?NAMCNAME?103?</vt:lpstr>
      <vt:lpstr>XDO_?NAMCNAME?104?</vt:lpstr>
      <vt:lpstr>XDO_?NAMCNAME?105?</vt:lpstr>
      <vt:lpstr>XDO_?NAMCNAME?106?</vt:lpstr>
      <vt:lpstr>XDO_?NAMCNAME?107?</vt:lpstr>
      <vt:lpstr>XDO_?NAMCNAME?108?</vt:lpstr>
      <vt:lpstr>XDO_?NAMCNAME?109?</vt:lpstr>
      <vt:lpstr>XDO_?NAMCNAME?110?</vt:lpstr>
      <vt:lpstr>XDO_?NAMCNAME?111?</vt:lpstr>
      <vt:lpstr>XDO_?NAMCNAME?112?</vt:lpstr>
      <vt:lpstr>XDO_?NAMCNAME?113?</vt:lpstr>
      <vt:lpstr>XDO_?NAMCNAME?114?</vt:lpstr>
      <vt:lpstr>XDO_?NAMCNAME?115?</vt:lpstr>
      <vt:lpstr>XDO_?NAMCNAME?116?</vt:lpstr>
      <vt:lpstr>XDO_?NAMCNAME?117?</vt:lpstr>
      <vt:lpstr>XDO_?NAMCNAME?118?</vt:lpstr>
      <vt:lpstr>XDO_?NAMCNAME?119?</vt:lpstr>
      <vt:lpstr>XDO_?NAMCNAME?120?</vt:lpstr>
      <vt:lpstr>XDO_?NAMCNAME?121?</vt:lpstr>
      <vt:lpstr>XDO_?NAMCNAME?122?</vt:lpstr>
      <vt:lpstr>XDO_?NAMCNAME?123?</vt:lpstr>
      <vt:lpstr>XDO_?NAMCNAME?124?</vt:lpstr>
      <vt:lpstr>XDO_?NAMCNAME?125?</vt:lpstr>
      <vt:lpstr>XDO_?NAMCNAME?126?</vt:lpstr>
      <vt:lpstr>XDO_?NAMCNAME?127?</vt:lpstr>
      <vt:lpstr>XDO_?NAMCNAME?128?</vt:lpstr>
      <vt:lpstr>XDO_?NAMCNAME?129?</vt:lpstr>
      <vt:lpstr>XDO_?NAMCNAME?13?</vt:lpstr>
      <vt:lpstr>XDO_?NAMCNAME?130?</vt:lpstr>
      <vt:lpstr>XDO_?NAMCNAME?131?</vt:lpstr>
      <vt:lpstr>XDO_?NAMCNAME?132?</vt:lpstr>
      <vt:lpstr>XDO_?NAMCNAME?133?</vt:lpstr>
      <vt:lpstr>XDO_?NAMCNAME?134?</vt:lpstr>
      <vt:lpstr>XDO_?NAMCNAME?135?</vt:lpstr>
      <vt:lpstr>XDO_?NAMCNAME?136?</vt:lpstr>
      <vt:lpstr>XDO_?NAMCNAME?137?</vt:lpstr>
      <vt:lpstr>XDO_?NAMCNAME?138?</vt:lpstr>
      <vt:lpstr>XDO_?NAMCNAME?139?</vt:lpstr>
      <vt:lpstr>XDO_?NAMCNAME?14?</vt:lpstr>
      <vt:lpstr>XDO_?NAMCNAME?140?</vt:lpstr>
      <vt:lpstr>XDO_?NAMCNAME?141?</vt:lpstr>
      <vt:lpstr>XDO_?NAMCNAME?142?</vt:lpstr>
      <vt:lpstr>XDO_?NAMCNAME?143?</vt:lpstr>
      <vt:lpstr>XDO_?NAMCNAME?144?</vt:lpstr>
      <vt:lpstr>XDO_?NAMCNAME?145?</vt:lpstr>
      <vt:lpstr>XDO_?NAMCNAME?146?</vt:lpstr>
      <vt:lpstr>XDO_?NAMCNAME?147?</vt:lpstr>
      <vt:lpstr>XDO_?NAMCNAME?148?</vt:lpstr>
      <vt:lpstr>XDO_?NAMCNAME?149?</vt:lpstr>
      <vt:lpstr>XDO_?NAMCNAME?150?</vt:lpstr>
      <vt:lpstr>XDO_?NAMCNAME?151?</vt:lpstr>
      <vt:lpstr>XDO_?NAMCNAME?152?</vt:lpstr>
      <vt:lpstr>XDO_?NAMCNAME?153?</vt:lpstr>
      <vt:lpstr>XDO_?NAMCNAME?154?</vt:lpstr>
      <vt:lpstr>XDO_?NAMCNAME?155?</vt:lpstr>
      <vt:lpstr>XDO_?NAMCNAME?156?</vt:lpstr>
      <vt:lpstr>XDO_?NAMCNAME?157?</vt:lpstr>
      <vt:lpstr>XDO_?NAMCNAME?158?</vt:lpstr>
      <vt:lpstr>XDO_?NAMCNAME?159?</vt:lpstr>
      <vt:lpstr>XDO_?NAMCNAME?17?</vt:lpstr>
      <vt:lpstr>XDO_?NAMCNAME?20?</vt:lpstr>
      <vt:lpstr>XDO_?NAMCNAME?24?</vt:lpstr>
      <vt:lpstr>XDO_?NAMCNAME?27?</vt:lpstr>
      <vt:lpstr>XDO_?NAMCNAME?28?</vt:lpstr>
      <vt:lpstr>XDO_?NAMCNAME?29?</vt:lpstr>
      <vt:lpstr>XDO_?NAMCNAME?30?</vt:lpstr>
      <vt:lpstr>XDO_?NAMCNAME?31?</vt:lpstr>
      <vt:lpstr>XDO_?NAMCNAME?32?</vt:lpstr>
      <vt:lpstr>XDO_?NAMCNAME?33?</vt:lpstr>
      <vt:lpstr>XDO_?NAMCNAME?34?</vt:lpstr>
      <vt:lpstr>XDO_?NAMCNAME?35?</vt:lpstr>
      <vt:lpstr>XDO_?NAMCNAME?36?</vt:lpstr>
      <vt:lpstr>XDO_?NAMCNAME?37?</vt:lpstr>
      <vt:lpstr>XDO_?NAMCNAME?38?</vt:lpstr>
      <vt:lpstr>XDO_?NAMCNAME?39?</vt:lpstr>
      <vt:lpstr>XDO_?NAMCNAME?40?</vt:lpstr>
      <vt:lpstr>XDO_?NAMCNAME?41?</vt:lpstr>
      <vt:lpstr>XDO_?NAMCNAME?42?</vt:lpstr>
      <vt:lpstr>XDO_?NAMCNAME?43?</vt:lpstr>
      <vt:lpstr>XDO_?NAMCNAME?44?</vt:lpstr>
      <vt:lpstr>XDO_?NAMCNAME?45?</vt:lpstr>
      <vt:lpstr>XDO_?NAMCNAME?46?</vt:lpstr>
      <vt:lpstr>XDO_?NAMCNAME?47?</vt:lpstr>
      <vt:lpstr>XDO_?NAMCNAME?48?</vt:lpstr>
      <vt:lpstr>XDO_?NAMCNAME?49?</vt:lpstr>
      <vt:lpstr>XDO_?NAMCNAME?50?</vt:lpstr>
      <vt:lpstr>XDO_?NAMCNAME?51?</vt:lpstr>
      <vt:lpstr>XDO_?NAMCNAME?52?</vt:lpstr>
      <vt:lpstr>XDO_?NAMCNAME?53?</vt:lpstr>
      <vt:lpstr>XDO_?NAMCNAME?54?</vt:lpstr>
      <vt:lpstr>XDO_?NAMCNAME?55?</vt:lpstr>
      <vt:lpstr>XDO_?NAMCNAME?56?</vt:lpstr>
      <vt:lpstr>XDO_?NAMCNAME?57?</vt:lpstr>
      <vt:lpstr>XDO_?NAMCNAME?58?</vt:lpstr>
      <vt:lpstr>XDO_?NAMCNAME?59?</vt:lpstr>
      <vt:lpstr>XDO_?NAMCNAME?6?</vt:lpstr>
      <vt:lpstr>XDO_?NAMCNAME?60?</vt:lpstr>
      <vt:lpstr>XDO_?NAMCNAME?61?</vt:lpstr>
      <vt:lpstr>XDO_?NAMCNAME?62?</vt:lpstr>
      <vt:lpstr>XDO_?NAMCNAME?63?</vt:lpstr>
      <vt:lpstr>XDO_?NAMCNAME?64?</vt:lpstr>
      <vt:lpstr>XDO_?NAMCNAME?65?</vt:lpstr>
      <vt:lpstr>XDO_?NAMCNAME?66?</vt:lpstr>
      <vt:lpstr>XDO_?NAMCNAME?67?</vt:lpstr>
      <vt:lpstr>XDO_?NAMCNAME?68?</vt:lpstr>
      <vt:lpstr>XDO_?NAMCNAME?69?</vt:lpstr>
      <vt:lpstr>XDO_?NAMCNAME?70?</vt:lpstr>
      <vt:lpstr>XDO_?NAMCNAME?71?</vt:lpstr>
      <vt:lpstr>XDO_?NAMCNAME?72?</vt:lpstr>
      <vt:lpstr>XDO_?NAMCNAME?73?</vt:lpstr>
      <vt:lpstr>XDO_?NAMCNAME?74?</vt:lpstr>
      <vt:lpstr>XDO_?NAMCNAME?75?</vt:lpstr>
      <vt:lpstr>XDO_?NAMCNAME?76?</vt:lpstr>
      <vt:lpstr>XDO_?NAMCNAME?77?</vt:lpstr>
      <vt:lpstr>XDO_?NAMCNAME?78?</vt:lpstr>
      <vt:lpstr>XDO_?NAMCNAME?79?</vt:lpstr>
      <vt:lpstr>XDO_?NAMCNAME?80?</vt:lpstr>
      <vt:lpstr>XDO_?NAMCNAME?81?</vt:lpstr>
      <vt:lpstr>XDO_?NAMCNAME?82?</vt:lpstr>
      <vt:lpstr>XDO_?NAMCNAME?83?</vt:lpstr>
      <vt:lpstr>XDO_?NAMCNAME?84?</vt:lpstr>
      <vt:lpstr>XDO_?NAMCNAME?85?</vt:lpstr>
      <vt:lpstr>XDO_?NAMCNAME?86?</vt:lpstr>
      <vt:lpstr>XDO_?NAMCNAME?87?</vt:lpstr>
      <vt:lpstr>XDO_?NAMCNAME?88?</vt:lpstr>
      <vt:lpstr>XDO_?NAMCNAME?89?</vt:lpstr>
      <vt:lpstr>XDO_?NAMCNAME?90?</vt:lpstr>
      <vt:lpstr>XDO_?NAMCNAME?91?</vt:lpstr>
      <vt:lpstr>XDO_?NAMCNAME?92?</vt:lpstr>
      <vt:lpstr>XDO_?NAMCNAME?93?</vt:lpstr>
      <vt:lpstr>XDO_?NAMCNAME?94?</vt:lpstr>
      <vt:lpstr>XDO_?NAMCNAME?95?</vt:lpstr>
      <vt:lpstr>XDO_?NAMCNAME?96?</vt:lpstr>
      <vt:lpstr>XDO_?NAMCNAME?97?</vt:lpstr>
      <vt:lpstr>XDO_?NAMCNAME?98?</vt:lpstr>
      <vt:lpstr>XDO_?NAMCNAME?99?</vt:lpstr>
      <vt:lpstr>XDO_?NOVAL?100?</vt:lpstr>
      <vt:lpstr>XDO_?NOVAL?101?</vt:lpstr>
      <vt:lpstr>XDO_?NOVAL?102?</vt:lpstr>
      <vt:lpstr>XDO_?NOVAL?103?</vt:lpstr>
      <vt:lpstr>XDO_?NOVAL?104?</vt:lpstr>
      <vt:lpstr>XDO_?NOVAL?105?</vt:lpstr>
      <vt:lpstr>XDO_?NOVAL?106?</vt:lpstr>
      <vt:lpstr>XDO_?NOVAL?107?</vt:lpstr>
      <vt:lpstr>XDO_?NOVAL?108?</vt:lpstr>
      <vt:lpstr>XDO_?NOVAL?109?</vt:lpstr>
      <vt:lpstr>XDO_?NOVAL?110?</vt:lpstr>
      <vt:lpstr>XDO_?NOVAL?111?</vt:lpstr>
      <vt:lpstr>XDO_?NOVAL?112?</vt:lpstr>
      <vt:lpstr>XDO_?NOVAL?113?</vt:lpstr>
      <vt:lpstr>XDO_?NOVAL?114?</vt:lpstr>
      <vt:lpstr>XDO_?NOVAL?115?</vt:lpstr>
      <vt:lpstr>XDO_?NOVAL?116?</vt:lpstr>
      <vt:lpstr>XDO_?NOVAL?117?</vt:lpstr>
      <vt:lpstr>XDO_?NOVAL?118?</vt:lpstr>
      <vt:lpstr>XDO_?NOVAL?119?</vt:lpstr>
      <vt:lpstr>XDO_?NOVAL?12?</vt:lpstr>
      <vt:lpstr>XDO_?NOVAL?120?</vt:lpstr>
      <vt:lpstr>XDO_?NOVAL?121?</vt:lpstr>
      <vt:lpstr>XDO_?NOVAL?122?</vt:lpstr>
      <vt:lpstr>XDO_?NOVAL?123?</vt:lpstr>
      <vt:lpstr>XDO_?NOVAL?124?</vt:lpstr>
      <vt:lpstr>XDO_?NOVAL?125?</vt:lpstr>
      <vt:lpstr>XDO_?NOVAL?126?</vt:lpstr>
      <vt:lpstr>XDO_?NOVAL?127?</vt:lpstr>
      <vt:lpstr>XDO_?NOVAL?128?</vt:lpstr>
      <vt:lpstr>XDO_?NOVAL?129?</vt:lpstr>
      <vt:lpstr>XDO_?NOVAL?13?</vt:lpstr>
      <vt:lpstr>XDO_?NOVAL?130?</vt:lpstr>
      <vt:lpstr>XDO_?NOVAL?131?</vt:lpstr>
      <vt:lpstr>XDO_?NOVAL?132?</vt:lpstr>
      <vt:lpstr>XDO_?NOVAL?133?</vt:lpstr>
      <vt:lpstr>XDO_?NOVAL?134?</vt:lpstr>
      <vt:lpstr>XDO_?NOVAL?135?</vt:lpstr>
      <vt:lpstr>XDO_?NOVAL?136?</vt:lpstr>
      <vt:lpstr>XDO_?NOVAL?137?</vt:lpstr>
      <vt:lpstr>XDO_?NOVAL?138?</vt:lpstr>
      <vt:lpstr>XDO_?NOVAL?139?</vt:lpstr>
      <vt:lpstr>XDO_?NOVAL?14?</vt:lpstr>
      <vt:lpstr>XDO_?NOVAL?140?</vt:lpstr>
      <vt:lpstr>XDO_?NOVAL?141?</vt:lpstr>
      <vt:lpstr>XDO_?NOVAL?142?</vt:lpstr>
      <vt:lpstr>XDO_?NOVAL?143?</vt:lpstr>
      <vt:lpstr>XDO_?NOVAL?144?</vt:lpstr>
      <vt:lpstr>XDO_?NOVAL?145?</vt:lpstr>
      <vt:lpstr>XDO_?NOVAL?146?</vt:lpstr>
      <vt:lpstr>XDO_?NOVAL?147?</vt:lpstr>
      <vt:lpstr>XDO_?NOVAL?148?</vt:lpstr>
      <vt:lpstr>XDO_?NOVAL?149?</vt:lpstr>
      <vt:lpstr>XDO_?NOVAL?15?</vt:lpstr>
      <vt:lpstr>XDO_?NOVAL?150?</vt:lpstr>
      <vt:lpstr>XDO_?NOVAL?151?</vt:lpstr>
      <vt:lpstr>XDO_?NOVAL?152?</vt:lpstr>
      <vt:lpstr>XDO_?NOVAL?153?</vt:lpstr>
      <vt:lpstr>XDO_?NOVAL?154?</vt:lpstr>
      <vt:lpstr>XDO_?NOVAL?155?</vt:lpstr>
      <vt:lpstr>XDO_?NOVAL?156?</vt:lpstr>
      <vt:lpstr>XDO_?NOVAL?157?</vt:lpstr>
      <vt:lpstr>XDO_?NOVAL?158?</vt:lpstr>
      <vt:lpstr>XDO_?NOVAL?159?</vt:lpstr>
      <vt:lpstr>XDO_?NOVAL?16?</vt:lpstr>
      <vt:lpstr>XDO_?NOVAL?160?</vt:lpstr>
      <vt:lpstr>XDO_?NOVAL?161?</vt:lpstr>
      <vt:lpstr>XDO_?NOVAL?162?</vt:lpstr>
      <vt:lpstr>XDO_?NOVAL?163?</vt:lpstr>
      <vt:lpstr>XDO_?NOVAL?164?</vt:lpstr>
      <vt:lpstr>XDO_?NOVAL?165?</vt:lpstr>
      <vt:lpstr>XDO_?NOVAL?166?</vt:lpstr>
      <vt:lpstr>XDO_?NOVAL?167?</vt:lpstr>
      <vt:lpstr>XDO_?NOVAL?168?</vt:lpstr>
      <vt:lpstr>XDO_?NOVAL?169?</vt:lpstr>
      <vt:lpstr>XDO_?NOVAL?17?</vt:lpstr>
      <vt:lpstr>XDO_?NOVAL?170?</vt:lpstr>
      <vt:lpstr>XDO_?NOVAL?171?</vt:lpstr>
      <vt:lpstr>XDO_?NOVAL?172?</vt:lpstr>
      <vt:lpstr>XDO_?NOVAL?173?</vt:lpstr>
      <vt:lpstr>XDO_?NOVAL?174?</vt:lpstr>
      <vt:lpstr>XDO_?NOVAL?175?</vt:lpstr>
      <vt:lpstr>XDO_?NOVAL?176?</vt:lpstr>
      <vt:lpstr>XDO_?NOVAL?177?</vt:lpstr>
      <vt:lpstr>XDO_?NOVAL?178?</vt:lpstr>
      <vt:lpstr>XDO_?NOVAL?179?</vt:lpstr>
      <vt:lpstr>XDO_?NOVAL?180?</vt:lpstr>
      <vt:lpstr>XDO_?NOVAL?181?</vt:lpstr>
      <vt:lpstr>XDO_?NOVAL?182?</vt:lpstr>
      <vt:lpstr>XDO_?NOVAL?183?</vt:lpstr>
      <vt:lpstr>XDO_?NOVAL?184?</vt:lpstr>
      <vt:lpstr>XDO_?NOVAL?185?</vt:lpstr>
      <vt:lpstr>XDO_?NOVAL?186?</vt:lpstr>
      <vt:lpstr>XDO_?NOVAL?187?</vt:lpstr>
      <vt:lpstr>XDO_?NOVAL?188?</vt:lpstr>
      <vt:lpstr>XDO_?NOVAL?189?</vt:lpstr>
      <vt:lpstr>XDO_?NOVAL?190?</vt:lpstr>
      <vt:lpstr>XDO_?NOVAL?191?</vt:lpstr>
      <vt:lpstr>XDO_?NOVAL?192?</vt:lpstr>
      <vt:lpstr>XDO_?NOVAL?193?</vt:lpstr>
      <vt:lpstr>XDO_?NOVAL?194?</vt:lpstr>
      <vt:lpstr>XDO_?NOVAL?195?</vt:lpstr>
      <vt:lpstr>XDO_?NOVAL?196?</vt:lpstr>
      <vt:lpstr>XDO_?NOVAL?197?</vt:lpstr>
      <vt:lpstr>XDO_?NOVAL?198?</vt:lpstr>
      <vt:lpstr>XDO_?NOVAL?199?</vt:lpstr>
      <vt:lpstr>XDO_?NOVAL?200?</vt:lpstr>
      <vt:lpstr>XDO_?NOVAL?201?</vt:lpstr>
      <vt:lpstr>XDO_?NOVAL?202?</vt:lpstr>
      <vt:lpstr>XDO_?NOVAL?203?</vt:lpstr>
      <vt:lpstr>XDO_?NOVAL?204?</vt:lpstr>
      <vt:lpstr>XDO_?NOVAL?205?</vt:lpstr>
      <vt:lpstr>XDO_?NOVAL?206?</vt:lpstr>
      <vt:lpstr>XDO_?NOVAL?207?</vt:lpstr>
      <vt:lpstr>XDO_?NOVAL?208?</vt:lpstr>
      <vt:lpstr>XDO_?NOVAL?209?</vt:lpstr>
      <vt:lpstr>XDO_?NOVAL?210?</vt:lpstr>
      <vt:lpstr>XDO_?NOVAL?211?</vt:lpstr>
      <vt:lpstr>XDO_?NOVAL?212?</vt:lpstr>
      <vt:lpstr>XDO_?NOVAL?213?</vt:lpstr>
      <vt:lpstr>XDO_?NOVAL?214?</vt:lpstr>
      <vt:lpstr>XDO_?NOVAL?215?</vt:lpstr>
      <vt:lpstr>XDO_?NOVAL?216?</vt:lpstr>
      <vt:lpstr>XDO_?NOVAL?217?</vt:lpstr>
      <vt:lpstr>XDO_?NOVAL?218?</vt:lpstr>
      <vt:lpstr>XDO_?NOVAL?219?</vt:lpstr>
      <vt:lpstr>XDO_?NOVAL?220?</vt:lpstr>
      <vt:lpstr>XDO_?NOVAL?221?</vt:lpstr>
      <vt:lpstr>XDO_?NOVAL?222?</vt:lpstr>
      <vt:lpstr>XDO_?NOVAL?223?</vt:lpstr>
      <vt:lpstr>XDO_?NOVAL?224?</vt:lpstr>
      <vt:lpstr>XDO_?NOVAL?225?</vt:lpstr>
      <vt:lpstr>XDO_?NOVAL?226?</vt:lpstr>
      <vt:lpstr>XDO_?NOVAL?227?</vt:lpstr>
      <vt:lpstr>XDO_?NOVAL?228?</vt:lpstr>
      <vt:lpstr>XDO_?NOVAL?229?</vt:lpstr>
      <vt:lpstr>XDO_?NOVAL?230?</vt:lpstr>
      <vt:lpstr>XDO_?NOVAL?231?</vt:lpstr>
      <vt:lpstr>XDO_?NOVAL?232?</vt:lpstr>
      <vt:lpstr>XDO_?NOVAL?233?</vt:lpstr>
      <vt:lpstr>XDO_?NOVAL?234?</vt:lpstr>
      <vt:lpstr>XDO_?NOVAL?235?</vt:lpstr>
      <vt:lpstr>XDO_?NOVAL?236?</vt:lpstr>
      <vt:lpstr>XDO_?NOVAL?237?</vt:lpstr>
      <vt:lpstr>XDO_?NOVAL?238?</vt:lpstr>
      <vt:lpstr>XDO_?NOVAL?239?</vt:lpstr>
      <vt:lpstr>XDO_?NOVAL?240?</vt:lpstr>
      <vt:lpstr>XDO_?NOVAL?241?</vt:lpstr>
      <vt:lpstr>XDO_?NOVAL?242?</vt:lpstr>
      <vt:lpstr>XDO_?NOVAL?243?</vt:lpstr>
      <vt:lpstr>XDO_?NOVAL?244?</vt:lpstr>
      <vt:lpstr>XDO_?NOVAL?245?</vt:lpstr>
      <vt:lpstr>XDO_?NOVAL?246?</vt:lpstr>
      <vt:lpstr>XDO_?NOVAL?247?</vt:lpstr>
      <vt:lpstr>XDO_?NOVAL?248?</vt:lpstr>
      <vt:lpstr>XDO_?NOVAL?249?</vt:lpstr>
      <vt:lpstr>XDO_?NOVAL?250?</vt:lpstr>
      <vt:lpstr>XDO_?NOVAL?251?</vt:lpstr>
      <vt:lpstr>XDO_?NOVAL?252?</vt:lpstr>
      <vt:lpstr>XDO_?NOVAL?253?</vt:lpstr>
      <vt:lpstr>XDO_?NOVAL?254?</vt:lpstr>
      <vt:lpstr>XDO_?NOVAL?255?</vt:lpstr>
      <vt:lpstr>XDO_?NOVAL?256?</vt:lpstr>
      <vt:lpstr>XDO_?NOVAL?257?</vt:lpstr>
      <vt:lpstr>XDO_?NOVAL?258?</vt:lpstr>
      <vt:lpstr>XDO_?NOVAL?259?</vt:lpstr>
      <vt:lpstr>XDO_?NOVAL?260?</vt:lpstr>
      <vt:lpstr>XDO_?NOVAL?261?</vt:lpstr>
      <vt:lpstr>XDO_?NOVAL?262?</vt:lpstr>
      <vt:lpstr>XDO_?NOVAL?263?</vt:lpstr>
      <vt:lpstr>XDO_?NOVAL?264?</vt:lpstr>
      <vt:lpstr>XDO_?NOVAL?265?</vt:lpstr>
      <vt:lpstr>XDO_?NOVAL?266?</vt:lpstr>
      <vt:lpstr>XDO_?NOVAL?267?</vt:lpstr>
      <vt:lpstr>XDO_?NOVAL?268?</vt:lpstr>
      <vt:lpstr>XDO_?NOVAL?269?</vt:lpstr>
      <vt:lpstr>XDO_?NOVAL?270?</vt:lpstr>
      <vt:lpstr>XDO_?NOVAL?271?</vt:lpstr>
      <vt:lpstr>XDO_?NOVAL?272?</vt:lpstr>
      <vt:lpstr>XDO_?NOVAL?273?</vt:lpstr>
      <vt:lpstr>XDO_?NOVAL?274?</vt:lpstr>
      <vt:lpstr>XDO_?NOVAL?275?</vt:lpstr>
      <vt:lpstr>XDO_?NOVAL?276?</vt:lpstr>
      <vt:lpstr>XDO_?NOVAL?277?</vt:lpstr>
      <vt:lpstr>XDO_?NOVAL?278?</vt:lpstr>
      <vt:lpstr>XDO_?NOVAL?279?</vt:lpstr>
      <vt:lpstr>XDO_?NOVAL?280?</vt:lpstr>
      <vt:lpstr>XDO_?NOVAL?281?</vt:lpstr>
      <vt:lpstr>XDO_?NOVAL?282?</vt:lpstr>
      <vt:lpstr>XDO_?NOVAL?283?</vt:lpstr>
      <vt:lpstr>XDO_?NOVAL?284?</vt:lpstr>
      <vt:lpstr>XDO_?NOVAL?285?</vt:lpstr>
      <vt:lpstr>XDO_?NOVAL?286?</vt:lpstr>
      <vt:lpstr>XDO_?NOVAL?287?</vt:lpstr>
      <vt:lpstr>XDO_?NOVAL?288?</vt:lpstr>
      <vt:lpstr>XDO_?NOVAL?289?</vt:lpstr>
      <vt:lpstr>XDO_?NOVAL?290?</vt:lpstr>
      <vt:lpstr>XDO_?NOVAL?291?</vt:lpstr>
      <vt:lpstr>XDO_?NOVAL?292?</vt:lpstr>
      <vt:lpstr>XDO_?NOVAL?293?</vt:lpstr>
      <vt:lpstr>XDO_?NOVAL?294?</vt:lpstr>
      <vt:lpstr>XDO_?NOVAL?295?</vt:lpstr>
      <vt:lpstr>XDO_?NOVAL?296?</vt:lpstr>
      <vt:lpstr>XDO_?NOVAL?297?</vt:lpstr>
      <vt:lpstr>XDO_?NOVAL?298?</vt:lpstr>
      <vt:lpstr>XDO_?NOVAL?299?</vt:lpstr>
      <vt:lpstr>XDO_?NOVAL?300?</vt:lpstr>
      <vt:lpstr>XDO_?NOVAL?301?</vt:lpstr>
      <vt:lpstr>XDO_?NOVAL?302?</vt:lpstr>
      <vt:lpstr>XDO_?NOVAL?303?</vt:lpstr>
      <vt:lpstr>XDO_?NOVAL?304?</vt:lpstr>
      <vt:lpstr>XDO_?NOVAL?305?</vt:lpstr>
      <vt:lpstr>XDO_?NOVAL?306?</vt:lpstr>
      <vt:lpstr>XDO_?NOVAL?307?</vt:lpstr>
      <vt:lpstr>XDO_?NOVAL?308?</vt:lpstr>
      <vt:lpstr>XDO_?NOVAL?309?</vt:lpstr>
      <vt:lpstr>XDO_?NOVAL?310?</vt:lpstr>
      <vt:lpstr>XDO_?NOVAL?311?</vt:lpstr>
      <vt:lpstr>XDO_?NOVAL?312?</vt:lpstr>
      <vt:lpstr>XDO_?NOVAL?313?</vt:lpstr>
      <vt:lpstr>XDO_?NOVAL?314?</vt:lpstr>
      <vt:lpstr>XDO_?NOVAL?315?</vt:lpstr>
      <vt:lpstr>XDO_?NOVAL?316?</vt:lpstr>
      <vt:lpstr>XDO_?NOVAL?317?</vt:lpstr>
      <vt:lpstr>XDO_?NOVAL?318?</vt:lpstr>
      <vt:lpstr>XDO_?NOVAL?319?</vt:lpstr>
      <vt:lpstr>XDO_?NOVAL?320?</vt:lpstr>
      <vt:lpstr>XDO_?NOVAL?321?</vt:lpstr>
      <vt:lpstr>XDO_?NOVAL?322?</vt:lpstr>
      <vt:lpstr>XDO_?NOVAL?323?</vt:lpstr>
      <vt:lpstr>XDO_?NOVAL?324?</vt:lpstr>
      <vt:lpstr>XDO_?NOVAL?325?</vt:lpstr>
      <vt:lpstr>XDO_?NOVAL?326?</vt:lpstr>
      <vt:lpstr>XDO_?NOVAL?327?</vt:lpstr>
      <vt:lpstr>XDO_?NOVAL?328?</vt:lpstr>
      <vt:lpstr>XDO_?NOVAL?329?</vt:lpstr>
      <vt:lpstr>XDO_?NOVAL?330?</vt:lpstr>
      <vt:lpstr>XDO_?NOVAL?331?</vt:lpstr>
      <vt:lpstr>XDO_?NOVAL?332?</vt:lpstr>
      <vt:lpstr>XDO_?NOVAL?333?</vt:lpstr>
      <vt:lpstr>XDO_?NOVAL?334?</vt:lpstr>
      <vt:lpstr>XDO_?NOVAL?335?</vt:lpstr>
      <vt:lpstr>XDO_?NOVAL?336?</vt:lpstr>
      <vt:lpstr>XDO_?NOVAL?337?</vt:lpstr>
      <vt:lpstr>XDO_?NOVAL?338?</vt:lpstr>
      <vt:lpstr>XDO_?NOVAL?339?</vt:lpstr>
      <vt:lpstr>XDO_?NOVAL?340?</vt:lpstr>
      <vt:lpstr>XDO_?NOVAL?341?</vt:lpstr>
      <vt:lpstr>XDO_?NOVAL?342?</vt:lpstr>
      <vt:lpstr>XDO_?NOVAL?343?</vt:lpstr>
      <vt:lpstr>XDO_?NOVAL?344?</vt:lpstr>
      <vt:lpstr>XDO_?NOVAL?345?</vt:lpstr>
      <vt:lpstr>XDO_?NOVAL?346?</vt:lpstr>
      <vt:lpstr>XDO_?NOVAL?347?</vt:lpstr>
      <vt:lpstr>XDO_?NOVAL?348?</vt:lpstr>
      <vt:lpstr>XDO_?NOVAL?349?</vt:lpstr>
      <vt:lpstr>XDO_?NOVAL?350?</vt:lpstr>
      <vt:lpstr>XDO_?NOVAL?351?</vt:lpstr>
      <vt:lpstr>XDO_?NOVAL?352?</vt:lpstr>
      <vt:lpstr>XDO_?NOVAL?353?</vt:lpstr>
      <vt:lpstr>XDO_?NOVAL?354?</vt:lpstr>
      <vt:lpstr>XDO_?NOVAL?355?</vt:lpstr>
      <vt:lpstr>XDO_?NOVAL?356?</vt:lpstr>
      <vt:lpstr>XDO_?NOVAL?357?</vt:lpstr>
      <vt:lpstr>XDO_?NOVAL?358?</vt:lpstr>
      <vt:lpstr>XDO_?NOVAL?359?</vt:lpstr>
      <vt:lpstr>XDO_?NOVAL?36?</vt:lpstr>
      <vt:lpstr>XDO_?NOVAL?360?</vt:lpstr>
      <vt:lpstr>XDO_?NOVAL?361?</vt:lpstr>
      <vt:lpstr>XDO_?NOVAL?362?</vt:lpstr>
      <vt:lpstr>XDO_?NOVAL?363?</vt:lpstr>
      <vt:lpstr>XDO_?NOVAL?364?</vt:lpstr>
      <vt:lpstr>XDO_?NOVAL?365?</vt:lpstr>
      <vt:lpstr>XDO_?NOVAL?366?</vt:lpstr>
      <vt:lpstr>XDO_?NOVAL?367?</vt:lpstr>
      <vt:lpstr>XDO_?NOVAL?368?</vt:lpstr>
      <vt:lpstr>XDO_?NOVAL?369?</vt:lpstr>
      <vt:lpstr>XDO_?NOVAL?37?</vt:lpstr>
      <vt:lpstr>XDO_?NOVAL?370?</vt:lpstr>
      <vt:lpstr>XDO_?NOVAL?371?</vt:lpstr>
      <vt:lpstr>XDO_?NOVAL?372?</vt:lpstr>
      <vt:lpstr>XDO_?NOVAL?373?</vt:lpstr>
      <vt:lpstr>XDO_?NOVAL?374?</vt:lpstr>
      <vt:lpstr>XDO_?NOVAL?375?</vt:lpstr>
      <vt:lpstr>XDO_?NOVAL?376?</vt:lpstr>
      <vt:lpstr>XDO_?NOVAL?377?</vt:lpstr>
      <vt:lpstr>XDO_?NOVAL?378?</vt:lpstr>
      <vt:lpstr>XDO_?NOVAL?379?</vt:lpstr>
      <vt:lpstr>XDO_?NOVAL?38?</vt:lpstr>
      <vt:lpstr>XDO_?NOVAL?380?</vt:lpstr>
      <vt:lpstr>XDO_?NOVAL?381?</vt:lpstr>
      <vt:lpstr>XDO_?NOVAL?382?</vt:lpstr>
      <vt:lpstr>XDO_?NOVAL?383?</vt:lpstr>
      <vt:lpstr>XDO_?NOVAL?384?</vt:lpstr>
      <vt:lpstr>XDO_?NOVAL?385?</vt:lpstr>
      <vt:lpstr>XDO_?NOVAL?386?</vt:lpstr>
      <vt:lpstr>XDO_?NOVAL?387?</vt:lpstr>
      <vt:lpstr>XDO_?NOVAL?388?</vt:lpstr>
      <vt:lpstr>XDO_?NOVAL?389?</vt:lpstr>
      <vt:lpstr>XDO_?NOVAL?39?</vt:lpstr>
      <vt:lpstr>XDO_?NOVAL?390?</vt:lpstr>
      <vt:lpstr>XDO_?NOVAL?391?</vt:lpstr>
      <vt:lpstr>XDO_?NOVAL?392?</vt:lpstr>
      <vt:lpstr>XDO_?NOVAL?393?</vt:lpstr>
      <vt:lpstr>XDO_?NOVAL?394?</vt:lpstr>
      <vt:lpstr>XDO_?NOVAL?395?</vt:lpstr>
      <vt:lpstr>XDO_?NOVAL?396?</vt:lpstr>
      <vt:lpstr>XDO_?NOVAL?397?</vt:lpstr>
      <vt:lpstr>XDO_?NOVAL?398?</vt:lpstr>
      <vt:lpstr>XDO_?NOVAL?399?</vt:lpstr>
      <vt:lpstr>XDO_?NOVAL?40?</vt:lpstr>
      <vt:lpstr>XDO_?NOVAL?400?</vt:lpstr>
      <vt:lpstr>XDO_?NOVAL?401?</vt:lpstr>
      <vt:lpstr>XDO_?NOVAL?402?</vt:lpstr>
      <vt:lpstr>XDO_?NOVAL?403?</vt:lpstr>
      <vt:lpstr>XDO_?NOVAL?404?</vt:lpstr>
      <vt:lpstr>XDO_?NOVAL?405?</vt:lpstr>
      <vt:lpstr>XDO_?NOVAL?406?</vt:lpstr>
      <vt:lpstr>XDO_?NOVAL?407?</vt:lpstr>
      <vt:lpstr>XDO_?NOVAL?408?</vt:lpstr>
      <vt:lpstr>XDO_?NOVAL?409?</vt:lpstr>
      <vt:lpstr>XDO_?NOVAL?41?</vt:lpstr>
      <vt:lpstr>XDO_?NOVAL?410?</vt:lpstr>
      <vt:lpstr>XDO_?NOVAL?411?</vt:lpstr>
      <vt:lpstr>XDO_?NOVAL?412?</vt:lpstr>
      <vt:lpstr>XDO_?NOVAL?413?</vt:lpstr>
      <vt:lpstr>XDO_?NOVAL?414?</vt:lpstr>
      <vt:lpstr>XDO_?NOVAL?415?</vt:lpstr>
      <vt:lpstr>XDO_?NOVAL?416?</vt:lpstr>
      <vt:lpstr>XDO_?NOVAL?417?</vt:lpstr>
      <vt:lpstr>XDO_?NOVAL?418?</vt:lpstr>
      <vt:lpstr>XDO_?NOVAL?419?</vt:lpstr>
      <vt:lpstr>XDO_?NOVAL?42?</vt:lpstr>
      <vt:lpstr>XDO_?NOVAL?420?</vt:lpstr>
      <vt:lpstr>XDO_?NOVAL?421?</vt:lpstr>
      <vt:lpstr>XDO_?NOVAL?422?</vt:lpstr>
      <vt:lpstr>XDO_?NOVAL?423?</vt:lpstr>
      <vt:lpstr>XDO_?NOVAL?424?</vt:lpstr>
      <vt:lpstr>XDO_?NOVAL?425?</vt:lpstr>
      <vt:lpstr>XDO_?NOVAL?426?</vt:lpstr>
      <vt:lpstr>XDO_?NOVAL?427?</vt:lpstr>
      <vt:lpstr>XDO_?NOVAL?428?</vt:lpstr>
      <vt:lpstr>XDO_?NOVAL?429?</vt:lpstr>
      <vt:lpstr>XDO_?NOVAL?43?</vt:lpstr>
      <vt:lpstr>XDO_?NOVAL?430?</vt:lpstr>
      <vt:lpstr>XDO_?NOVAL?431?</vt:lpstr>
      <vt:lpstr>XDO_?NOVAL?432?</vt:lpstr>
      <vt:lpstr>XDO_?NOVAL?433?</vt:lpstr>
      <vt:lpstr>XDO_?NOVAL?434?</vt:lpstr>
      <vt:lpstr>XDO_?NOVAL?435?</vt:lpstr>
      <vt:lpstr>XDO_?NOVAL?436?</vt:lpstr>
      <vt:lpstr>XDO_?NOVAL?437?</vt:lpstr>
      <vt:lpstr>XDO_?NOVAL?438?</vt:lpstr>
      <vt:lpstr>XDO_?NOVAL?439?</vt:lpstr>
      <vt:lpstr>XDO_?NOVAL?440?</vt:lpstr>
      <vt:lpstr>XDO_?NOVAL?441?</vt:lpstr>
      <vt:lpstr>XDO_?NOVAL?442?</vt:lpstr>
      <vt:lpstr>XDO_?NOVAL?443?</vt:lpstr>
      <vt:lpstr>XDO_?NOVAL?444?</vt:lpstr>
      <vt:lpstr>XDO_?NOVAL?445?</vt:lpstr>
      <vt:lpstr>XDO_?NOVAL?446?</vt:lpstr>
      <vt:lpstr>XDO_?NOVAL?447?</vt:lpstr>
      <vt:lpstr>XDO_?NOVAL?448?</vt:lpstr>
      <vt:lpstr>XDO_?NOVAL?449?</vt:lpstr>
      <vt:lpstr>XDO_?NOVAL?450?</vt:lpstr>
      <vt:lpstr>XDO_?NOVAL?451?</vt:lpstr>
      <vt:lpstr>XDO_?NOVAL?452?</vt:lpstr>
      <vt:lpstr>XDO_?NOVAL?453?</vt:lpstr>
      <vt:lpstr>XDO_?NOVAL?454?</vt:lpstr>
      <vt:lpstr>XDO_?NOVAL?455?</vt:lpstr>
      <vt:lpstr>XDO_?NOVAL?456?</vt:lpstr>
      <vt:lpstr>XDO_?NOVAL?457?</vt:lpstr>
      <vt:lpstr>XDO_?NOVAL?458?</vt:lpstr>
      <vt:lpstr>XDO_?NOVAL?459?</vt:lpstr>
      <vt:lpstr>XDO_?NOVAL?460?</vt:lpstr>
      <vt:lpstr>XDO_?NOVAL?461?</vt:lpstr>
      <vt:lpstr>XDO_?NOVAL?462?</vt:lpstr>
      <vt:lpstr>XDO_?NOVAL?463?</vt:lpstr>
      <vt:lpstr>XDO_?NOVAL?464?</vt:lpstr>
      <vt:lpstr>XDO_?NOVAL?465?</vt:lpstr>
      <vt:lpstr>XDO_?NOVAL?466?</vt:lpstr>
      <vt:lpstr>XDO_?NOVAL?467?</vt:lpstr>
      <vt:lpstr>XDO_?NOVAL?468?</vt:lpstr>
      <vt:lpstr>XDO_?NOVAL?469?</vt:lpstr>
      <vt:lpstr>XDO_?NOVAL?470?</vt:lpstr>
      <vt:lpstr>XDO_?NOVAL?471?</vt:lpstr>
      <vt:lpstr>XDO_?NOVAL?472?</vt:lpstr>
      <vt:lpstr>XDO_?NOVAL?473?</vt:lpstr>
      <vt:lpstr>XDO_?NOVAL?474?</vt:lpstr>
      <vt:lpstr>XDO_?NOVAL?475?</vt:lpstr>
      <vt:lpstr>XDO_?NOVAL?476?</vt:lpstr>
      <vt:lpstr>XDO_?NOVAL?477?</vt:lpstr>
      <vt:lpstr>XDO_?NOVAL?478?</vt:lpstr>
      <vt:lpstr>XDO_?NOVAL?479?</vt:lpstr>
      <vt:lpstr>XDO_?NOVAL?480?</vt:lpstr>
      <vt:lpstr>XDO_?NOVAL?481?</vt:lpstr>
      <vt:lpstr>XDO_?NOVAL?482?</vt:lpstr>
      <vt:lpstr>XDO_?NOVAL?483?</vt:lpstr>
      <vt:lpstr>XDO_?NOVAL?484?</vt:lpstr>
      <vt:lpstr>XDO_?NOVAL?485?</vt:lpstr>
      <vt:lpstr>XDO_?NOVAL?486?</vt:lpstr>
      <vt:lpstr>XDO_?NOVAL?487?</vt:lpstr>
      <vt:lpstr>XDO_?NOVAL?488?</vt:lpstr>
      <vt:lpstr>XDO_?NOVAL?489?</vt:lpstr>
      <vt:lpstr>XDO_?NOVAL?490?</vt:lpstr>
      <vt:lpstr>XDO_?NOVAL?491?</vt:lpstr>
      <vt:lpstr>XDO_?NOVAL?492?</vt:lpstr>
      <vt:lpstr>XDO_?NOVAL?493?</vt:lpstr>
      <vt:lpstr>XDO_?NOVAL?494?</vt:lpstr>
      <vt:lpstr>XDO_?NOVAL?495?</vt:lpstr>
      <vt:lpstr>XDO_?NOVAL?496?</vt:lpstr>
      <vt:lpstr>XDO_?NOVAL?497?</vt:lpstr>
      <vt:lpstr>XDO_?NOVAL?498?</vt:lpstr>
      <vt:lpstr>XDO_?NOVAL?499?</vt:lpstr>
      <vt:lpstr>XDO_?NOVAL?50?</vt:lpstr>
      <vt:lpstr>XDO_?NOVAL?500?</vt:lpstr>
      <vt:lpstr>XDO_?NOVAL?501?</vt:lpstr>
      <vt:lpstr>XDO_?NOVAL?502?</vt:lpstr>
      <vt:lpstr>XDO_?NOVAL?503?</vt:lpstr>
      <vt:lpstr>XDO_?NOVAL?504?</vt:lpstr>
      <vt:lpstr>XDO_?NOVAL?505?</vt:lpstr>
      <vt:lpstr>XDO_?NOVAL?506?</vt:lpstr>
      <vt:lpstr>XDO_?NOVAL?507?</vt:lpstr>
      <vt:lpstr>XDO_?NOVAL?508?</vt:lpstr>
      <vt:lpstr>XDO_?NOVAL?509?</vt:lpstr>
      <vt:lpstr>XDO_?NOVAL?51?</vt:lpstr>
      <vt:lpstr>XDO_?NOVAL?510?</vt:lpstr>
      <vt:lpstr>XDO_?NOVAL?511?</vt:lpstr>
      <vt:lpstr>XDO_?NOVAL?512?</vt:lpstr>
      <vt:lpstr>XDO_?NOVAL?513?</vt:lpstr>
      <vt:lpstr>XDO_?NOVAL?514?</vt:lpstr>
      <vt:lpstr>XDO_?NOVAL?515?</vt:lpstr>
      <vt:lpstr>XDO_?NOVAL?516?</vt:lpstr>
      <vt:lpstr>XDO_?NOVAL?517?</vt:lpstr>
      <vt:lpstr>XDO_?NOVAL?518?</vt:lpstr>
      <vt:lpstr>XDO_?NOVAL?519?</vt:lpstr>
      <vt:lpstr>XDO_?NOVAL?52?</vt:lpstr>
      <vt:lpstr>XDO_?NOVAL?520?</vt:lpstr>
      <vt:lpstr>XDO_?NOVAL?521?</vt:lpstr>
      <vt:lpstr>XDO_?NOVAL?522?</vt:lpstr>
      <vt:lpstr>XDO_?NOVAL?523?</vt:lpstr>
      <vt:lpstr>XDO_?NOVAL?524?</vt:lpstr>
      <vt:lpstr>XDO_?NOVAL?525?</vt:lpstr>
      <vt:lpstr>XDO_?NOVAL?526?</vt:lpstr>
      <vt:lpstr>XDO_?NOVAL?527?</vt:lpstr>
      <vt:lpstr>XDO_?NOVAL?528?</vt:lpstr>
      <vt:lpstr>XDO_?NOVAL?529?</vt:lpstr>
      <vt:lpstr>XDO_?NOVAL?53?</vt:lpstr>
      <vt:lpstr>XDO_?NOVAL?530?</vt:lpstr>
      <vt:lpstr>XDO_?NOVAL?531?</vt:lpstr>
      <vt:lpstr>XDO_?NOVAL?532?</vt:lpstr>
      <vt:lpstr>XDO_?NOVAL?533?</vt:lpstr>
      <vt:lpstr>XDO_?NOVAL?534?</vt:lpstr>
      <vt:lpstr>XDO_?NOVAL?535?</vt:lpstr>
      <vt:lpstr>XDO_?NOVAL?536?</vt:lpstr>
      <vt:lpstr>XDO_?NOVAL?537?</vt:lpstr>
      <vt:lpstr>XDO_?NOVAL?538?</vt:lpstr>
      <vt:lpstr>XDO_?NOVAL?539?</vt:lpstr>
      <vt:lpstr>XDO_?NOVAL?54?</vt:lpstr>
      <vt:lpstr>XDO_?NOVAL?540?</vt:lpstr>
      <vt:lpstr>XDO_?NOVAL?541?</vt:lpstr>
      <vt:lpstr>XDO_?NOVAL?542?</vt:lpstr>
      <vt:lpstr>XDO_?NOVAL?543?</vt:lpstr>
      <vt:lpstr>XDO_?NOVAL?544?</vt:lpstr>
      <vt:lpstr>XDO_?NOVAL?545?</vt:lpstr>
      <vt:lpstr>XDO_?NOVAL?546?</vt:lpstr>
      <vt:lpstr>XDO_?NOVAL?547?</vt:lpstr>
      <vt:lpstr>XDO_?NOVAL?548?</vt:lpstr>
      <vt:lpstr>XDO_?NOVAL?549?</vt:lpstr>
      <vt:lpstr>XDO_?NOVAL?550?</vt:lpstr>
      <vt:lpstr>XDO_?NOVAL?551?</vt:lpstr>
      <vt:lpstr>XDO_?NOVAL?552?</vt:lpstr>
      <vt:lpstr>XDO_?NOVAL?553?</vt:lpstr>
      <vt:lpstr>XDO_?NOVAL?554?</vt:lpstr>
      <vt:lpstr>XDO_?NOVAL?555?</vt:lpstr>
      <vt:lpstr>XDO_?NOVAL?556?</vt:lpstr>
      <vt:lpstr>XDO_?NOVAL?557?</vt:lpstr>
      <vt:lpstr>XDO_?NOVAL?558?</vt:lpstr>
      <vt:lpstr>XDO_?NOVAL?559?</vt:lpstr>
      <vt:lpstr>XDO_?NOVAL?560?</vt:lpstr>
      <vt:lpstr>XDO_?NOVAL?561?</vt:lpstr>
      <vt:lpstr>XDO_?NOVAL?562?</vt:lpstr>
      <vt:lpstr>XDO_?NOVAL?563?</vt:lpstr>
      <vt:lpstr>XDO_?NOVAL?564?</vt:lpstr>
      <vt:lpstr>XDO_?NOVAL?565?</vt:lpstr>
      <vt:lpstr>XDO_?NOVAL?566?</vt:lpstr>
      <vt:lpstr>XDO_?NOVAL?567?</vt:lpstr>
      <vt:lpstr>XDO_?NOVAL?568?</vt:lpstr>
      <vt:lpstr>XDO_?NOVAL?569?</vt:lpstr>
      <vt:lpstr>XDO_?NOVAL?570?</vt:lpstr>
      <vt:lpstr>XDO_?NOVAL?571?</vt:lpstr>
      <vt:lpstr>XDO_?NOVAL?572?</vt:lpstr>
      <vt:lpstr>XDO_?NOVAL?573?</vt:lpstr>
      <vt:lpstr>XDO_?NOVAL?574?</vt:lpstr>
      <vt:lpstr>XDO_?NOVAL?575?</vt:lpstr>
      <vt:lpstr>XDO_?NOVAL?576?</vt:lpstr>
      <vt:lpstr>XDO_?NOVAL?577?</vt:lpstr>
      <vt:lpstr>XDO_?NOVAL?578?</vt:lpstr>
      <vt:lpstr>XDO_?NOVAL?579?</vt:lpstr>
      <vt:lpstr>XDO_?NOVAL?580?</vt:lpstr>
      <vt:lpstr>XDO_?NOVAL?581?</vt:lpstr>
      <vt:lpstr>XDO_?NOVAL?582?</vt:lpstr>
      <vt:lpstr>XDO_?NOVAL?583?</vt:lpstr>
      <vt:lpstr>XDO_?NOVAL?584?</vt:lpstr>
      <vt:lpstr>XDO_?NOVAL?585?</vt:lpstr>
      <vt:lpstr>XDO_?NOVAL?586?</vt:lpstr>
      <vt:lpstr>XDO_?NOVAL?587?</vt:lpstr>
      <vt:lpstr>XDO_?NOVAL?588?</vt:lpstr>
      <vt:lpstr>XDO_?NOVAL?589?</vt:lpstr>
      <vt:lpstr>XDO_?NOVAL?590?</vt:lpstr>
      <vt:lpstr>XDO_?NOVAL?591?</vt:lpstr>
      <vt:lpstr>XDO_?NOVAL?592?</vt:lpstr>
      <vt:lpstr>XDO_?NOVAL?593?</vt:lpstr>
      <vt:lpstr>XDO_?NOVAL?594?</vt:lpstr>
      <vt:lpstr>XDO_?NOVAL?595?</vt:lpstr>
      <vt:lpstr>XDO_?NOVAL?596?</vt:lpstr>
      <vt:lpstr>XDO_?NOVAL?597?</vt:lpstr>
      <vt:lpstr>XDO_?NOVAL?598?</vt:lpstr>
      <vt:lpstr>XDO_?NOVAL?599?</vt:lpstr>
      <vt:lpstr>XDO_?NOVAL?600?</vt:lpstr>
      <vt:lpstr>XDO_?NOVAL?601?</vt:lpstr>
      <vt:lpstr>XDO_?NOVAL?602?</vt:lpstr>
      <vt:lpstr>XDO_?NOVAL?603?</vt:lpstr>
      <vt:lpstr>XDO_?NOVAL?604?</vt:lpstr>
      <vt:lpstr>XDO_?NOVAL?605?</vt:lpstr>
      <vt:lpstr>XDO_?NOVAL?606?</vt:lpstr>
      <vt:lpstr>XDO_?NOVAL?607?</vt:lpstr>
      <vt:lpstr>XDO_?NOVAL?608?</vt:lpstr>
      <vt:lpstr>XDO_?NOVAL?609?</vt:lpstr>
      <vt:lpstr>XDO_?NOVAL?61?</vt:lpstr>
      <vt:lpstr>XDO_?NOVAL?610?</vt:lpstr>
      <vt:lpstr>XDO_?NOVAL?611?</vt:lpstr>
      <vt:lpstr>XDO_?NOVAL?612?</vt:lpstr>
      <vt:lpstr>XDO_?NOVAL?613?</vt:lpstr>
      <vt:lpstr>XDO_?NOVAL?614?</vt:lpstr>
      <vt:lpstr>XDO_?NOVAL?615?</vt:lpstr>
      <vt:lpstr>XDO_?NOVAL?616?</vt:lpstr>
      <vt:lpstr>XDO_?NOVAL?617?</vt:lpstr>
      <vt:lpstr>XDO_?NOVAL?618?</vt:lpstr>
      <vt:lpstr>XDO_?NOVAL?619?</vt:lpstr>
      <vt:lpstr>XDO_?NOVAL?62?</vt:lpstr>
      <vt:lpstr>XDO_?NOVAL?620?</vt:lpstr>
      <vt:lpstr>XDO_?NOVAL?621?</vt:lpstr>
      <vt:lpstr>XDO_?NOVAL?622?</vt:lpstr>
      <vt:lpstr>XDO_?NOVAL?623?</vt:lpstr>
      <vt:lpstr>XDO_?NOVAL?624?</vt:lpstr>
      <vt:lpstr>XDO_?NOVAL?625?</vt:lpstr>
      <vt:lpstr>XDO_?NOVAL?626?</vt:lpstr>
      <vt:lpstr>XDO_?NOVAL?627?</vt:lpstr>
      <vt:lpstr>XDO_?NOVAL?628?</vt:lpstr>
      <vt:lpstr>XDO_?NOVAL?629?</vt:lpstr>
      <vt:lpstr>XDO_?NOVAL?63?</vt:lpstr>
      <vt:lpstr>XDO_?NOVAL?630?</vt:lpstr>
      <vt:lpstr>XDO_?NOVAL?631?</vt:lpstr>
      <vt:lpstr>XDO_?NOVAL?632?</vt:lpstr>
      <vt:lpstr>XDO_?NOVAL?633?</vt:lpstr>
      <vt:lpstr>XDO_?NOVAL?634?</vt:lpstr>
      <vt:lpstr>XDO_?NOVAL?635?</vt:lpstr>
      <vt:lpstr>XDO_?NOVAL?636?</vt:lpstr>
      <vt:lpstr>XDO_?NOVAL?637?</vt:lpstr>
      <vt:lpstr>XDO_?NOVAL?638?</vt:lpstr>
      <vt:lpstr>XDO_?NOVAL?639?</vt:lpstr>
      <vt:lpstr>XDO_?NOVAL?64?</vt:lpstr>
      <vt:lpstr>XDO_?NOVAL?640?</vt:lpstr>
      <vt:lpstr>XDO_?NOVAL?641?</vt:lpstr>
      <vt:lpstr>XDO_?NOVAL?642?</vt:lpstr>
      <vt:lpstr>XDO_?NOVAL?643?</vt:lpstr>
      <vt:lpstr>XDO_?NOVAL?644?</vt:lpstr>
      <vt:lpstr>XDO_?NOVAL?645?</vt:lpstr>
      <vt:lpstr>XDO_?NOVAL?646?</vt:lpstr>
      <vt:lpstr>XDO_?NOVAL?647?</vt:lpstr>
      <vt:lpstr>XDO_?NOVAL?648?</vt:lpstr>
      <vt:lpstr>XDO_?NOVAL?649?</vt:lpstr>
      <vt:lpstr>XDO_?NOVAL?65?</vt:lpstr>
      <vt:lpstr>XDO_?NOVAL?650?</vt:lpstr>
      <vt:lpstr>XDO_?NOVAL?651?</vt:lpstr>
      <vt:lpstr>XDO_?NOVAL?652?</vt:lpstr>
      <vt:lpstr>XDO_?NOVAL?653?</vt:lpstr>
      <vt:lpstr>XDO_?NOVAL?654?</vt:lpstr>
      <vt:lpstr>XDO_?NOVAL?655?</vt:lpstr>
      <vt:lpstr>XDO_?NOVAL?656?</vt:lpstr>
      <vt:lpstr>XDO_?NOVAL?657?</vt:lpstr>
      <vt:lpstr>XDO_?NOVAL?658?</vt:lpstr>
      <vt:lpstr>XDO_?NOVAL?659?</vt:lpstr>
      <vt:lpstr>XDO_?NOVAL?66?</vt:lpstr>
      <vt:lpstr>XDO_?NOVAL?660?</vt:lpstr>
      <vt:lpstr>XDO_?NOVAL?661?</vt:lpstr>
      <vt:lpstr>XDO_?NOVAL?662?</vt:lpstr>
      <vt:lpstr>XDO_?NOVAL?663?</vt:lpstr>
      <vt:lpstr>XDO_?NOVAL?664?</vt:lpstr>
      <vt:lpstr>XDO_?NOVAL?665?</vt:lpstr>
      <vt:lpstr>XDO_?NOVAL?666?</vt:lpstr>
      <vt:lpstr>XDO_?NOVAL?667?</vt:lpstr>
      <vt:lpstr>XDO_?NOVAL?668?</vt:lpstr>
      <vt:lpstr>XDO_?NOVAL?669?</vt:lpstr>
      <vt:lpstr>XDO_?NOVAL?67?</vt:lpstr>
      <vt:lpstr>XDO_?NOVAL?670?</vt:lpstr>
      <vt:lpstr>XDO_?NOVAL?671?</vt:lpstr>
      <vt:lpstr>XDO_?NOVAL?672?</vt:lpstr>
      <vt:lpstr>XDO_?NOVAL?673?</vt:lpstr>
      <vt:lpstr>XDO_?NOVAL?674?</vt:lpstr>
      <vt:lpstr>XDO_?NOVAL?675?</vt:lpstr>
      <vt:lpstr>XDO_?NOVAL?676?</vt:lpstr>
      <vt:lpstr>XDO_?NOVAL?677?</vt:lpstr>
      <vt:lpstr>XDO_?NOVAL?678?</vt:lpstr>
      <vt:lpstr>XDO_?NOVAL?679?</vt:lpstr>
      <vt:lpstr>XDO_?NOVAL?68?</vt:lpstr>
      <vt:lpstr>XDO_?NOVAL?680?</vt:lpstr>
      <vt:lpstr>XDO_?NOVAL?681?</vt:lpstr>
      <vt:lpstr>XDO_?NOVAL?682?</vt:lpstr>
      <vt:lpstr>XDO_?NOVAL?683?</vt:lpstr>
      <vt:lpstr>XDO_?NOVAL?684?</vt:lpstr>
      <vt:lpstr>XDO_?NOVAL?685?</vt:lpstr>
      <vt:lpstr>XDO_?NOVAL?686?</vt:lpstr>
      <vt:lpstr>XDO_?NOVAL?687?</vt:lpstr>
      <vt:lpstr>XDO_?NOVAL?688?</vt:lpstr>
      <vt:lpstr>XDO_?NOVAL?689?</vt:lpstr>
      <vt:lpstr>XDO_?NOVAL?690?</vt:lpstr>
      <vt:lpstr>XDO_?NOVAL?691?</vt:lpstr>
      <vt:lpstr>XDO_?NOVAL?692?</vt:lpstr>
      <vt:lpstr>XDO_?NOVAL?76?</vt:lpstr>
      <vt:lpstr>XDO_?NOVAL?77?</vt:lpstr>
      <vt:lpstr>XDO_?NOVAL?78?</vt:lpstr>
      <vt:lpstr>XDO_?NOVAL?79?</vt:lpstr>
      <vt:lpstr>XDO_?NOVAL?84?</vt:lpstr>
      <vt:lpstr>XDO_?NOVAL?85?</vt:lpstr>
      <vt:lpstr>XDO_?NOVAL?86?</vt:lpstr>
      <vt:lpstr>XDO_?NOVAL?87?</vt:lpstr>
      <vt:lpstr>XDO_?NOVAL?88?</vt:lpstr>
      <vt:lpstr>XDO_?NOVAL?89?</vt:lpstr>
      <vt:lpstr>XDO_?NOVAL?90?</vt:lpstr>
      <vt:lpstr>XDO_?NOVAL?91?</vt:lpstr>
      <vt:lpstr>XDO_?NOVAL?92?</vt:lpstr>
      <vt:lpstr>XDO_?NOVAL?93?</vt:lpstr>
      <vt:lpstr>XDO_?NOVAL?94?</vt:lpstr>
      <vt:lpstr>XDO_?NOVAL?95?</vt:lpstr>
      <vt:lpstr>XDO_?NOVAL?96?</vt:lpstr>
      <vt:lpstr>XDO_?NOVAL?97?</vt:lpstr>
      <vt:lpstr>XDO_?NOVAL?98?</vt:lpstr>
      <vt:lpstr>XDO_?NOVAL?99?</vt:lpstr>
      <vt:lpstr>XDO_?NPTF?100?</vt:lpstr>
      <vt:lpstr>XDO_?NPTF?101?</vt:lpstr>
      <vt:lpstr>XDO_?NPTF?102?</vt:lpstr>
      <vt:lpstr>XDO_?NPTF?103?</vt:lpstr>
      <vt:lpstr>XDO_?NPTF?104?</vt:lpstr>
      <vt:lpstr>XDO_?NPTF?105?</vt:lpstr>
      <vt:lpstr>XDO_?NPTF?106?</vt:lpstr>
      <vt:lpstr>XDO_?NPTF?107?</vt:lpstr>
      <vt:lpstr>XDO_?NPTF?108?</vt:lpstr>
      <vt:lpstr>XDO_?NPTF?109?</vt:lpstr>
      <vt:lpstr>XDO_?NPTF?110?</vt:lpstr>
      <vt:lpstr>XDO_?NPTF?111?</vt:lpstr>
      <vt:lpstr>XDO_?NPTF?112?</vt:lpstr>
      <vt:lpstr>XDO_?NPTF?113?</vt:lpstr>
      <vt:lpstr>XDO_?NPTF?114?</vt:lpstr>
      <vt:lpstr>XDO_?NPTF?115?</vt:lpstr>
      <vt:lpstr>XDO_?NPTF?116?</vt:lpstr>
      <vt:lpstr>XDO_?NPTF?117?</vt:lpstr>
      <vt:lpstr>XDO_?NPTF?118?</vt:lpstr>
      <vt:lpstr>XDO_?NPTF?119?</vt:lpstr>
      <vt:lpstr>XDO_?NPTF?120?</vt:lpstr>
      <vt:lpstr>XDO_?NPTF?121?</vt:lpstr>
      <vt:lpstr>XDO_?NPTF?122?</vt:lpstr>
      <vt:lpstr>XDO_?NPTF?123?</vt:lpstr>
      <vt:lpstr>XDO_?NPTF?124?</vt:lpstr>
      <vt:lpstr>XDO_?NPTF?125?</vt:lpstr>
      <vt:lpstr>XDO_?NPTF?126?</vt:lpstr>
      <vt:lpstr>XDO_?NPTF?127?</vt:lpstr>
      <vt:lpstr>XDO_?NPTF?128?</vt:lpstr>
      <vt:lpstr>XDO_?NPTF?129?</vt:lpstr>
      <vt:lpstr>XDO_?NPTF?13?</vt:lpstr>
      <vt:lpstr>XDO_?NPTF?130?</vt:lpstr>
      <vt:lpstr>XDO_?NPTF?131?</vt:lpstr>
      <vt:lpstr>XDO_?NPTF?132?</vt:lpstr>
      <vt:lpstr>XDO_?NPTF?133?</vt:lpstr>
      <vt:lpstr>XDO_?NPTF?134?</vt:lpstr>
      <vt:lpstr>XDO_?NPTF?135?</vt:lpstr>
      <vt:lpstr>XDO_?NPTF?136?</vt:lpstr>
      <vt:lpstr>XDO_?NPTF?137?</vt:lpstr>
      <vt:lpstr>XDO_?NPTF?138?</vt:lpstr>
      <vt:lpstr>XDO_?NPTF?139?</vt:lpstr>
      <vt:lpstr>XDO_?NPTF?14?</vt:lpstr>
      <vt:lpstr>XDO_?NPTF?140?</vt:lpstr>
      <vt:lpstr>XDO_?NPTF?141?</vt:lpstr>
      <vt:lpstr>XDO_?NPTF?142?</vt:lpstr>
      <vt:lpstr>XDO_?NPTF?143?</vt:lpstr>
      <vt:lpstr>XDO_?NPTF?144?</vt:lpstr>
      <vt:lpstr>XDO_?NPTF?145?</vt:lpstr>
      <vt:lpstr>XDO_?NPTF?146?</vt:lpstr>
      <vt:lpstr>XDO_?NPTF?147?</vt:lpstr>
      <vt:lpstr>XDO_?NPTF?148?</vt:lpstr>
      <vt:lpstr>XDO_?NPTF?149?</vt:lpstr>
      <vt:lpstr>XDO_?NPTF?150?</vt:lpstr>
      <vt:lpstr>XDO_?NPTF?151?</vt:lpstr>
      <vt:lpstr>XDO_?NPTF?152?</vt:lpstr>
      <vt:lpstr>XDO_?NPTF?153?</vt:lpstr>
      <vt:lpstr>XDO_?NPTF?154?</vt:lpstr>
      <vt:lpstr>XDO_?NPTF?155?</vt:lpstr>
      <vt:lpstr>XDO_?NPTF?156?</vt:lpstr>
      <vt:lpstr>XDO_?NPTF?157?</vt:lpstr>
      <vt:lpstr>XDO_?NPTF?158?</vt:lpstr>
      <vt:lpstr>XDO_?NPTF?159?</vt:lpstr>
      <vt:lpstr>XDO_?NPTF?17?</vt:lpstr>
      <vt:lpstr>XDO_?NPTF?20?</vt:lpstr>
      <vt:lpstr>XDO_?NPTF?24?</vt:lpstr>
      <vt:lpstr>XDO_?NPTF?27?</vt:lpstr>
      <vt:lpstr>XDO_?NPTF?28?</vt:lpstr>
      <vt:lpstr>XDO_?NPTF?29?</vt:lpstr>
      <vt:lpstr>XDO_?NPTF?30?</vt:lpstr>
      <vt:lpstr>XDO_?NPTF?31?</vt:lpstr>
      <vt:lpstr>XDO_?NPTF?32?</vt:lpstr>
      <vt:lpstr>XDO_?NPTF?33?</vt:lpstr>
      <vt:lpstr>XDO_?NPTF?34?</vt:lpstr>
      <vt:lpstr>XDO_?NPTF?35?</vt:lpstr>
      <vt:lpstr>XDO_?NPTF?36?</vt:lpstr>
      <vt:lpstr>XDO_?NPTF?37?</vt:lpstr>
      <vt:lpstr>XDO_?NPTF?38?</vt:lpstr>
      <vt:lpstr>XDO_?NPTF?39?</vt:lpstr>
      <vt:lpstr>XDO_?NPTF?40?</vt:lpstr>
      <vt:lpstr>XDO_?NPTF?41?</vt:lpstr>
      <vt:lpstr>XDO_?NPTF?42?</vt:lpstr>
      <vt:lpstr>XDO_?NPTF?43?</vt:lpstr>
      <vt:lpstr>XDO_?NPTF?44?</vt:lpstr>
      <vt:lpstr>XDO_?NPTF?45?</vt:lpstr>
      <vt:lpstr>XDO_?NPTF?46?</vt:lpstr>
      <vt:lpstr>XDO_?NPTF?47?</vt:lpstr>
      <vt:lpstr>XDO_?NPTF?48?</vt:lpstr>
      <vt:lpstr>XDO_?NPTF?49?</vt:lpstr>
      <vt:lpstr>XDO_?NPTF?50?</vt:lpstr>
      <vt:lpstr>XDO_?NPTF?51?</vt:lpstr>
      <vt:lpstr>XDO_?NPTF?52?</vt:lpstr>
      <vt:lpstr>XDO_?NPTF?53?</vt:lpstr>
      <vt:lpstr>XDO_?NPTF?54?</vt:lpstr>
      <vt:lpstr>XDO_?NPTF?55?</vt:lpstr>
      <vt:lpstr>XDO_?NPTF?56?</vt:lpstr>
      <vt:lpstr>XDO_?NPTF?57?</vt:lpstr>
      <vt:lpstr>XDO_?NPTF?58?</vt:lpstr>
      <vt:lpstr>XDO_?NPTF?59?</vt:lpstr>
      <vt:lpstr>XDO_?NPTF?6?</vt:lpstr>
      <vt:lpstr>XDO_?NPTF?60?</vt:lpstr>
      <vt:lpstr>XDO_?NPTF?61?</vt:lpstr>
      <vt:lpstr>XDO_?NPTF?62?</vt:lpstr>
      <vt:lpstr>XDO_?NPTF?63?</vt:lpstr>
      <vt:lpstr>XDO_?NPTF?64?</vt:lpstr>
      <vt:lpstr>XDO_?NPTF?65?</vt:lpstr>
      <vt:lpstr>XDO_?NPTF?66?</vt:lpstr>
      <vt:lpstr>XDO_?NPTF?67?</vt:lpstr>
      <vt:lpstr>XDO_?NPTF?68?</vt:lpstr>
      <vt:lpstr>XDO_?NPTF?69?</vt:lpstr>
      <vt:lpstr>XDO_?NPTF?70?</vt:lpstr>
      <vt:lpstr>XDO_?NPTF?71?</vt:lpstr>
      <vt:lpstr>XDO_?NPTF?72?</vt:lpstr>
      <vt:lpstr>XDO_?NPTF?73?</vt:lpstr>
      <vt:lpstr>XDO_?NPTF?74?</vt:lpstr>
      <vt:lpstr>XDO_?NPTF?75?</vt:lpstr>
      <vt:lpstr>XDO_?NPTF?76?</vt:lpstr>
      <vt:lpstr>XDO_?NPTF?77?</vt:lpstr>
      <vt:lpstr>XDO_?NPTF?78?</vt:lpstr>
      <vt:lpstr>XDO_?NPTF?79?</vt:lpstr>
      <vt:lpstr>XDO_?NPTF?80?</vt:lpstr>
      <vt:lpstr>XDO_?NPTF?81?</vt:lpstr>
      <vt:lpstr>XDO_?NPTF?82?</vt:lpstr>
      <vt:lpstr>XDO_?NPTF?83?</vt:lpstr>
      <vt:lpstr>XDO_?NPTF?84?</vt:lpstr>
      <vt:lpstr>XDO_?NPTF?85?</vt:lpstr>
      <vt:lpstr>XDO_?NPTF?86?</vt:lpstr>
      <vt:lpstr>XDO_?NPTF?87?</vt:lpstr>
      <vt:lpstr>XDO_?NPTF?88?</vt:lpstr>
      <vt:lpstr>XDO_?NPTF?89?</vt:lpstr>
      <vt:lpstr>XDO_?NPTF?90?</vt:lpstr>
      <vt:lpstr>XDO_?NPTF?91?</vt:lpstr>
      <vt:lpstr>XDO_?NPTF?92?</vt:lpstr>
      <vt:lpstr>XDO_?NPTF?93?</vt:lpstr>
      <vt:lpstr>XDO_?NPTF?94?</vt:lpstr>
      <vt:lpstr>XDO_?NPTF?95?</vt:lpstr>
      <vt:lpstr>XDO_?NPTF?96?</vt:lpstr>
      <vt:lpstr>XDO_?NPTF?97?</vt:lpstr>
      <vt:lpstr>XDO_?NPTF?98?</vt:lpstr>
      <vt:lpstr>XDO_?NPTF?99?</vt:lpstr>
      <vt:lpstr>XDO_?RATING?100?</vt:lpstr>
      <vt:lpstr>XDO_?RATING?101?</vt:lpstr>
      <vt:lpstr>XDO_?RATING?102?</vt:lpstr>
      <vt:lpstr>XDO_?RATING?103?</vt:lpstr>
      <vt:lpstr>XDO_?RATING?104?</vt:lpstr>
      <vt:lpstr>XDO_?RATING?105?</vt:lpstr>
      <vt:lpstr>XDO_?RATING?106?</vt:lpstr>
      <vt:lpstr>XDO_?RATING?107?</vt:lpstr>
      <vt:lpstr>XDO_?RATING?108?</vt:lpstr>
      <vt:lpstr>XDO_?RATING?109?</vt:lpstr>
      <vt:lpstr>XDO_?RATING?110?</vt:lpstr>
      <vt:lpstr>XDO_?RATING?111?</vt:lpstr>
      <vt:lpstr>XDO_?RATING?112?</vt:lpstr>
      <vt:lpstr>XDO_?RATING?113?</vt:lpstr>
      <vt:lpstr>XDO_?RATING?114?</vt:lpstr>
      <vt:lpstr>XDO_?RATING?115?</vt:lpstr>
      <vt:lpstr>XDO_?RATING?116?</vt:lpstr>
      <vt:lpstr>XDO_?RATING?117?</vt:lpstr>
      <vt:lpstr>XDO_?RATING?118?</vt:lpstr>
      <vt:lpstr>XDO_?RATING?119?</vt:lpstr>
      <vt:lpstr>XDO_?RATING?12?</vt:lpstr>
      <vt:lpstr>XDO_?RATING?120?</vt:lpstr>
      <vt:lpstr>XDO_?RATING?121?</vt:lpstr>
      <vt:lpstr>XDO_?RATING?122?</vt:lpstr>
      <vt:lpstr>XDO_?RATING?123?</vt:lpstr>
      <vt:lpstr>XDO_?RATING?124?</vt:lpstr>
      <vt:lpstr>XDO_?RATING?125?</vt:lpstr>
      <vt:lpstr>XDO_?RATING?126?</vt:lpstr>
      <vt:lpstr>XDO_?RATING?127?</vt:lpstr>
      <vt:lpstr>XDO_?RATING?128?</vt:lpstr>
      <vt:lpstr>XDO_?RATING?129?</vt:lpstr>
      <vt:lpstr>XDO_?RATING?13?</vt:lpstr>
      <vt:lpstr>XDO_?RATING?130?</vt:lpstr>
      <vt:lpstr>XDO_?RATING?131?</vt:lpstr>
      <vt:lpstr>XDO_?RATING?132?</vt:lpstr>
      <vt:lpstr>XDO_?RATING?133?</vt:lpstr>
      <vt:lpstr>XDO_?RATING?134?</vt:lpstr>
      <vt:lpstr>XDO_?RATING?135?</vt:lpstr>
      <vt:lpstr>XDO_?RATING?136?</vt:lpstr>
      <vt:lpstr>XDO_?RATING?137?</vt:lpstr>
      <vt:lpstr>XDO_?RATING?138?</vt:lpstr>
      <vt:lpstr>XDO_?RATING?139?</vt:lpstr>
      <vt:lpstr>XDO_?RATING?14?</vt:lpstr>
      <vt:lpstr>XDO_?RATING?140?</vt:lpstr>
      <vt:lpstr>XDO_?RATING?141?</vt:lpstr>
      <vt:lpstr>XDO_?RATING?142?</vt:lpstr>
      <vt:lpstr>XDO_?RATING?143?</vt:lpstr>
      <vt:lpstr>XDO_?RATING?144?</vt:lpstr>
      <vt:lpstr>XDO_?RATING?145?</vt:lpstr>
      <vt:lpstr>XDO_?RATING?146?</vt:lpstr>
      <vt:lpstr>XDO_?RATING?147?</vt:lpstr>
      <vt:lpstr>XDO_?RATING?148?</vt:lpstr>
      <vt:lpstr>XDO_?RATING?149?</vt:lpstr>
      <vt:lpstr>XDO_?RATING?15?</vt:lpstr>
      <vt:lpstr>XDO_?RATING?150?</vt:lpstr>
      <vt:lpstr>XDO_?RATING?151?</vt:lpstr>
      <vt:lpstr>XDO_?RATING?152?</vt:lpstr>
      <vt:lpstr>XDO_?RATING?153?</vt:lpstr>
      <vt:lpstr>XDO_?RATING?154?</vt:lpstr>
      <vt:lpstr>XDO_?RATING?155?</vt:lpstr>
      <vt:lpstr>XDO_?RATING?156?</vt:lpstr>
      <vt:lpstr>XDO_?RATING?157?</vt:lpstr>
      <vt:lpstr>XDO_?RATING?158?</vt:lpstr>
      <vt:lpstr>XDO_?RATING?159?</vt:lpstr>
      <vt:lpstr>XDO_?RATING?16?</vt:lpstr>
      <vt:lpstr>XDO_?RATING?160?</vt:lpstr>
      <vt:lpstr>XDO_?RATING?161?</vt:lpstr>
      <vt:lpstr>XDO_?RATING?162?</vt:lpstr>
      <vt:lpstr>XDO_?RATING?163?</vt:lpstr>
      <vt:lpstr>XDO_?RATING?164?</vt:lpstr>
      <vt:lpstr>XDO_?RATING?165?</vt:lpstr>
      <vt:lpstr>XDO_?RATING?166?</vt:lpstr>
      <vt:lpstr>XDO_?RATING?167?</vt:lpstr>
      <vt:lpstr>XDO_?RATING?168?</vt:lpstr>
      <vt:lpstr>XDO_?RATING?169?</vt:lpstr>
      <vt:lpstr>XDO_?RATING?17?</vt:lpstr>
      <vt:lpstr>XDO_?RATING?170?</vt:lpstr>
      <vt:lpstr>XDO_?RATING?171?</vt:lpstr>
      <vt:lpstr>XDO_?RATING?172?</vt:lpstr>
      <vt:lpstr>XDO_?RATING?173?</vt:lpstr>
      <vt:lpstr>XDO_?RATING?174?</vt:lpstr>
      <vt:lpstr>XDO_?RATING?175?</vt:lpstr>
      <vt:lpstr>XDO_?RATING?176?</vt:lpstr>
      <vt:lpstr>XDO_?RATING?177?</vt:lpstr>
      <vt:lpstr>XDO_?RATING?178?</vt:lpstr>
      <vt:lpstr>XDO_?RATING?179?</vt:lpstr>
      <vt:lpstr>XDO_?RATING?180?</vt:lpstr>
      <vt:lpstr>XDO_?RATING?181?</vt:lpstr>
      <vt:lpstr>XDO_?RATING?182?</vt:lpstr>
      <vt:lpstr>XDO_?RATING?183?</vt:lpstr>
      <vt:lpstr>XDO_?RATING?184?</vt:lpstr>
      <vt:lpstr>XDO_?RATING?185?</vt:lpstr>
      <vt:lpstr>XDO_?RATING?186?</vt:lpstr>
      <vt:lpstr>XDO_?RATING?187?</vt:lpstr>
      <vt:lpstr>XDO_?RATING?188?</vt:lpstr>
      <vt:lpstr>XDO_?RATING?189?</vt:lpstr>
      <vt:lpstr>XDO_?RATING?190?</vt:lpstr>
      <vt:lpstr>XDO_?RATING?191?</vt:lpstr>
      <vt:lpstr>XDO_?RATING?192?</vt:lpstr>
      <vt:lpstr>XDO_?RATING?193?</vt:lpstr>
      <vt:lpstr>XDO_?RATING?194?</vt:lpstr>
      <vt:lpstr>XDO_?RATING?195?</vt:lpstr>
      <vt:lpstr>XDO_?RATING?196?</vt:lpstr>
      <vt:lpstr>XDO_?RATING?197?</vt:lpstr>
      <vt:lpstr>XDO_?RATING?198?</vt:lpstr>
      <vt:lpstr>XDO_?RATING?199?</vt:lpstr>
      <vt:lpstr>XDO_?RATING?200?</vt:lpstr>
      <vt:lpstr>XDO_?RATING?201?</vt:lpstr>
      <vt:lpstr>XDO_?RATING?202?</vt:lpstr>
      <vt:lpstr>XDO_?RATING?203?</vt:lpstr>
      <vt:lpstr>XDO_?RATING?204?</vt:lpstr>
      <vt:lpstr>XDO_?RATING?205?</vt:lpstr>
      <vt:lpstr>XDO_?RATING?206?</vt:lpstr>
      <vt:lpstr>XDO_?RATING?207?</vt:lpstr>
      <vt:lpstr>XDO_?RATING?208?</vt:lpstr>
      <vt:lpstr>XDO_?RATING?209?</vt:lpstr>
      <vt:lpstr>XDO_?RATING?210?</vt:lpstr>
      <vt:lpstr>XDO_?RATING?211?</vt:lpstr>
      <vt:lpstr>XDO_?RATING?212?</vt:lpstr>
      <vt:lpstr>XDO_?RATING?213?</vt:lpstr>
      <vt:lpstr>XDO_?RATING?214?</vt:lpstr>
      <vt:lpstr>XDO_?RATING?215?</vt:lpstr>
      <vt:lpstr>XDO_?RATING?216?</vt:lpstr>
      <vt:lpstr>XDO_?RATING?217?</vt:lpstr>
      <vt:lpstr>XDO_?RATING?218?</vt:lpstr>
      <vt:lpstr>XDO_?RATING?219?</vt:lpstr>
      <vt:lpstr>XDO_?RATING?220?</vt:lpstr>
      <vt:lpstr>XDO_?RATING?221?</vt:lpstr>
      <vt:lpstr>XDO_?RATING?222?</vt:lpstr>
      <vt:lpstr>XDO_?RATING?223?</vt:lpstr>
      <vt:lpstr>XDO_?RATING?224?</vt:lpstr>
      <vt:lpstr>XDO_?RATING?225?</vt:lpstr>
      <vt:lpstr>XDO_?RATING?226?</vt:lpstr>
      <vt:lpstr>XDO_?RATING?227?</vt:lpstr>
      <vt:lpstr>XDO_?RATING?228?</vt:lpstr>
      <vt:lpstr>XDO_?RATING?229?</vt:lpstr>
      <vt:lpstr>XDO_?RATING?230?</vt:lpstr>
      <vt:lpstr>XDO_?RATING?231?</vt:lpstr>
      <vt:lpstr>XDO_?RATING?232?</vt:lpstr>
      <vt:lpstr>XDO_?RATING?233?</vt:lpstr>
      <vt:lpstr>XDO_?RATING?234?</vt:lpstr>
      <vt:lpstr>XDO_?RATING?235?</vt:lpstr>
      <vt:lpstr>XDO_?RATING?236?</vt:lpstr>
      <vt:lpstr>XDO_?RATING?237?</vt:lpstr>
      <vt:lpstr>XDO_?RATING?238?</vt:lpstr>
      <vt:lpstr>XDO_?RATING?239?</vt:lpstr>
      <vt:lpstr>XDO_?RATING?240?</vt:lpstr>
      <vt:lpstr>XDO_?RATING?241?</vt:lpstr>
      <vt:lpstr>XDO_?RATING?242?</vt:lpstr>
      <vt:lpstr>XDO_?RATING?243?</vt:lpstr>
      <vt:lpstr>XDO_?RATING?244?</vt:lpstr>
      <vt:lpstr>XDO_?RATING?245?</vt:lpstr>
      <vt:lpstr>XDO_?RATING?246?</vt:lpstr>
      <vt:lpstr>XDO_?RATING?247?</vt:lpstr>
      <vt:lpstr>XDO_?RATING?248?</vt:lpstr>
      <vt:lpstr>XDO_?RATING?249?</vt:lpstr>
      <vt:lpstr>XDO_?RATING?250?</vt:lpstr>
      <vt:lpstr>XDO_?RATING?251?</vt:lpstr>
      <vt:lpstr>XDO_?RATING?252?</vt:lpstr>
      <vt:lpstr>XDO_?RATING?253?</vt:lpstr>
      <vt:lpstr>XDO_?RATING?254?</vt:lpstr>
      <vt:lpstr>XDO_?RATING?255?</vt:lpstr>
      <vt:lpstr>XDO_?RATING?256?</vt:lpstr>
      <vt:lpstr>XDO_?RATING?257?</vt:lpstr>
      <vt:lpstr>XDO_?RATING?258?</vt:lpstr>
      <vt:lpstr>XDO_?RATING?259?</vt:lpstr>
      <vt:lpstr>XDO_?RATING?260?</vt:lpstr>
      <vt:lpstr>XDO_?RATING?261?</vt:lpstr>
      <vt:lpstr>XDO_?RATING?262?</vt:lpstr>
      <vt:lpstr>XDO_?RATING?263?</vt:lpstr>
      <vt:lpstr>XDO_?RATING?264?</vt:lpstr>
      <vt:lpstr>XDO_?RATING?265?</vt:lpstr>
      <vt:lpstr>XDO_?RATING?266?</vt:lpstr>
      <vt:lpstr>XDO_?RATING?267?</vt:lpstr>
      <vt:lpstr>XDO_?RATING?268?</vt:lpstr>
      <vt:lpstr>XDO_?RATING?269?</vt:lpstr>
      <vt:lpstr>XDO_?RATING?270?</vt:lpstr>
      <vt:lpstr>XDO_?RATING?271?</vt:lpstr>
      <vt:lpstr>XDO_?RATING?272?</vt:lpstr>
      <vt:lpstr>XDO_?RATING?273?</vt:lpstr>
      <vt:lpstr>XDO_?RATING?274?</vt:lpstr>
      <vt:lpstr>XDO_?RATING?275?</vt:lpstr>
      <vt:lpstr>XDO_?RATING?276?</vt:lpstr>
      <vt:lpstr>XDO_?RATING?277?</vt:lpstr>
      <vt:lpstr>XDO_?RATING?278?</vt:lpstr>
      <vt:lpstr>XDO_?RATING?279?</vt:lpstr>
      <vt:lpstr>XDO_?RATING?280?</vt:lpstr>
      <vt:lpstr>XDO_?RATING?281?</vt:lpstr>
      <vt:lpstr>XDO_?RATING?282?</vt:lpstr>
      <vt:lpstr>XDO_?RATING?283?</vt:lpstr>
      <vt:lpstr>XDO_?RATING?284?</vt:lpstr>
      <vt:lpstr>XDO_?RATING?285?</vt:lpstr>
      <vt:lpstr>XDO_?RATING?286?</vt:lpstr>
      <vt:lpstr>XDO_?RATING?287?</vt:lpstr>
      <vt:lpstr>XDO_?RATING?288?</vt:lpstr>
      <vt:lpstr>XDO_?RATING?289?</vt:lpstr>
      <vt:lpstr>XDO_?RATING?290?</vt:lpstr>
      <vt:lpstr>XDO_?RATING?291?</vt:lpstr>
      <vt:lpstr>XDO_?RATING?292?</vt:lpstr>
      <vt:lpstr>XDO_?RATING?293?</vt:lpstr>
      <vt:lpstr>XDO_?RATING?294?</vt:lpstr>
      <vt:lpstr>XDO_?RATING?295?</vt:lpstr>
      <vt:lpstr>XDO_?RATING?296?</vt:lpstr>
      <vt:lpstr>XDO_?RATING?297?</vt:lpstr>
      <vt:lpstr>XDO_?RATING?298?</vt:lpstr>
      <vt:lpstr>XDO_?RATING?299?</vt:lpstr>
      <vt:lpstr>XDO_?RATING?300?</vt:lpstr>
      <vt:lpstr>XDO_?RATING?301?</vt:lpstr>
      <vt:lpstr>XDO_?RATING?302?</vt:lpstr>
      <vt:lpstr>XDO_?RATING?303?</vt:lpstr>
      <vt:lpstr>XDO_?RATING?304?</vt:lpstr>
      <vt:lpstr>XDO_?RATING?305?</vt:lpstr>
      <vt:lpstr>XDO_?RATING?306?</vt:lpstr>
      <vt:lpstr>XDO_?RATING?307?</vt:lpstr>
      <vt:lpstr>XDO_?RATING?308?</vt:lpstr>
      <vt:lpstr>XDO_?RATING?309?</vt:lpstr>
      <vt:lpstr>XDO_?RATING?310?</vt:lpstr>
      <vt:lpstr>XDO_?RATING?311?</vt:lpstr>
      <vt:lpstr>XDO_?RATING?312?</vt:lpstr>
      <vt:lpstr>XDO_?RATING?313?</vt:lpstr>
      <vt:lpstr>XDO_?RATING?314?</vt:lpstr>
      <vt:lpstr>XDO_?RATING?315?</vt:lpstr>
      <vt:lpstr>XDO_?RATING?316?</vt:lpstr>
      <vt:lpstr>XDO_?RATING?317?</vt:lpstr>
      <vt:lpstr>XDO_?RATING?318?</vt:lpstr>
      <vt:lpstr>XDO_?RATING?319?</vt:lpstr>
      <vt:lpstr>XDO_?RATING?320?</vt:lpstr>
      <vt:lpstr>XDO_?RATING?321?</vt:lpstr>
      <vt:lpstr>XDO_?RATING?322?</vt:lpstr>
      <vt:lpstr>XDO_?RATING?323?</vt:lpstr>
      <vt:lpstr>XDO_?RATING?324?</vt:lpstr>
      <vt:lpstr>XDO_?RATING?325?</vt:lpstr>
      <vt:lpstr>XDO_?RATING?326?</vt:lpstr>
      <vt:lpstr>XDO_?RATING?327?</vt:lpstr>
      <vt:lpstr>XDO_?RATING?328?</vt:lpstr>
      <vt:lpstr>XDO_?RATING?329?</vt:lpstr>
      <vt:lpstr>XDO_?RATING?330?</vt:lpstr>
      <vt:lpstr>XDO_?RATING?331?</vt:lpstr>
      <vt:lpstr>XDO_?RATING?332?</vt:lpstr>
      <vt:lpstr>XDO_?RATING?333?</vt:lpstr>
      <vt:lpstr>XDO_?RATING?334?</vt:lpstr>
      <vt:lpstr>XDO_?RATING?335?</vt:lpstr>
      <vt:lpstr>XDO_?RATING?336?</vt:lpstr>
      <vt:lpstr>XDO_?RATING?337?</vt:lpstr>
      <vt:lpstr>XDO_?RATING?338?</vt:lpstr>
      <vt:lpstr>XDO_?RATING?339?</vt:lpstr>
      <vt:lpstr>XDO_?RATING?340?</vt:lpstr>
      <vt:lpstr>XDO_?RATING?341?</vt:lpstr>
      <vt:lpstr>XDO_?RATING?342?</vt:lpstr>
      <vt:lpstr>XDO_?RATING?343?</vt:lpstr>
      <vt:lpstr>XDO_?RATING?344?</vt:lpstr>
      <vt:lpstr>XDO_?RATING?345?</vt:lpstr>
      <vt:lpstr>XDO_?RATING?346?</vt:lpstr>
      <vt:lpstr>XDO_?RATING?347?</vt:lpstr>
      <vt:lpstr>XDO_?RATING?348?</vt:lpstr>
      <vt:lpstr>XDO_?RATING?349?</vt:lpstr>
      <vt:lpstr>XDO_?RATING?350?</vt:lpstr>
      <vt:lpstr>XDO_?RATING?351?</vt:lpstr>
      <vt:lpstr>XDO_?RATING?352?</vt:lpstr>
      <vt:lpstr>XDO_?RATING?353?</vt:lpstr>
      <vt:lpstr>XDO_?RATING?354?</vt:lpstr>
      <vt:lpstr>XDO_?RATING?355?</vt:lpstr>
      <vt:lpstr>XDO_?RATING?356?</vt:lpstr>
      <vt:lpstr>XDO_?RATING?357?</vt:lpstr>
      <vt:lpstr>XDO_?RATING?358?</vt:lpstr>
      <vt:lpstr>XDO_?RATING?359?</vt:lpstr>
      <vt:lpstr>XDO_?RATING?36?</vt:lpstr>
      <vt:lpstr>XDO_?RATING?360?</vt:lpstr>
      <vt:lpstr>XDO_?RATING?361?</vt:lpstr>
      <vt:lpstr>XDO_?RATING?362?</vt:lpstr>
      <vt:lpstr>XDO_?RATING?363?</vt:lpstr>
      <vt:lpstr>XDO_?RATING?364?</vt:lpstr>
      <vt:lpstr>XDO_?RATING?365?</vt:lpstr>
      <vt:lpstr>XDO_?RATING?366?</vt:lpstr>
      <vt:lpstr>XDO_?RATING?367?</vt:lpstr>
      <vt:lpstr>XDO_?RATING?368?</vt:lpstr>
      <vt:lpstr>XDO_?RATING?369?</vt:lpstr>
      <vt:lpstr>XDO_?RATING?37?</vt:lpstr>
      <vt:lpstr>XDO_?RATING?370?</vt:lpstr>
      <vt:lpstr>XDO_?RATING?371?</vt:lpstr>
      <vt:lpstr>XDO_?RATING?372?</vt:lpstr>
      <vt:lpstr>XDO_?RATING?373?</vt:lpstr>
      <vt:lpstr>XDO_?RATING?374?</vt:lpstr>
      <vt:lpstr>XDO_?RATING?375?</vt:lpstr>
      <vt:lpstr>XDO_?RATING?376?</vt:lpstr>
      <vt:lpstr>XDO_?RATING?377?</vt:lpstr>
      <vt:lpstr>XDO_?RATING?378?</vt:lpstr>
      <vt:lpstr>XDO_?RATING?379?</vt:lpstr>
      <vt:lpstr>XDO_?RATING?38?</vt:lpstr>
      <vt:lpstr>XDO_?RATING?380?</vt:lpstr>
      <vt:lpstr>XDO_?RATING?381?</vt:lpstr>
      <vt:lpstr>XDO_?RATING?382?</vt:lpstr>
      <vt:lpstr>XDO_?RATING?383?</vt:lpstr>
      <vt:lpstr>XDO_?RATING?384?</vt:lpstr>
      <vt:lpstr>XDO_?RATING?385?</vt:lpstr>
      <vt:lpstr>XDO_?RATING?386?</vt:lpstr>
      <vt:lpstr>XDO_?RATING?387?</vt:lpstr>
      <vt:lpstr>XDO_?RATING?388?</vt:lpstr>
      <vt:lpstr>XDO_?RATING?389?</vt:lpstr>
      <vt:lpstr>XDO_?RATING?39?</vt:lpstr>
      <vt:lpstr>XDO_?RATING?390?</vt:lpstr>
      <vt:lpstr>XDO_?RATING?391?</vt:lpstr>
      <vt:lpstr>XDO_?RATING?392?</vt:lpstr>
      <vt:lpstr>XDO_?RATING?393?</vt:lpstr>
      <vt:lpstr>XDO_?RATING?394?</vt:lpstr>
      <vt:lpstr>XDO_?RATING?395?</vt:lpstr>
      <vt:lpstr>XDO_?RATING?396?</vt:lpstr>
      <vt:lpstr>XDO_?RATING?397?</vt:lpstr>
      <vt:lpstr>XDO_?RATING?398?</vt:lpstr>
      <vt:lpstr>XDO_?RATING?399?</vt:lpstr>
      <vt:lpstr>XDO_?RATING?40?</vt:lpstr>
      <vt:lpstr>XDO_?RATING?400?</vt:lpstr>
      <vt:lpstr>XDO_?RATING?401?</vt:lpstr>
      <vt:lpstr>XDO_?RATING?402?</vt:lpstr>
      <vt:lpstr>XDO_?RATING?403?</vt:lpstr>
      <vt:lpstr>XDO_?RATING?404?</vt:lpstr>
      <vt:lpstr>XDO_?RATING?405?</vt:lpstr>
      <vt:lpstr>XDO_?RATING?406?</vt:lpstr>
      <vt:lpstr>XDO_?RATING?407?</vt:lpstr>
      <vt:lpstr>XDO_?RATING?408?</vt:lpstr>
      <vt:lpstr>XDO_?RATING?409?</vt:lpstr>
      <vt:lpstr>XDO_?RATING?41?</vt:lpstr>
      <vt:lpstr>XDO_?RATING?410?</vt:lpstr>
      <vt:lpstr>XDO_?RATING?411?</vt:lpstr>
      <vt:lpstr>XDO_?RATING?412?</vt:lpstr>
      <vt:lpstr>XDO_?RATING?413?</vt:lpstr>
      <vt:lpstr>XDO_?RATING?414?</vt:lpstr>
      <vt:lpstr>XDO_?RATING?415?</vt:lpstr>
      <vt:lpstr>XDO_?RATING?416?</vt:lpstr>
      <vt:lpstr>XDO_?RATING?417?</vt:lpstr>
      <vt:lpstr>XDO_?RATING?418?</vt:lpstr>
      <vt:lpstr>XDO_?RATING?419?</vt:lpstr>
      <vt:lpstr>XDO_?RATING?42?</vt:lpstr>
      <vt:lpstr>XDO_?RATING?420?</vt:lpstr>
      <vt:lpstr>XDO_?RATING?421?</vt:lpstr>
      <vt:lpstr>XDO_?RATING?422?</vt:lpstr>
      <vt:lpstr>XDO_?RATING?423?</vt:lpstr>
      <vt:lpstr>XDO_?RATING?424?</vt:lpstr>
      <vt:lpstr>XDO_?RATING?425?</vt:lpstr>
      <vt:lpstr>XDO_?RATING?426?</vt:lpstr>
      <vt:lpstr>XDO_?RATING?427?</vt:lpstr>
      <vt:lpstr>XDO_?RATING?428?</vt:lpstr>
      <vt:lpstr>XDO_?RATING?429?</vt:lpstr>
      <vt:lpstr>XDO_?RATING?43?</vt:lpstr>
      <vt:lpstr>XDO_?RATING?430?</vt:lpstr>
      <vt:lpstr>XDO_?RATING?431?</vt:lpstr>
      <vt:lpstr>XDO_?RATING?432?</vt:lpstr>
      <vt:lpstr>XDO_?RATING?433?</vt:lpstr>
      <vt:lpstr>XDO_?RATING?434?</vt:lpstr>
      <vt:lpstr>XDO_?RATING?435?</vt:lpstr>
      <vt:lpstr>XDO_?RATING?436?</vt:lpstr>
      <vt:lpstr>XDO_?RATING?437?</vt:lpstr>
      <vt:lpstr>XDO_?RATING?438?</vt:lpstr>
      <vt:lpstr>XDO_?RATING?439?</vt:lpstr>
      <vt:lpstr>XDO_?RATING?440?</vt:lpstr>
      <vt:lpstr>XDO_?RATING?441?</vt:lpstr>
      <vt:lpstr>XDO_?RATING?442?</vt:lpstr>
      <vt:lpstr>XDO_?RATING?443?</vt:lpstr>
      <vt:lpstr>XDO_?RATING?444?</vt:lpstr>
      <vt:lpstr>XDO_?RATING?445?</vt:lpstr>
      <vt:lpstr>XDO_?RATING?446?</vt:lpstr>
      <vt:lpstr>XDO_?RATING?447?</vt:lpstr>
      <vt:lpstr>XDO_?RATING?448?</vt:lpstr>
      <vt:lpstr>XDO_?RATING?449?</vt:lpstr>
      <vt:lpstr>XDO_?RATING?450?</vt:lpstr>
      <vt:lpstr>XDO_?RATING?451?</vt:lpstr>
      <vt:lpstr>XDO_?RATING?452?</vt:lpstr>
      <vt:lpstr>XDO_?RATING?453?</vt:lpstr>
      <vt:lpstr>XDO_?RATING?454?</vt:lpstr>
      <vt:lpstr>XDO_?RATING?455?</vt:lpstr>
      <vt:lpstr>XDO_?RATING?456?</vt:lpstr>
      <vt:lpstr>XDO_?RATING?457?</vt:lpstr>
      <vt:lpstr>XDO_?RATING?458?</vt:lpstr>
      <vt:lpstr>XDO_?RATING?459?</vt:lpstr>
      <vt:lpstr>XDO_?RATING?460?</vt:lpstr>
      <vt:lpstr>XDO_?RATING?461?</vt:lpstr>
      <vt:lpstr>XDO_?RATING?462?</vt:lpstr>
      <vt:lpstr>XDO_?RATING?463?</vt:lpstr>
      <vt:lpstr>XDO_?RATING?464?</vt:lpstr>
      <vt:lpstr>XDO_?RATING?465?</vt:lpstr>
      <vt:lpstr>XDO_?RATING?466?</vt:lpstr>
      <vt:lpstr>XDO_?RATING?467?</vt:lpstr>
      <vt:lpstr>XDO_?RATING?468?</vt:lpstr>
      <vt:lpstr>XDO_?RATING?469?</vt:lpstr>
      <vt:lpstr>XDO_?RATING?470?</vt:lpstr>
      <vt:lpstr>XDO_?RATING?471?</vt:lpstr>
      <vt:lpstr>XDO_?RATING?472?</vt:lpstr>
      <vt:lpstr>XDO_?RATING?473?</vt:lpstr>
      <vt:lpstr>XDO_?RATING?474?</vt:lpstr>
      <vt:lpstr>XDO_?RATING?475?</vt:lpstr>
      <vt:lpstr>XDO_?RATING?476?</vt:lpstr>
      <vt:lpstr>XDO_?RATING?477?</vt:lpstr>
      <vt:lpstr>XDO_?RATING?478?</vt:lpstr>
      <vt:lpstr>XDO_?RATING?479?</vt:lpstr>
      <vt:lpstr>XDO_?RATING?480?</vt:lpstr>
      <vt:lpstr>XDO_?RATING?481?</vt:lpstr>
      <vt:lpstr>XDO_?RATING?482?</vt:lpstr>
      <vt:lpstr>XDO_?RATING?483?</vt:lpstr>
      <vt:lpstr>XDO_?RATING?484?</vt:lpstr>
      <vt:lpstr>XDO_?RATING?485?</vt:lpstr>
      <vt:lpstr>XDO_?RATING?486?</vt:lpstr>
      <vt:lpstr>XDO_?RATING?487?</vt:lpstr>
      <vt:lpstr>XDO_?RATING?488?</vt:lpstr>
      <vt:lpstr>XDO_?RATING?489?</vt:lpstr>
      <vt:lpstr>XDO_?RATING?490?</vt:lpstr>
      <vt:lpstr>XDO_?RATING?491?</vt:lpstr>
      <vt:lpstr>XDO_?RATING?492?</vt:lpstr>
      <vt:lpstr>XDO_?RATING?493?</vt:lpstr>
      <vt:lpstr>XDO_?RATING?494?</vt:lpstr>
      <vt:lpstr>XDO_?RATING?495?</vt:lpstr>
      <vt:lpstr>XDO_?RATING?496?</vt:lpstr>
      <vt:lpstr>XDO_?RATING?497?</vt:lpstr>
      <vt:lpstr>XDO_?RATING?498?</vt:lpstr>
      <vt:lpstr>XDO_?RATING?499?</vt:lpstr>
      <vt:lpstr>XDO_?RATING?50?</vt:lpstr>
      <vt:lpstr>XDO_?RATING?500?</vt:lpstr>
      <vt:lpstr>XDO_?RATING?501?</vt:lpstr>
      <vt:lpstr>XDO_?RATING?502?</vt:lpstr>
      <vt:lpstr>XDO_?RATING?503?</vt:lpstr>
      <vt:lpstr>XDO_?RATING?504?</vt:lpstr>
      <vt:lpstr>XDO_?RATING?505?</vt:lpstr>
      <vt:lpstr>XDO_?RATING?506?</vt:lpstr>
      <vt:lpstr>XDO_?RATING?507?</vt:lpstr>
      <vt:lpstr>XDO_?RATING?508?</vt:lpstr>
      <vt:lpstr>XDO_?RATING?509?</vt:lpstr>
      <vt:lpstr>XDO_?RATING?51?</vt:lpstr>
      <vt:lpstr>XDO_?RATING?510?</vt:lpstr>
      <vt:lpstr>XDO_?RATING?511?</vt:lpstr>
      <vt:lpstr>XDO_?RATING?512?</vt:lpstr>
      <vt:lpstr>XDO_?RATING?513?</vt:lpstr>
      <vt:lpstr>XDO_?RATING?514?</vt:lpstr>
      <vt:lpstr>XDO_?RATING?515?</vt:lpstr>
      <vt:lpstr>XDO_?RATING?516?</vt:lpstr>
      <vt:lpstr>XDO_?RATING?517?</vt:lpstr>
      <vt:lpstr>XDO_?RATING?518?</vt:lpstr>
      <vt:lpstr>XDO_?RATING?519?</vt:lpstr>
      <vt:lpstr>XDO_?RATING?52?</vt:lpstr>
      <vt:lpstr>XDO_?RATING?520?</vt:lpstr>
      <vt:lpstr>XDO_?RATING?521?</vt:lpstr>
      <vt:lpstr>XDO_?RATING?522?</vt:lpstr>
      <vt:lpstr>XDO_?RATING?523?</vt:lpstr>
      <vt:lpstr>XDO_?RATING?524?</vt:lpstr>
      <vt:lpstr>XDO_?RATING?525?</vt:lpstr>
      <vt:lpstr>XDO_?RATING?526?</vt:lpstr>
      <vt:lpstr>XDO_?RATING?527?</vt:lpstr>
      <vt:lpstr>XDO_?RATING?528?</vt:lpstr>
      <vt:lpstr>XDO_?RATING?529?</vt:lpstr>
      <vt:lpstr>XDO_?RATING?53?</vt:lpstr>
      <vt:lpstr>XDO_?RATING?530?</vt:lpstr>
      <vt:lpstr>XDO_?RATING?531?</vt:lpstr>
      <vt:lpstr>XDO_?RATING?532?</vt:lpstr>
      <vt:lpstr>XDO_?RATING?533?</vt:lpstr>
      <vt:lpstr>XDO_?RATING?534?</vt:lpstr>
      <vt:lpstr>XDO_?RATING?535?</vt:lpstr>
      <vt:lpstr>XDO_?RATING?536?</vt:lpstr>
      <vt:lpstr>XDO_?RATING?537?</vt:lpstr>
      <vt:lpstr>XDO_?RATING?538?</vt:lpstr>
      <vt:lpstr>XDO_?RATING?539?</vt:lpstr>
      <vt:lpstr>XDO_?RATING?54?</vt:lpstr>
      <vt:lpstr>XDO_?RATING?540?</vt:lpstr>
      <vt:lpstr>XDO_?RATING?541?</vt:lpstr>
      <vt:lpstr>XDO_?RATING?542?</vt:lpstr>
      <vt:lpstr>XDO_?RATING?543?</vt:lpstr>
      <vt:lpstr>XDO_?RATING?544?</vt:lpstr>
      <vt:lpstr>XDO_?RATING?545?</vt:lpstr>
      <vt:lpstr>XDO_?RATING?546?</vt:lpstr>
      <vt:lpstr>XDO_?RATING?547?</vt:lpstr>
      <vt:lpstr>XDO_?RATING?548?</vt:lpstr>
      <vt:lpstr>XDO_?RATING?549?</vt:lpstr>
      <vt:lpstr>XDO_?RATING?550?</vt:lpstr>
      <vt:lpstr>XDO_?RATING?551?</vt:lpstr>
      <vt:lpstr>XDO_?RATING?552?</vt:lpstr>
      <vt:lpstr>XDO_?RATING?553?</vt:lpstr>
      <vt:lpstr>XDO_?RATING?554?</vt:lpstr>
      <vt:lpstr>XDO_?RATING?555?</vt:lpstr>
      <vt:lpstr>XDO_?RATING?556?</vt:lpstr>
      <vt:lpstr>XDO_?RATING?557?</vt:lpstr>
      <vt:lpstr>XDO_?RATING?558?</vt:lpstr>
      <vt:lpstr>XDO_?RATING?559?</vt:lpstr>
      <vt:lpstr>XDO_?RATING?560?</vt:lpstr>
      <vt:lpstr>XDO_?RATING?561?</vt:lpstr>
      <vt:lpstr>XDO_?RATING?562?</vt:lpstr>
      <vt:lpstr>XDO_?RATING?563?</vt:lpstr>
      <vt:lpstr>XDO_?RATING?564?</vt:lpstr>
      <vt:lpstr>XDO_?RATING?565?</vt:lpstr>
      <vt:lpstr>XDO_?RATING?566?</vt:lpstr>
      <vt:lpstr>XDO_?RATING?567?</vt:lpstr>
      <vt:lpstr>XDO_?RATING?568?</vt:lpstr>
      <vt:lpstr>XDO_?RATING?569?</vt:lpstr>
      <vt:lpstr>XDO_?RATING?570?</vt:lpstr>
      <vt:lpstr>XDO_?RATING?571?</vt:lpstr>
      <vt:lpstr>XDO_?RATING?572?</vt:lpstr>
      <vt:lpstr>XDO_?RATING?573?</vt:lpstr>
      <vt:lpstr>XDO_?RATING?574?</vt:lpstr>
      <vt:lpstr>XDO_?RATING?575?</vt:lpstr>
      <vt:lpstr>XDO_?RATING?576?</vt:lpstr>
      <vt:lpstr>XDO_?RATING?577?</vt:lpstr>
      <vt:lpstr>XDO_?RATING?578?</vt:lpstr>
      <vt:lpstr>XDO_?RATING?579?</vt:lpstr>
      <vt:lpstr>XDO_?RATING?580?</vt:lpstr>
      <vt:lpstr>XDO_?RATING?581?</vt:lpstr>
      <vt:lpstr>XDO_?RATING?582?</vt:lpstr>
      <vt:lpstr>XDO_?RATING?583?</vt:lpstr>
      <vt:lpstr>XDO_?RATING?584?</vt:lpstr>
      <vt:lpstr>XDO_?RATING?585?</vt:lpstr>
      <vt:lpstr>XDO_?RATING?586?</vt:lpstr>
      <vt:lpstr>XDO_?RATING?587?</vt:lpstr>
      <vt:lpstr>XDO_?RATING?588?</vt:lpstr>
      <vt:lpstr>XDO_?RATING?589?</vt:lpstr>
      <vt:lpstr>XDO_?RATING?590?</vt:lpstr>
      <vt:lpstr>XDO_?RATING?591?</vt:lpstr>
      <vt:lpstr>XDO_?RATING?592?</vt:lpstr>
      <vt:lpstr>XDO_?RATING?593?</vt:lpstr>
      <vt:lpstr>XDO_?RATING?594?</vt:lpstr>
      <vt:lpstr>XDO_?RATING?595?</vt:lpstr>
      <vt:lpstr>XDO_?RATING?596?</vt:lpstr>
      <vt:lpstr>XDO_?RATING?597?</vt:lpstr>
      <vt:lpstr>XDO_?RATING?598?</vt:lpstr>
      <vt:lpstr>XDO_?RATING?599?</vt:lpstr>
      <vt:lpstr>XDO_?RATING?600?</vt:lpstr>
      <vt:lpstr>XDO_?RATING?601?</vt:lpstr>
      <vt:lpstr>XDO_?RATING?602?</vt:lpstr>
      <vt:lpstr>XDO_?RATING?603?</vt:lpstr>
      <vt:lpstr>XDO_?RATING?604?</vt:lpstr>
      <vt:lpstr>XDO_?RATING?605?</vt:lpstr>
      <vt:lpstr>XDO_?RATING?606?</vt:lpstr>
      <vt:lpstr>XDO_?RATING?607?</vt:lpstr>
      <vt:lpstr>XDO_?RATING?608?</vt:lpstr>
      <vt:lpstr>XDO_?RATING?609?</vt:lpstr>
      <vt:lpstr>XDO_?RATING?61?</vt:lpstr>
      <vt:lpstr>XDO_?RATING?610?</vt:lpstr>
      <vt:lpstr>XDO_?RATING?611?</vt:lpstr>
      <vt:lpstr>XDO_?RATING?612?</vt:lpstr>
      <vt:lpstr>XDO_?RATING?613?</vt:lpstr>
      <vt:lpstr>XDO_?RATING?614?</vt:lpstr>
      <vt:lpstr>XDO_?RATING?615?</vt:lpstr>
      <vt:lpstr>XDO_?RATING?616?</vt:lpstr>
      <vt:lpstr>XDO_?RATING?617?</vt:lpstr>
      <vt:lpstr>XDO_?RATING?618?</vt:lpstr>
      <vt:lpstr>XDO_?RATING?619?</vt:lpstr>
      <vt:lpstr>XDO_?RATING?62?</vt:lpstr>
      <vt:lpstr>XDO_?RATING?620?</vt:lpstr>
      <vt:lpstr>XDO_?RATING?621?</vt:lpstr>
      <vt:lpstr>XDO_?RATING?622?</vt:lpstr>
      <vt:lpstr>XDO_?RATING?623?</vt:lpstr>
      <vt:lpstr>XDO_?RATING?624?</vt:lpstr>
      <vt:lpstr>XDO_?RATING?625?</vt:lpstr>
      <vt:lpstr>XDO_?RATING?626?</vt:lpstr>
      <vt:lpstr>XDO_?RATING?627?</vt:lpstr>
      <vt:lpstr>XDO_?RATING?628?</vt:lpstr>
      <vt:lpstr>XDO_?RATING?629?</vt:lpstr>
      <vt:lpstr>XDO_?RATING?63?</vt:lpstr>
      <vt:lpstr>XDO_?RATING?630?</vt:lpstr>
      <vt:lpstr>XDO_?RATING?631?</vt:lpstr>
      <vt:lpstr>XDO_?RATING?632?</vt:lpstr>
      <vt:lpstr>XDO_?RATING?633?</vt:lpstr>
      <vt:lpstr>XDO_?RATING?634?</vt:lpstr>
      <vt:lpstr>XDO_?RATING?635?</vt:lpstr>
      <vt:lpstr>XDO_?RATING?636?</vt:lpstr>
      <vt:lpstr>XDO_?RATING?637?</vt:lpstr>
      <vt:lpstr>XDO_?RATING?638?</vt:lpstr>
      <vt:lpstr>XDO_?RATING?639?</vt:lpstr>
      <vt:lpstr>XDO_?RATING?64?</vt:lpstr>
      <vt:lpstr>XDO_?RATING?640?</vt:lpstr>
      <vt:lpstr>XDO_?RATING?641?</vt:lpstr>
      <vt:lpstr>XDO_?RATING?642?</vt:lpstr>
      <vt:lpstr>XDO_?RATING?643?</vt:lpstr>
      <vt:lpstr>XDO_?RATING?644?</vt:lpstr>
      <vt:lpstr>XDO_?RATING?645?</vt:lpstr>
      <vt:lpstr>XDO_?RATING?646?</vt:lpstr>
      <vt:lpstr>XDO_?RATING?647?</vt:lpstr>
      <vt:lpstr>XDO_?RATING?648?</vt:lpstr>
      <vt:lpstr>XDO_?RATING?649?</vt:lpstr>
      <vt:lpstr>XDO_?RATING?65?</vt:lpstr>
      <vt:lpstr>XDO_?RATING?650?</vt:lpstr>
      <vt:lpstr>XDO_?RATING?651?</vt:lpstr>
      <vt:lpstr>XDO_?RATING?652?</vt:lpstr>
      <vt:lpstr>XDO_?RATING?653?</vt:lpstr>
      <vt:lpstr>XDO_?RATING?654?</vt:lpstr>
      <vt:lpstr>XDO_?RATING?655?</vt:lpstr>
      <vt:lpstr>XDO_?RATING?656?</vt:lpstr>
      <vt:lpstr>XDO_?RATING?657?</vt:lpstr>
      <vt:lpstr>XDO_?RATING?658?</vt:lpstr>
      <vt:lpstr>XDO_?RATING?659?</vt:lpstr>
      <vt:lpstr>XDO_?RATING?66?</vt:lpstr>
      <vt:lpstr>XDO_?RATING?660?</vt:lpstr>
      <vt:lpstr>XDO_?RATING?661?</vt:lpstr>
      <vt:lpstr>XDO_?RATING?662?</vt:lpstr>
      <vt:lpstr>XDO_?RATING?663?</vt:lpstr>
      <vt:lpstr>XDO_?RATING?664?</vt:lpstr>
      <vt:lpstr>XDO_?RATING?665?</vt:lpstr>
      <vt:lpstr>XDO_?RATING?666?</vt:lpstr>
      <vt:lpstr>XDO_?RATING?667?</vt:lpstr>
      <vt:lpstr>XDO_?RATING?668?</vt:lpstr>
      <vt:lpstr>XDO_?RATING?669?</vt:lpstr>
      <vt:lpstr>XDO_?RATING?67?</vt:lpstr>
      <vt:lpstr>XDO_?RATING?670?</vt:lpstr>
      <vt:lpstr>XDO_?RATING?671?</vt:lpstr>
      <vt:lpstr>XDO_?RATING?672?</vt:lpstr>
      <vt:lpstr>XDO_?RATING?673?</vt:lpstr>
      <vt:lpstr>XDO_?RATING?674?</vt:lpstr>
      <vt:lpstr>XDO_?RATING?675?</vt:lpstr>
      <vt:lpstr>XDO_?RATING?676?</vt:lpstr>
      <vt:lpstr>XDO_?RATING?677?</vt:lpstr>
      <vt:lpstr>XDO_?RATING?678?</vt:lpstr>
      <vt:lpstr>XDO_?RATING?679?</vt:lpstr>
      <vt:lpstr>XDO_?RATING?68?</vt:lpstr>
      <vt:lpstr>XDO_?RATING?680?</vt:lpstr>
      <vt:lpstr>XDO_?RATING?681?</vt:lpstr>
      <vt:lpstr>XDO_?RATING?682?</vt:lpstr>
      <vt:lpstr>XDO_?RATING?683?</vt:lpstr>
      <vt:lpstr>XDO_?RATING?684?</vt:lpstr>
      <vt:lpstr>XDO_?RATING?685?</vt:lpstr>
      <vt:lpstr>XDO_?RATING?686?</vt:lpstr>
      <vt:lpstr>XDO_?RATING?687?</vt:lpstr>
      <vt:lpstr>XDO_?RATING?688?</vt:lpstr>
      <vt:lpstr>XDO_?RATING?689?</vt:lpstr>
      <vt:lpstr>XDO_?RATING?690?</vt:lpstr>
      <vt:lpstr>XDO_?RATING?691?</vt:lpstr>
      <vt:lpstr>XDO_?RATING?692?</vt:lpstr>
      <vt:lpstr>XDO_?RATING?76?</vt:lpstr>
      <vt:lpstr>XDO_?RATING?77?</vt:lpstr>
      <vt:lpstr>XDO_?RATING?78?</vt:lpstr>
      <vt:lpstr>XDO_?RATING?79?</vt:lpstr>
      <vt:lpstr>XDO_?RATING?84?</vt:lpstr>
      <vt:lpstr>XDO_?RATING?85?</vt:lpstr>
      <vt:lpstr>XDO_?RATING?86?</vt:lpstr>
      <vt:lpstr>XDO_?RATING?87?</vt:lpstr>
      <vt:lpstr>XDO_?RATING?88?</vt:lpstr>
      <vt:lpstr>XDO_?RATING?89?</vt:lpstr>
      <vt:lpstr>XDO_?RATING?90?</vt:lpstr>
      <vt:lpstr>XDO_?RATING?91?</vt:lpstr>
      <vt:lpstr>XDO_?RATING?92?</vt:lpstr>
      <vt:lpstr>XDO_?RATING?93?</vt:lpstr>
      <vt:lpstr>XDO_?RATING?94?</vt:lpstr>
      <vt:lpstr>XDO_?RATING?95?</vt:lpstr>
      <vt:lpstr>XDO_?RATING?96?</vt:lpstr>
      <vt:lpstr>XDO_?RATING?97?</vt:lpstr>
      <vt:lpstr>XDO_?RATING?98?</vt:lpstr>
      <vt:lpstr>XDO_?RATING?99?</vt:lpstr>
      <vt:lpstr>XDO_?REMARKS?100?</vt:lpstr>
      <vt:lpstr>XDO_?REMARKS?101?</vt:lpstr>
      <vt:lpstr>XDO_?REMARKS?102?</vt:lpstr>
      <vt:lpstr>XDO_?REMARKS?103?</vt:lpstr>
      <vt:lpstr>XDO_?REMARKS?104?</vt:lpstr>
      <vt:lpstr>XDO_?REMARKS?105?</vt:lpstr>
      <vt:lpstr>XDO_?REMARKS?106?</vt:lpstr>
      <vt:lpstr>XDO_?REMARKS?107?</vt:lpstr>
      <vt:lpstr>XDO_?REMARKS?108?</vt:lpstr>
      <vt:lpstr>XDO_?REMARKS?109?</vt:lpstr>
      <vt:lpstr>XDO_?REMARKS?110?</vt:lpstr>
      <vt:lpstr>XDO_?REMARKS?111?</vt:lpstr>
      <vt:lpstr>XDO_?REMARKS?112?</vt:lpstr>
      <vt:lpstr>XDO_?REMARKS?113?</vt:lpstr>
      <vt:lpstr>XDO_?REMARKS?114?</vt:lpstr>
      <vt:lpstr>XDO_?REMARKS?115?</vt:lpstr>
      <vt:lpstr>XDO_?REMARKS?116?</vt:lpstr>
      <vt:lpstr>XDO_?REMARKS?117?</vt:lpstr>
      <vt:lpstr>XDO_?REMARKS?118?</vt:lpstr>
      <vt:lpstr>XDO_?REMARKS?119?</vt:lpstr>
      <vt:lpstr>XDO_?REMARKS?12?</vt:lpstr>
      <vt:lpstr>XDO_?REMARKS?120?</vt:lpstr>
      <vt:lpstr>XDO_?REMARKS?121?</vt:lpstr>
      <vt:lpstr>XDO_?REMARKS?122?</vt:lpstr>
      <vt:lpstr>XDO_?REMARKS?123?</vt:lpstr>
      <vt:lpstr>XDO_?REMARKS?124?</vt:lpstr>
      <vt:lpstr>XDO_?REMARKS?125?</vt:lpstr>
      <vt:lpstr>XDO_?REMARKS?126?</vt:lpstr>
      <vt:lpstr>XDO_?REMARKS?127?</vt:lpstr>
      <vt:lpstr>XDO_?REMARKS?128?</vt:lpstr>
      <vt:lpstr>XDO_?REMARKS?129?</vt:lpstr>
      <vt:lpstr>XDO_?REMARKS?13?</vt:lpstr>
      <vt:lpstr>XDO_?REMARKS?130?</vt:lpstr>
      <vt:lpstr>XDO_?REMARKS?131?</vt:lpstr>
      <vt:lpstr>XDO_?REMARKS?132?</vt:lpstr>
      <vt:lpstr>XDO_?REMARKS?133?</vt:lpstr>
      <vt:lpstr>XDO_?REMARKS?134?</vt:lpstr>
      <vt:lpstr>XDO_?REMARKS?135?</vt:lpstr>
      <vt:lpstr>XDO_?REMARKS?136?</vt:lpstr>
      <vt:lpstr>XDO_?REMARKS?137?</vt:lpstr>
      <vt:lpstr>XDO_?REMARKS?138?</vt:lpstr>
      <vt:lpstr>XDO_?REMARKS?139?</vt:lpstr>
      <vt:lpstr>XDO_?REMARKS?14?</vt:lpstr>
      <vt:lpstr>XDO_?REMARKS?140?</vt:lpstr>
      <vt:lpstr>XDO_?REMARKS?141?</vt:lpstr>
      <vt:lpstr>XDO_?REMARKS?142?</vt:lpstr>
      <vt:lpstr>XDO_?REMARKS?143?</vt:lpstr>
      <vt:lpstr>XDO_?REMARKS?144?</vt:lpstr>
      <vt:lpstr>XDO_?REMARKS?145?</vt:lpstr>
      <vt:lpstr>XDO_?REMARKS?146?</vt:lpstr>
      <vt:lpstr>XDO_?REMARKS?147?</vt:lpstr>
      <vt:lpstr>XDO_?REMARKS?148?</vt:lpstr>
      <vt:lpstr>XDO_?REMARKS?149?</vt:lpstr>
      <vt:lpstr>XDO_?REMARKS?15?</vt:lpstr>
      <vt:lpstr>XDO_?REMARKS?150?</vt:lpstr>
      <vt:lpstr>XDO_?REMARKS?151?</vt:lpstr>
      <vt:lpstr>XDO_?REMARKS?152?</vt:lpstr>
      <vt:lpstr>XDO_?REMARKS?153?</vt:lpstr>
      <vt:lpstr>XDO_?REMARKS?154?</vt:lpstr>
      <vt:lpstr>XDO_?REMARKS?155?</vt:lpstr>
      <vt:lpstr>XDO_?REMARKS?156?</vt:lpstr>
      <vt:lpstr>XDO_?REMARKS?157?</vt:lpstr>
      <vt:lpstr>XDO_?REMARKS?158?</vt:lpstr>
      <vt:lpstr>XDO_?REMARKS?159?</vt:lpstr>
      <vt:lpstr>XDO_?REMARKS?16?</vt:lpstr>
      <vt:lpstr>XDO_?REMARKS?160?</vt:lpstr>
      <vt:lpstr>XDO_?REMARKS?161?</vt:lpstr>
      <vt:lpstr>XDO_?REMARKS?162?</vt:lpstr>
      <vt:lpstr>XDO_?REMARKS?163?</vt:lpstr>
      <vt:lpstr>XDO_?REMARKS?164?</vt:lpstr>
      <vt:lpstr>XDO_?REMARKS?165?</vt:lpstr>
      <vt:lpstr>XDO_?REMARKS?166?</vt:lpstr>
      <vt:lpstr>XDO_?REMARKS?167?</vt:lpstr>
      <vt:lpstr>XDO_?REMARKS?168?</vt:lpstr>
      <vt:lpstr>XDO_?REMARKS?169?</vt:lpstr>
      <vt:lpstr>XDO_?REMARKS?17?</vt:lpstr>
      <vt:lpstr>XDO_?REMARKS?170?</vt:lpstr>
      <vt:lpstr>XDO_?REMARKS?171?</vt:lpstr>
      <vt:lpstr>XDO_?REMARKS?172?</vt:lpstr>
      <vt:lpstr>XDO_?REMARKS?173?</vt:lpstr>
      <vt:lpstr>XDO_?REMARKS?174?</vt:lpstr>
      <vt:lpstr>XDO_?REMARKS?175?</vt:lpstr>
      <vt:lpstr>XDO_?REMARKS?176?</vt:lpstr>
      <vt:lpstr>XDO_?REMARKS?177?</vt:lpstr>
      <vt:lpstr>XDO_?REMARKS?178?</vt:lpstr>
      <vt:lpstr>XDO_?REMARKS?179?</vt:lpstr>
      <vt:lpstr>XDO_?REMARKS?180?</vt:lpstr>
      <vt:lpstr>XDO_?REMARKS?181?</vt:lpstr>
      <vt:lpstr>XDO_?REMARKS?182?</vt:lpstr>
      <vt:lpstr>XDO_?REMARKS?183?</vt:lpstr>
      <vt:lpstr>XDO_?REMARKS?184?</vt:lpstr>
      <vt:lpstr>XDO_?REMARKS?185?</vt:lpstr>
      <vt:lpstr>XDO_?REMARKS?186?</vt:lpstr>
      <vt:lpstr>XDO_?REMARKS?187?</vt:lpstr>
      <vt:lpstr>XDO_?REMARKS?188?</vt:lpstr>
      <vt:lpstr>XDO_?REMARKS?189?</vt:lpstr>
      <vt:lpstr>XDO_?REMARKS?190?</vt:lpstr>
      <vt:lpstr>XDO_?REMARKS?191?</vt:lpstr>
      <vt:lpstr>XDO_?REMARKS?192?</vt:lpstr>
      <vt:lpstr>XDO_?REMARKS?193?</vt:lpstr>
      <vt:lpstr>XDO_?REMARKS?194?</vt:lpstr>
      <vt:lpstr>XDO_?REMARKS?195?</vt:lpstr>
      <vt:lpstr>XDO_?REMARKS?196?</vt:lpstr>
      <vt:lpstr>XDO_?REMARKS?197?</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XDO_?REMARKS?207?</vt:lpstr>
      <vt:lpstr>XDO_?REMARKS?208?</vt:lpstr>
      <vt:lpstr>XDO_?REMARKS?209?</vt:lpstr>
      <vt:lpstr>XDO_?REMARKS?210?</vt:lpstr>
      <vt:lpstr>XDO_?REMARKS?211?</vt:lpstr>
      <vt:lpstr>XDO_?REMARKS?212?</vt:lpstr>
      <vt:lpstr>XDO_?REMARKS?213?</vt:lpstr>
      <vt:lpstr>XDO_?REMARKS?214?</vt:lpstr>
      <vt:lpstr>XDO_?REMARKS?215?</vt:lpstr>
      <vt:lpstr>XDO_?REMARKS?216?</vt:lpstr>
      <vt:lpstr>XDO_?REMARKS?217?</vt:lpstr>
      <vt:lpstr>XDO_?REMARKS?218?</vt:lpstr>
      <vt:lpstr>XDO_?REMARKS?219?</vt:lpstr>
      <vt:lpstr>XDO_?REMARKS?220?</vt:lpstr>
      <vt:lpstr>XDO_?REMARKS?221?</vt:lpstr>
      <vt:lpstr>XDO_?REMARKS?222?</vt:lpstr>
      <vt:lpstr>XDO_?REMARKS?223?</vt:lpstr>
      <vt:lpstr>XDO_?REMARKS?224?</vt:lpstr>
      <vt:lpstr>XDO_?REMARKS?225?</vt:lpstr>
      <vt:lpstr>XDO_?REMARKS?226?</vt:lpstr>
      <vt:lpstr>XDO_?REMARKS?227?</vt:lpstr>
      <vt:lpstr>XDO_?REMARKS?228?</vt:lpstr>
      <vt:lpstr>XDO_?REMARKS?229?</vt:lpstr>
      <vt:lpstr>XDO_?REMARKS?230?</vt:lpstr>
      <vt:lpstr>XDO_?REMARKS?231?</vt:lpstr>
      <vt:lpstr>XDO_?REMARKS?232?</vt:lpstr>
      <vt:lpstr>XDO_?REMARKS?233?</vt:lpstr>
      <vt:lpstr>XDO_?REMARKS?234?</vt:lpstr>
      <vt:lpstr>XDO_?REMARKS?235?</vt:lpstr>
      <vt:lpstr>XDO_?REMARKS?236?</vt:lpstr>
      <vt:lpstr>XDO_?REMARKS?237?</vt:lpstr>
      <vt:lpstr>XDO_?REMARKS?238?</vt:lpstr>
      <vt:lpstr>XDO_?REMARKS?239?</vt:lpstr>
      <vt:lpstr>XDO_?REMARKS?240?</vt:lpstr>
      <vt:lpstr>XDO_?REMARKS?241?</vt:lpstr>
      <vt:lpstr>XDO_?REMARKS?242?</vt:lpstr>
      <vt:lpstr>XDO_?REMARKS?243?</vt:lpstr>
      <vt:lpstr>XDO_?REMARKS?244?</vt:lpstr>
      <vt:lpstr>XDO_?REMARKS?245?</vt:lpstr>
      <vt:lpstr>XDO_?REMARKS?246?</vt:lpstr>
      <vt:lpstr>XDO_?REMARKS?247?</vt:lpstr>
      <vt:lpstr>XDO_?REMARKS?248?</vt:lpstr>
      <vt:lpstr>XDO_?REMARKS?249?</vt:lpstr>
      <vt:lpstr>XDO_?REMARKS?250?</vt:lpstr>
      <vt:lpstr>XDO_?REMARKS?251?</vt:lpstr>
      <vt:lpstr>XDO_?REMARKS?252?</vt:lpstr>
      <vt:lpstr>XDO_?REMARKS?253?</vt:lpstr>
      <vt:lpstr>XDO_?REMARKS?254?</vt:lpstr>
      <vt:lpstr>XDO_?REMARKS?255?</vt:lpstr>
      <vt:lpstr>XDO_?REMARKS?256?</vt:lpstr>
      <vt:lpstr>XDO_?REMARKS?257?</vt:lpstr>
      <vt:lpstr>XDO_?REMARKS?258?</vt:lpstr>
      <vt:lpstr>XDO_?REMARKS?259?</vt:lpstr>
      <vt:lpstr>XDO_?REMARKS?260?</vt:lpstr>
      <vt:lpstr>XDO_?REMARKS?261?</vt:lpstr>
      <vt:lpstr>XDO_?REMARKS?262?</vt:lpstr>
      <vt:lpstr>XDO_?REMARKS?263?</vt:lpstr>
      <vt:lpstr>XDO_?REMARKS?264?</vt:lpstr>
      <vt:lpstr>XDO_?REMARKS?265?</vt:lpstr>
      <vt:lpstr>XDO_?REMARKS?266?</vt:lpstr>
      <vt:lpstr>XDO_?REMARKS?267?</vt:lpstr>
      <vt:lpstr>XDO_?REMARKS?268?</vt:lpstr>
      <vt:lpstr>XDO_?REMARKS?269?</vt:lpstr>
      <vt:lpstr>XDO_?REMARKS?270?</vt:lpstr>
      <vt:lpstr>XDO_?REMARKS?271?</vt:lpstr>
      <vt:lpstr>XDO_?REMARKS?272?</vt:lpstr>
      <vt:lpstr>XDO_?REMARKS?273?</vt:lpstr>
      <vt:lpstr>XDO_?REMARKS?274?</vt:lpstr>
      <vt:lpstr>XDO_?REMARKS?275?</vt:lpstr>
      <vt:lpstr>XDO_?REMARKS?276?</vt:lpstr>
      <vt:lpstr>XDO_?REMARKS?277?</vt:lpstr>
      <vt:lpstr>XDO_?REMARKS?278?</vt:lpstr>
      <vt:lpstr>XDO_?REMARKS?279?</vt:lpstr>
      <vt:lpstr>XDO_?REMARKS?280?</vt:lpstr>
      <vt:lpstr>XDO_?REMARKS?281?</vt:lpstr>
      <vt:lpstr>XDO_?REMARKS?282?</vt:lpstr>
      <vt:lpstr>XDO_?REMARKS?283?</vt:lpstr>
      <vt:lpstr>XDO_?REMARKS?284?</vt:lpstr>
      <vt:lpstr>XDO_?REMARKS?285?</vt:lpstr>
      <vt:lpstr>XDO_?REMARKS?286?</vt:lpstr>
      <vt:lpstr>XDO_?REMARKS?287?</vt:lpstr>
      <vt:lpstr>XDO_?REMARKS?288?</vt:lpstr>
      <vt:lpstr>XDO_?REMARKS?289?</vt:lpstr>
      <vt:lpstr>XDO_?REMARKS?290?</vt:lpstr>
      <vt:lpstr>XDO_?REMARKS?291?</vt:lpstr>
      <vt:lpstr>XDO_?REMARKS?292?</vt:lpstr>
      <vt:lpstr>XDO_?REMARKS?293?</vt:lpstr>
      <vt:lpstr>XDO_?REMARKS?294?</vt:lpstr>
      <vt:lpstr>XDO_?REMARKS?295?</vt:lpstr>
      <vt:lpstr>XDO_?REMARKS?296?</vt:lpstr>
      <vt:lpstr>XDO_?REMARKS?297?</vt:lpstr>
      <vt:lpstr>XDO_?REMARKS?298?</vt:lpstr>
      <vt:lpstr>XDO_?REMARKS?299?</vt:lpstr>
      <vt:lpstr>XDO_?REMARKS?300?</vt:lpstr>
      <vt:lpstr>XDO_?REMARKS?301?</vt:lpstr>
      <vt:lpstr>XDO_?REMARKS?302?</vt:lpstr>
      <vt:lpstr>XDO_?REMARKS?303?</vt:lpstr>
      <vt:lpstr>XDO_?REMARKS?304?</vt:lpstr>
      <vt:lpstr>XDO_?REMARKS?305?</vt:lpstr>
      <vt:lpstr>XDO_?REMARKS?306?</vt:lpstr>
      <vt:lpstr>XDO_?REMARKS?307?</vt:lpstr>
      <vt:lpstr>XDO_?REMARKS?308?</vt:lpstr>
      <vt:lpstr>XDO_?REMARKS?309?</vt:lpstr>
      <vt:lpstr>XDO_?REMARKS?310?</vt:lpstr>
      <vt:lpstr>XDO_?REMARKS?311?</vt:lpstr>
      <vt:lpstr>XDO_?REMARKS?312?</vt:lpstr>
      <vt:lpstr>XDO_?REMARKS?313?</vt:lpstr>
      <vt:lpstr>XDO_?REMARKS?314?</vt:lpstr>
      <vt:lpstr>XDO_?REMARKS?315?</vt:lpstr>
      <vt:lpstr>XDO_?REMARKS?316?</vt:lpstr>
      <vt:lpstr>XDO_?REMARKS?317?</vt:lpstr>
      <vt:lpstr>XDO_?REMARKS?318?</vt:lpstr>
      <vt:lpstr>XDO_?REMARKS?319?</vt:lpstr>
      <vt:lpstr>XDO_?REMARKS?320?</vt:lpstr>
      <vt:lpstr>XDO_?REMARKS?321?</vt:lpstr>
      <vt:lpstr>XDO_?REMARKS?322?</vt:lpstr>
      <vt:lpstr>XDO_?REMARKS?323?</vt:lpstr>
      <vt:lpstr>XDO_?REMARKS?324?</vt:lpstr>
      <vt:lpstr>XDO_?REMARKS?325?</vt:lpstr>
      <vt:lpstr>XDO_?REMARKS?326?</vt:lpstr>
      <vt:lpstr>XDO_?REMARKS?327?</vt:lpstr>
      <vt:lpstr>XDO_?REMARKS?328?</vt:lpstr>
      <vt:lpstr>XDO_?REMARKS?329?</vt:lpstr>
      <vt:lpstr>XDO_?REMARKS?330?</vt:lpstr>
      <vt:lpstr>XDO_?REMARKS?331?</vt:lpstr>
      <vt:lpstr>XDO_?REMARKS?332?</vt:lpstr>
      <vt:lpstr>XDO_?REMARKS?333?</vt:lpstr>
      <vt:lpstr>XDO_?REMARKS?334?</vt:lpstr>
      <vt:lpstr>XDO_?REMARKS?335?</vt:lpstr>
      <vt:lpstr>XDO_?REMARKS?336?</vt:lpstr>
      <vt:lpstr>XDO_?REMARKS?337?</vt:lpstr>
      <vt:lpstr>XDO_?REMARKS?338?</vt:lpstr>
      <vt:lpstr>XDO_?REMARKS?339?</vt:lpstr>
      <vt:lpstr>XDO_?REMARKS?340?</vt:lpstr>
      <vt:lpstr>XDO_?REMARKS?341?</vt:lpstr>
      <vt:lpstr>XDO_?REMARKS?342?</vt:lpstr>
      <vt:lpstr>XDO_?REMARKS?343?</vt:lpstr>
      <vt:lpstr>XDO_?REMARKS?344?</vt:lpstr>
      <vt:lpstr>XDO_?REMARKS?345?</vt:lpstr>
      <vt:lpstr>XDO_?REMARKS?346?</vt:lpstr>
      <vt:lpstr>XDO_?REMARKS?347?</vt:lpstr>
      <vt:lpstr>XDO_?REMARKS?348?</vt:lpstr>
      <vt:lpstr>XDO_?REMARKS?349?</vt:lpstr>
      <vt:lpstr>XDO_?REMARKS?350?</vt:lpstr>
      <vt:lpstr>XDO_?REMARKS?351?</vt:lpstr>
      <vt:lpstr>XDO_?REMARKS?352?</vt:lpstr>
      <vt:lpstr>XDO_?REMARKS?353?</vt:lpstr>
      <vt:lpstr>XDO_?REMARKS?354?</vt:lpstr>
      <vt:lpstr>XDO_?REMARKS?355?</vt:lpstr>
      <vt:lpstr>XDO_?REMARKS?356?</vt:lpstr>
      <vt:lpstr>XDO_?REMARKS?357?</vt:lpstr>
      <vt:lpstr>XDO_?REMARKS?358?</vt:lpstr>
      <vt:lpstr>XDO_?REMARKS?359?</vt:lpstr>
      <vt:lpstr>XDO_?REMARKS?36?</vt:lpstr>
      <vt:lpstr>XDO_?REMARKS?360?</vt:lpstr>
      <vt:lpstr>XDO_?REMARKS?361?</vt:lpstr>
      <vt:lpstr>XDO_?REMARKS?362?</vt:lpstr>
      <vt:lpstr>XDO_?REMARKS?363?</vt:lpstr>
      <vt:lpstr>XDO_?REMARKS?364?</vt:lpstr>
      <vt:lpstr>XDO_?REMARKS?365?</vt:lpstr>
      <vt:lpstr>XDO_?REMARKS?366?</vt:lpstr>
      <vt:lpstr>XDO_?REMARKS?367?</vt:lpstr>
      <vt:lpstr>XDO_?REMARKS?368?</vt:lpstr>
      <vt:lpstr>XDO_?REMARKS?369?</vt:lpstr>
      <vt:lpstr>XDO_?REMARKS?37?</vt:lpstr>
      <vt:lpstr>XDO_?REMARKS?370?</vt:lpstr>
      <vt:lpstr>XDO_?REMARKS?371?</vt:lpstr>
      <vt:lpstr>XDO_?REMARKS?372?</vt:lpstr>
      <vt:lpstr>XDO_?REMARKS?373?</vt:lpstr>
      <vt:lpstr>XDO_?REMARKS?374?</vt:lpstr>
      <vt:lpstr>XDO_?REMARKS?375?</vt:lpstr>
      <vt:lpstr>XDO_?REMARKS?376?</vt:lpstr>
      <vt:lpstr>XDO_?REMARKS?377?</vt:lpstr>
      <vt:lpstr>XDO_?REMARKS?378?</vt:lpstr>
      <vt:lpstr>XDO_?REMARKS?379?</vt:lpstr>
      <vt:lpstr>XDO_?REMARKS?38?</vt:lpstr>
      <vt:lpstr>XDO_?REMARKS?380?</vt:lpstr>
      <vt:lpstr>XDO_?REMARKS?381?</vt:lpstr>
      <vt:lpstr>XDO_?REMARKS?382?</vt:lpstr>
      <vt:lpstr>XDO_?REMARKS?383?</vt:lpstr>
      <vt:lpstr>XDO_?REMARKS?384?</vt:lpstr>
      <vt:lpstr>XDO_?REMARKS?385?</vt:lpstr>
      <vt:lpstr>XDO_?REMARKS?386?</vt:lpstr>
      <vt:lpstr>XDO_?REMARKS?387?</vt:lpstr>
      <vt:lpstr>XDO_?REMARKS?388?</vt:lpstr>
      <vt:lpstr>XDO_?REMARKS?389?</vt:lpstr>
      <vt:lpstr>XDO_?REMARKS?39?</vt:lpstr>
      <vt:lpstr>XDO_?REMARKS?390?</vt:lpstr>
      <vt:lpstr>XDO_?REMARKS?391?</vt:lpstr>
      <vt:lpstr>XDO_?REMARKS?392?</vt:lpstr>
      <vt:lpstr>XDO_?REMARKS?393?</vt:lpstr>
      <vt:lpstr>XDO_?REMARKS?394?</vt:lpstr>
      <vt:lpstr>XDO_?REMARKS?395?</vt:lpstr>
      <vt:lpstr>XDO_?REMARKS?396?</vt:lpstr>
      <vt:lpstr>XDO_?REMARKS?397?</vt:lpstr>
      <vt:lpstr>XDO_?REMARKS?398?</vt:lpstr>
      <vt:lpstr>XDO_?REMARKS?399?</vt:lpstr>
      <vt:lpstr>XDO_?REMARKS?40?</vt:lpstr>
      <vt:lpstr>XDO_?REMARKS?400?</vt:lpstr>
      <vt:lpstr>XDO_?REMARKS?401?</vt:lpstr>
      <vt:lpstr>XDO_?REMARKS?402?</vt:lpstr>
      <vt:lpstr>XDO_?REMARKS?403?</vt:lpstr>
      <vt:lpstr>XDO_?REMARKS?404?</vt:lpstr>
      <vt:lpstr>XDO_?REMARKS?405?</vt:lpstr>
      <vt:lpstr>XDO_?REMARKS?406?</vt:lpstr>
      <vt:lpstr>XDO_?REMARKS?407?</vt:lpstr>
      <vt:lpstr>XDO_?REMARKS?408?</vt:lpstr>
      <vt:lpstr>XDO_?REMARKS?409?</vt:lpstr>
      <vt:lpstr>XDO_?REMARKS?41?</vt:lpstr>
      <vt:lpstr>XDO_?REMARKS?410?</vt:lpstr>
      <vt:lpstr>XDO_?REMARKS?411?</vt:lpstr>
      <vt:lpstr>XDO_?REMARKS?412?</vt:lpstr>
      <vt:lpstr>XDO_?REMARKS?413?</vt:lpstr>
      <vt:lpstr>XDO_?REMARKS?414?</vt:lpstr>
      <vt:lpstr>XDO_?REMARKS?415?</vt:lpstr>
      <vt:lpstr>XDO_?REMARKS?416?</vt:lpstr>
      <vt:lpstr>XDO_?REMARKS?417?</vt:lpstr>
      <vt:lpstr>XDO_?REMARKS?418?</vt:lpstr>
      <vt:lpstr>XDO_?REMARKS?419?</vt:lpstr>
      <vt:lpstr>XDO_?REMARKS?42?</vt:lpstr>
      <vt:lpstr>XDO_?REMARKS?420?</vt:lpstr>
      <vt:lpstr>XDO_?REMARKS?421?</vt:lpstr>
      <vt:lpstr>XDO_?REMARKS?422?</vt:lpstr>
      <vt:lpstr>XDO_?REMARKS?423?</vt:lpstr>
      <vt:lpstr>XDO_?REMARKS?424?</vt:lpstr>
      <vt:lpstr>XDO_?REMARKS?425?</vt:lpstr>
      <vt:lpstr>XDO_?REMARKS?426?</vt:lpstr>
      <vt:lpstr>XDO_?REMARKS?427?</vt:lpstr>
      <vt:lpstr>XDO_?REMARKS?428?</vt:lpstr>
      <vt:lpstr>XDO_?REMARKS?429?</vt:lpstr>
      <vt:lpstr>XDO_?REMARKS?43?</vt:lpstr>
      <vt:lpstr>XDO_?REMARKS?430?</vt:lpstr>
      <vt:lpstr>XDO_?REMARKS?431?</vt:lpstr>
      <vt:lpstr>XDO_?REMARKS?432?</vt:lpstr>
      <vt:lpstr>XDO_?REMARKS?433?</vt:lpstr>
      <vt:lpstr>XDO_?REMARKS?434?</vt:lpstr>
      <vt:lpstr>XDO_?REMARKS?435?</vt:lpstr>
      <vt:lpstr>XDO_?REMARKS?436?</vt:lpstr>
      <vt:lpstr>XDO_?REMARKS?437?</vt:lpstr>
      <vt:lpstr>XDO_?REMARKS?438?</vt:lpstr>
      <vt:lpstr>XDO_?REMARKS?439?</vt:lpstr>
      <vt:lpstr>XDO_?REMARKS?440?</vt:lpstr>
      <vt:lpstr>XDO_?REMARKS?441?</vt:lpstr>
      <vt:lpstr>XDO_?REMARKS?442?</vt:lpstr>
      <vt:lpstr>XDO_?REMARKS?443?</vt:lpstr>
      <vt:lpstr>XDO_?REMARKS?444?</vt:lpstr>
      <vt:lpstr>XDO_?REMARKS?445?</vt:lpstr>
      <vt:lpstr>XDO_?REMARKS?446?</vt:lpstr>
      <vt:lpstr>XDO_?REMARKS?447?</vt:lpstr>
      <vt:lpstr>XDO_?REMARKS?448?</vt:lpstr>
      <vt:lpstr>XDO_?REMARKS?449?</vt:lpstr>
      <vt:lpstr>XDO_?REMARKS?450?</vt:lpstr>
      <vt:lpstr>XDO_?REMARKS?451?</vt:lpstr>
      <vt:lpstr>XDO_?REMARKS?452?</vt:lpstr>
      <vt:lpstr>XDO_?REMARKS?453?</vt:lpstr>
      <vt:lpstr>XDO_?REMARKS?454?</vt:lpstr>
      <vt:lpstr>XDO_?REMARKS?455?</vt:lpstr>
      <vt:lpstr>XDO_?REMARKS?456?</vt:lpstr>
      <vt:lpstr>XDO_?REMARKS?457?</vt:lpstr>
      <vt:lpstr>XDO_?REMARKS?458?</vt:lpstr>
      <vt:lpstr>XDO_?REMARKS?459?</vt:lpstr>
      <vt:lpstr>XDO_?REMARKS?460?</vt:lpstr>
      <vt:lpstr>XDO_?REMARKS?461?</vt:lpstr>
      <vt:lpstr>XDO_?REMARKS?462?</vt:lpstr>
      <vt:lpstr>XDO_?REMARKS?463?</vt:lpstr>
      <vt:lpstr>XDO_?REMARKS?464?</vt:lpstr>
      <vt:lpstr>XDO_?REMARKS?465?</vt:lpstr>
      <vt:lpstr>XDO_?REMARKS?466?</vt:lpstr>
      <vt:lpstr>XDO_?REMARKS?467?</vt:lpstr>
      <vt:lpstr>XDO_?REMARKS?468?</vt:lpstr>
      <vt:lpstr>XDO_?REMARKS?469?</vt:lpstr>
      <vt:lpstr>XDO_?REMARKS?470?</vt:lpstr>
      <vt:lpstr>XDO_?REMARKS?471?</vt:lpstr>
      <vt:lpstr>XDO_?REMARKS?472?</vt:lpstr>
      <vt:lpstr>XDO_?REMARKS?473?</vt:lpstr>
      <vt:lpstr>XDO_?REMARKS?474?</vt:lpstr>
      <vt:lpstr>XDO_?REMARKS?475?</vt:lpstr>
      <vt:lpstr>XDO_?REMARKS?476?</vt:lpstr>
      <vt:lpstr>XDO_?REMARKS?477?</vt:lpstr>
      <vt:lpstr>XDO_?REMARKS?478?</vt:lpstr>
      <vt:lpstr>XDO_?REMARKS?479?</vt:lpstr>
      <vt:lpstr>XDO_?REMARKS?480?</vt:lpstr>
      <vt:lpstr>XDO_?REMARKS?481?</vt:lpstr>
      <vt:lpstr>XDO_?REMARKS?482?</vt:lpstr>
      <vt:lpstr>XDO_?REMARKS?483?</vt:lpstr>
      <vt:lpstr>XDO_?REMARKS?484?</vt:lpstr>
      <vt:lpstr>XDO_?REMARKS?485?</vt:lpstr>
      <vt:lpstr>XDO_?REMARKS?486?</vt:lpstr>
      <vt:lpstr>XDO_?REMARKS?487?</vt:lpstr>
      <vt:lpstr>XDO_?REMARKS?488?</vt:lpstr>
      <vt:lpstr>XDO_?REMARKS?489?</vt:lpstr>
      <vt:lpstr>XDO_?REMARKS?490?</vt:lpstr>
      <vt:lpstr>XDO_?REMARKS?491?</vt:lpstr>
      <vt:lpstr>XDO_?REMARKS?492?</vt:lpstr>
      <vt:lpstr>XDO_?REMARKS?493?</vt:lpstr>
      <vt:lpstr>XDO_?REMARKS?494?</vt:lpstr>
      <vt:lpstr>XDO_?REMARKS?495?</vt:lpstr>
      <vt:lpstr>XDO_?REMARKS?496?</vt:lpstr>
      <vt:lpstr>XDO_?REMARKS?497?</vt:lpstr>
      <vt:lpstr>XDO_?REMARKS?498?</vt:lpstr>
      <vt:lpstr>XDO_?REMARKS?499?</vt:lpstr>
      <vt:lpstr>XDO_?REMARKS?50?</vt:lpstr>
      <vt:lpstr>XDO_?REMARKS?500?</vt:lpstr>
      <vt:lpstr>XDO_?REMARKS?501?</vt:lpstr>
      <vt:lpstr>XDO_?REMARKS?502?</vt:lpstr>
      <vt:lpstr>XDO_?REMARKS?503?</vt:lpstr>
      <vt:lpstr>XDO_?REMARKS?504?</vt:lpstr>
      <vt:lpstr>XDO_?REMARKS?505?</vt:lpstr>
      <vt:lpstr>XDO_?REMARKS?506?</vt:lpstr>
      <vt:lpstr>XDO_?REMARKS?507?</vt:lpstr>
      <vt:lpstr>XDO_?REMARKS?508?</vt:lpstr>
      <vt:lpstr>XDO_?REMARKS?509?</vt:lpstr>
      <vt:lpstr>XDO_?REMARKS?51?</vt:lpstr>
      <vt:lpstr>XDO_?REMARKS?510?</vt:lpstr>
      <vt:lpstr>XDO_?REMARKS?511?</vt:lpstr>
      <vt:lpstr>XDO_?REMARKS?512?</vt:lpstr>
      <vt:lpstr>XDO_?REMARKS?513?</vt:lpstr>
      <vt:lpstr>XDO_?REMARKS?514?</vt:lpstr>
      <vt:lpstr>XDO_?REMARKS?515?</vt:lpstr>
      <vt:lpstr>XDO_?REMARKS?516?</vt:lpstr>
      <vt:lpstr>XDO_?REMARKS?517?</vt:lpstr>
      <vt:lpstr>XDO_?REMARKS?518?</vt:lpstr>
      <vt:lpstr>XDO_?REMARKS?519?</vt:lpstr>
      <vt:lpstr>XDO_?REMARKS?52?</vt:lpstr>
      <vt:lpstr>XDO_?REMARKS?520?</vt:lpstr>
      <vt:lpstr>XDO_?REMARKS?521?</vt:lpstr>
      <vt:lpstr>XDO_?REMARKS?522?</vt:lpstr>
      <vt:lpstr>XDO_?REMARKS?523?</vt:lpstr>
      <vt:lpstr>XDO_?REMARKS?524?</vt:lpstr>
      <vt:lpstr>XDO_?REMARKS?525?</vt:lpstr>
      <vt:lpstr>XDO_?REMARKS?526?</vt:lpstr>
      <vt:lpstr>XDO_?REMARKS?527?</vt:lpstr>
      <vt:lpstr>XDO_?REMARKS?528?</vt:lpstr>
      <vt:lpstr>XDO_?REMARKS?529?</vt:lpstr>
      <vt:lpstr>XDO_?REMARKS?53?</vt:lpstr>
      <vt:lpstr>XDO_?REMARKS?530?</vt:lpstr>
      <vt:lpstr>XDO_?REMARKS?531?</vt:lpstr>
      <vt:lpstr>XDO_?REMARKS?532?</vt:lpstr>
      <vt:lpstr>XDO_?REMARKS?533?</vt:lpstr>
      <vt:lpstr>XDO_?REMARKS?534?</vt:lpstr>
      <vt:lpstr>XDO_?REMARKS?535?</vt:lpstr>
      <vt:lpstr>XDO_?REMARKS?536?</vt:lpstr>
      <vt:lpstr>XDO_?REMARKS?537?</vt:lpstr>
      <vt:lpstr>XDO_?REMARKS?538?</vt:lpstr>
      <vt:lpstr>XDO_?REMARKS?539?</vt:lpstr>
      <vt:lpstr>XDO_?REMARKS?54?</vt:lpstr>
      <vt:lpstr>XDO_?REMARKS?540?</vt:lpstr>
      <vt:lpstr>XDO_?REMARKS?541?</vt:lpstr>
      <vt:lpstr>XDO_?REMARKS?542?</vt:lpstr>
      <vt:lpstr>XDO_?REMARKS?543?</vt:lpstr>
      <vt:lpstr>XDO_?REMARKS?544?</vt:lpstr>
      <vt:lpstr>XDO_?REMARKS?545?</vt:lpstr>
      <vt:lpstr>XDO_?REMARKS?546?</vt:lpstr>
      <vt:lpstr>XDO_?REMARKS?547?</vt:lpstr>
      <vt:lpstr>XDO_?REMARKS?548?</vt:lpstr>
      <vt:lpstr>XDO_?REMARKS?549?</vt:lpstr>
      <vt:lpstr>XDO_?REMARKS?550?</vt:lpstr>
      <vt:lpstr>XDO_?REMARKS?551?</vt:lpstr>
      <vt:lpstr>XDO_?REMARKS?552?</vt:lpstr>
      <vt:lpstr>XDO_?REMARKS?553?</vt:lpstr>
      <vt:lpstr>XDO_?REMARKS?554?</vt:lpstr>
      <vt:lpstr>XDO_?REMARKS?555?</vt:lpstr>
      <vt:lpstr>XDO_?REMARKS?556?</vt:lpstr>
      <vt:lpstr>XDO_?REMARKS?557?</vt:lpstr>
      <vt:lpstr>XDO_?REMARKS?558?</vt:lpstr>
      <vt:lpstr>XDO_?REMARKS?559?</vt:lpstr>
      <vt:lpstr>XDO_?REMARKS?560?</vt:lpstr>
      <vt:lpstr>XDO_?REMARKS?561?</vt:lpstr>
      <vt:lpstr>XDO_?REMARKS?562?</vt:lpstr>
      <vt:lpstr>XDO_?REMARKS?563?</vt:lpstr>
      <vt:lpstr>XDO_?REMARKS?564?</vt:lpstr>
      <vt:lpstr>XDO_?REMARKS?565?</vt:lpstr>
      <vt:lpstr>XDO_?REMARKS?566?</vt:lpstr>
      <vt:lpstr>XDO_?REMARKS?567?</vt:lpstr>
      <vt:lpstr>XDO_?REMARKS?568?</vt:lpstr>
      <vt:lpstr>XDO_?REMARKS?569?</vt:lpstr>
      <vt:lpstr>XDO_?REMARKS?570?</vt:lpstr>
      <vt:lpstr>XDO_?REMARKS?571?</vt:lpstr>
      <vt:lpstr>XDO_?REMARKS?572?</vt:lpstr>
      <vt:lpstr>XDO_?REMARKS?573?</vt:lpstr>
      <vt:lpstr>XDO_?REMARKS?574?</vt:lpstr>
      <vt:lpstr>XDO_?REMARKS?575?</vt:lpstr>
      <vt:lpstr>XDO_?REMARKS?576?</vt:lpstr>
      <vt:lpstr>XDO_?REMARKS?577?</vt:lpstr>
      <vt:lpstr>XDO_?REMARKS?578?</vt:lpstr>
      <vt:lpstr>XDO_?REMARKS?579?</vt:lpstr>
      <vt:lpstr>XDO_?REMARKS?580?</vt:lpstr>
      <vt:lpstr>XDO_?REMARKS?581?</vt:lpstr>
      <vt:lpstr>XDO_?REMARKS?582?</vt:lpstr>
      <vt:lpstr>XDO_?REMARKS?583?</vt:lpstr>
      <vt:lpstr>XDO_?REMARKS?584?</vt:lpstr>
      <vt:lpstr>XDO_?REMARKS?585?</vt:lpstr>
      <vt:lpstr>XDO_?REMARKS?586?</vt:lpstr>
      <vt:lpstr>XDO_?REMARKS?587?</vt:lpstr>
      <vt:lpstr>XDO_?REMARKS?588?</vt:lpstr>
      <vt:lpstr>XDO_?REMARKS?589?</vt:lpstr>
      <vt:lpstr>XDO_?REMARKS?590?</vt:lpstr>
      <vt:lpstr>XDO_?REMARKS?591?</vt:lpstr>
      <vt:lpstr>XDO_?REMARKS?592?</vt:lpstr>
      <vt:lpstr>XDO_?REMARKS?593?</vt:lpstr>
      <vt:lpstr>XDO_?REMARKS?594?</vt:lpstr>
      <vt:lpstr>XDO_?REMARKS?595?</vt:lpstr>
      <vt:lpstr>XDO_?REMARKS?596?</vt:lpstr>
      <vt:lpstr>XDO_?REMARKS?597?</vt:lpstr>
      <vt:lpstr>XDO_?REMARKS?598?</vt:lpstr>
      <vt:lpstr>XDO_?REMARKS?599?</vt:lpstr>
      <vt:lpstr>XDO_?REMARKS?600?</vt:lpstr>
      <vt:lpstr>XDO_?REMARKS?601?</vt:lpstr>
      <vt:lpstr>XDO_?REMARKS?602?</vt:lpstr>
      <vt:lpstr>XDO_?REMARKS?603?</vt:lpstr>
      <vt:lpstr>XDO_?REMARKS?604?</vt:lpstr>
      <vt:lpstr>XDO_?REMARKS?605?</vt:lpstr>
      <vt:lpstr>XDO_?REMARKS?606?</vt:lpstr>
      <vt:lpstr>XDO_?REMARKS?607?</vt:lpstr>
      <vt:lpstr>XDO_?REMARKS?608?</vt:lpstr>
      <vt:lpstr>XDO_?REMARKS?609?</vt:lpstr>
      <vt:lpstr>XDO_?REMARKS?61?</vt:lpstr>
      <vt:lpstr>XDO_?REMARKS?610?</vt:lpstr>
      <vt:lpstr>XDO_?REMARKS?611?</vt:lpstr>
      <vt:lpstr>XDO_?REMARKS?612?</vt:lpstr>
      <vt:lpstr>XDO_?REMARKS?613?</vt:lpstr>
      <vt:lpstr>XDO_?REMARKS?614?</vt:lpstr>
      <vt:lpstr>XDO_?REMARKS?615?</vt:lpstr>
      <vt:lpstr>XDO_?REMARKS?616?</vt:lpstr>
      <vt:lpstr>XDO_?REMARKS?617?</vt:lpstr>
      <vt:lpstr>XDO_?REMARKS?618?</vt:lpstr>
      <vt:lpstr>XDO_?REMARKS?619?</vt:lpstr>
      <vt:lpstr>XDO_?REMARKS?62?</vt:lpstr>
      <vt:lpstr>XDO_?REMARKS?620?</vt:lpstr>
      <vt:lpstr>XDO_?REMARKS?621?</vt:lpstr>
      <vt:lpstr>XDO_?REMARKS?622?</vt:lpstr>
      <vt:lpstr>XDO_?REMARKS?623?</vt:lpstr>
      <vt:lpstr>XDO_?REMARKS?624?</vt:lpstr>
      <vt:lpstr>XDO_?REMARKS?625?</vt:lpstr>
      <vt:lpstr>XDO_?REMARKS?626?</vt:lpstr>
      <vt:lpstr>XDO_?REMARKS?627?</vt:lpstr>
      <vt:lpstr>XDO_?REMARKS?628?</vt:lpstr>
      <vt:lpstr>XDO_?REMARKS?629?</vt:lpstr>
      <vt:lpstr>XDO_?REMARKS?63?</vt:lpstr>
      <vt:lpstr>XDO_?REMARKS?630?</vt:lpstr>
      <vt:lpstr>XDO_?REMARKS?631?</vt:lpstr>
      <vt:lpstr>XDO_?REMARKS?632?</vt:lpstr>
      <vt:lpstr>XDO_?REMARKS?633?</vt:lpstr>
      <vt:lpstr>XDO_?REMARKS?634?</vt:lpstr>
      <vt:lpstr>XDO_?REMARKS?635?</vt:lpstr>
      <vt:lpstr>XDO_?REMARKS?636?</vt:lpstr>
      <vt:lpstr>XDO_?REMARKS?637?</vt:lpstr>
      <vt:lpstr>XDO_?REMARKS?638?</vt:lpstr>
      <vt:lpstr>XDO_?REMARKS?639?</vt:lpstr>
      <vt:lpstr>XDO_?REMARKS?64?</vt:lpstr>
      <vt:lpstr>XDO_?REMARKS?640?</vt:lpstr>
      <vt:lpstr>XDO_?REMARKS?641?</vt:lpstr>
      <vt:lpstr>XDO_?REMARKS?642?</vt:lpstr>
      <vt:lpstr>XDO_?REMARKS?643?</vt:lpstr>
      <vt:lpstr>XDO_?REMARKS?644?</vt:lpstr>
      <vt:lpstr>XDO_?REMARKS?645?</vt:lpstr>
      <vt:lpstr>XDO_?REMARKS?646?</vt:lpstr>
      <vt:lpstr>XDO_?REMARKS?647?</vt:lpstr>
      <vt:lpstr>XDO_?REMARKS?648?</vt:lpstr>
      <vt:lpstr>XDO_?REMARKS?649?</vt:lpstr>
      <vt:lpstr>XDO_?REMARKS?65?</vt:lpstr>
      <vt:lpstr>XDO_?REMARKS?650?</vt:lpstr>
      <vt:lpstr>XDO_?REMARKS?651?</vt:lpstr>
      <vt:lpstr>XDO_?REMARKS?652?</vt:lpstr>
      <vt:lpstr>XDO_?REMARKS?653?</vt:lpstr>
      <vt:lpstr>XDO_?REMARKS?654?</vt:lpstr>
      <vt:lpstr>XDO_?REMARKS?655?</vt:lpstr>
      <vt:lpstr>XDO_?REMARKS?656?</vt:lpstr>
      <vt:lpstr>XDO_?REMARKS?657?</vt:lpstr>
      <vt:lpstr>XDO_?REMARKS?658?</vt:lpstr>
      <vt:lpstr>XDO_?REMARKS?659?</vt:lpstr>
      <vt:lpstr>XDO_?REMARKS?66?</vt:lpstr>
      <vt:lpstr>XDO_?REMARKS?660?</vt:lpstr>
      <vt:lpstr>XDO_?REMARKS?661?</vt:lpstr>
      <vt:lpstr>XDO_?REMARKS?662?</vt:lpstr>
      <vt:lpstr>XDO_?REMARKS?663?</vt:lpstr>
      <vt:lpstr>XDO_?REMARKS?664?</vt:lpstr>
      <vt:lpstr>XDO_?REMARKS?665?</vt:lpstr>
      <vt:lpstr>XDO_?REMARKS?666?</vt:lpstr>
      <vt:lpstr>XDO_?REMARKS?667?</vt:lpstr>
      <vt:lpstr>XDO_?REMARKS?668?</vt:lpstr>
      <vt:lpstr>XDO_?REMARKS?669?</vt:lpstr>
      <vt:lpstr>XDO_?REMARKS?67?</vt:lpstr>
      <vt:lpstr>XDO_?REMARKS?670?</vt:lpstr>
      <vt:lpstr>XDO_?REMARKS?671?</vt:lpstr>
      <vt:lpstr>XDO_?REMARKS?672?</vt:lpstr>
      <vt:lpstr>XDO_?REMARKS?673?</vt:lpstr>
      <vt:lpstr>XDO_?REMARKS?674?</vt:lpstr>
      <vt:lpstr>XDO_?REMARKS?675?</vt:lpstr>
      <vt:lpstr>XDO_?REMARKS?676?</vt:lpstr>
      <vt:lpstr>XDO_?REMARKS?677?</vt:lpstr>
      <vt:lpstr>XDO_?REMARKS?678?</vt:lpstr>
      <vt:lpstr>XDO_?REMARKS?679?</vt:lpstr>
      <vt:lpstr>XDO_?REMARKS?68?</vt:lpstr>
      <vt:lpstr>XDO_?REMARKS?680?</vt:lpstr>
      <vt:lpstr>XDO_?REMARKS?681?</vt:lpstr>
      <vt:lpstr>XDO_?REMARKS?682?</vt:lpstr>
      <vt:lpstr>XDO_?REMARKS?683?</vt:lpstr>
      <vt:lpstr>XDO_?REMARKS?684?</vt:lpstr>
      <vt:lpstr>XDO_?REMARKS?685?</vt:lpstr>
      <vt:lpstr>XDO_?REMARKS?686?</vt:lpstr>
      <vt:lpstr>XDO_?REMARKS?687?</vt:lpstr>
      <vt:lpstr>XDO_?REMARKS?688?</vt:lpstr>
      <vt:lpstr>XDO_?REMARKS?689?</vt:lpstr>
      <vt:lpstr>XDO_?REMARKS?690?</vt:lpstr>
      <vt:lpstr>XDO_?REMARKS?691?</vt:lpstr>
      <vt:lpstr>XDO_?REMARKS?692?</vt:lpstr>
      <vt:lpstr>XDO_?REMARKS?76?</vt:lpstr>
      <vt:lpstr>XDO_?REMARKS?77?</vt:lpstr>
      <vt:lpstr>XDO_?REMARKS?78?</vt:lpstr>
      <vt:lpstr>XDO_?REMARKS?79?</vt:lpstr>
      <vt:lpstr>XDO_?REMARKS?84?</vt:lpstr>
      <vt:lpstr>XDO_?REMARKS?85?</vt:lpstr>
      <vt:lpstr>XDO_?REMARKS?86?</vt:lpstr>
      <vt:lpstr>XDO_?REMARKS?87?</vt:lpstr>
      <vt:lpstr>XDO_?REMARKS?88?</vt:lpstr>
      <vt:lpstr>XDO_?REMARKS?89?</vt:lpstr>
      <vt:lpstr>XDO_?REMARKS?90?</vt:lpstr>
      <vt:lpstr>XDO_?REMARKS?91?</vt:lpstr>
      <vt:lpstr>XDO_?REMARKS?92?</vt:lpstr>
      <vt:lpstr>XDO_?REMARKS?93?</vt:lpstr>
      <vt:lpstr>XDO_?REMARKS?94?</vt:lpstr>
      <vt:lpstr>XDO_?REMARKS?95?</vt:lpstr>
      <vt:lpstr>XDO_?REMARKS?96?</vt:lpstr>
      <vt:lpstr>XDO_?REMARKS?97?</vt:lpstr>
      <vt:lpstr>XDO_?REMARKS?98?</vt:lpstr>
      <vt:lpstr>XDO_?REMARKS?99?</vt:lpstr>
      <vt:lpstr>XDO_?TITL?100?</vt:lpstr>
      <vt:lpstr>XDO_?TITL?101?</vt:lpstr>
      <vt:lpstr>XDO_?TITL?102?</vt:lpstr>
      <vt:lpstr>XDO_?TITL?103?</vt:lpstr>
      <vt:lpstr>XDO_?TITL?104?</vt:lpstr>
      <vt:lpstr>XDO_?TITL?105?</vt:lpstr>
      <vt:lpstr>XDO_?TITL?106?</vt:lpstr>
      <vt:lpstr>XDO_?TITL?107?</vt:lpstr>
      <vt:lpstr>XDO_?TITL?108?</vt:lpstr>
      <vt:lpstr>XDO_?TITL?109?</vt:lpstr>
      <vt:lpstr>XDO_?TITL?110?</vt:lpstr>
      <vt:lpstr>XDO_?TITL?111?</vt:lpstr>
      <vt:lpstr>XDO_?TITL?112?</vt:lpstr>
      <vt:lpstr>XDO_?TITL?113?</vt:lpstr>
      <vt:lpstr>XDO_?TITL?114?</vt:lpstr>
      <vt:lpstr>XDO_?TITL?115?</vt:lpstr>
      <vt:lpstr>XDO_?TITL?116?</vt:lpstr>
      <vt:lpstr>XDO_?TITL?117?</vt:lpstr>
      <vt:lpstr>XDO_?TITL?118?</vt:lpstr>
      <vt:lpstr>XDO_?TITL?119?</vt:lpstr>
      <vt:lpstr>XDO_?TITL?120?</vt:lpstr>
      <vt:lpstr>XDO_?TITL?121?</vt:lpstr>
      <vt:lpstr>XDO_?TITL?122?</vt:lpstr>
      <vt:lpstr>XDO_?TITL?123?</vt:lpstr>
      <vt:lpstr>XDO_?TITL?124?</vt:lpstr>
      <vt:lpstr>XDO_?TITL?125?</vt:lpstr>
      <vt:lpstr>XDO_?TITL?126?</vt:lpstr>
      <vt:lpstr>XDO_?TITL?127?</vt:lpstr>
      <vt:lpstr>XDO_?TITL?128?</vt:lpstr>
      <vt:lpstr>XDO_?TITL?129?</vt:lpstr>
      <vt:lpstr>XDO_?TITL?13?</vt:lpstr>
      <vt:lpstr>XDO_?TITL?130?</vt:lpstr>
      <vt:lpstr>XDO_?TITL?131?</vt:lpstr>
      <vt:lpstr>XDO_?TITL?132?</vt:lpstr>
      <vt:lpstr>XDO_?TITL?133?</vt:lpstr>
      <vt:lpstr>XDO_?TITL?134?</vt:lpstr>
      <vt:lpstr>XDO_?TITL?135?</vt:lpstr>
      <vt:lpstr>XDO_?TITL?136?</vt:lpstr>
      <vt:lpstr>XDO_?TITL?137?</vt:lpstr>
      <vt:lpstr>XDO_?TITL?138?</vt:lpstr>
      <vt:lpstr>XDO_?TITL?139?</vt:lpstr>
      <vt:lpstr>XDO_?TITL?14?</vt:lpstr>
      <vt:lpstr>XDO_?TITL?140?</vt:lpstr>
      <vt:lpstr>XDO_?TITL?141?</vt:lpstr>
      <vt:lpstr>XDO_?TITL?142?</vt:lpstr>
      <vt:lpstr>XDO_?TITL?143?</vt:lpstr>
      <vt:lpstr>XDO_?TITL?144?</vt:lpstr>
      <vt:lpstr>XDO_?TITL?145?</vt:lpstr>
      <vt:lpstr>XDO_?TITL?146?</vt:lpstr>
      <vt:lpstr>XDO_?TITL?147?</vt:lpstr>
      <vt:lpstr>XDO_?TITL?148?</vt:lpstr>
      <vt:lpstr>XDO_?TITL?149?</vt:lpstr>
      <vt:lpstr>XDO_?TITL?150?</vt:lpstr>
      <vt:lpstr>XDO_?TITL?151?</vt:lpstr>
      <vt:lpstr>XDO_?TITL?152?</vt:lpstr>
      <vt:lpstr>XDO_?TITL?153?</vt:lpstr>
      <vt:lpstr>XDO_?TITL?154?</vt:lpstr>
      <vt:lpstr>XDO_?TITL?155?</vt:lpstr>
      <vt:lpstr>XDO_?TITL?156?</vt:lpstr>
      <vt:lpstr>XDO_?TITL?157?</vt:lpstr>
      <vt:lpstr>XDO_?TITL?158?</vt:lpstr>
      <vt:lpstr>XDO_?TITL?159?</vt:lpstr>
      <vt:lpstr>XDO_?TITL?17?</vt:lpstr>
      <vt:lpstr>XDO_?TITL?20?</vt:lpstr>
      <vt:lpstr>XDO_?TITL?24?</vt:lpstr>
      <vt:lpstr>XDO_?TITL?27?</vt:lpstr>
      <vt:lpstr>XDO_?TITL?28?</vt:lpstr>
      <vt:lpstr>XDO_?TITL?29?</vt:lpstr>
      <vt:lpstr>XDO_?TITL?30?</vt:lpstr>
      <vt:lpstr>XDO_?TITL?31?</vt:lpstr>
      <vt:lpstr>XDO_?TITL?32?</vt:lpstr>
      <vt:lpstr>XDO_?TITL?33?</vt:lpstr>
      <vt:lpstr>XDO_?TITL?34?</vt:lpstr>
      <vt:lpstr>XDO_?TITL?35?</vt:lpstr>
      <vt:lpstr>XDO_?TITL?36?</vt:lpstr>
      <vt:lpstr>XDO_?TITL?37?</vt:lpstr>
      <vt:lpstr>XDO_?TITL?38?</vt:lpstr>
      <vt:lpstr>XDO_?TITL?39?</vt:lpstr>
      <vt:lpstr>XDO_?TITL?40?</vt:lpstr>
      <vt:lpstr>XDO_?TITL?41?</vt:lpstr>
      <vt:lpstr>XDO_?TITL?42?</vt:lpstr>
      <vt:lpstr>XDO_?TITL?43?</vt:lpstr>
      <vt:lpstr>XDO_?TITL?44?</vt:lpstr>
      <vt:lpstr>XDO_?TITL?45?</vt:lpstr>
      <vt:lpstr>XDO_?TITL?46?</vt:lpstr>
      <vt:lpstr>XDO_?TITL?47?</vt:lpstr>
      <vt:lpstr>XDO_?TITL?48?</vt:lpstr>
      <vt:lpstr>XDO_?TITL?49?</vt:lpstr>
      <vt:lpstr>XDO_?TITL?50?</vt:lpstr>
      <vt:lpstr>XDO_?TITL?51?</vt:lpstr>
      <vt:lpstr>XDO_?TITL?52?</vt:lpstr>
      <vt:lpstr>XDO_?TITL?53?</vt:lpstr>
      <vt:lpstr>XDO_?TITL?54?</vt:lpstr>
      <vt:lpstr>XDO_?TITL?55?</vt:lpstr>
      <vt:lpstr>XDO_?TITL?56?</vt:lpstr>
      <vt:lpstr>XDO_?TITL?57?</vt:lpstr>
      <vt:lpstr>XDO_?TITL?58?</vt:lpstr>
      <vt:lpstr>XDO_?TITL?59?</vt:lpstr>
      <vt:lpstr>XDO_?TITL?6?</vt:lpstr>
      <vt:lpstr>XDO_?TITL?60?</vt:lpstr>
      <vt:lpstr>XDO_?TITL?61?</vt:lpstr>
      <vt:lpstr>XDO_?TITL?62?</vt:lpstr>
      <vt:lpstr>XDO_?TITL?63?</vt:lpstr>
      <vt:lpstr>XDO_?TITL?64?</vt:lpstr>
      <vt:lpstr>XDO_?TITL?65?</vt:lpstr>
      <vt:lpstr>XDO_?TITL?66?</vt:lpstr>
      <vt:lpstr>XDO_?TITL?67?</vt:lpstr>
      <vt:lpstr>XDO_?TITL?68?</vt:lpstr>
      <vt:lpstr>XDO_?TITL?69?</vt:lpstr>
      <vt:lpstr>XDO_?TITL?70?</vt:lpstr>
      <vt:lpstr>XDO_?TITL?71?</vt:lpstr>
      <vt:lpstr>XDO_?TITL?72?</vt:lpstr>
      <vt:lpstr>XDO_?TITL?73?</vt:lpstr>
      <vt:lpstr>XDO_?TITL?74?</vt:lpstr>
      <vt:lpstr>XDO_?TITL?75?</vt:lpstr>
      <vt:lpstr>XDO_?TITL?76?</vt:lpstr>
      <vt:lpstr>XDO_?TITL?77?</vt:lpstr>
      <vt:lpstr>XDO_?TITL?78?</vt:lpstr>
      <vt:lpstr>XDO_?TITL?79?</vt:lpstr>
      <vt:lpstr>XDO_?TITL?80?</vt:lpstr>
      <vt:lpstr>XDO_?TITL?81?</vt:lpstr>
      <vt:lpstr>XDO_?TITL?82?</vt:lpstr>
      <vt:lpstr>XDO_?TITL?83?</vt:lpstr>
      <vt:lpstr>XDO_?TITL?84?</vt:lpstr>
      <vt:lpstr>XDO_?TITL?85?</vt:lpstr>
      <vt:lpstr>XDO_?TITL?86?</vt:lpstr>
      <vt:lpstr>XDO_?TITL?87?</vt:lpstr>
      <vt:lpstr>XDO_?TITL?88?</vt:lpstr>
      <vt:lpstr>XDO_?TITL?89?</vt:lpstr>
      <vt:lpstr>XDO_?TITL?90?</vt:lpstr>
      <vt:lpstr>XDO_?TITL?91?</vt:lpstr>
      <vt:lpstr>XDO_?TITL?92?</vt:lpstr>
      <vt:lpstr>XDO_?TITL?93?</vt:lpstr>
      <vt:lpstr>XDO_?TITL?94?</vt:lpstr>
      <vt:lpstr>XDO_?TITL?95?</vt:lpstr>
      <vt:lpstr>XDO_?TITL?96?</vt:lpstr>
      <vt:lpstr>XDO_?TITL?97?</vt:lpstr>
      <vt:lpstr>XDO_?TITL?98?</vt:lpstr>
      <vt:lpstr>XDO_?TITL?99?</vt:lpstr>
      <vt:lpstr>XDO_?YTM?100?</vt:lpstr>
      <vt:lpstr>XDO_?YTM?101?</vt:lpstr>
      <vt:lpstr>XDO_?YTM?102?</vt:lpstr>
      <vt:lpstr>XDO_?YTM?103?</vt:lpstr>
      <vt:lpstr>XDO_?YTM?104?</vt:lpstr>
      <vt:lpstr>XDO_?YTM?105?</vt:lpstr>
      <vt:lpstr>XDO_?YTM?106?</vt:lpstr>
      <vt:lpstr>XDO_?YTM?107?</vt:lpstr>
      <vt:lpstr>XDO_?YTM?108?</vt:lpstr>
      <vt:lpstr>XDO_?YTM?109?</vt:lpstr>
      <vt:lpstr>XDO_?YTM?110?</vt:lpstr>
      <vt:lpstr>XDO_?YTM?111?</vt:lpstr>
      <vt:lpstr>XDO_?YTM?112?</vt:lpstr>
      <vt:lpstr>XDO_?YTM?113?</vt:lpstr>
      <vt:lpstr>XDO_?YTM?114?</vt:lpstr>
      <vt:lpstr>XDO_?YTM?115?</vt:lpstr>
      <vt:lpstr>XDO_?YTM?116?</vt:lpstr>
      <vt:lpstr>XDO_?YTM?117?</vt:lpstr>
      <vt:lpstr>XDO_?YTM?118?</vt:lpstr>
      <vt:lpstr>XDO_?YTM?119?</vt:lpstr>
      <vt:lpstr>XDO_?YTM?12?</vt:lpstr>
      <vt:lpstr>XDO_?YTM?120?</vt:lpstr>
      <vt:lpstr>XDO_?YTM?121?</vt:lpstr>
      <vt:lpstr>XDO_?YTM?122?</vt:lpstr>
      <vt:lpstr>XDO_?YTM?123?</vt:lpstr>
      <vt:lpstr>XDO_?YTM?124?</vt:lpstr>
      <vt:lpstr>XDO_?YTM?125?</vt:lpstr>
      <vt:lpstr>XDO_?YTM?126?</vt:lpstr>
      <vt:lpstr>XDO_?YTM?127?</vt:lpstr>
      <vt:lpstr>XDO_?YTM?128?</vt:lpstr>
      <vt:lpstr>XDO_?YTM?129?</vt:lpstr>
      <vt:lpstr>XDO_?YTM?13?</vt:lpstr>
      <vt:lpstr>XDO_?YTM?130?</vt:lpstr>
      <vt:lpstr>XDO_?YTM?131?</vt:lpstr>
      <vt:lpstr>XDO_?YTM?132?</vt:lpstr>
      <vt:lpstr>XDO_?YTM?133?</vt:lpstr>
      <vt:lpstr>XDO_?YTM?134?</vt:lpstr>
      <vt:lpstr>XDO_?YTM?135?</vt:lpstr>
      <vt:lpstr>XDO_?YTM?136?</vt:lpstr>
      <vt:lpstr>XDO_?YTM?137?</vt:lpstr>
      <vt:lpstr>XDO_?YTM?138?</vt:lpstr>
      <vt:lpstr>XDO_?YTM?139?</vt:lpstr>
      <vt:lpstr>XDO_?YTM?14?</vt:lpstr>
      <vt:lpstr>XDO_?YTM?140?</vt:lpstr>
      <vt:lpstr>XDO_?YTM?141?</vt:lpstr>
      <vt:lpstr>XDO_?YTM?142?</vt:lpstr>
      <vt:lpstr>XDO_?YTM?143?</vt:lpstr>
      <vt:lpstr>XDO_?YTM?144?</vt:lpstr>
      <vt:lpstr>XDO_?YTM?145?</vt:lpstr>
      <vt:lpstr>XDO_?YTM?146?</vt:lpstr>
      <vt:lpstr>XDO_?YTM?147?</vt:lpstr>
      <vt:lpstr>XDO_?YTM?148?</vt:lpstr>
      <vt:lpstr>XDO_?YTM?149?</vt:lpstr>
      <vt:lpstr>XDO_?YTM?15?</vt:lpstr>
      <vt:lpstr>XDO_?YTM?150?</vt:lpstr>
      <vt:lpstr>XDO_?YTM?151?</vt:lpstr>
      <vt:lpstr>XDO_?YTM?152?</vt:lpstr>
      <vt:lpstr>XDO_?YTM?153?</vt:lpstr>
      <vt:lpstr>XDO_?YTM?154?</vt:lpstr>
      <vt:lpstr>XDO_?YTM?155?</vt:lpstr>
      <vt:lpstr>XDO_?YTM?156?</vt:lpstr>
      <vt:lpstr>XDO_?YTM?157?</vt:lpstr>
      <vt:lpstr>XDO_?YTM?158?</vt:lpstr>
      <vt:lpstr>XDO_?YTM?159?</vt:lpstr>
      <vt:lpstr>XDO_?YTM?16?</vt:lpstr>
      <vt:lpstr>XDO_?YTM?160?</vt:lpstr>
      <vt:lpstr>XDO_?YTM?161?</vt:lpstr>
      <vt:lpstr>XDO_?YTM?162?</vt:lpstr>
      <vt:lpstr>XDO_?YTM?163?</vt:lpstr>
      <vt:lpstr>XDO_?YTM?164?</vt:lpstr>
      <vt:lpstr>XDO_?YTM?165?</vt:lpstr>
      <vt:lpstr>XDO_?YTM?166?</vt:lpstr>
      <vt:lpstr>XDO_?YTM?167?</vt:lpstr>
      <vt:lpstr>XDO_?YTM?168?</vt:lpstr>
      <vt:lpstr>XDO_?YTM?169?</vt:lpstr>
      <vt:lpstr>XDO_?YTM?17?</vt:lpstr>
      <vt:lpstr>XDO_?YTM?170?</vt:lpstr>
      <vt:lpstr>XDO_?YTM?171?</vt:lpstr>
      <vt:lpstr>XDO_?YTM?172?</vt:lpstr>
      <vt:lpstr>XDO_?YTM?173?</vt:lpstr>
      <vt:lpstr>XDO_?YTM?174?</vt:lpstr>
      <vt:lpstr>XDO_?YTM?175?</vt:lpstr>
      <vt:lpstr>XDO_?YTM?176?</vt:lpstr>
      <vt:lpstr>XDO_?YTM?177?</vt:lpstr>
      <vt:lpstr>XDO_?YTM?178?</vt:lpstr>
      <vt:lpstr>XDO_?YTM?179?</vt:lpstr>
      <vt:lpstr>XDO_?YTM?180?</vt:lpstr>
      <vt:lpstr>XDO_?YTM?181?</vt:lpstr>
      <vt:lpstr>XDO_?YTM?182?</vt:lpstr>
      <vt:lpstr>XDO_?YTM?183?</vt:lpstr>
      <vt:lpstr>XDO_?YTM?184?</vt:lpstr>
      <vt:lpstr>XDO_?YTM?185?</vt:lpstr>
      <vt:lpstr>XDO_?YTM?186?</vt:lpstr>
      <vt:lpstr>XDO_?YTM?187?</vt:lpstr>
      <vt:lpstr>XDO_?YTM?188?</vt:lpstr>
      <vt:lpstr>XDO_?YTM?189?</vt:lpstr>
      <vt:lpstr>XDO_?YTM?190?</vt:lpstr>
      <vt:lpstr>XDO_?YTM?191?</vt:lpstr>
      <vt:lpstr>XDO_?YTM?192?</vt:lpstr>
      <vt:lpstr>XDO_?YTM?193?</vt:lpstr>
      <vt:lpstr>XDO_?YTM?194?</vt:lpstr>
      <vt:lpstr>XDO_?YTM?195?</vt:lpstr>
      <vt:lpstr>XDO_?YTM?196?</vt:lpstr>
      <vt:lpstr>XDO_?YTM?197?</vt:lpstr>
      <vt:lpstr>XDO_?YTM?198?</vt:lpstr>
      <vt:lpstr>XDO_?YTM?199?</vt:lpstr>
      <vt:lpstr>XDO_?YTM?200?</vt:lpstr>
      <vt:lpstr>XDO_?YTM?201?</vt:lpstr>
      <vt:lpstr>XDO_?YTM?202?</vt:lpstr>
      <vt:lpstr>XDO_?YTM?203?</vt:lpstr>
      <vt:lpstr>XDO_?YTM?204?</vt:lpstr>
      <vt:lpstr>XDO_?YTM?205?</vt:lpstr>
      <vt:lpstr>XDO_?YTM?206?</vt:lpstr>
      <vt:lpstr>XDO_?YTM?207?</vt:lpstr>
      <vt:lpstr>XDO_?YTM?208?</vt:lpstr>
      <vt:lpstr>XDO_?YTM?209?</vt:lpstr>
      <vt:lpstr>XDO_?YTM?210?</vt:lpstr>
      <vt:lpstr>XDO_?YTM?211?</vt:lpstr>
      <vt:lpstr>XDO_?YTM?212?</vt:lpstr>
      <vt:lpstr>XDO_?YTM?213?</vt:lpstr>
      <vt:lpstr>XDO_?YTM?214?</vt:lpstr>
      <vt:lpstr>XDO_?YTM?215?</vt:lpstr>
      <vt:lpstr>XDO_?YTM?216?</vt:lpstr>
      <vt:lpstr>XDO_?YTM?217?</vt:lpstr>
      <vt:lpstr>XDO_?YTM?218?</vt:lpstr>
      <vt:lpstr>XDO_?YTM?219?</vt:lpstr>
      <vt:lpstr>XDO_?YTM?220?</vt:lpstr>
      <vt:lpstr>XDO_?YTM?221?</vt:lpstr>
      <vt:lpstr>XDO_?YTM?222?</vt:lpstr>
      <vt:lpstr>XDO_?YTM?223?</vt:lpstr>
      <vt:lpstr>XDO_?YTM?224?</vt:lpstr>
      <vt:lpstr>XDO_?YTM?225?</vt:lpstr>
      <vt:lpstr>XDO_?YTM?226?</vt:lpstr>
      <vt:lpstr>XDO_?YTM?227?</vt:lpstr>
      <vt:lpstr>XDO_?YTM?228?</vt:lpstr>
      <vt:lpstr>XDO_?YTM?229?</vt:lpstr>
      <vt:lpstr>XDO_?YTM?230?</vt:lpstr>
      <vt:lpstr>XDO_?YTM?231?</vt:lpstr>
      <vt:lpstr>XDO_?YTM?232?</vt:lpstr>
      <vt:lpstr>XDO_?YTM?233?</vt:lpstr>
      <vt:lpstr>XDO_?YTM?234?</vt:lpstr>
      <vt:lpstr>XDO_?YTM?235?</vt:lpstr>
      <vt:lpstr>XDO_?YTM?236?</vt:lpstr>
      <vt:lpstr>XDO_?YTM?237?</vt:lpstr>
      <vt:lpstr>XDO_?YTM?238?</vt:lpstr>
      <vt:lpstr>XDO_?YTM?239?</vt:lpstr>
      <vt:lpstr>XDO_?YTM?240?</vt:lpstr>
      <vt:lpstr>XDO_?YTM?241?</vt:lpstr>
      <vt:lpstr>XDO_?YTM?242?</vt:lpstr>
      <vt:lpstr>XDO_?YTM?243?</vt:lpstr>
      <vt:lpstr>XDO_?YTM?244?</vt:lpstr>
      <vt:lpstr>XDO_?YTM?245?</vt:lpstr>
      <vt:lpstr>XDO_?YTM?246?</vt:lpstr>
      <vt:lpstr>XDO_?YTM?247?</vt:lpstr>
      <vt:lpstr>XDO_?YTM?248?</vt:lpstr>
      <vt:lpstr>XDO_?YTM?249?</vt:lpstr>
      <vt:lpstr>XDO_?YTM?250?</vt:lpstr>
      <vt:lpstr>XDO_?YTM?251?</vt:lpstr>
      <vt:lpstr>XDO_?YTM?252?</vt:lpstr>
      <vt:lpstr>XDO_?YTM?253?</vt:lpstr>
      <vt:lpstr>XDO_?YTM?254?</vt:lpstr>
      <vt:lpstr>XDO_?YTM?255?</vt:lpstr>
      <vt:lpstr>XDO_?YTM?256?</vt:lpstr>
      <vt:lpstr>XDO_?YTM?257?</vt:lpstr>
      <vt:lpstr>XDO_?YTM?258?</vt:lpstr>
      <vt:lpstr>XDO_?YTM?259?</vt:lpstr>
      <vt:lpstr>XDO_?YTM?260?</vt:lpstr>
      <vt:lpstr>XDO_?YTM?261?</vt:lpstr>
      <vt:lpstr>XDO_?YTM?262?</vt:lpstr>
      <vt:lpstr>XDO_?YTM?263?</vt:lpstr>
      <vt:lpstr>XDO_?YTM?264?</vt:lpstr>
      <vt:lpstr>XDO_?YTM?265?</vt:lpstr>
      <vt:lpstr>XDO_?YTM?266?</vt:lpstr>
      <vt:lpstr>XDO_?YTM?267?</vt:lpstr>
      <vt:lpstr>XDO_?YTM?268?</vt:lpstr>
      <vt:lpstr>XDO_?YTM?269?</vt:lpstr>
      <vt:lpstr>XDO_?YTM?270?</vt:lpstr>
      <vt:lpstr>XDO_?YTM?271?</vt:lpstr>
      <vt:lpstr>XDO_?YTM?272?</vt:lpstr>
      <vt:lpstr>XDO_?YTM?273?</vt:lpstr>
      <vt:lpstr>XDO_?YTM?274?</vt:lpstr>
      <vt:lpstr>XDO_?YTM?275?</vt:lpstr>
      <vt:lpstr>XDO_?YTM?276?</vt:lpstr>
      <vt:lpstr>XDO_?YTM?277?</vt:lpstr>
      <vt:lpstr>XDO_?YTM?278?</vt:lpstr>
      <vt:lpstr>XDO_?YTM?279?</vt:lpstr>
      <vt:lpstr>XDO_?YTM?280?</vt:lpstr>
      <vt:lpstr>XDO_?YTM?281?</vt:lpstr>
      <vt:lpstr>XDO_?YTM?282?</vt:lpstr>
      <vt:lpstr>XDO_?YTM?283?</vt:lpstr>
      <vt:lpstr>XDO_?YTM?284?</vt:lpstr>
      <vt:lpstr>XDO_?YTM?285?</vt:lpstr>
      <vt:lpstr>XDO_?YTM?286?</vt:lpstr>
      <vt:lpstr>XDO_?YTM?287?</vt:lpstr>
      <vt:lpstr>XDO_?YTM?288?</vt:lpstr>
      <vt:lpstr>XDO_?YTM?289?</vt:lpstr>
      <vt:lpstr>XDO_?YTM?290?</vt:lpstr>
      <vt:lpstr>XDO_?YTM?291?</vt:lpstr>
      <vt:lpstr>XDO_?YTM?292?</vt:lpstr>
      <vt:lpstr>XDO_?YTM?293?</vt:lpstr>
      <vt:lpstr>XDO_?YTM?294?</vt:lpstr>
      <vt:lpstr>XDO_?YTM?295?</vt:lpstr>
      <vt:lpstr>XDO_?YTM?296?</vt:lpstr>
      <vt:lpstr>XDO_?YTM?297?</vt:lpstr>
      <vt:lpstr>XDO_?YTM?298?</vt:lpstr>
      <vt:lpstr>XDO_?YTM?299?</vt:lpstr>
      <vt:lpstr>XDO_?YTM?300?</vt:lpstr>
      <vt:lpstr>XDO_?YTM?301?</vt:lpstr>
      <vt:lpstr>XDO_?YTM?302?</vt:lpstr>
      <vt:lpstr>XDO_?YTM?303?</vt:lpstr>
      <vt:lpstr>XDO_?YTM?304?</vt:lpstr>
      <vt:lpstr>XDO_?YTM?305?</vt:lpstr>
      <vt:lpstr>XDO_?YTM?306?</vt:lpstr>
      <vt:lpstr>XDO_?YTM?307?</vt:lpstr>
      <vt:lpstr>XDO_?YTM?308?</vt:lpstr>
      <vt:lpstr>XDO_?YTM?309?</vt:lpstr>
      <vt:lpstr>XDO_?YTM?310?</vt:lpstr>
      <vt:lpstr>XDO_?YTM?311?</vt:lpstr>
      <vt:lpstr>XDO_?YTM?312?</vt:lpstr>
      <vt:lpstr>XDO_?YTM?313?</vt:lpstr>
      <vt:lpstr>XDO_?YTM?314?</vt:lpstr>
      <vt:lpstr>XDO_?YTM?315?</vt:lpstr>
      <vt:lpstr>XDO_?YTM?316?</vt:lpstr>
      <vt:lpstr>XDO_?YTM?317?</vt:lpstr>
      <vt:lpstr>XDO_?YTM?318?</vt:lpstr>
      <vt:lpstr>XDO_?YTM?319?</vt:lpstr>
      <vt:lpstr>XDO_?YTM?320?</vt:lpstr>
      <vt:lpstr>XDO_?YTM?321?</vt:lpstr>
      <vt:lpstr>XDO_?YTM?322?</vt:lpstr>
      <vt:lpstr>XDO_?YTM?323?</vt:lpstr>
      <vt:lpstr>XDO_?YTM?324?</vt:lpstr>
      <vt:lpstr>XDO_?YTM?325?</vt:lpstr>
      <vt:lpstr>XDO_?YTM?326?</vt:lpstr>
      <vt:lpstr>XDO_?YTM?327?</vt:lpstr>
      <vt:lpstr>XDO_?YTM?328?</vt:lpstr>
      <vt:lpstr>XDO_?YTM?329?</vt:lpstr>
      <vt:lpstr>XDO_?YTM?330?</vt:lpstr>
      <vt:lpstr>XDO_?YTM?331?</vt:lpstr>
      <vt:lpstr>XDO_?YTM?332?</vt:lpstr>
      <vt:lpstr>XDO_?YTM?333?</vt:lpstr>
      <vt:lpstr>XDO_?YTM?334?</vt:lpstr>
      <vt:lpstr>XDO_?YTM?335?</vt:lpstr>
      <vt:lpstr>XDO_?YTM?336?</vt:lpstr>
      <vt:lpstr>XDO_?YTM?337?</vt:lpstr>
      <vt:lpstr>XDO_?YTM?338?</vt:lpstr>
      <vt:lpstr>XDO_?YTM?339?</vt:lpstr>
      <vt:lpstr>XDO_?YTM?340?</vt:lpstr>
      <vt:lpstr>XDO_?YTM?341?</vt:lpstr>
      <vt:lpstr>XDO_?YTM?342?</vt:lpstr>
      <vt:lpstr>XDO_?YTM?343?</vt:lpstr>
      <vt:lpstr>XDO_?YTM?344?</vt:lpstr>
      <vt:lpstr>XDO_?YTM?345?</vt:lpstr>
      <vt:lpstr>XDO_?YTM?346?</vt:lpstr>
      <vt:lpstr>XDO_?YTM?347?</vt:lpstr>
      <vt:lpstr>XDO_?YTM?348?</vt:lpstr>
      <vt:lpstr>XDO_?YTM?349?</vt:lpstr>
      <vt:lpstr>XDO_?YTM?350?</vt:lpstr>
      <vt:lpstr>XDO_?YTM?351?</vt:lpstr>
      <vt:lpstr>XDO_?YTM?352?</vt:lpstr>
      <vt:lpstr>XDO_?YTM?353?</vt:lpstr>
      <vt:lpstr>XDO_?YTM?354?</vt:lpstr>
      <vt:lpstr>XDO_?YTM?355?</vt:lpstr>
      <vt:lpstr>XDO_?YTM?356?</vt:lpstr>
      <vt:lpstr>XDO_?YTM?357?</vt:lpstr>
      <vt:lpstr>XDO_?YTM?358?</vt:lpstr>
      <vt:lpstr>XDO_?YTM?359?</vt:lpstr>
      <vt:lpstr>XDO_?YTM?36?</vt:lpstr>
      <vt:lpstr>XDO_?YTM?360?</vt:lpstr>
      <vt:lpstr>XDO_?YTM?361?</vt:lpstr>
      <vt:lpstr>XDO_?YTM?362?</vt:lpstr>
      <vt:lpstr>XDO_?YTM?363?</vt:lpstr>
      <vt:lpstr>XDO_?YTM?364?</vt:lpstr>
      <vt:lpstr>XDO_?YTM?365?</vt:lpstr>
      <vt:lpstr>XDO_?YTM?366?</vt:lpstr>
      <vt:lpstr>XDO_?YTM?367?</vt:lpstr>
      <vt:lpstr>XDO_?YTM?368?</vt:lpstr>
      <vt:lpstr>XDO_?YTM?369?</vt:lpstr>
      <vt:lpstr>XDO_?YTM?37?</vt:lpstr>
      <vt:lpstr>XDO_?YTM?370?</vt:lpstr>
      <vt:lpstr>XDO_?YTM?371?</vt:lpstr>
      <vt:lpstr>XDO_?YTM?372?</vt:lpstr>
      <vt:lpstr>XDO_?YTM?373?</vt:lpstr>
      <vt:lpstr>XDO_?YTM?374?</vt:lpstr>
      <vt:lpstr>XDO_?YTM?375?</vt:lpstr>
      <vt:lpstr>XDO_?YTM?376?</vt:lpstr>
      <vt:lpstr>XDO_?YTM?377?</vt:lpstr>
      <vt:lpstr>XDO_?YTM?378?</vt:lpstr>
      <vt:lpstr>XDO_?YTM?379?</vt:lpstr>
      <vt:lpstr>XDO_?YTM?38?</vt:lpstr>
      <vt:lpstr>XDO_?YTM?380?</vt:lpstr>
      <vt:lpstr>XDO_?YTM?381?</vt:lpstr>
      <vt:lpstr>XDO_?YTM?382?</vt:lpstr>
      <vt:lpstr>XDO_?YTM?383?</vt:lpstr>
      <vt:lpstr>XDO_?YTM?384?</vt:lpstr>
      <vt:lpstr>XDO_?YTM?385?</vt:lpstr>
      <vt:lpstr>XDO_?YTM?386?</vt:lpstr>
      <vt:lpstr>XDO_?YTM?387?</vt:lpstr>
      <vt:lpstr>XDO_?YTM?388?</vt:lpstr>
      <vt:lpstr>XDO_?YTM?389?</vt:lpstr>
      <vt:lpstr>XDO_?YTM?39?</vt:lpstr>
      <vt:lpstr>XDO_?YTM?390?</vt:lpstr>
      <vt:lpstr>XDO_?YTM?391?</vt:lpstr>
      <vt:lpstr>XDO_?YTM?392?</vt:lpstr>
      <vt:lpstr>XDO_?YTM?393?</vt:lpstr>
      <vt:lpstr>XDO_?YTM?394?</vt:lpstr>
      <vt:lpstr>XDO_?YTM?395?</vt:lpstr>
      <vt:lpstr>XDO_?YTM?396?</vt:lpstr>
      <vt:lpstr>XDO_?YTM?397?</vt:lpstr>
      <vt:lpstr>XDO_?YTM?398?</vt:lpstr>
      <vt:lpstr>XDO_?YTM?399?</vt:lpstr>
      <vt:lpstr>XDO_?YTM?40?</vt:lpstr>
      <vt:lpstr>XDO_?YTM?400?</vt:lpstr>
      <vt:lpstr>XDO_?YTM?401?</vt:lpstr>
      <vt:lpstr>XDO_?YTM?402?</vt:lpstr>
      <vt:lpstr>XDO_?YTM?403?</vt:lpstr>
      <vt:lpstr>XDO_?YTM?404?</vt:lpstr>
      <vt:lpstr>XDO_?YTM?405?</vt:lpstr>
      <vt:lpstr>XDO_?YTM?406?</vt:lpstr>
      <vt:lpstr>XDO_?YTM?407?</vt:lpstr>
      <vt:lpstr>XDO_?YTM?408?</vt:lpstr>
      <vt:lpstr>XDO_?YTM?409?</vt:lpstr>
      <vt:lpstr>XDO_?YTM?41?</vt:lpstr>
      <vt:lpstr>XDO_?YTM?410?</vt:lpstr>
      <vt:lpstr>XDO_?YTM?411?</vt:lpstr>
      <vt:lpstr>XDO_?YTM?412?</vt:lpstr>
      <vt:lpstr>XDO_?YTM?413?</vt:lpstr>
      <vt:lpstr>XDO_?YTM?414?</vt:lpstr>
      <vt:lpstr>XDO_?YTM?415?</vt:lpstr>
      <vt:lpstr>XDO_?YTM?416?</vt:lpstr>
      <vt:lpstr>XDO_?YTM?417?</vt:lpstr>
      <vt:lpstr>XDO_?YTM?418?</vt:lpstr>
      <vt:lpstr>XDO_?YTM?419?</vt:lpstr>
      <vt:lpstr>XDO_?YTM?42?</vt:lpstr>
      <vt:lpstr>XDO_?YTM?420?</vt:lpstr>
      <vt:lpstr>XDO_?YTM?421?</vt:lpstr>
      <vt:lpstr>XDO_?YTM?422?</vt:lpstr>
      <vt:lpstr>XDO_?YTM?423?</vt:lpstr>
      <vt:lpstr>XDO_?YTM?424?</vt:lpstr>
      <vt:lpstr>XDO_?YTM?425?</vt:lpstr>
      <vt:lpstr>XDO_?YTM?426?</vt:lpstr>
      <vt:lpstr>XDO_?YTM?427?</vt:lpstr>
      <vt:lpstr>XDO_?YTM?428?</vt:lpstr>
      <vt:lpstr>XDO_?YTM?429?</vt:lpstr>
      <vt:lpstr>XDO_?YTM?43?</vt:lpstr>
      <vt:lpstr>XDO_?YTM?430?</vt:lpstr>
      <vt:lpstr>XDO_?YTM?431?</vt:lpstr>
      <vt:lpstr>XDO_?YTM?432?</vt:lpstr>
      <vt:lpstr>XDO_?YTM?433?</vt:lpstr>
      <vt:lpstr>XDO_?YTM?434?</vt:lpstr>
      <vt:lpstr>XDO_?YTM?435?</vt:lpstr>
      <vt:lpstr>XDO_?YTM?436?</vt:lpstr>
      <vt:lpstr>XDO_?YTM?437?</vt:lpstr>
      <vt:lpstr>XDO_?YTM?438?</vt:lpstr>
      <vt:lpstr>XDO_?YTM?439?</vt:lpstr>
      <vt:lpstr>XDO_?YTM?440?</vt:lpstr>
      <vt:lpstr>XDO_?YTM?441?</vt:lpstr>
      <vt:lpstr>XDO_?YTM?442?</vt:lpstr>
      <vt:lpstr>XDO_?YTM?443?</vt:lpstr>
      <vt:lpstr>XDO_?YTM?444?</vt:lpstr>
      <vt:lpstr>XDO_?YTM?445?</vt:lpstr>
      <vt:lpstr>XDO_?YTM?446?</vt:lpstr>
      <vt:lpstr>XDO_?YTM?447?</vt:lpstr>
      <vt:lpstr>XDO_?YTM?448?</vt:lpstr>
      <vt:lpstr>XDO_?YTM?449?</vt:lpstr>
      <vt:lpstr>XDO_?YTM?450?</vt:lpstr>
      <vt:lpstr>XDO_?YTM?451?</vt:lpstr>
      <vt:lpstr>XDO_?YTM?452?</vt:lpstr>
      <vt:lpstr>XDO_?YTM?453?</vt:lpstr>
      <vt:lpstr>XDO_?YTM?454?</vt:lpstr>
      <vt:lpstr>XDO_?YTM?455?</vt:lpstr>
      <vt:lpstr>XDO_?YTM?456?</vt:lpstr>
      <vt:lpstr>XDO_?YTM?457?</vt:lpstr>
      <vt:lpstr>XDO_?YTM?458?</vt:lpstr>
      <vt:lpstr>XDO_?YTM?459?</vt:lpstr>
      <vt:lpstr>XDO_?YTM?460?</vt:lpstr>
      <vt:lpstr>XDO_?YTM?461?</vt:lpstr>
      <vt:lpstr>XDO_?YTM?462?</vt:lpstr>
      <vt:lpstr>XDO_?YTM?463?</vt:lpstr>
      <vt:lpstr>XDO_?YTM?464?</vt:lpstr>
      <vt:lpstr>XDO_?YTM?465?</vt:lpstr>
      <vt:lpstr>XDO_?YTM?466?</vt:lpstr>
      <vt:lpstr>XDO_?YTM?467?</vt:lpstr>
      <vt:lpstr>XDO_?YTM?468?</vt:lpstr>
      <vt:lpstr>XDO_?YTM?469?</vt:lpstr>
      <vt:lpstr>XDO_?YTM?470?</vt:lpstr>
      <vt:lpstr>XDO_?YTM?471?</vt:lpstr>
      <vt:lpstr>XDO_?YTM?472?</vt:lpstr>
      <vt:lpstr>XDO_?YTM?473?</vt:lpstr>
      <vt:lpstr>XDO_?YTM?474?</vt:lpstr>
      <vt:lpstr>XDO_?YTM?475?</vt:lpstr>
      <vt:lpstr>XDO_?YTM?476?</vt:lpstr>
      <vt:lpstr>XDO_?YTM?477?</vt:lpstr>
      <vt:lpstr>XDO_?YTM?478?</vt:lpstr>
      <vt:lpstr>XDO_?YTM?479?</vt:lpstr>
      <vt:lpstr>XDO_?YTM?480?</vt:lpstr>
      <vt:lpstr>XDO_?YTM?481?</vt:lpstr>
      <vt:lpstr>XDO_?YTM?482?</vt:lpstr>
      <vt:lpstr>XDO_?YTM?483?</vt:lpstr>
      <vt:lpstr>XDO_?YTM?484?</vt:lpstr>
      <vt:lpstr>XDO_?YTM?485?</vt:lpstr>
      <vt:lpstr>XDO_?YTM?486?</vt:lpstr>
      <vt:lpstr>XDO_?YTM?487?</vt:lpstr>
      <vt:lpstr>XDO_?YTM?488?</vt:lpstr>
      <vt:lpstr>XDO_?YTM?489?</vt:lpstr>
      <vt:lpstr>XDO_?YTM?490?</vt:lpstr>
      <vt:lpstr>XDO_?YTM?491?</vt:lpstr>
      <vt:lpstr>XDO_?YTM?492?</vt:lpstr>
      <vt:lpstr>XDO_?YTM?493?</vt:lpstr>
      <vt:lpstr>XDO_?YTM?494?</vt:lpstr>
      <vt:lpstr>XDO_?YTM?495?</vt:lpstr>
      <vt:lpstr>XDO_?YTM?496?</vt:lpstr>
      <vt:lpstr>XDO_?YTM?497?</vt:lpstr>
      <vt:lpstr>XDO_?YTM?498?</vt:lpstr>
      <vt:lpstr>XDO_?YTM?499?</vt:lpstr>
      <vt:lpstr>XDO_?YTM?50?</vt:lpstr>
      <vt:lpstr>XDO_?YTM?500?</vt:lpstr>
      <vt:lpstr>XDO_?YTM?501?</vt:lpstr>
      <vt:lpstr>XDO_?YTM?502?</vt:lpstr>
      <vt:lpstr>XDO_?YTM?503?</vt:lpstr>
      <vt:lpstr>XDO_?YTM?504?</vt:lpstr>
      <vt:lpstr>XDO_?YTM?505?</vt:lpstr>
      <vt:lpstr>XDO_?YTM?506?</vt:lpstr>
      <vt:lpstr>XDO_?YTM?507?</vt:lpstr>
      <vt:lpstr>XDO_?YTM?508?</vt:lpstr>
      <vt:lpstr>XDO_?YTM?509?</vt:lpstr>
      <vt:lpstr>XDO_?YTM?51?</vt:lpstr>
      <vt:lpstr>XDO_?YTM?510?</vt:lpstr>
      <vt:lpstr>XDO_?YTM?511?</vt:lpstr>
      <vt:lpstr>XDO_?YTM?512?</vt:lpstr>
      <vt:lpstr>XDO_?YTM?513?</vt:lpstr>
      <vt:lpstr>XDO_?YTM?514?</vt:lpstr>
      <vt:lpstr>XDO_?YTM?515?</vt:lpstr>
      <vt:lpstr>XDO_?YTM?516?</vt:lpstr>
      <vt:lpstr>XDO_?YTM?517?</vt:lpstr>
      <vt:lpstr>XDO_?YTM?518?</vt:lpstr>
      <vt:lpstr>XDO_?YTM?519?</vt:lpstr>
      <vt:lpstr>XDO_?YTM?52?</vt:lpstr>
      <vt:lpstr>XDO_?YTM?520?</vt:lpstr>
      <vt:lpstr>XDO_?YTM?521?</vt:lpstr>
      <vt:lpstr>XDO_?YTM?522?</vt:lpstr>
      <vt:lpstr>XDO_?YTM?523?</vt:lpstr>
      <vt:lpstr>XDO_?YTM?524?</vt:lpstr>
      <vt:lpstr>XDO_?YTM?525?</vt:lpstr>
      <vt:lpstr>XDO_?YTM?526?</vt:lpstr>
      <vt:lpstr>XDO_?YTM?527?</vt:lpstr>
      <vt:lpstr>XDO_?YTM?528?</vt:lpstr>
      <vt:lpstr>XDO_?YTM?529?</vt:lpstr>
      <vt:lpstr>XDO_?YTM?53?</vt:lpstr>
      <vt:lpstr>XDO_?YTM?530?</vt:lpstr>
      <vt:lpstr>XDO_?YTM?531?</vt:lpstr>
      <vt:lpstr>XDO_?YTM?532?</vt:lpstr>
      <vt:lpstr>XDO_?YTM?533?</vt:lpstr>
      <vt:lpstr>XDO_?YTM?534?</vt:lpstr>
      <vt:lpstr>XDO_?YTM?535?</vt:lpstr>
      <vt:lpstr>XDO_?YTM?536?</vt:lpstr>
      <vt:lpstr>XDO_?YTM?537?</vt:lpstr>
      <vt:lpstr>XDO_?YTM?538?</vt:lpstr>
      <vt:lpstr>XDO_?YTM?539?</vt:lpstr>
      <vt:lpstr>XDO_?YTM?54?</vt:lpstr>
      <vt:lpstr>XDO_?YTM?540?</vt:lpstr>
      <vt:lpstr>XDO_?YTM?541?</vt:lpstr>
      <vt:lpstr>XDO_?YTM?542?</vt:lpstr>
      <vt:lpstr>XDO_?YTM?543?</vt:lpstr>
      <vt:lpstr>XDO_?YTM?544?</vt:lpstr>
      <vt:lpstr>XDO_?YTM?545?</vt:lpstr>
      <vt:lpstr>XDO_?YTM?546?</vt:lpstr>
      <vt:lpstr>XDO_?YTM?547?</vt:lpstr>
      <vt:lpstr>XDO_?YTM?548?</vt:lpstr>
      <vt:lpstr>XDO_?YTM?549?</vt:lpstr>
      <vt:lpstr>XDO_?YTM?550?</vt:lpstr>
      <vt:lpstr>XDO_?YTM?551?</vt:lpstr>
      <vt:lpstr>XDO_?YTM?552?</vt:lpstr>
      <vt:lpstr>XDO_?YTM?553?</vt:lpstr>
      <vt:lpstr>XDO_?YTM?554?</vt:lpstr>
      <vt:lpstr>XDO_?YTM?555?</vt:lpstr>
      <vt:lpstr>XDO_?YTM?556?</vt:lpstr>
      <vt:lpstr>XDO_?YTM?557?</vt:lpstr>
      <vt:lpstr>XDO_?YTM?558?</vt:lpstr>
      <vt:lpstr>XDO_?YTM?559?</vt:lpstr>
      <vt:lpstr>XDO_?YTM?560?</vt:lpstr>
      <vt:lpstr>XDO_?YTM?561?</vt:lpstr>
      <vt:lpstr>XDO_?YTM?562?</vt:lpstr>
      <vt:lpstr>XDO_?YTM?563?</vt:lpstr>
      <vt:lpstr>XDO_?YTM?564?</vt:lpstr>
      <vt:lpstr>XDO_?YTM?565?</vt:lpstr>
      <vt:lpstr>XDO_?YTM?566?</vt:lpstr>
      <vt:lpstr>XDO_?YTM?567?</vt:lpstr>
      <vt:lpstr>XDO_?YTM?568?</vt:lpstr>
      <vt:lpstr>XDO_?YTM?569?</vt:lpstr>
      <vt:lpstr>XDO_?YTM?570?</vt:lpstr>
      <vt:lpstr>XDO_?YTM?571?</vt:lpstr>
      <vt:lpstr>XDO_?YTM?572?</vt:lpstr>
      <vt:lpstr>XDO_?YTM?573?</vt:lpstr>
      <vt:lpstr>XDO_?YTM?574?</vt:lpstr>
      <vt:lpstr>XDO_?YTM?575?</vt:lpstr>
      <vt:lpstr>XDO_?YTM?576?</vt:lpstr>
      <vt:lpstr>XDO_?YTM?577?</vt:lpstr>
      <vt:lpstr>XDO_?YTM?578?</vt:lpstr>
      <vt:lpstr>XDO_?YTM?579?</vt:lpstr>
      <vt:lpstr>XDO_?YTM?580?</vt:lpstr>
      <vt:lpstr>XDO_?YTM?581?</vt:lpstr>
      <vt:lpstr>XDO_?YTM?582?</vt:lpstr>
      <vt:lpstr>XDO_?YTM?583?</vt:lpstr>
      <vt:lpstr>XDO_?YTM?584?</vt:lpstr>
      <vt:lpstr>XDO_?YTM?585?</vt:lpstr>
      <vt:lpstr>XDO_?YTM?586?</vt:lpstr>
      <vt:lpstr>XDO_?YTM?587?</vt:lpstr>
      <vt:lpstr>XDO_?YTM?588?</vt:lpstr>
      <vt:lpstr>XDO_?YTM?589?</vt:lpstr>
      <vt:lpstr>XDO_?YTM?590?</vt:lpstr>
      <vt:lpstr>XDO_?YTM?591?</vt:lpstr>
      <vt:lpstr>XDO_?YTM?592?</vt:lpstr>
      <vt:lpstr>XDO_?YTM?593?</vt:lpstr>
      <vt:lpstr>XDO_?YTM?594?</vt:lpstr>
      <vt:lpstr>XDO_?YTM?595?</vt:lpstr>
      <vt:lpstr>XDO_?YTM?596?</vt:lpstr>
      <vt:lpstr>XDO_?YTM?597?</vt:lpstr>
      <vt:lpstr>XDO_?YTM?598?</vt:lpstr>
      <vt:lpstr>XDO_?YTM?599?</vt:lpstr>
      <vt:lpstr>XDO_?YTM?600?</vt:lpstr>
      <vt:lpstr>XDO_?YTM?601?</vt:lpstr>
      <vt:lpstr>XDO_?YTM?602?</vt:lpstr>
      <vt:lpstr>XDO_?YTM?603?</vt:lpstr>
      <vt:lpstr>XDO_?YTM?604?</vt:lpstr>
      <vt:lpstr>XDO_?YTM?605?</vt:lpstr>
      <vt:lpstr>XDO_?YTM?606?</vt:lpstr>
      <vt:lpstr>XDO_?YTM?607?</vt:lpstr>
      <vt:lpstr>XDO_?YTM?608?</vt:lpstr>
      <vt:lpstr>XDO_?YTM?609?</vt:lpstr>
      <vt:lpstr>XDO_?YTM?61?</vt:lpstr>
      <vt:lpstr>XDO_?YTM?610?</vt:lpstr>
      <vt:lpstr>XDO_?YTM?611?</vt:lpstr>
      <vt:lpstr>XDO_?YTM?612?</vt:lpstr>
      <vt:lpstr>XDO_?YTM?613?</vt:lpstr>
      <vt:lpstr>XDO_?YTM?614?</vt:lpstr>
      <vt:lpstr>XDO_?YTM?615?</vt:lpstr>
      <vt:lpstr>XDO_?YTM?616?</vt:lpstr>
      <vt:lpstr>XDO_?YTM?617?</vt:lpstr>
      <vt:lpstr>XDO_?YTM?618?</vt:lpstr>
      <vt:lpstr>XDO_?YTM?619?</vt:lpstr>
      <vt:lpstr>XDO_?YTM?62?</vt:lpstr>
      <vt:lpstr>XDO_?YTM?620?</vt:lpstr>
      <vt:lpstr>XDO_?YTM?621?</vt:lpstr>
      <vt:lpstr>XDO_?YTM?622?</vt:lpstr>
      <vt:lpstr>XDO_?YTM?623?</vt:lpstr>
      <vt:lpstr>XDO_?YTM?624?</vt:lpstr>
      <vt:lpstr>XDO_?YTM?625?</vt:lpstr>
      <vt:lpstr>XDO_?YTM?626?</vt:lpstr>
      <vt:lpstr>XDO_?YTM?627?</vt:lpstr>
      <vt:lpstr>XDO_?YTM?628?</vt:lpstr>
      <vt:lpstr>XDO_?YTM?629?</vt:lpstr>
      <vt:lpstr>XDO_?YTM?63?</vt:lpstr>
      <vt:lpstr>XDO_?YTM?630?</vt:lpstr>
      <vt:lpstr>XDO_?YTM?631?</vt:lpstr>
      <vt:lpstr>XDO_?YTM?632?</vt:lpstr>
      <vt:lpstr>XDO_?YTM?633?</vt:lpstr>
      <vt:lpstr>XDO_?YTM?634?</vt:lpstr>
      <vt:lpstr>XDO_?YTM?635?</vt:lpstr>
      <vt:lpstr>XDO_?YTM?636?</vt:lpstr>
      <vt:lpstr>XDO_?YTM?637?</vt:lpstr>
      <vt:lpstr>XDO_?YTM?638?</vt:lpstr>
      <vt:lpstr>XDO_?YTM?639?</vt:lpstr>
      <vt:lpstr>XDO_?YTM?64?</vt:lpstr>
      <vt:lpstr>XDO_?YTM?640?</vt:lpstr>
      <vt:lpstr>XDO_?YTM?641?</vt:lpstr>
      <vt:lpstr>XDO_?YTM?642?</vt:lpstr>
      <vt:lpstr>XDO_?YTM?643?</vt:lpstr>
      <vt:lpstr>XDO_?YTM?644?</vt:lpstr>
      <vt:lpstr>XDO_?YTM?645?</vt:lpstr>
      <vt:lpstr>XDO_?YTM?646?</vt:lpstr>
      <vt:lpstr>XDO_?YTM?647?</vt:lpstr>
      <vt:lpstr>XDO_?YTM?648?</vt:lpstr>
      <vt:lpstr>XDO_?YTM?649?</vt:lpstr>
      <vt:lpstr>XDO_?YTM?65?</vt:lpstr>
      <vt:lpstr>XDO_?YTM?650?</vt:lpstr>
      <vt:lpstr>XDO_?YTM?651?</vt:lpstr>
      <vt:lpstr>XDO_?YTM?652?</vt:lpstr>
      <vt:lpstr>XDO_?YTM?653?</vt:lpstr>
      <vt:lpstr>XDO_?YTM?654?</vt:lpstr>
      <vt:lpstr>XDO_?YTM?655?</vt:lpstr>
      <vt:lpstr>XDO_?YTM?656?</vt:lpstr>
      <vt:lpstr>XDO_?YTM?657?</vt:lpstr>
      <vt:lpstr>XDO_?YTM?658?</vt:lpstr>
      <vt:lpstr>XDO_?YTM?659?</vt:lpstr>
      <vt:lpstr>XDO_?YTM?66?</vt:lpstr>
      <vt:lpstr>XDO_?YTM?660?</vt:lpstr>
      <vt:lpstr>XDO_?YTM?661?</vt:lpstr>
      <vt:lpstr>XDO_?YTM?662?</vt:lpstr>
      <vt:lpstr>XDO_?YTM?663?</vt:lpstr>
      <vt:lpstr>XDO_?YTM?664?</vt:lpstr>
      <vt:lpstr>XDO_?YTM?665?</vt:lpstr>
      <vt:lpstr>XDO_?YTM?666?</vt:lpstr>
      <vt:lpstr>XDO_?YTM?667?</vt:lpstr>
      <vt:lpstr>XDO_?YTM?668?</vt:lpstr>
      <vt:lpstr>XDO_?YTM?669?</vt:lpstr>
      <vt:lpstr>XDO_?YTM?67?</vt:lpstr>
      <vt:lpstr>XDO_?YTM?670?</vt:lpstr>
      <vt:lpstr>XDO_?YTM?671?</vt:lpstr>
      <vt:lpstr>XDO_?YTM?672?</vt:lpstr>
      <vt:lpstr>XDO_?YTM?673?</vt:lpstr>
      <vt:lpstr>XDO_?YTM?674?</vt:lpstr>
      <vt:lpstr>XDO_?YTM?675?</vt:lpstr>
      <vt:lpstr>XDO_?YTM?676?</vt:lpstr>
      <vt:lpstr>XDO_?YTM?677?</vt:lpstr>
      <vt:lpstr>XDO_?YTM?678?</vt:lpstr>
      <vt:lpstr>XDO_?YTM?679?</vt:lpstr>
      <vt:lpstr>XDO_?YTM?68?</vt:lpstr>
      <vt:lpstr>XDO_?YTM?680?</vt:lpstr>
      <vt:lpstr>XDO_?YTM?681?</vt:lpstr>
      <vt:lpstr>XDO_?YTM?682?</vt:lpstr>
      <vt:lpstr>XDO_?YTM?683?</vt:lpstr>
      <vt:lpstr>XDO_?YTM?684?</vt:lpstr>
      <vt:lpstr>XDO_?YTM?685?</vt:lpstr>
      <vt:lpstr>XDO_?YTM?686?</vt:lpstr>
      <vt:lpstr>XDO_?YTM?687?</vt:lpstr>
      <vt:lpstr>XDO_?YTM?688?</vt:lpstr>
      <vt:lpstr>XDO_?YTM?689?</vt:lpstr>
      <vt:lpstr>XDO_?YTM?690?</vt:lpstr>
      <vt:lpstr>XDO_?YTM?691?</vt:lpstr>
      <vt:lpstr>XDO_?YTM?692?</vt:lpstr>
      <vt:lpstr>XDO_?YTM?76?</vt:lpstr>
      <vt:lpstr>XDO_?YTM?77?</vt:lpstr>
      <vt:lpstr>XDO_?YTM?78?</vt:lpstr>
      <vt:lpstr>XDO_?YTM?79?</vt:lpstr>
      <vt:lpstr>XDO_?YTM?84?</vt:lpstr>
      <vt:lpstr>XDO_?YTM?85?</vt:lpstr>
      <vt:lpstr>XDO_?YTM?86?</vt:lpstr>
      <vt:lpstr>XDO_?YTM?87?</vt:lpstr>
      <vt:lpstr>XDO_?YTM?88?</vt:lpstr>
      <vt:lpstr>XDO_?YTM?89?</vt:lpstr>
      <vt:lpstr>XDO_?YTM?90?</vt:lpstr>
      <vt:lpstr>XDO_?YTM?91?</vt:lpstr>
      <vt:lpstr>XDO_?YTM?92?</vt:lpstr>
      <vt:lpstr>XDO_?YTM?93?</vt:lpstr>
      <vt:lpstr>XDO_?YTM?94?</vt:lpstr>
      <vt:lpstr>XDO_?YTM?95?</vt:lpstr>
      <vt:lpstr>XDO_?YTM?96?</vt:lpstr>
      <vt:lpstr>XDO_?YTM?97?</vt:lpstr>
      <vt:lpstr>XDO_?YTM?98?</vt:lpstr>
      <vt:lpstr>XDO_?YTM?99?</vt:lpstr>
      <vt:lpstr>XDO_GROUP_?G_2?100?</vt:lpstr>
      <vt:lpstr>XDO_GROUP_?G_2?101?</vt:lpstr>
      <vt:lpstr>XDO_GROUP_?G_2?102?</vt:lpstr>
      <vt:lpstr>XDO_GROUP_?G_2?103?</vt:lpstr>
      <vt:lpstr>XDO_GROUP_?G_2?104?</vt:lpstr>
      <vt:lpstr>XDO_GROUP_?G_2?105?</vt:lpstr>
      <vt:lpstr>XDO_GROUP_?G_2?106?</vt:lpstr>
      <vt:lpstr>XDO_GROUP_?G_2?107?</vt:lpstr>
      <vt:lpstr>XDO_GROUP_?G_2?108?</vt:lpstr>
      <vt:lpstr>XDO_GROUP_?G_2?109?</vt:lpstr>
      <vt:lpstr>XDO_GROUP_?G_2?110?</vt:lpstr>
      <vt:lpstr>XDO_GROUP_?G_2?111?</vt:lpstr>
      <vt:lpstr>XDO_GROUP_?G_2?112?</vt:lpstr>
      <vt:lpstr>XDO_GROUP_?G_2?113?</vt:lpstr>
      <vt:lpstr>XDO_GROUP_?G_2?114?</vt:lpstr>
      <vt:lpstr>XDO_GROUP_?G_2?115?</vt:lpstr>
      <vt:lpstr>XDO_GROUP_?G_2?116?</vt:lpstr>
      <vt:lpstr>XDO_GROUP_?G_2?117?</vt:lpstr>
      <vt:lpstr>XDO_GROUP_?G_2?118?</vt:lpstr>
      <vt:lpstr>XDO_GROUP_?G_2?119?</vt:lpstr>
      <vt:lpstr>XDO_GROUP_?G_2?120?</vt:lpstr>
      <vt:lpstr>XDO_GROUP_?G_2?121?</vt:lpstr>
      <vt:lpstr>XDO_GROUP_?G_2?122?</vt:lpstr>
      <vt:lpstr>XDO_GROUP_?G_2?123?</vt:lpstr>
      <vt:lpstr>XDO_GROUP_?G_2?124?</vt:lpstr>
      <vt:lpstr>XDO_GROUP_?G_2?125?</vt:lpstr>
      <vt:lpstr>XDO_GROUP_?G_2?126?</vt:lpstr>
      <vt:lpstr>XDO_GROUP_?G_2?127?</vt:lpstr>
      <vt:lpstr>XDO_GROUP_?G_2?128?</vt:lpstr>
      <vt:lpstr>XDO_GROUP_?G_2?129?</vt:lpstr>
      <vt:lpstr>XDO_GROUP_?G_2?13?</vt:lpstr>
      <vt:lpstr>XDO_GROUP_?G_2?130?</vt:lpstr>
      <vt:lpstr>XDO_GROUP_?G_2?131?</vt:lpstr>
      <vt:lpstr>XDO_GROUP_?G_2?132?</vt:lpstr>
      <vt:lpstr>XDO_GROUP_?G_2?133?</vt:lpstr>
      <vt:lpstr>XDO_GROUP_?G_2?134?</vt:lpstr>
      <vt:lpstr>XDO_GROUP_?G_2?135?</vt:lpstr>
      <vt:lpstr>XDO_GROUP_?G_2?136?</vt:lpstr>
      <vt:lpstr>XDO_GROUP_?G_2?137?</vt:lpstr>
      <vt:lpstr>XDO_GROUP_?G_2?138?</vt:lpstr>
      <vt:lpstr>XDO_GROUP_?G_2?139?</vt:lpstr>
      <vt:lpstr>XDO_GROUP_?G_2?14?</vt:lpstr>
      <vt:lpstr>XDO_GROUP_?G_2?140?</vt:lpstr>
      <vt:lpstr>XDO_GROUP_?G_2?141?</vt:lpstr>
      <vt:lpstr>XDO_GROUP_?G_2?142?</vt:lpstr>
      <vt:lpstr>XDO_GROUP_?G_2?143?</vt:lpstr>
      <vt:lpstr>XDO_GROUP_?G_2?144?</vt:lpstr>
      <vt:lpstr>XDO_GROUP_?G_2?145?</vt:lpstr>
      <vt:lpstr>XDO_GROUP_?G_2?146?</vt:lpstr>
      <vt:lpstr>XDO_GROUP_?G_2?147?</vt:lpstr>
      <vt:lpstr>XDO_GROUP_?G_2?148?</vt:lpstr>
      <vt:lpstr>XDO_GROUP_?G_2?149?</vt:lpstr>
      <vt:lpstr>XDO_GROUP_?G_2?150?</vt:lpstr>
      <vt:lpstr>XDO_GROUP_?G_2?151?</vt:lpstr>
      <vt:lpstr>XDO_GROUP_?G_2?152?</vt:lpstr>
      <vt:lpstr>XDO_GROUP_?G_2?153?</vt:lpstr>
      <vt:lpstr>XDO_GROUP_?G_2?154?</vt:lpstr>
      <vt:lpstr>XDO_GROUP_?G_2?155?</vt:lpstr>
      <vt:lpstr>XDO_GROUP_?G_2?156?</vt:lpstr>
      <vt:lpstr>XDO_GROUP_?G_2?157?</vt:lpstr>
      <vt:lpstr>XDO_GROUP_?G_2?158?</vt:lpstr>
      <vt:lpstr>XDO_GROUP_?G_2?159?</vt:lpstr>
      <vt:lpstr>XDO_GROUP_?G_2?17?</vt:lpstr>
      <vt:lpstr>XDO_GROUP_?G_2?20?</vt:lpstr>
      <vt:lpstr>XDO_GROUP_?G_2?24?</vt:lpstr>
      <vt:lpstr>XDO_GROUP_?G_2?27?</vt:lpstr>
      <vt:lpstr>XDO_GROUP_?G_2?28?</vt:lpstr>
      <vt:lpstr>XDO_GROUP_?G_2?29?</vt:lpstr>
      <vt:lpstr>XDO_GROUP_?G_2?30?</vt:lpstr>
      <vt:lpstr>XDO_GROUP_?G_2?31?</vt:lpstr>
      <vt:lpstr>XDO_GROUP_?G_2?32?</vt:lpstr>
      <vt:lpstr>XDO_GROUP_?G_2?33?</vt:lpstr>
      <vt:lpstr>XDO_GROUP_?G_2?34?</vt:lpstr>
      <vt:lpstr>XDO_GROUP_?G_2?35?</vt:lpstr>
      <vt:lpstr>XDO_GROUP_?G_2?36?</vt:lpstr>
      <vt:lpstr>XDO_GROUP_?G_2?37?</vt:lpstr>
      <vt:lpstr>XDO_GROUP_?G_2?38?</vt:lpstr>
      <vt:lpstr>XDO_GROUP_?G_2?39?</vt:lpstr>
      <vt:lpstr>XDO_GROUP_?G_2?40?</vt:lpstr>
      <vt:lpstr>XDO_GROUP_?G_2?41?</vt:lpstr>
      <vt:lpstr>XDO_GROUP_?G_2?42?</vt:lpstr>
      <vt:lpstr>XDO_GROUP_?G_2?43?</vt:lpstr>
      <vt:lpstr>XDO_GROUP_?G_2?44?</vt:lpstr>
      <vt:lpstr>XDO_GROUP_?G_2?45?</vt:lpstr>
      <vt:lpstr>XDO_GROUP_?G_2?46?</vt:lpstr>
      <vt:lpstr>XDO_GROUP_?G_2?47?</vt:lpstr>
      <vt:lpstr>XDO_GROUP_?G_2?48?</vt:lpstr>
      <vt:lpstr>XDO_GROUP_?G_2?49?</vt:lpstr>
      <vt:lpstr>XDO_GROUP_?G_2?50?</vt:lpstr>
      <vt:lpstr>XDO_GROUP_?G_2?51?</vt:lpstr>
      <vt:lpstr>XDO_GROUP_?G_2?52?</vt:lpstr>
      <vt:lpstr>XDO_GROUP_?G_2?53?</vt:lpstr>
      <vt:lpstr>XDO_GROUP_?G_2?54?</vt:lpstr>
      <vt:lpstr>XDO_GROUP_?G_2?55?</vt:lpstr>
      <vt:lpstr>XDO_GROUP_?G_2?56?</vt:lpstr>
      <vt:lpstr>XDO_GROUP_?G_2?57?</vt:lpstr>
      <vt:lpstr>XDO_GROUP_?G_2?58?</vt:lpstr>
      <vt:lpstr>XDO_GROUP_?G_2?59?</vt:lpstr>
      <vt:lpstr>XDO_GROUP_?G_2?6?</vt:lpstr>
      <vt:lpstr>XDO_GROUP_?G_2?60?</vt:lpstr>
      <vt:lpstr>XDO_GROUP_?G_2?61?</vt:lpstr>
      <vt:lpstr>XDO_GROUP_?G_2?62?</vt:lpstr>
      <vt:lpstr>XDO_GROUP_?G_2?63?</vt:lpstr>
      <vt:lpstr>XDO_GROUP_?G_2?64?</vt:lpstr>
      <vt:lpstr>XDO_GROUP_?G_2?65?</vt:lpstr>
      <vt:lpstr>XDO_GROUP_?G_2?66?</vt:lpstr>
      <vt:lpstr>XDO_GROUP_?G_2?67?</vt:lpstr>
      <vt:lpstr>XDO_GROUP_?G_2?68?</vt:lpstr>
      <vt:lpstr>XDO_GROUP_?G_2?69?</vt:lpstr>
      <vt:lpstr>XDO_GROUP_?G_2?70?</vt:lpstr>
      <vt:lpstr>XDO_GROUP_?G_2?71?</vt:lpstr>
      <vt:lpstr>XDO_GROUP_?G_2?72?</vt:lpstr>
      <vt:lpstr>XDO_GROUP_?G_2?73?</vt:lpstr>
      <vt:lpstr>XDO_GROUP_?G_2?74?</vt:lpstr>
      <vt:lpstr>XDO_GROUP_?G_2?75?</vt:lpstr>
      <vt:lpstr>XDO_GROUP_?G_2?76?</vt:lpstr>
      <vt:lpstr>XDO_GROUP_?G_2?77?</vt:lpstr>
      <vt:lpstr>XDO_GROUP_?G_2?78?</vt:lpstr>
      <vt:lpstr>XDO_GROUP_?G_2?79?</vt:lpstr>
      <vt:lpstr>XDO_GROUP_?G_2?80?</vt:lpstr>
      <vt:lpstr>XDO_GROUP_?G_2?81?</vt:lpstr>
      <vt:lpstr>XDO_GROUP_?G_2?82?</vt:lpstr>
      <vt:lpstr>XDO_GROUP_?G_2?83?</vt:lpstr>
      <vt:lpstr>XDO_GROUP_?G_2?84?</vt:lpstr>
      <vt:lpstr>XDO_GROUP_?G_2?85?</vt:lpstr>
      <vt:lpstr>XDO_GROUP_?G_2?86?</vt:lpstr>
      <vt:lpstr>XDO_GROUP_?G_2?87?</vt:lpstr>
      <vt:lpstr>XDO_GROUP_?G_2?88?</vt:lpstr>
      <vt:lpstr>XDO_GROUP_?G_2?89?</vt:lpstr>
      <vt:lpstr>XDO_GROUP_?G_2?90?</vt:lpstr>
      <vt:lpstr>XDO_GROUP_?G_2?91?</vt:lpstr>
      <vt:lpstr>XDO_GROUP_?G_2?92?</vt:lpstr>
      <vt:lpstr>XDO_GROUP_?G_2?93?</vt:lpstr>
      <vt:lpstr>XDO_GROUP_?G_2?94?</vt:lpstr>
      <vt:lpstr>XDO_GROUP_?G_2?95?</vt:lpstr>
      <vt:lpstr>XDO_GROUP_?G_2?96?</vt:lpstr>
      <vt:lpstr>XDO_GROUP_?G_2?97?</vt:lpstr>
      <vt:lpstr>XDO_GROUP_?G_2?98?</vt:lpstr>
      <vt:lpstr>XDO_GROUP_?G_2?99?</vt:lpstr>
      <vt:lpstr>XDO_GROUP_?G_3?100?</vt:lpstr>
      <vt:lpstr>XDO_GROUP_?G_3?101?</vt:lpstr>
      <vt:lpstr>XDO_GROUP_?G_3?102?</vt:lpstr>
      <vt:lpstr>XDO_GROUP_?G_3?103?</vt:lpstr>
      <vt:lpstr>XDO_GROUP_?G_3?104?</vt:lpstr>
      <vt:lpstr>XDO_GROUP_?G_3?105?</vt:lpstr>
      <vt:lpstr>XDO_GROUP_?G_3?106?</vt:lpstr>
      <vt:lpstr>XDO_GROUP_?G_3?107?</vt:lpstr>
      <vt:lpstr>XDO_GROUP_?G_3?108?</vt:lpstr>
      <vt:lpstr>XDO_GROUP_?G_3?109?</vt:lpstr>
      <vt:lpstr>XDO_GROUP_?G_3?110?</vt:lpstr>
      <vt:lpstr>XDO_GROUP_?G_3?111?</vt:lpstr>
      <vt:lpstr>XDO_GROUP_?G_3?112?</vt:lpstr>
      <vt:lpstr>XDO_GROUP_?G_3?113?</vt:lpstr>
      <vt:lpstr>XDO_GROUP_?G_3?114?</vt:lpstr>
      <vt:lpstr>XDO_GROUP_?G_3?115?</vt:lpstr>
      <vt:lpstr>XDO_GROUP_?G_3?116?</vt:lpstr>
      <vt:lpstr>XDO_GROUP_?G_3?117?</vt:lpstr>
      <vt:lpstr>XDO_GROUP_?G_3?118?</vt:lpstr>
      <vt:lpstr>XDO_GROUP_?G_3?119?</vt:lpstr>
      <vt:lpstr>XDO_GROUP_?G_3?120?</vt:lpstr>
      <vt:lpstr>XDO_GROUP_?G_3?121?</vt:lpstr>
      <vt:lpstr>XDO_GROUP_?G_3?122?</vt:lpstr>
      <vt:lpstr>XDO_GROUP_?G_3?123?</vt:lpstr>
      <vt:lpstr>XDO_GROUP_?G_3?124?</vt:lpstr>
      <vt:lpstr>XDO_GROUP_?G_3?125?</vt:lpstr>
      <vt:lpstr>XDO_GROUP_?G_3?126?</vt:lpstr>
      <vt:lpstr>XDO_GROUP_?G_3?127?</vt:lpstr>
      <vt:lpstr>XDO_GROUP_?G_3?128?</vt:lpstr>
      <vt:lpstr>XDO_GROUP_?G_3?129?</vt:lpstr>
      <vt:lpstr>XDO_GROUP_?G_3?13?</vt:lpstr>
      <vt:lpstr>XDO_GROUP_?G_3?130?</vt:lpstr>
      <vt:lpstr>XDO_GROUP_?G_3?131?</vt:lpstr>
      <vt:lpstr>XDO_GROUP_?G_3?132?</vt:lpstr>
      <vt:lpstr>XDO_GROUP_?G_3?133?</vt:lpstr>
      <vt:lpstr>XDO_GROUP_?G_3?134?</vt:lpstr>
      <vt:lpstr>XDO_GROUP_?G_3?135?</vt:lpstr>
      <vt:lpstr>XDO_GROUP_?G_3?136?</vt:lpstr>
      <vt:lpstr>XDO_GROUP_?G_3?137?</vt:lpstr>
      <vt:lpstr>XDO_GROUP_?G_3?138?</vt:lpstr>
      <vt:lpstr>XDO_GROUP_?G_3?139?</vt:lpstr>
      <vt:lpstr>XDO_GROUP_?G_3?14?</vt:lpstr>
      <vt:lpstr>XDO_GROUP_?G_3?140?</vt:lpstr>
      <vt:lpstr>XDO_GROUP_?G_3?141?</vt:lpstr>
      <vt:lpstr>XDO_GROUP_?G_3?142?</vt:lpstr>
      <vt:lpstr>XDO_GROUP_?G_3?143?</vt:lpstr>
      <vt:lpstr>XDO_GROUP_?G_3?144?</vt:lpstr>
      <vt:lpstr>XDO_GROUP_?G_3?145?</vt:lpstr>
      <vt:lpstr>XDO_GROUP_?G_3?146?</vt:lpstr>
      <vt:lpstr>XDO_GROUP_?G_3?147?</vt:lpstr>
      <vt:lpstr>XDO_GROUP_?G_3?148?</vt:lpstr>
      <vt:lpstr>XDO_GROUP_?G_3?149?</vt:lpstr>
      <vt:lpstr>XDO_GROUP_?G_3?150?</vt:lpstr>
      <vt:lpstr>XDO_GROUP_?G_3?151?</vt:lpstr>
      <vt:lpstr>XDO_GROUP_?G_3?152?</vt:lpstr>
      <vt:lpstr>XDO_GROUP_?G_3?153?</vt:lpstr>
      <vt:lpstr>XDO_GROUP_?G_3?154?</vt:lpstr>
      <vt:lpstr>XDO_GROUP_?G_3?155?</vt:lpstr>
      <vt:lpstr>XDO_GROUP_?G_3?156?</vt:lpstr>
      <vt:lpstr>XDO_GROUP_?G_3?157?</vt:lpstr>
      <vt:lpstr>XDO_GROUP_?G_3?158?</vt:lpstr>
      <vt:lpstr>XDO_GROUP_?G_3?159?</vt:lpstr>
      <vt:lpstr>XDO_GROUP_?G_3?17?</vt:lpstr>
      <vt:lpstr>XDO_GROUP_?G_3?20?</vt:lpstr>
      <vt:lpstr>XDO_GROUP_?G_3?24?</vt:lpstr>
      <vt:lpstr>XDO_GROUP_?G_3?27?</vt:lpstr>
      <vt:lpstr>XDO_GROUP_?G_3?28?</vt:lpstr>
      <vt:lpstr>XDO_GROUP_?G_3?29?</vt:lpstr>
      <vt:lpstr>XDO_GROUP_?G_3?30?</vt:lpstr>
      <vt:lpstr>XDO_GROUP_?G_3?31?</vt:lpstr>
      <vt:lpstr>XDO_GROUP_?G_3?32?</vt:lpstr>
      <vt:lpstr>XDO_GROUP_?G_3?33?</vt:lpstr>
      <vt:lpstr>XDO_GROUP_?G_3?34?</vt:lpstr>
      <vt:lpstr>XDO_GROUP_?G_3?35?</vt:lpstr>
      <vt:lpstr>XDO_GROUP_?G_3?36?</vt:lpstr>
      <vt:lpstr>XDO_GROUP_?G_3?37?</vt:lpstr>
      <vt:lpstr>XDO_GROUP_?G_3?38?</vt:lpstr>
      <vt:lpstr>XDO_GROUP_?G_3?39?</vt:lpstr>
      <vt:lpstr>XDO_GROUP_?G_3?40?</vt:lpstr>
      <vt:lpstr>XDO_GROUP_?G_3?41?</vt:lpstr>
      <vt:lpstr>XDO_GROUP_?G_3?42?</vt:lpstr>
      <vt:lpstr>XDO_GROUP_?G_3?43?</vt:lpstr>
      <vt:lpstr>XDO_GROUP_?G_3?44?</vt:lpstr>
      <vt:lpstr>XDO_GROUP_?G_3?45?</vt:lpstr>
      <vt:lpstr>XDO_GROUP_?G_3?46?</vt:lpstr>
      <vt:lpstr>XDO_GROUP_?G_3?47?</vt:lpstr>
      <vt:lpstr>XDO_GROUP_?G_3?48?</vt:lpstr>
      <vt:lpstr>XDO_GROUP_?G_3?49?</vt:lpstr>
      <vt:lpstr>XDO_GROUP_?G_3?50?</vt:lpstr>
      <vt:lpstr>XDO_GROUP_?G_3?51?</vt:lpstr>
      <vt:lpstr>XDO_GROUP_?G_3?52?</vt:lpstr>
      <vt:lpstr>XDO_GROUP_?G_3?53?</vt:lpstr>
      <vt:lpstr>XDO_GROUP_?G_3?54?</vt:lpstr>
      <vt:lpstr>XDO_GROUP_?G_3?55?</vt:lpstr>
      <vt:lpstr>XDO_GROUP_?G_3?56?</vt:lpstr>
      <vt:lpstr>XDO_GROUP_?G_3?57?</vt:lpstr>
      <vt:lpstr>XDO_GROUP_?G_3?58?</vt:lpstr>
      <vt:lpstr>XDO_GROUP_?G_3?59?</vt:lpstr>
      <vt:lpstr>XDO_GROUP_?G_3?6?</vt:lpstr>
      <vt:lpstr>XDO_GROUP_?G_3?60?</vt:lpstr>
      <vt:lpstr>XDO_GROUP_?G_3?61?</vt:lpstr>
      <vt:lpstr>XDO_GROUP_?G_3?62?</vt:lpstr>
      <vt:lpstr>XDO_GROUP_?G_3?63?</vt:lpstr>
      <vt:lpstr>XDO_GROUP_?G_3?64?</vt:lpstr>
      <vt:lpstr>XDO_GROUP_?G_3?65?</vt:lpstr>
      <vt:lpstr>XDO_GROUP_?G_3?66?</vt:lpstr>
      <vt:lpstr>XDO_GROUP_?G_3?67?</vt:lpstr>
      <vt:lpstr>XDO_GROUP_?G_3?68?</vt:lpstr>
      <vt:lpstr>XDO_GROUP_?G_3?69?</vt:lpstr>
      <vt:lpstr>XDO_GROUP_?G_3?70?</vt:lpstr>
      <vt:lpstr>XDO_GROUP_?G_3?71?</vt:lpstr>
      <vt:lpstr>XDO_GROUP_?G_3?72?</vt:lpstr>
      <vt:lpstr>XDO_GROUP_?G_3?73?</vt:lpstr>
      <vt:lpstr>XDO_GROUP_?G_3?74?</vt:lpstr>
      <vt:lpstr>XDO_GROUP_?G_3?75?</vt:lpstr>
      <vt:lpstr>XDO_GROUP_?G_3?76?</vt:lpstr>
      <vt:lpstr>XDO_GROUP_?G_3?77?</vt:lpstr>
      <vt:lpstr>XDO_GROUP_?G_3?78?</vt:lpstr>
      <vt:lpstr>XDO_GROUP_?G_3?79?</vt:lpstr>
      <vt:lpstr>XDO_GROUP_?G_3?80?</vt:lpstr>
      <vt:lpstr>XDO_GROUP_?G_3?81?</vt:lpstr>
      <vt:lpstr>XDO_GROUP_?G_3?82?</vt:lpstr>
      <vt:lpstr>XDO_GROUP_?G_3?83?</vt:lpstr>
      <vt:lpstr>XDO_GROUP_?G_3?84?</vt:lpstr>
      <vt:lpstr>XDO_GROUP_?G_3?85?</vt:lpstr>
      <vt:lpstr>XDO_GROUP_?G_3?86?</vt:lpstr>
      <vt:lpstr>XDO_GROUP_?G_3?87?</vt:lpstr>
      <vt:lpstr>XDO_GROUP_?G_3?88?</vt:lpstr>
      <vt:lpstr>XDO_GROUP_?G_3?89?</vt:lpstr>
      <vt:lpstr>XDO_GROUP_?G_3?90?</vt:lpstr>
      <vt:lpstr>XDO_GROUP_?G_3?91?</vt:lpstr>
      <vt:lpstr>XDO_GROUP_?G_3?92?</vt:lpstr>
      <vt:lpstr>XDO_GROUP_?G_3?93?</vt:lpstr>
      <vt:lpstr>XDO_GROUP_?G_3?94?</vt:lpstr>
      <vt:lpstr>XDO_GROUP_?G_3?95?</vt:lpstr>
      <vt:lpstr>XDO_GROUP_?G_3?96?</vt:lpstr>
      <vt:lpstr>XDO_GROUP_?G_3?97?</vt:lpstr>
      <vt:lpstr>XDO_GROUP_?G_3?98?</vt:lpstr>
      <vt:lpstr>XDO_GROUP_?G_3?99?</vt:lpstr>
      <vt:lpstr>XDO_GROUP_?G_4?100?</vt:lpstr>
      <vt:lpstr>XDO_GROUP_?G_4?101?</vt:lpstr>
      <vt:lpstr>XDO_GROUP_?G_4?102?</vt:lpstr>
      <vt:lpstr>XDO_GROUP_?G_4?103?</vt:lpstr>
      <vt:lpstr>XDO_GROUP_?G_4?104?</vt:lpstr>
      <vt:lpstr>XDO_GROUP_?G_4?105?</vt:lpstr>
      <vt:lpstr>XDO_GROUP_?G_4?106?</vt:lpstr>
      <vt:lpstr>XDO_GROUP_?G_4?107?</vt:lpstr>
      <vt:lpstr>XDO_GROUP_?G_4?108?</vt:lpstr>
      <vt:lpstr>XDO_GROUP_?G_4?109?</vt:lpstr>
      <vt:lpstr>XDO_GROUP_?G_4?110?</vt:lpstr>
      <vt:lpstr>XDO_GROUP_?G_4?111?</vt:lpstr>
      <vt:lpstr>XDO_GROUP_?G_4?112?</vt:lpstr>
      <vt:lpstr>XDO_GROUP_?G_4?113?</vt:lpstr>
      <vt:lpstr>XDO_GROUP_?G_4?114?</vt:lpstr>
      <vt:lpstr>XDO_GROUP_?G_4?115?</vt:lpstr>
      <vt:lpstr>XDO_GROUP_?G_4?116?</vt:lpstr>
      <vt:lpstr>XDO_GROUP_?G_4?117?</vt:lpstr>
      <vt:lpstr>XDO_GROUP_?G_4?118?</vt:lpstr>
      <vt:lpstr>XDO_GROUP_?G_4?119?</vt:lpstr>
      <vt:lpstr>XDO_GROUP_?G_4?12?</vt:lpstr>
      <vt:lpstr>XDO_GROUP_?G_4?120?</vt:lpstr>
      <vt:lpstr>XDO_GROUP_?G_4?121?</vt:lpstr>
      <vt:lpstr>XDO_GROUP_?G_4?122?</vt:lpstr>
      <vt:lpstr>XDO_GROUP_?G_4?123?</vt:lpstr>
      <vt:lpstr>XDO_GROUP_?G_4?124?</vt:lpstr>
      <vt:lpstr>XDO_GROUP_?G_4?125?</vt:lpstr>
      <vt:lpstr>XDO_GROUP_?G_4?126?</vt:lpstr>
      <vt:lpstr>XDO_GROUP_?G_4?127?</vt:lpstr>
      <vt:lpstr>XDO_GROUP_?G_4?128?</vt:lpstr>
      <vt:lpstr>XDO_GROUP_?G_4?129?</vt:lpstr>
      <vt:lpstr>XDO_GROUP_?G_4?13?</vt:lpstr>
      <vt:lpstr>XDO_GROUP_?G_4?130?</vt:lpstr>
      <vt:lpstr>XDO_GROUP_?G_4?131?</vt:lpstr>
      <vt:lpstr>XDO_GROUP_?G_4?132?</vt:lpstr>
      <vt:lpstr>XDO_GROUP_?G_4?133?</vt:lpstr>
      <vt:lpstr>XDO_GROUP_?G_4?134?</vt:lpstr>
      <vt:lpstr>XDO_GROUP_?G_4?135?</vt:lpstr>
      <vt:lpstr>XDO_GROUP_?G_4?136?</vt:lpstr>
      <vt:lpstr>XDO_GROUP_?G_4?137?</vt:lpstr>
      <vt:lpstr>XDO_GROUP_?G_4?138?</vt:lpstr>
      <vt:lpstr>XDO_GROUP_?G_4?139?</vt:lpstr>
      <vt:lpstr>XDO_GROUP_?G_4?14?</vt:lpstr>
      <vt:lpstr>XDO_GROUP_?G_4?140?</vt:lpstr>
      <vt:lpstr>XDO_GROUP_?G_4?141?</vt:lpstr>
      <vt:lpstr>XDO_GROUP_?G_4?142?</vt:lpstr>
      <vt:lpstr>XDO_GROUP_?G_4?143?</vt:lpstr>
      <vt:lpstr>XDO_GROUP_?G_4?144?</vt:lpstr>
      <vt:lpstr>XDO_GROUP_?G_4?145?</vt:lpstr>
      <vt:lpstr>XDO_GROUP_?G_4?146?</vt:lpstr>
      <vt:lpstr>XDO_GROUP_?G_4?147?</vt:lpstr>
      <vt:lpstr>XDO_GROUP_?G_4?148?</vt:lpstr>
      <vt:lpstr>XDO_GROUP_?G_4?149?</vt:lpstr>
      <vt:lpstr>XDO_GROUP_?G_4?15?</vt:lpstr>
      <vt:lpstr>XDO_GROUP_?G_4?150?</vt:lpstr>
      <vt:lpstr>XDO_GROUP_?G_4?151?</vt:lpstr>
      <vt:lpstr>XDO_GROUP_?G_4?152?</vt:lpstr>
      <vt:lpstr>XDO_GROUP_?G_4?153?</vt:lpstr>
      <vt:lpstr>XDO_GROUP_?G_4?154?</vt:lpstr>
      <vt:lpstr>XDO_GROUP_?G_4?155?</vt:lpstr>
      <vt:lpstr>XDO_GROUP_?G_4?156?</vt:lpstr>
      <vt:lpstr>XDO_GROUP_?G_4?157?</vt:lpstr>
      <vt:lpstr>XDO_GROUP_?G_4?158?</vt:lpstr>
      <vt:lpstr>XDO_GROUP_?G_4?159?</vt:lpstr>
      <vt:lpstr>XDO_GROUP_?G_4?16?</vt:lpstr>
      <vt:lpstr>XDO_GROUP_?G_4?160?</vt:lpstr>
      <vt:lpstr>XDO_GROUP_?G_4?161?</vt:lpstr>
      <vt:lpstr>XDO_GROUP_?G_4?162?</vt:lpstr>
      <vt:lpstr>XDO_GROUP_?G_4?163?</vt:lpstr>
      <vt:lpstr>XDO_GROUP_?G_4?164?</vt:lpstr>
      <vt:lpstr>XDO_GROUP_?G_4?165?</vt:lpstr>
      <vt:lpstr>XDO_GROUP_?G_4?166?</vt:lpstr>
      <vt:lpstr>XDO_GROUP_?G_4?167?</vt:lpstr>
      <vt:lpstr>XDO_GROUP_?G_4?168?</vt:lpstr>
      <vt:lpstr>XDO_GROUP_?G_4?169?</vt:lpstr>
      <vt:lpstr>XDO_GROUP_?G_4?17?</vt:lpstr>
      <vt:lpstr>XDO_GROUP_?G_4?170?</vt:lpstr>
      <vt:lpstr>XDO_GROUP_?G_4?171?</vt:lpstr>
      <vt:lpstr>XDO_GROUP_?G_4?172?</vt:lpstr>
      <vt:lpstr>XDO_GROUP_?G_4?173?</vt:lpstr>
      <vt:lpstr>XDO_GROUP_?G_4?174?</vt:lpstr>
      <vt:lpstr>XDO_GROUP_?G_4?175?</vt:lpstr>
      <vt:lpstr>XDO_GROUP_?G_4?176?</vt:lpstr>
      <vt:lpstr>XDO_GROUP_?G_4?177?</vt:lpstr>
      <vt:lpstr>XDO_GROUP_?G_4?178?</vt:lpstr>
      <vt:lpstr>XDO_GROUP_?G_4?179?</vt:lpstr>
      <vt:lpstr>XDO_GROUP_?G_4?180?</vt:lpstr>
      <vt:lpstr>XDO_GROUP_?G_4?181?</vt:lpstr>
      <vt:lpstr>XDO_GROUP_?G_4?182?</vt:lpstr>
      <vt:lpstr>XDO_GROUP_?G_4?183?</vt:lpstr>
      <vt:lpstr>XDO_GROUP_?G_4?184?</vt:lpstr>
      <vt:lpstr>XDO_GROUP_?G_4?185?</vt:lpstr>
      <vt:lpstr>XDO_GROUP_?G_4?186?</vt:lpstr>
      <vt:lpstr>XDO_GROUP_?G_4?187?</vt:lpstr>
      <vt:lpstr>XDO_GROUP_?G_4?188?</vt:lpstr>
      <vt:lpstr>XDO_GROUP_?G_4?189?</vt:lpstr>
      <vt:lpstr>XDO_GROUP_?G_4?190?</vt:lpstr>
      <vt:lpstr>XDO_GROUP_?G_4?191?</vt:lpstr>
      <vt:lpstr>XDO_GROUP_?G_4?192?</vt:lpstr>
      <vt:lpstr>XDO_GROUP_?G_4?193?</vt:lpstr>
      <vt:lpstr>XDO_GROUP_?G_4?194?</vt:lpstr>
      <vt:lpstr>XDO_GROUP_?G_4?195?</vt:lpstr>
      <vt:lpstr>XDO_GROUP_?G_4?196?</vt:lpstr>
      <vt:lpstr>XDO_GROUP_?G_4?197?</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lpstr>XDO_GROUP_?G_4?207?</vt:lpstr>
      <vt:lpstr>XDO_GROUP_?G_4?208?</vt:lpstr>
      <vt:lpstr>XDO_GROUP_?G_4?209?</vt:lpstr>
      <vt:lpstr>XDO_GROUP_?G_4?210?</vt:lpstr>
      <vt:lpstr>XDO_GROUP_?G_4?211?</vt:lpstr>
      <vt:lpstr>XDO_GROUP_?G_4?212?</vt:lpstr>
      <vt:lpstr>XDO_GROUP_?G_4?213?</vt:lpstr>
      <vt:lpstr>XDO_GROUP_?G_4?214?</vt:lpstr>
      <vt:lpstr>XDO_GROUP_?G_4?215?</vt:lpstr>
      <vt:lpstr>XDO_GROUP_?G_4?216?</vt:lpstr>
      <vt:lpstr>XDO_GROUP_?G_4?217?</vt:lpstr>
      <vt:lpstr>XDO_GROUP_?G_4?218?</vt:lpstr>
      <vt:lpstr>XDO_GROUP_?G_4?219?</vt:lpstr>
      <vt:lpstr>XDO_GROUP_?G_4?220?</vt:lpstr>
      <vt:lpstr>XDO_GROUP_?G_4?221?</vt:lpstr>
      <vt:lpstr>XDO_GROUP_?G_4?222?</vt:lpstr>
      <vt:lpstr>XDO_GROUP_?G_4?223?</vt:lpstr>
      <vt:lpstr>XDO_GROUP_?G_4?224?</vt:lpstr>
      <vt:lpstr>XDO_GROUP_?G_4?225?</vt:lpstr>
      <vt:lpstr>XDO_GROUP_?G_4?226?</vt:lpstr>
      <vt:lpstr>XDO_GROUP_?G_4?227?</vt:lpstr>
      <vt:lpstr>XDO_GROUP_?G_4?228?</vt:lpstr>
      <vt:lpstr>XDO_GROUP_?G_4?229?</vt:lpstr>
      <vt:lpstr>XDO_GROUP_?G_4?230?</vt:lpstr>
      <vt:lpstr>XDO_GROUP_?G_4?231?</vt:lpstr>
      <vt:lpstr>XDO_GROUP_?G_4?232?</vt:lpstr>
      <vt:lpstr>XDO_GROUP_?G_4?233?</vt:lpstr>
      <vt:lpstr>XDO_GROUP_?G_4?234?</vt:lpstr>
      <vt:lpstr>XDO_GROUP_?G_4?235?</vt:lpstr>
      <vt:lpstr>XDO_GROUP_?G_4?236?</vt:lpstr>
      <vt:lpstr>XDO_GROUP_?G_4?237?</vt:lpstr>
      <vt:lpstr>XDO_GROUP_?G_4?238?</vt:lpstr>
      <vt:lpstr>XDO_GROUP_?G_4?239?</vt:lpstr>
      <vt:lpstr>XDO_GROUP_?G_4?240?</vt:lpstr>
      <vt:lpstr>XDO_GROUP_?G_4?241?</vt:lpstr>
      <vt:lpstr>XDO_GROUP_?G_4?242?</vt:lpstr>
      <vt:lpstr>XDO_GROUP_?G_4?243?</vt:lpstr>
      <vt:lpstr>XDO_GROUP_?G_4?244?</vt:lpstr>
      <vt:lpstr>XDO_GROUP_?G_4?245?</vt:lpstr>
      <vt:lpstr>XDO_GROUP_?G_4?246?</vt:lpstr>
      <vt:lpstr>XDO_GROUP_?G_4?247?</vt:lpstr>
      <vt:lpstr>XDO_GROUP_?G_4?248?</vt:lpstr>
      <vt:lpstr>XDO_GROUP_?G_4?249?</vt:lpstr>
      <vt:lpstr>XDO_GROUP_?G_4?250?</vt:lpstr>
      <vt:lpstr>XDO_GROUP_?G_4?251?</vt:lpstr>
      <vt:lpstr>XDO_GROUP_?G_4?252?</vt:lpstr>
      <vt:lpstr>XDO_GROUP_?G_4?253?</vt:lpstr>
      <vt:lpstr>XDO_GROUP_?G_4?254?</vt:lpstr>
      <vt:lpstr>XDO_GROUP_?G_4?255?</vt:lpstr>
      <vt:lpstr>XDO_GROUP_?G_4?256?</vt:lpstr>
      <vt:lpstr>XDO_GROUP_?G_4?257?</vt:lpstr>
      <vt:lpstr>XDO_GROUP_?G_4?258?</vt:lpstr>
      <vt:lpstr>XDO_GROUP_?G_4?259?</vt:lpstr>
      <vt:lpstr>XDO_GROUP_?G_4?260?</vt:lpstr>
      <vt:lpstr>XDO_GROUP_?G_4?261?</vt:lpstr>
      <vt:lpstr>XDO_GROUP_?G_4?262?</vt:lpstr>
      <vt:lpstr>XDO_GROUP_?G_4?263?</vt:lpstr>
      <vt:lpstr>XDO_GROUP_?G_4?264?</vt:lpstr>
      <vt:lpstr>XDO_GROUP_?G_4?265?</vt:lpstr>
      <vt:lpstr>XDO_GROUP_?G_4?266?</vt:lpstr>
      <vt:lpstr>XDO_GROUP_?G_4?267?</vt:lpstr>
      <vt:lpstr>XDO_GROUP_?G_4?268?</vt:lpstr>
      <vt:lpstr>XDO_GROUP_?G_4?269?</vt:lpstr>
      <vt:lpstr>XDO_GROUP_?G_4?270?</vt:lpstr>
      <vt:lpstr>XDO_GROUP_?G_4?271?</vt:lpstr>
      <vt:lpstr>XDO_GROUP_?G_4?272?</vt:lpstr>
      <vt:lpstr>XDO_GROUP_?G_4?273?</vt:lpstr>
      <vt:lpstr>XDO_GROUP_?G_4?274?</vt:lpstr>
      <vt:lpstr>XDO_GROUP_?G_4?275?</vt:lpstr>
      <vt:lpstr>XDO_GROUP_?G_4?276?</vt:lpstr>
      <vt:lpstr>XDO_GROUP_?G_4?277?</vt:lpstr>
      <vt:lpstr>XDO_GROUP_?G_4?278?</vt:lpstr>
      <vt:lpstr>XDO_GROUP_?G_4?279?</vt:lpstr>
      <vt:lpstr>XDO_GROUP_?G_4?280?</vt:lpstr>
      <vt:lpstr>XDO_GROUP_?G_4?281?</vt:lpstr>
      <vt:lpstr>XDO_GROUP_?G_4?282?</vt:lpstr>
      <vt:lpstr>XDO_GROUP_?G_4?283?</vt:lpstr>
      <vt:lpstr>XDO_GROUP_?G_4?284?</vt:lpstr>
      <vt:lpstr>XDO_GROUP_?G_4?285?</vt:lpstr>
      <vt:lpstr>XDO_GROUP_?G_4?286?</vt:lpstr>
      <vt:lpstr>XDO_GROUP_?G_4?287?</vt:lpstr>
      <vt:lpstr>XDO_GROUP_?G_4?288?</vt:lpstr>
      <vt:lpstr>XDO_GROUP_?G_4?289?</vt:lpstr>
      <vt:lpstr>XDO_GROUP_?G_4?290?</vt:lpstr>
      <vt:lpstr>XDO_GROUP_?G_4?291?</vt:lpstr>
      <vt:lpstr>XDO_GROUP_?G_4?292?</vt:lpstr>
      <vt:lpstr>XDO_GROUP_?G_4?293?</vt:lpstr>
      <vt:lpstr>XDO_GROUP_?G_4?294?</vt:lpstr>
      <vt:lpstr>XDO_GROUP_?G_4?295?</vt:lpstr>
      <vt:lpstr>XDO_GROUP_?G_4?296?</vt:lpstr>
      <vt:lpstr>XDO_GROUP_?G_4?297?</vt:lpstr>
      <vt:lpstr>XDO_GROUP_?G_4?298?</vt:lpstr>
      <vt:lpstr>XDO_GROUP_?G_4?299?</vt:lpstr>
      <vt:lpstr>XDO_GROUP_?G_4?300?</vt:lpstr>
      <vt:lpstr>XDO_GROUP_?G_4?301?</vt:lpstr>
      <vt:lpstr>XDO_GROUP_?G_4?302?</vt:lpstr>
      <vt:lpstr>XDO_GROUP_?G_4?303?</vt:lpstr>
      <vt:lpstr>XDO_GROUP_?G_4?304?</vt:lpstr>
      <vt:lpstr>XDO_GROUP_?G_4?305?</vt:lpstr>
      <vt:lpstr>XDO_GROUP_?G_4?306?</vt:lpstr>
      <vt:lpstr>XDO_GROUP_?G_4?307?</vt:lpstr>
      <vt:lpstr>XDO_GROUP_?G_4?308?</vt:lpstr>
      <vt:lpstr>XDO_GROUP_?G_4?309?</vt:lpstr>
      <vt:lpstr>XDO_GROUP_?G_4?310?</vt:lpstr>
      <vt:lpstr>XDO_GROUP_?G_4?311?</vt:lpstr>
      <vt:lpstr>XDO_GROUP_?G_4?312?</vt:lpstr>
      <vt:lpstr>XDO_GROUP_?G_4?313?</vt:lpstr>
      <vt:lpstr>XDO_GROUP_?G_4?314?</vt:lpstr>
      <vt:lpstr>XDO_GROUP_?G_4?315?</vt:lpstr>
      <vt:lpstr>XDO_GROUP_?G_4?316?</vt:lpstr>
      <vt:lpstr>XDO_GROUP_?G_4?317?</vt:lpstr>
      <vt:lpstr>XDO_GROUP_?G_4?318?</vt:lpstr>
      <vt:lpstr>XDO_GROUP_?G_4?319?</vt:lpstr>
      <vt:lpstr>XDO_GROUP_?G_4?320?</vt:lpstr>
      <vt:lpstr>XDO_GROUP_?G_4?321?</vt:lpstr>
      <vt:lpstr>XDO_GROUP_?G_4?322?</vt:lpstr>
      <vt:lpstr>XDO_GROUP_?G_4?323?</vt:lpstr>
      <vt:lpstr>XDO_GROUP_?G_4?324?</vt:lpstr>
      <vt:lpstr>XDO_GROUP_?G_4?325?</vt:lpstr>
      <vt:lpstr>XDO_GROUP_?G_4?326?</vt:lpstr>
      <vt:lpstr>XDO_GROUP_?G_4?327?</vt:lpstr>
      <vt:lpstr>XDO_GROUP_?G_4?328?</vt:lpstr>
      <vt:lpstr>XDO_GROUP_?G_4?329?</vt:lpstr>
      <vt:lpstr>XDO_GROUP_?G_4?330?</vt:lpstr>
      <vt:lpstr>XDO_GROUP_?G_4?331?</vt:lpstr>
      <vt:lpstr>XDO_GROUP_?G_4?332?</vt:lpstr>
      <vt:lpstr>XDO_GROUP_?G_4?333?</vt:lpstr>
      <vt:lpstr>XDO_GROUP_?G_4?334?</vt:lpstr>
      <vt:lpstr>XDO_GROUP_?G_4?335?</vt:lpstr>
      <vt:lpstr>XDO_GROUP_?G_4?336?</vt:lpstr>
      <vt:lpstr>XDO_GROUP_?G_4?337?</vt:lpstr>
      <vt:lpstr>XDO_GROUP_?G_4?338?</vt:lpstr>
      <vt:lpstr>XDO_GROUP_?G_4?339?</vt:lpstr>
      <vt:lpstr>XDO_GROUP_?G_4?340?</vt:lpstr>
      <vt:lpstr>XDO_GROUP_?G_4?341?</vt:lpstr>
      <vt:lpstr>XDO_GROUP_?G_4?342?</vt:lpstr>
      <vt:lpstr>XDO_GROUP_?G_4?343?</vt:lpstr>
      <vt:lpstr>XDO_GROUP_?G_4?344?</vt:lpstr>
      <vt:lpstr>XDO_GROUP_?G_4?345?</vt:lpstr>
      <vt:lpstr>XDO_GROUP_?G_4?346?</vt:lpstr>
      <vt:lpstr>XDO_GROUP_?G_4?347?</vt:lpstr>
      <vt:lpstr>XDO_GROUP_?G_4?348?</vt:lpstr>
      <vt:lpstr>XDO_GROUP_?G_4?349?</vt:lpstr>
      <vt:lpstr>XDO_GROUP_?G_4?350?</vt:lpstr>
      <vt:lpstr>XDO_GROUP_?G_4?351?</vt:lpstr>
      <vt:lpstr>XDO_GROUP_?G_4?352?</vt:lpstr>
      <vt:lpstr>XDO_GROUP_?G_4?353?</vt:lpstr>
      <vt:lpstr>XDO_GROUP_?G_4?354?</vt:lpstr>
      <vt:lpstr>XDO_GROUP_?G_4?355?</vt:lpstr>
      <vt:lpstr>XDO_GROUP_?G_4?356?</vt:lpstr>
      <vt:lpstr>XDO_GROUP_?G_4?357?</vt:lpstr>
      <vt:lpstr>XDO_GROUP_?G_4?358?</vt:lpstr>
      <vt:lpstr>XDO_GROUP_?G_4?359?</vt:lpstr>
      <vt:lpstr>XDO_GROUP_?G_4?36?</vt:lpstr>
      <vt:lpstr>XDO_GROUP_?G_4?360?</vt:lpstr>
      <vt:lpstr>XDO_GROUP_?G_4?361?</vt:lpstr>
      <vt:lpstr>XDO_GROUP_?G_4?362?</vt:lpstr>
      <vt:lpstr>XDO_GROUP_?G_4?363?</vt:lpstr>
      <vt:lpstr>XDO_GROUP_?G_4?364?</vt:lpstr>
      <vt:lpstr>XDO_GROUP_?G_4?365?</vt:lpstr>
      <vt:lpstr>XDO_GROUP_?G_4?366?</vt:lpstr>
      <vt:lpstr>XDO_GROUP_?G_4?367?</vt:lpstr>
      <vt:lpstr>XDO_GROUP_?G_4?368?</vt:lpstr>
      <vt:lpstr>XDO_GROUP_?G_4?369?</vt:lpstr>
      <vt:lpstr>XDO_GROUP_?G_4?37?</vt:lpstr>
      <vt:lpstr>XDO_GROUP_?G_4?370?</vt:lpstr>
      <vt:lpstr>XDO_GROUP_?G_4?371?</vt:lpstr>
      <vt:lpstr>XDO_GROUP_?G_4?372?</vt:lpstr>
      <vt:lpstr>XDO_GROUP_?G_4?373?</vt:lpstr>
      <vt:lpstr>XDO_GROUP_?G_4?374?</vt:lpstr>
      <vt:lpstr>XDO_GROUP_?G_4?375?</vt:lpstr>
      <vt:lpstr>XDO_GROUP_?G_4?376?</vt:lpstr>
      <vt:lpstr>XDO_GROUP_?G_4?377?</vt:lpstr>
      <vt:lpstr>XDO_GROUP_?G_4?378?</vt:lpstr>
      <vt:lpstr>XDO_GROUP_?G_4?379?</vt:lpstr>
      <vt:lpstr>XDO_GROUP_?G_4?38?</vt:lpstr>
      <vt:lpstr>XDO_GROUP_?G_4?380?</vt:lpstr>
      <vt:lpstr>XDO_GROUP_?G_4?381?</vt:lpstr>
      <vt:lpstr>XDO_GROUP_?G_4?382?</vt:lpstr>
      <vt:lpstr>XDO_GROUP_?G_4?383?</vt:lpstr>
      <vt:lpstr>XDO_GROUP_?G_4?384?</vt:lpstr>
      <vt:lpstr>XDO_GROUP_?G_4?385?</vt:lpstr>
      <vt:lpstr>XDO_GROUP_?G_4?386?</vt:lpstr>
      <vt:lpstr>XDO_GROUP_?G_4?387?</vt:lpstr>
      <vt:lpstr>XDO_GROUP_?G_4?388?</vt:lpstr>
      <vt:lpstr>XDO_GROUP_?G_4?389?</vt:lpstr>
      <vt:lpstr>XDO_GROUP_?G_4?39?</vt:lpstr>
      <vt:lpstr>XDO_GROUP_?G_4?390?</vt:lpstr>
      <vt:lpstr>XDO_GROUP_?G_4?391?</vt:lpstr>
      <vt:lpstr>XDO_GROUP_?G_4?392?</vt:lpstr>
      <vt:lpstr>XDO_GROUP_?G_4?393?</vt:lpstr>
      <vt:lpstr>XDO_GROUP_?G_4?394?</vt:lpstr>
      <vt:lpstr>XDO_GROUP_?G_4?395?</vt:lpstr>
      <vt:lpstr>XDO_GROUP_?G_4?396?</vt:lpstr>
      <vt:lpstr>XDO_GROUP_?G_4?397?</vt:lpstr>
      <vt:lpstr>XDO_GROUP_?G_4?398?</vt:lpstr>
      <vt:lpstr>XDO_GROUP_?G_4?399?</vt:lpstr>
      <vt:lpstr>XDO_GROUP_?G_4?40?</vt:lpstr>
      <vt:lpstr>XDO_GROUP_?G_4?400?</vt:lpstr>
      <vt:lpstr>XDO_GROUP_?G_4?401?</vt:lpstr>
      <vt:lpstr>XDO_GROUP_?G_4?402?</vt:lpstr>
      <vt:lpstr>XDO_GROUP_?G_4?403?</vt:lpstr>
      <vt:lpstr>XDO_GROUP_?G_4?404?</vt:lpstr>
      <vt:lpstr>XDO_GROUP_?G_4?405?</vt:lpstr>
      <vt:lpstr>XDO_GROUP_?G_4?406?</vt:lpstr>
      <vt:lpstr>XDO_GROUP_?G_4?407?</vt:lpstr>
      <vt:lpstr>XDO_GROUP_?G_4?408?</vt:lpstr>
      <vt:lpstr>XDO_GROUP_?G_4?409?</vt:lpstr>
      <vt:lpstr>XDO_GROUP_?G_4?41?</vt:lpstr>
      <vt:lpstr>XDO_GROUP_?G_4?410?</vt:lpstr>
      <vt:lpstr>XDO_GROUP_?G_4?411?</vt:lpstr>
      <vt:lpstr>XDO_GROUP_?G_4?412?</vt:lpstr>
      <vt:lpstr>XDO_GROUP_?G_4?413?</vt:lpstr>
      <vt:lpstr>XDO_GROUP_?G_4?414?</vt:lpstr>
      <vt:lpstr>XDO_GROUP_?G_4?415?</vt:lpstr>
      <vt:lpstr>XDO_GROUP_?G_4?416?</vt:lpstr>
      <vt:lpstr>XDO_GROUP_?G_4?417?</vt:lpstr>
      <vt:lpstr>XDO_GROUP_?G_4?418?</vt:lpstr>
      <vt:lpstr>XDO_GROUP_?G_4?419?</vt:lpstr>
      <vt:lpstr>XDO_GROUP_?G_4?42?</vt:lpstr>
      <vt:lpstr>XDO_GROUP_?G_4?420?</vt:lpstr>
      <vt:lpstr>XDO_GROUP_?G_4?421?</vt:lpstr>
      <vt:lpstr>XDO_GROUP_?G_4?422?</vt:lpstr>
      <vt:lpstr>XDO_GROUP_?G_4?423?</vt:lpstr>
      <vt:lpstr>XDO_GROUP_?G_4?424?</vt:lpstr>
      <vt:lpstr>XDO_GROUP_?G_4?425?</vt:lpstr>
      <vt:lpstr>XDO_GROUP_?G_4?426?</vt:lpstr>
      <vt:lpstr>XDO_GROUP_?G_4?427?</vt:lpstr>
      <vt:lpstr>XDO_GROUP_?G_4?428?</vt:lpstr>
      <vt:lpstr>XDO_GROUP_?G_4?429?</vt:lpstr>
      <vt:lpstr>XDO_GROUP_?G_4?43?</vt:lpstr>
      <vt:lpstr>XDO_GROUP_?G_4?430?</vt:lpstr>
      <vt:lpstr>XDO_GROUP_?G_4?431?</vt:lpstr>
      <vt:lpstr>XDO_GROUP_?G_4?432?</vt:lpstr>
      <vt:lpstr>XDO_GROUP_?G_4?433?</vt:lpstr>
      <vt:lpstr>XDO_GROUP_?G_4?434?</vt:lpstr>
      <vt:lpstr>XDO_GROUP_?G_4?435?</vt:lpstr>
      <vt:lpstr>XDO_GROUP_?G_4?436?</vt:lpstr>
      <vt:lpstr>XDO_GROUP_?G_4?437?</vt:lpstr>
      <vt:lpstr>XDO_GROUP_?G_4?438?</vt:lpstr>
      <vt:lpstr>XDO_GROUP_?G_4?439?</vt:lpstr>
      <vt:lpstr>XDO_GROUP_?G_4?440?</vt:lpstr>
      <vt:lpstr>XDO_GROUP_?G_4?441?</vt:lpstr>
      <vt:lpstr>XDO_GROUP_?G_4?442?</vt:lpstr>
      <vt:lpstr>XDO_GROUP_?G_4?443?</vt:lpstr>
      <vt:lpstr>XDO_GROUP_?G_4?444?</vt:lpstr>
      <vt:lpstr>XDO_GROUP_?G_4?445?</vt:lpstr>
      <vt:lpstr>XDO_GROUP_?G_4?446?</vt:lpstr>
      <vt:lpstr>XDO_GROUP_?G_4?447?</vt:lpstr>
      <vt:lpstr>XDO_GROUP_?G_4?448?</vt:lpstr>
      <vt:lpstr>XDO_GROUP_?G_4?449?</vt:lpstr>
      <vt:lpstr>XDO_GROUP_?G_4?450?</vt:lpstr>
      <vt:lpstr>XDO_GROUP_?G_4?451?</vt:lpstr>
      <vt:lpstr>XDO_GROUP_?G_4?452?</vt:lpstr>
      <vt:lpstr>XDO_GROUP_?G_4?453?</vt:lpstr>
      <vt:lpstr>XDO_GROUP_?G_4?454?</vt:lpstr>
      <vt:lpstr>XDO_GROUP_?G_4?455?</vt:lpstr>
      <vt:lpstr>XDO_GROUP_?G_4?456?</vt:lpstr>
      <vt:lpstr>XDO_GROUP_?G_4?457?</vt:lpstr>
      <vt:lpstr>XDO_GROUP_?G_4?458?</vt:lpstr>
      <vt:lpstr>XDO_GROUP_?G_4?459?</vt:lpstr>
      <vt:lpstr>XDO_GROUP_?G_4?460?</vt:lpstr>
      <vt:lpstr>XDO_GROUP_?G_4?461?</vt:lpstr>
      <vt:lpstr>XDO_GROUP_?G_4?462?</vt:lpstr>
      <vt:lpstr>XDO_GROUP_?G_4?463?</vt:lpstr>
      <vt:lpstr>XDO_GROUP_?G_4?464?</vt:lpstr>
      <vt:lpstr>XDO_GROUP_?G_4?465?</vt:lpstr>
      <vt:lpstr>XDO_GROUP_?G_4?466?</vt:lpstr>
      <vt:lpstr>XDO_GROUP_?G_4?467?</vt:lpstr>
      <vt:lpstr>XDO_GROUP_?G_4?468?</vt:lpstr>
      <vt:lpstr>XDO_GROUP_?G_4?469?</vt:lpstr>
      <vt:lpstr>XDO_GROUP_?G_4?470?</vt:lpstr>
      <vt:lpstr>XDO_GROUP_?G_4?471?</vt:lpstr>
      <vt:lpstr>XDO_GROUP_?G_4?472?</vt:lpstr>
      <vt:lpstr>XDO_GROUP_?G_4?473?</vt:lpstr>
      <vt:lpstr>XDO_GROUP_?G_4?474?</vt:lpstr>
      <vt:lpstr>XDO_GROUP_?G_4?475?</vt:lpstr>
      <vt:lpstr>XDO_GROUP_?G_4?476?</vt:lpstr>
      <vt:lpstr>XDO_GROUP_?G_4?477?</vt:lpstr>
      <vt:lpstr>XDO_GROUP_?G_4?478?</vt:lpstr>
      <vt:lpstr>XDO_GROUP_?G_4?479?</vt:lpstr>
      <vt:lpstr>XDO_GROUP_?G_4?480?</vt:lpstr>
      <vt:lpstr>XDO_GROUP_?G_4?481?</vt:lpstr>
      <vt:lpstr>XDO_GROUP_?G_4?482?</vt:lpstr>
      <vt:lpstr>XDO_GROUP_?G_4?483?</vt:lpstr>
      <vt:lpstr>XDO_GROUP_?G_4?484?</vt:lpstr>
      <vt:lpstr>XDO_GROUP_?G_4?485?</vt:lpstr>
      <vt:lpstr>XDO_GROUP_?G_4?486?</vt:lpstr>
      <vt:lpstr>XDO_GROUP_?G_4?487?</vt:lpstr>
      <vt:lpstr>XDO_GROUP_?G_4?488?</vt:lpstr>
      <vt:lpstr>XDO_GROUP_?G_4?489?</vt:lpstr>
      <vt:lpstr>XDO_GROUP_?G_4?490?</vt:lpstr>
      <vt:lpstr>XDO_GROUP_?G_4?491?</vt:lpstr>
      <vt:lpstr>XDO_GROUP_?G_4?492?</vt:lpstr>
      <vt:lpstr>XDO_GROUP_?G_4?493?</vt:lpstr>
      <vt:lpstr>XDO_GROUP_?G_4?494?</vt:lpstr>
      <vt:lpstr>XDO_GROUP_?G_4?495?</vt:lpstr>
      <vt:lpstr>XDO_GROUP_?G_4?496?</vt:lpstr>
      <vt:lpstr>XDO_GROUP_?G_4?497?</vt:lpstr>
      <vt:lpstr>XDO_GROUP_?G_4?498?</vt:lpstr>
      <vt:lpstr>XDO_GROUP_?G_4?499?</vt:lpstr>
      <vt:lpstr>XDO_GROUP_?G_4?50?</vt:lpstr>
      <vt:lpstr>XDO_GROUP_?G_4?500?</vt:lpstr>
      <vt:lpstr>XDO_GROUP_?G_4?501?</vt:lpstr>
      <vt:lpstr>XDO_GROUP_?G_4?502?</vt:lpstr>
      <vt:lpstr>XDO_GROUP_?G_4?503?</vt:lpstr>
      <vt:lpstr>XDO_GROUP_?G_4?504?</vt:lpstr>
      <vt:lpstr>XDO_GROUP_?G_4?505?</vt:lpstr>
      <vt:lpstr>XDO_GROUP_?G_4?506?</vt:lpstr>
      <vt:lpstr>XDO_GROUP_?G_4?507?</vt:lpstr>
      <vt:lpstr>XDO_GROUP_?G_4?508?</vt:lpstr>
      <vt:lpstr>XDO_GROUP_?G_4?509?</vt:lpstr>
      <vt:lpstr>XDO_GROUP_?G_4?51?</vt:lpstr>
      <vt:lpstr>XDO_GROUP_?G_4?510?</vt:lpstr>
      <vt:lpstr>XDO_GROUP_?G_4?511?</vt:lpstr>
      <vt:lpstr>XDO_GROUP_?G_4?512?</vt:lpstr>
      <vt:lpstr>XDO_GROUP_?G_4?513?</vt:lpstr>
      <vt:lpstr>XDO_GROUP_?G_4?514?</vt:lpstr>
      <vt:lpstr>XDO_GROUP_?G_4?515?</vt:lpstr>
      <vt:lpstr>XDO_GROUP_?G_4?516?</vt:lpstr>
      <vt:lpstr>XDO_GROUP_?G_4?517?</vt:lpstr>
      <vt:lpstr>XDO_GROUP_?G_4?518?</vt:lpstr>
      <vt:lpstr>XDO_GROUP_?G_4?519?</vt:lpstr>
      <vt:lpstr>XDO_GROUP_?G_4?52?</vt:lpstr>
      <vt:lpstr>XDO_GROUP_?G_4?520?</vt:lpstr>
      <vt:lpstr>XDO_GROUP_?G_4?521?</vt:lpstr>
      <vt:lpstr>XDO_GROUP_?G_4?522?</vt:lpstr>
      <vt:lpstr>XDO_GROUP_?G_4?523?</vt:lpstr>
      <vt:lpstr>XDO_GROUP_?G_4?524?</vt:lpstr>
      <vt:lpstr>XDO_GROUP_?G_4?525?</vt:lpstr>
      <vt:lpstr>XDO_GROUP_?G_4?526?</vt:lpstr>
      <vt:lpstr>XDO_GROUP_?G_4?527?</vt:lpstr>
      <vt:lpstr>XDO_GROUP_?G_4?528?</vt:lpstr>
      <vt:lpstr>XDO_GROUP_?G_4?529?</vt:lpstr>
      <vt:lpstr>XDO_GROUP_?G_4?53?</vt:lpstr>
      <vt:lpstr>XDO_GROUP_?G_4?530?</vt:lpstr>
      <vt:lpstr>XDO_GROUP_?G_4?531?</vt:lpstr>
      <vt:lpstr>XDO_GROUP_?G_4?532?</vt:lpstr>
      <vt:lpstr>XDO_GROUP_?G_4?533?</vt:lpstr>
      <vt:lpstr>XDO_GROUP_?G_4?534?</vt:lpstr>
      <vt:lpstr>XDO_GROUP_?G_4?535?</vt:lpstr>
      <vt:lpstr>XDO_GROUP_?G_4?536?</vt:lpstr>
      <vt:lpstr>XDO_GROUP_?G_4?537?</vt:lpstr>
      <vt:lpstr>XDO_GROUP_?G_4?538?</vt:lpstr>
      <vt:lpstr>XDO_GROUP_?G_4?539?</vt:lpstr>
      <vt:lpstr>XDO_GROUP_?G_4?54?</vt:lpstr>
      <vt:lpstr>XDO_GROUP_?G_4?540?</vt:lpstr>
      <vt:lpstr>XDO_GROUP_?G_4?541?</vt:lpstr>
      <vt:lpstr>XDO_GROUP_?G_4?542?</vt:lpstr>
      <vt:lpstr>XDO_GROUP_?G_4?543?</vt:lpstr>
      <vt:lpstr>XDO_GROUP_?G_4?544?</vt:lpstr>
      <vt:lpstr>XDO_GROUP_?G_4?545?</vt:lpstr>
      <vt:lpstr>XDO_GROUP_?G_4?546?</vt:lpstr>
      <vt:lpstr>XDO_GROUP_?G_4?547?</vt:lpstr>
      <vt:lpstr>XDO_GROUP_?G_4?548?</vt:lpstr>
      <vt:lpstr>XDO_GROUP_?G_4?549?</vt:lpstr>
      <vt:lpstr>XDO_GROUP_?G_4?550?</vt:lpstr>
      <vt:lpstr>XDO_GROUP_?G_4?551?</vt:lpstr>
      <vt:lpstr>XDO_GROUP_?G_4?552?</vt:lpstr>
      <vt:lpstr>XDO_GROUP_?G_4?553?</vt:lpstr>
      <vt:lpstr>XDO_GROUP_?G_4?554?</vt:lpstr>
      <vt:lpstr>XDO_GROUP_?G_4?555?</vt:lpstr>
      <vt:lpstr>XDO_GROUP_?G_4?556?</vt:lpstr>
      <vt:lpstr>XDO_GROUP_?G_4?557?</vt:lpstr>
      <vt:lpstr>XDO_GROUP_?G_4?558?</vt:lpstr>
      <vt:lpstr>XDO_GROUP_?G_4?559?</vt:lpstr>
      <vt:lpstr>XDO_GROUP_?G_4?560?</vt:lpstr>
      <vt:lpstr>XDO_GROUP_?G_4?561?</vt:lpstr>
      <vt:lpstr>XDO_GROUP_?G_4?562?</vt:lpstr>
      <vt:lpstr>XDO_GROUP_?G_4?563?</vt:lpstr>
      <vt:lpstr>XDO_GROUP_?G_4?564?</vt:lpstr>
      <vt:lpstr>XDO_GROUP_?G_4?565?</vt:lpstr>
      <vt:lpstr>XDO_GROUP_?G_4?566?</vt:lpstr>
      <vt:lpstr>XDO_GROUP_?G_4?567?</vt:lpstr>
      <vt:lpstr>XDO_GROUP_?G_4?568?</vt:lpstr>
      <vt:lpstr>XDO_GROUP_?G_4?569?</vt:lpstr>
      <vt:lpstr>XDO_GROUP_?G_4?570?</vt:lpstr>
      <vt:lpstr>XDO_GROUP_?G_4?571?</vt:lpstr>
      <vt:lpstr>XDO_GROUP_?G_4?572?</vt:lpstr>
      <vt:lpstr>XDO_GROUP_?G_4?573?</vt:lpstr>
      <vt:lpstr>XDO_GROUP_?G_4?574?</vt:lpstr>
      <vt:lpstr>XDO_GROUP_?G_4?575?</vt:lpstr>
      <vt:lpstr>XDO_GROUP_?G_4?576?</vt:lpstr>
      <vt:lpstr>XDO_GROUP_?G_4?577?</vt:lpstr>
      <vt:lpstr>XDO_GROUP_?G_4?578?</vt:lpstr>
      <vt:lpstr>XDO_GROUP_?G_4?579?</vt:lpstr>
      <vt:lpstr>XDO_GROUP_?G_4?580?</vt:lpstr>
      <vt:lpstr>XDO_GROUP_?G_4?581?</vt:lpstr>
      <vt:lpstr>XDO_GROUP_?G_4?582?</vt:lpstr>
      <vt:lpstr>XDO_GROUP_?G_4?583?</vt:lpstr>
      <vt:lpstr>XDO_GROUP_?G_4?584?</vt:lpstr>
      <vt:lpstr>XDO_GROUP_?G_4?585?</vt:lpstr>
      <vt:lpstr>XDO_GROUP_?G_4?586?</vt:lpstr>
      <vt:lpstr>XDO_GROUP_?G_4?587?</vt:lpstr>
      <vt:lpstr>XDO_GROUP_?G_4?588?</vt:lpstr>
      <vt:lpstr>XDO_GROUP_?G_4?589?</vt:lpstr>
      <vt:lpstr>XDO_GROUP_?G_4?590?</vt:lpstr>
      <vt:lpstr>XDO_GROUP_?G_4?591?</vt:lpstr>
      <vt:lpstr>XDO_GROUP_?G_4?592?</vt:lpstr>
      <vt:lpstr>XDO_GROUP_?G_4?593?</vt:lpstr>
      <vt:lpstr>XDO_GROUP_?G_4?594?</vt:lpstr>
      <vt:lpstr>XDO_GROUP_?G_4?595?</vt:lpstr>
      <vt:lpstr>XDO_GROUP_?G_4?596?</vt:lpstr>
      <vt:lpstr>XDO_GROUP_?G_4?597?</vt:lpstr>
      <vt:lpstr>XDO_GROUP_?G_4?598?</vt:lpstr>
      <vt:lpstr>XDO_GROUP_?G_4?599?</vt:lpstr>
      <vt:lpstr>XDO_GROUP_?G_4?600?</vt:lpstr>
      <vt:lpstr>XDO_GROUP_?G_4?601?</vt:lpstr>
      <vt:lpstr>XDO_GROUP_?G_4?602?</vt:lpstr>
      <vt:lpstr>XDO_GROUP_?G_4?603?</vt:lpstr>
      <vt:lpstr>XDO_GROUP_?G_4?604?</vt:lpstr>
      <vt:lpstr>XDO_GROUP_?G_4?605?</vt:lpstr>
      <vt:lpstr>XDO_GROUP_?G_4?606?</vt:lpstr>
      <vt:lpstr>XDO_GROUP_?G_4?607?</vt:lpstr>
      <vt:lpstr>XDO_GROUP_?G_4?608?</vt:lpstr>
      <vt:lpstr>XDO_GROUP_?G_4?609?</vt:lpstr>
      <vt:lpstr>XDO_GROUP_?G_4?61?</vt:lpstr>
      <vt:lpstr>XDO_GROUP_?G_4?610?</vt:lpstr>
      <vt:lpstr>XDO_GROUP_?G_4?611?</vt:lpstr>
      <vt:lpstr>XDO_GROUP_?G_4?612?</vt:lpstr>
      <vt:lpstr>XDO_GROUP_?G_4?613?</vt:lpstr>
      <vt:lpstr>XDO_GROUP_?G_4?614?</vt:lpstr>
      <vt:lpstr>XDO_GROUP_?G_4?615?</vt:lpstr>
      <vt:lpstr>XDO_GROUP_?G_4?616?</vt:lpstr>
      <vt:lpstr>XDO_GROUP_?G_4?617?</vt:lpstr>
      <vt:lpstr>XDO_GROUP_?G_4?618?</vt:lpstr>
      <vt:lpstr>XDO_GROUP_?G_4?619?</vt:lpstr>
      <vt:lpstr>XDO_GROUP_?G_4?62?</vt:lpstr>
      <vt:lpstr>XDO_GROUP_?G_4?620?</vt:lpstr>
      <vt:lpstr>XDO_GROUP_?G_4?621?</vt:lpstr>
      <vt:lpstr>XDO_GROUP_?G_4?622?</vt:lpstr>
      <vt:lpstr>XDO_GROUP_?G_4?623?</vt:lpstr>
      <vt:lpstr>XDO_GROUP_?G_4?624?</vt:lpstr>
      <vt:lpstr>XDO_GROUP_?G_4?625?</vt:lpstr>
      <vt:lpstr>XDO_GROUP_?G_4?626?</vt:lpstr>
      <vt:lpstr>XDO_GROUP_?G_4?627?</vt:lpstr>
      <vt:lpstr>XDO_GROUP_?G_4?628?</vt:lpstr>
      <vt:lpstr>XDO_GROUP_?G_4?629?</vt:lpstr>
      <vt:lpstr>XDO_GROUP_?G_4?63?</vt:lpstr>
      <vt:lpstr>XDO_GROUP_?G_4?630?</vt:lpstr>
      <vt:lpstr>XDO_GROUP_?G_4?631?</vt:lpstr>
      <vt:lpstr>XDO_GROUP_?G_4?632?</vt:lpstr>
      <vt:lpstr>XDO_GROUP_?G_4?633?</vt:lpstr>
      <vt:lpstr>XDO_GROUP_?G_4?634?</vt:lpstr>
      <vt:lpstr>XDO_GROUP_?G_4?635?</vt:lpstr>
      <vt:lpstr>XDO_GROUP_?G_4?636?</vt:lpstr>
      <vt:lpstr>XDO_GROUP_?G_4?637?</vt:lpstr>
      <vt:lpstr>XDO_GROUP_?G_4?638?</vt:lpstr>
      <vt:lpstr>XDO_GROUP_?G_4?639?</vt:lpstr>
      <vt:lpstr>XDO_GROUP_?G_4?64?</vt:lpstr>
      <vt:lpstr>XDO_GROUP_?G_4?640?</vt:lpstr>
      <vt:lpstr>XDO_GROUP_?G_4?641?</vt:lpstr>
      <vt:lpstr>XDO_GROUP_?G_4?642?</vt:lpstr>
      <vt:lpstr>XDO_GROUP_?G_4?643?</vt:lpstr>
      <vt:lpstr>XDO_GROUP_?G_4?644?</vt:lpstr>
      <vt:lpstr>XDO_GROUP_?G_4?645?</vt:lpstr>
      <vt:lpstr>XDO_GROUP_?G_4?646?</vt:lpstr>
      <vt:lpstr>XDO_GROUP_?G_4?647?</vt:lpstr>
      <vt:lpstr>XDO_GROUP_?G_4?648?</vt:lpstr>
      <vt:lpstr>XDO_GROUP_?G_4?649?</vt:lpstr>
      <vt:lpstr>XDO_GROUP_?G_4?65?</vt:lpstr>
      <vt:lpstr>XDO_GROUP_?G_4?650?</vt:lpstr>
      <vt:lpstr>XDO_GROUP_?G_4?651?</vt:lpstr>
      <vt:lpstr>XDO_GROUP_?G_4?652?</vt:lpstr>
      <vt:lpstr>XDO_GROUP_?G_4?653?</vt:lpstr>
      <vt:lpstr>XDO_GROUP_?G_4?654?</vt:lpstr>
      <vt:lpstr>XDO_GROUP_?G_4?655?</vt:lpstr>
      <vt:lpstr>XDO_GROUP_?G_4?656?</vt:lpstr>
      <vt:lpstr>XDO_GROUP_?G_4?657?</vt:lpstr>
      <vt:lpstr>XDO_GROUP_?G_4?658?</vt:lpstr>
      <vt:lpstr>XDO_GROUP_?G_4?659?</vt:lpstr>
      <vt:lpstr>XDO_GROUP_?G_4?66?</vt:lpstr>
      <vt:lpstr>XDO_GROUP_?G_4?660?</vt:lpstr>
      <vt:lpstr>XDO_GROUP_?G_4?661?</vt:lpstr>
      <vt:lpstr>XDO_GROUP_?G_4?662?</vt:lpstr>
      <vt:lpstr>XDO_GROUP_?G_4?663?</vt:lpstr>
      <vt:lpstr>XDO_GROUP_?G_4?664?</vt:lpstr>
      <vt:lpstr>XDO_GROUP_?G_4?665?</vt:lpstr>
      <vt:lpstr>XDO_GROUP_?G_4?666?</vt:lpstr>
      <vt:lpstr>XDO_GROUP_?G_4?667?</vt:lpstr>
      <vt:lpstr>XDO_GROUP_?G_4?668?</vt:lpstr>
      <vt:lpstr>XDO_GROUP_?G_4?669?</vt:lpstr>
      <vt:lpstr>XDO_GROUP_?G_4?67?</vt:lpstr>
      <vt:lpstr>XDO_GROUP_?G_4?670?</vt:lpstr>
      <vt:lpstr>XDO_GROUP_?G_4?671?</vt:lpstr>
      <vt:lpstr>XDO_GROUP_?G_4?672?</vt:lpstr>
      <vt:lpstr>XDO_GROUP_?G_4?673?</vt:lpstr>
      <vt:lpstr>XDO_GROUP_?G_4?674?</vt:lpstr>
      <vt:lpstr>XDO_GROUP_?G_4?675?</vt:lpstr>
      <vt:lpstr>XDO_GROUP_?G_4?676?</vt:lpstr>
      <vt:lpstr>XDO_GROUP_?G_4?677?</vt:lpstr>
      <vt:lpstr>XDO_GROUP_?G_4?678?</vt:lpstr>
      <vt:lpstr>XDO_GROUP_?G_4?679?</vt:lpstr>
      <vt:lpstr>XDO_GROUP_?G_4?68?</vt:lpstr>
      <vt:lpstr>XDO_GROUP_?G_4?680?</vt:lpstr>
      <vt:lpstr>XDO_GROUP_?G_4?681?</vt:lpstr>
      <vt:lpstr>XDO_GROUP_?G_4?682?</vt:lpstr>
      <vt:lpstr>XDO_GROUP_?G_4?683?</vt:lpstr>
      <vt:lpstr>XDO_GROUP_?G_4?684?</vt:lpstr>
      <vt:lpstr>XDO_GROUP_?G_4?685?</vt:lpstr>
      <vt:lpstr>XDO_GROUP_?G_4?686?</vt:lpstr>
      <vt:lpstr>XDO_GROUP_?G_4?687?</vt:lpstr>
      <vt:lpstr>XDO_GROUP_?G_4?688?</vt:lpstr>
      <vt:lpstr>XDO_GROUP_?G_4?689?</vt:lpstr>
      <vt:lpstr>XDO_GROUP_?G_4?690?</vt:lpstr>
      <vt:lpstr>XDO_GROUP_?G_4?691?</vt:lpstr>
      <vt:lpstr>XDO_GROUP_?G_4?692?</vt:lpstr>
      <vt:lpstr>XDO_GROUP_?G_4?76?</vt:lpstr>
      <vt:lpstr>XDO_GROUP_?G_4?77?</vt:lpstr>
      <vt:lpstr>XDO_GROUP_?G_4?78?</vt:lpstr>
      <vt:lpstr>XDO_GROUP_?G_4?79?</vt:lpstr>
      <vt:lpstr>XDO_GROUP_?G_4?84?</vt:lpstr>
      <vt:lpstr>XDO_GROUP_?G_4?85?</vt:lpstr>
      <vt:lpstr>XDO_GROUP_?G_4?86?</vt:lpstr>
      <vt:lpstr>XDO_GROUP_?G_4?87?</vt:lpstr>
      <vt:lpstr>XDO_GROUP_?G_4?88?</vt:lpstr>
      <vt:lpstr>XDO_GROUP_?G_4?89?</vt:lpstr>
      <vt:lpstr>XDO_GROUP_?G_4?90?</vt:lpstr>
      <vt:lpstr>XDO_GROUP_?G_4?91?</vt:lpstr>
      <vt:lpstr>XDO_GROUP_?G_4?92?</vt:lpstr>
      <vt:lpstr>XDO_GROUP_?G_4?93?</vt:lpstr>
      <vt:lpstr>XDO_GROUP_?G_4?94?</vt:lpstr>
      <vt:lpstr>XDO_GROUP_?G_4?95?</vt:lpstr>
      <vt:lpstr>XDO_GROUP_?G_4?96?</vt:lpstr>
      <vt:lpstr>XDO_GROUP_?G_4?97?</vt:lpstr>
      <vt:lpstr>XDO_GROUP_?G_4?98?</vt:lpstr>
      <vt:lpstr>XDO_GROUP_?G_4?99?</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 Schemes Monthly Portfolio - as on 30 September 2020</dc:title>
  <dc:creator>tim dexter</dc:creator>
  <cp:lastModifiedBy>Sudheer Dwarampudi</cp:lastModifiedBy>
  <cp:lastPrinted>2013-11-30T11:49:41Z</cp:lastPrinted>
  <dcterms:created xsi:type="dcterms:W3CDTF">2010-04-14T16:02:20Z</dcterms:created>
  <dcterms:modified xsi:type="dcterms:W3CDTF">2020-10-09T15:16:23Z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0x010057EDD44F7E994BA09660CCACED10E20E0008707C0D5E97491E8ABB3F6F8DCE125A00583CEA6C0554DF48ADB9DA9AE07A8EF3</vt:lpwstr>
  </property>
</Properties>
</file>