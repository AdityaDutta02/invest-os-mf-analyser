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976671CE-AB35-448C-8F30-107937FA0A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nifi Flexi Cap Fund" sheetId="1" r:id="rId1"/>
  </sheets>
  <definedNames>
    <definedName name="_xlnm._FilterDatabase" localSheetId="0" hidden="1">'Unifi Flexi Cap Fund'!$A$6:$F$68</definedName>
    <definedName name="page\x2dtotal">#REF!</definedName>
    <definedName name="page\x2dtotal\x2dmaster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2" i="1" l="1"/>
  <c r="E92" i="1"/>
  <c r="F88" i="1"/>
  <c r="E88" i="1"/>
  <c r="E87" i="1"/>
  <c r="E89" i="1" l="1"/>
  <c r="F87" i="1"/>
  <c r="F89" i="1" s="1"/>
</calcChain>
</file>

<file path=xl/sharedStrings.xml><?xml version="1.0" encoding="utf-8"?>
<sst xmlns="http://schemas.openxmlformats.org/spreadsheetml/2006/main" count="276" uniqueCount="223">
  <si>
    <t>Unifi Flexi Cap Fund</t>
  </si>
  <si>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</si>
  <si>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</si>
  <si>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</si>
  <si>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</si>
  <si>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</si>
  <si>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</si>
  <si>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</si>
  <si>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Yield to call (YTC)^^</t>
  </si>
  <si>
    <t>Equity &amp; Equity related</t>
  </si>
  <si>
    <t>a) Listed / awaiting listing on Stock Exchanges</t>
  </si>
  <si>
    <t xml:space="preserve"> Bharti Airtel Limited</t>
  </si>
  <si>
    <t>INE397D01024</t>
  </si>
  <si>
    <t xml:space="preserve"> ICICI Bank Limited</t>
  </si>
  <si>
    <t>INE090A01021</t>
  </si>
  <si>
    <t xml:space="preserve"> Reliance Industries Limited</t>
  </si>
  <si>
    <t>INE002A01018</t>
  </si>
  <si>
    <t xml:space="preserve"> Kotak Mahindra Bank Limited</t>
  </si>
  <si>
    <t>INE237A01036</t>
  </si>
  <si>
    <t xml:space="preserve"> HDFC Bank Limited</t>
  </si>
  <si>
    <t>INE040A01034</t>
  </si>
  <si>
    <t xml:space="preserve"> Larsen &amp; Toubro Limited</t>
  </si>
  <si>
    <t>INE018A01030</t>
  </si>
  <si>
    <t>Construction</t>
  </si>
  <si>
    <t xml:space="preserve"> Tata Steel Limited</t>
  </si>
  <si>
    <t>INE081A01020</t>
  </si>
  <si>
    <t xml:space="preserve"> Apollo Hospitals Enterprise Limited</t>
  </si>
  <si>
    <t>INE437A01024</t>
  </si>
  <si>
    <t>Healthcare Services</t>
  </si>
  <si>
    <t xml:space="preserve"> Axis Bank Limited</t>
  </si>
  <si>
    <t>INE238A01034</t>
  </si>
  <si>
    <t xml:space="preserve"> State Bank of India</t>
  </si>
  <si>
    <t>INE062A01020</t>
  </si>
  <si>
    <t xml:space="preserve"> Mahindra &amp; Mahindra Limited</t>
  </si>
  <si>
    <t>INE101A01026</t>
  </si>
  <si>
    <t xml:space="preserve"> ITC Limited</t>
  </si>
  <si>
    <t>INE154A01025</t>
  </si>
  <si>
    <t xml:space="preserve"> Vedanta Limited</t>
  </si>
  <si>
    <t>INE205A01025</t>
  </si>
  <si>
    <t xml:space="preserve"> NTPC Limited</t>
  </si>
  <si>
    <t>INE733E01010</t>
  </si>
  <si>
    <t>Power</t>
  </si>
  <si>
    <t xml:space="preserve"> The South Indian Bank Limited</t>
  </si>
  <si>
    <t>INE683A01023</t>
  </si>
  <si>
    <t xml:space="preserve"> CARE Ratings Limited</t>
  </si>
  <si>
    <t>INE752H01013</t>
  </si>
  <si>
    <t xml:space="preserve"> Pearl Global Industries Limited</t>
  </si>
  <si>
    <t>INE940H01022</t>
  </si>
  <si>
    <t xml:space="preserve"> Torrent Pharmaceuticals Limited</t>
  </si>
  <si>
    <t>INE685A01028</t>
  </si>
  <si>
    <t xml:space="preserve"> Coromandel International Limited</t>
  </si>
  <si>
    <t>INE169A01031</t>
  </si>
  <si>
    <t xml:space="preserve"> Bajaj Auto Limited</t>
  </si>
  <si>
    <t>INE917I01010</t>
  </si>
  <si>
    <t xml:space="preserve"> Shyam Metalics and Energy Ltd.</t>
  </si>
  <si>
    <t>INE810G01011</t>
  </si>
  <si>
    <t xml:space="preserve"> Nippon Life India Asset Management Ltd</t>
  </si>
  <si>
    <t>INE298J01013</t>
  </si>
  <si>
    <t xml:space="preserve"> Narayana Hrudayalaya Limited</t>
  </si>
  <si>
    <t>INE410P01011</t>
  </si>
  <si>
    <t xml:space="preserve"> Aarti Pharmalabs Limited</t>
  </si>
  <si>
    <t>INE0LRU01027</t>
  </si>
  <si>
    <t xml:space="preserve"> CMS Info Systems Limited</t>
  </si>
  <si>
    <t>INE925R01014</t>
  </si>
  <si>
    <t xml:space="preserve"> Bank of Baroda</t>
  </si>
  <si>
    <t>INE028A01039</t>
  </si>
  <si>
    <t xml:space="preserve"> InterGlobe Aviation Limited</t>
  </si>
  <si>
    <t>INE646L01027</t>
  </si>
  <si>
    <t xml:space="preserve"> Hindustan Aeronautics Limited</t>
  </si>
  <si>
    <t>INE066F01020</t>
  </si>
  <si>
    <t xml:space="preserve"> TVS Motor Company Limited</t>
  </si>
  <si>
    <t>INE494B01023</t>
  </si>
  <si>
    <t xml:space="preserve"> Aadhar Housing Finance Limited</t>
  </si>
  <si>
    <t>INE883F01010</t>
  </si>
  <si>
    <t xml:space="preserve"> Aditya Birla Sun Life Mutual Fund</t>
  </si>
  <si>
    <t>INE404A01024</t>
  </si>
  <si>
    <t xml:space="preserve"> Tech Mahindra Limited</t>
  </si>
  <si>
    <t>INE669C01036</t>
  </si>
  <si>
    <t xml:space="preserve"> HCL Technologies Limited</t>
  </si>
  <si>
    <t>INE860A01027</t>
  </si>
  <si>
    <t>INE007N01010</t>
  </si>
  <si>
    <t xml:space="preserve"> HDFC Asset Management Company Limited</t>
  </si>
  <si>
    <t>INE127D01025</t>
  </si>
  <si>
    <t xml:space="preserve"> Marksans Pharma Limited</t>
  </si>
  <si>
    <t>INE750C01026</t>
  </si>
  <si>
    <t>INE0W2G01015</t>
  </si>
  <si>
    <t xml:space="preserve"> Aditya Birla Real Estate Limited</t>
  </si>
  <si>
    <t>INE055A01016</t>
  </si>
  <si>
    <t xml:space="preserve"> TD Power Systems Limited</t>
  </si>
  <si>
    <t>INE419M01027</t>
  </si>
  <si>
    <t xml:space="preserve"> Medplus Health Services Limited</t>
  </si>
  <si>
    <t>INE804L01022</t>
  </si>
  <si>
    <t xml:space="preserve"> MphasiS Limited</t>
  </si>
  <si>
    <t>INE356A01018</t>
  </si>
  <si>
    <t xml:space="preserve"> PNB Housing Finance Limited</t>
  </si>
  <si>
    <t>INE572E01012</t>
  </si>
  <si>
    <t xml:space="preserve"> Oracle Financial Services Software</t>
  </si>
  <si>
    <t>INE881D01027</t>
  </si>
  <si>
    <t xml:space="preserve"> Bayer Cropscience Limited</t>
  </si>
  <si>
    <t>INE462A01022</t>
  </si>
  <si>
    <t xml:space="preserve"> Can Fin Homes Limited</t>
  </si>
  <si>
    <t>INE477A01020</t>
  </si>
  <si>
    <t xml:space="preserve"> Power Grid Corporation of India Limited</t>
  </si>
  <si>
    <t>INE752E01010</t>
  </si>
  <si>
    <t xml:space="preserve"> Infosys Limited</t>
  </si>
  <si>
    <t>INE009A01021</t>
  </si>
  <si>
    <t>INE974X01010</t>
  </si>
  <si>
    <t xml:space="preserve"> LTIMindtree Ltd</t>
  </si>
  <si>
    <t>INE214T01019</t>
  </si>
  <si>
    <t xml:space="preserve"> RPG Life Sciences Limited</t>
  </si>
  <si>
    <t>INE105J01010</t>
  </si>
  <si>
    <t xml:space="preserve"> Redington Limited</t>
  </si>
  <si>
    <t>INE891D01026</t>
  </si>
  <si>
    <t xml:space="preserve"> Cummins India Limited</t>
  </si>
  <si>
    <t>INE298A01020</t>
  </si>
  <si>
    <t xml:space="preserve"> GlaxoSmithKline Pharmaceuticals Ltd</t>
  </si>
  <si>
    <t>INE159A01016</t>
  </si>
  <si>
    <t xml:space="preserve"> NCC Limited</t>
  </si>
  <si>
    <t>INE868B01028</t>
  </si>
  <si>
    <t xml:space="preserve"> Kovai Medical Center &amp; Hospital Ltd.</t>
  </si>
  <si>
    <t>INE177F01017</t>
  </si>
  <si>
    <t>Subtotal</t>
  </si>
  <si>
    <t>(b) UNLISTED</t>
  </si>
  <si>
    <t>NIL</t>
  </si>
  <si>
    <t>Preference Shares</t>
  </si>
  <si>
    <t>Total</t>
  </si>
  <si>
    <t>Debt Instruments</t>
  </si>
  <si>
    <t>(a) Listed / awaiting listing on Stock Exchange</t>
  </si>
  <si>
    <t>(b) Privately placed / Unlisted</t>
  </si>
  <si>
    <t>(c) Securitised Debt</t>
  </si>
  <si>
    <t>Money Market Instruments</t>
  </si>
  <si>
    <t>Tri Party Repo (TREPs)</t>
  </si>
  <si>
    <t>TREPS</t>
  </si>
  <si>
    <t>INTRPS020426</t>
  </si>
  <si>
    <t>Others</t>
  </si>
  <si>
    <t>Net Current Assets</t>
  </si>
  <si>
    <t>GRAND TOTAL</t>
  </si>
  <si>
    <t>^^  As per AMFI Best Practices Circular dated 24 March 2021, Yield to Call (YTC) to be disclosed for Perpetual Bonds issued by Banks.</t>
  </si>
  <si>
    <t>Notes :</t>
  </si>
  <si>
    <t>1) The provision made for investment in security below investment grade as on March 31, 2026 is Rs Nil and its percentage to Net Asset Value is Nil.</t>
  </si>
  <si>
    <t>2) Net Assets Value per unit (in Rs) are as follows :</t>
  </si>
  <si>
    <t>Plan/Option</t>
  </si>
  <si>
    <t>5) Total outstanding exposure in derivative instruments as on March 31, 2026 : Nil.</t>
  </si>
  <si>
    <t xml:space="preserve">6) Total investments in Foreign Securities / Overseas ETFs as at March 31, 2026 and its percentage to NAV : Nil. </t>
  </si>
  <si>
    <t>7) Details of repo transactions in corporate debt securities for the month of March 2026: Nil.</t>
  </si>
  <si>
    <t>10) Reverse Repo market value is considered as book cost plus accrued Interest.</t>
  </si>
  <si>
    <t>Unifi Mutual Fund</t>
  </si>
  <si>
    <t xml:space="preserve">Unifi Flexi Cap Fund
(An open-ended dynamic equity scheme investing across large cap, mid cap, small cap stocks) </t>
  </si>
  <si>
    <t xml:space="preserve">  ** Thinly Traded/Illiquid Securities</t>
  </si>
  <si>
    <t>Disclosure for investments in derivative instruments</t>
  </si>
  <si>
    <t>Underlying</t>
  </si>
  <si>
    <t>Scheme name</t>
  </si>
  <si>
    <t>Total number of contracts entered into *</t>
  </si>
  <si>
    <t>Gross notional value of contracts entered into</t>
  </si>
  <si>
    <t>Net profit/loss value on all contracts</t>
  </si>
  <si>
    <t>*Includes bought &amp; sold/expired contracts</t>
  </si>
  <si>
    <t>Hedging Positions through Futures as on 31st March 2026 : Nil</t>
  </si>
  <si>
    <t>For the period 1st March 2026 to 31st March 2026, following hedging transactions through futures have been squared off/expired : Nil</t>
  </si>
  <si>
    <t>Hedging Position through Put Option as on  31st March 2026: Nil</t>
  </si>
  <si>
    <t>For the period 1st March 2026 to 31st March 2026, hedging transactions through options which have been squared off/expired: Nil</t>
  </si>
  <si>
    <t>Hedging Positions through Swaps as on 31st March 2026: Nil</t>
  </si>
  <si>
    <t>Hedging Positions through Interest Rate Futures as on 31st March 2026: Nil</t>
  </si>
  <si>
    <t>For the period 1st March 2026 to 31st March 2026 the following call options written have been exercised/expired :</t>
  </si>
  <si>
    <t>9) Average maturity of the portfolio : Nil</t>
  </si>
  <si>
    <r>
      <rPr>
        <sz val="11"/>
        <rFont val="Calibri"/>
        <family val="2"/>
        <scheme val="minor"/>
      </rPr>
      <t xml:space="preserve">13) For disclosure of category wise portfolio overlap levels in Unifi Mutual Fund Schemes, please refer to the following link : </t>
    </r>
    <r>
      <rPr>
        <u/>
        <sz val="11"/>
        <color theme="10"/>
        <rFont val="Calibri"/>
        <family val="2"/>
        <scheme val="minor"/>
      </rPr>
      <t>Click here</t>
    </r>
  </si>
  <si>
    <t>This product is suitable for investors who are seeking*:</t>
  </si>
  <si>
    <t xml:space="preserve">• Capital Appreciation over long term. </t>
  </si>
  <si>
    <t>•Investment in a diversified portfolio consisting of equity and equity related instruments across market capitalization.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</si>
  <si>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</si>
  <si>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 xml:space="preserve">                                         Scheme’s Riskometer
 </t>
  </si>
  <si>
    <t xml:space="preserve">               Tier 1 Benchmark’s Riskometer-(Nifty 500 TRI)
</t>
  </si>
  <si>
    <t>Investors understand that their principal will be very high risk.</t>
  </si>
  <si>
    <t xml:space="preserve">                       Benchmark Risk-o-meter is very high</t>
  </si>
  <si>
    <t>8) Details of transactions of (Credit Default Swap) for the month ended March 31, 2026 : Nil.</t>
  </si>
  <si>
    <t>Other than Hedging Positions through Futures as on 31st March : Nil</t>
  </si>
  <si>
    <t>DERIVATIVE</t>
  </si>
  <si>
    <t>CALL NSE NIFTY 50 28/04/2026 23000</t>
  </si>
  <si>
    <t>Share Application Money Pending Allotment</t>
  </si>
  <si>
    <t>Margin Money for derivative/TREPS</t>
  </si>
  <si>
    <t>Telecom - Services</t>
  </si>
  <si>
    <t>Banks</t>
  </si>
  <si>
    <t>Petroleum Products</t>
  </si>
  <si>
    <t>Ferrous Metals</t>
  </si>
  <si>
    <t>Automobiles</t>
  </si>
  <si>
    <t>Diversified FMCG</t>
  </si>
  <si>
    <t>Diversified Metals</t>
  </si>
  <si>
    <t>Capital Markets</t>
  </si>
  <si>
    <t>Textiles &amp; Apparels</t>
  </si>
  <si>
    <t>Pharmaceuticals &amp; Biotechnology</t>
  </si>
  <si>
    <t>Fertilizers &amp; Agrochemicals</t>
  </si>
  <si>
    <t>Industrial Products</t>
  </si>
  <si>
    <t>Commercial Services &amp; Supplies</t>
  </si>
  <si>
    <t>Transport Services</t>
  </si>
  <si>
    <t>Aerospace &amp; Defense</t>
  </si>
  <si>
    <t>Finance</t>
  </si>
  <si>
    <t>IT - Software</t>
  </si>
  <si>
    <t>IT - Services</t>
  </si>
  <si>
    <t>Realty</t>
  </si>
  <si>
    <t>Electrical Equipment</t>
  </si>
  <si>
    <t>Retailing</t>
  </si>
  <si>
    <t>Auto Components</t>
  </si>
  <si>
    <t>For the period 1st March 2026 to 31st March 2026, non hedging transactions through futures have been squared off/expired :Nil</t>
  </si>
  <si>
    <t>Direct Plan - Growth Option</t>
  </si>
  <si>
    <t>Regular Plan - Growth Option</t>
  </si>
  <si>
    <t>Call/Put</t>
  </si>
  <si>
    <t>Number of contracts</t>
  </si>
  <si>
    <t>Option Price when purchased</t>
  </si>
  <si>
    <t>Current Price</t>
  </si>
  <si>
    <t>Call</t>
  </si>
  <si>
    <t>Monthly Portfolio Statement as on March 31, 2026</t>
  </si>
  <si>
    <t xml:space="preserve"> Fedbank Financial Services Limited</t>
  </si>
  <si>
    <t xml:space="preserve"> Sagility India Limited</t>
  </si>
  <si>
    <t xml:space="preserve"> Tube Investments Of India Ltd</t>
  </si>
  <si>
    <t>As on February 27, 2026</t>
  </si>
  <si>
    <t>As on March 31, 2026</t>
  </si>
  <si>
    <t>3) Details of Dividend declared per unit (in Rs.) during the Month of March 2026 : Nil</t>
  </si>
  <si>
    <t>4) No Bonus declared during the month of March 2026.</t>
  </si>
  <si>
    <t>11) Whether any security is in default beyond its maturity date: Nil.</t>
  </si>
  <si>
    <t>Other than Hedging Positions through Options as on 31st March 2026:</t>
  </si>
  <si>
    <t>Total exposure through options as % of net assets : (0.01%)</t>
  </si>
  <si>
    <t>For the period 1st March 2026 to 31st March 2026, with regard to non-hedging transactions through options which have already been squared off/expired : Nil</t>
  </si>
  <si>
    <t>Writing of call options under covered call strategy as on 31st March 2026: Nil</t>
  </si>
  <si>
    <r>
      <rPr>
        <sz val="11"/>
        <rFont val="Calibri"/>
        <family val="2"/>
      </rPr>
      <t xml:space="preserve">12) For more details on Scheme Performance, please refer to the following link : </t>
    </r>
    <r>
      <rPr>
        <u/>
        <sz val="11"/>
        <color theme="10"/>
        <rFont val="Calibri"/>
        <family val="2"/>
      </rPr>
      <t>Click here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</si>
</sst>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000"/>
    <numFmt numFmtId="165" formatCode="_(* #,##0.00_);_(* \(#,##0.00\);_(* &quot;-&quot;_);_(* @_)"/>
    <numFmt numFmtId="166" formatCode="_(* #,##0_);_(* \(#,##0\);_(* &quot;-&quot;??_);_(@_)"/>
  </numFmts>
  <fonts count="22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Aptos Narrow"/>
      <family val="2"/>
    </font>
    <font>
      <b/>
      <sz val="10"/>
      <name val="Tahoma"/>
      <family val="2"/>
    </font>
    <font>
      <sz val="10"/>
      <name val="Arial"/>
      <family val="2"/>
    </font>
    <font>
      <sz val="10"/>
      <name val="Tahoma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ptos Narrow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" fillId="0" borderId="0"/>
    <xf numFmtId="0" fontId="12" fillId="0" borderId="0"/>
    <xf numFmtId="0" fontId="16" fillId="0" borderId="0" applyNumberFormat="0" applyFill="0" applyBorder="0" applyAlignment="0" applyProtection="0"/>
  </cellStyleXfs>
  <cellXfs count="107">
    <xf numFmtId="0" fontId="0" fillId="0" borderId="0" xfId="0"/>
    <xf numFmtId="0" fontId="0" fillId="0" borderId="0" xfId="0" applyAlignment="1">
      <alignment horizontal="left" indent="1"/>
    </xf>
    <xf numFmtId="0" fontId="2" fillId="2" borderId="2" xfId="0" applyFont="1" applyFill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4" fontId="4" fillId="0" borderId="1" xfId="0" applyNumberFormat="1" applyFont="1" applyBorder="1" applyAlignment="1">
      <alignment horizontal="right" vertical="top" wrapText="1"/>
    </xf>
    <xf numFmtId="10" fontId="4" fillId="0" borderId="1" xfId="0" applyNumberFormat="1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10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" fontId="8" fillId="0" borderId="0" xfId="0" applyNumberFormat="1" applyFont="1" applyAlignment="1">
      <alignment horizontal="right" vertical="top" wrapText="1"/>
    </xf>
    <xf numFmtId="9" fontId="8" fillId="0" borderId="0" xfId="2" applyFont="1" applyBorder="1" applyAlignment="1">
      <alignment horizontal="right" vertical="top" wrapText="1"/>
    </xf>
    <xf numFmtId="10" fontId="8" fillId="0" borderId="0" xfId="0" applyNumberFormat="1" applyFont="1" applyAlignment="1">
      <alignment horizontal="right" vertical="top" wrapText="1"/>
    </xf>
    <xf numFmtId="0" fontId="11" fillId="0" borderId="0" xfId="3" applyFont="1" applyAlignment="1">
      <alignment vertical="center"/>
    </xf>
    <xf numFmtId="0" fontId="11" fillId="0" borderId="0" xfId="4" applyFont="1" applyAlignment="1">
      <alignment vertical="top"/>
    </xf>
    <xf numFmtId="0" fontId="11" fillId="0" borderId="0" xfId="5" applyFont="1"/>
    <xf numFmtId="0" fontId="13" fillId="0" borderId="0" xfId="5" applyFont="1"/>
    <xf numFmtId="0" fontId="13" fillId="0" borderId="0" xfId="6" applyFont="1"/>
    <xf numFmtId="0" fontId="13" fillId="0" borderId="0" xfId="0" applyFont="1"/>
    <xf numFmtId="0" fontId="14" fillId="0" borderId="0" xfId="5" applyFont="1"/>
    <xf numFmtId="0" fontId="14" fillId="0" borderId="0" xfId="6" applyFont="1"/>
    <xf numFmtId="4" fontId="14" fillId="0" borderId="0" xfId="6" applyNumberFormat="1" applyFont="1"/>
    <xf numFmtId="0" fontId="15" fillId="0" borderId="0" xfId="5" applyFont="1"/>
    <xf numFmtId="165" fontId="14" fillId="0" borderId="0" xfId="5" applyNumberFormat="1" applyFont="1"/>
    <xf numFmtId="9" fontId="8" fillId="0" borderId="0" xfId="2" applyFont="1" applyFill="1" applyBorder="1" applyAlignment="1">
      <alignment horizontal="right" vertical="top" wrapText="1"/>
    </xf>
    <xf numFmtId="166" fontId="14" fillId="0" borderId="0" xfId="5" applyNumberFormat="1" applyFont="1"/>
    <xf numFmtId="0" fontId="14" fillId="0" borderId="0" xfId="0" applyFont="1"/>
    <xf numFmtId="0" fontId="11" fillId="0" borderId="0" xfId="0" applyFont="1"/>
    <xf numFmtId="0" fontId="8" fillId="0" borderId="1" xfId="0" applyFont="1" applyBorder="1" applyAlignment="1">
      <alignment horizontal="left" vertical="top" wrapText="1"/>
    </xf>
    <xf numFmtId="4" fontId="0" fillId="0" borderId="7" xfId="0" applyNumberFormat="1" applyBorder="1" applyAlignment="1">
      <alignment horizontal="right" vertical="top" wrapText="1"/>
    </xf>
    <xf numFmtId="4" fontId="9" fillId="0" borderId="7" xfId="0" applyNumberFormat="1" applyFont="1" applyBorder="1" applyAlignment="1">
      <alignment horizontal="right" vertical="top" wrapText="1"/>
    </xf>
    <xf numFmtId="0" fontId="6" fillId="0" borderId="7" xfId="0" applyFont="1" applyBorder="1"/>
    <xf numFmtId="0" fontId="6" fillId="0" borderId="7" xfId="0" applyFont="1" applyBorder="1" applyAlignment="1">
      <alignment wrapText="1"/>
    </xf>
    <xf numFmtId="0" fontId="0" fillId="0" borderId="7" xfId="0" applyBorder="1"/>
    <xf numFmtId="4" fontId="0" fillId="0" borderId="7" xfId="0" applyNumberFormat="1" applyBorder="1"/>
    <xf numFmtId="0" fontId="8" fillId="0" borderId="0" xfId="0" applyFont="1"/>
    <xf numFmtId="0" fontId="9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wrapText="1"/>
    </xf>
    <xf numFmtId="0" fontId="0" fillId="0" borderId="0" xfId="0" applyAlignment="1">
      <alignment horizontal="center" vertical="top"/>
    </xf>
    <xf numFmtId="4" fontId="8" fillId="0" borderId="1" xfId="0" applyNumberFormat="1" applyFont="1" applyBorder="1" applyAlignment="1">
      <alignment horizontal="right" vertical="top" wrapText="1"/>
    </xf>
    <xf numFmtId="10" fontId="8" fillId="0" borderId="1" xfId="0" applyNumberFormat="1" applyFont="1" applyBorder="1" applyAlignment="1">
      <alignment horizontal="right" vertical="top" wrapText="1"/>
    </xf>
    <xf numFmtId="0" fontId="9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4" fontId="9" fillId="0" borderId="1" xfId="0" applyNumberFormat="1" applyFont="1" applyBorder="1" applyAlignment="1">
      <alignment horizontal="right" vertical="top" wrapText="1"/>
    </xf>
    <xf numFmtId="10" fontId="9" fillId="0" borderId="1" xfId="0" quotePrefix="1" applyNumberFormat="1" applyFont="1" applyBorder="1" applyAlignment="1">
      <alignment horizontal="right" vertical="top" wrapText="1"/>
    </xf>
    <xf numFmtId="10" fontId="9" fillId="0" borderId="1" xfId="0" applyNumberFormat="1" applyFont="1" applyBorder="1" applyAlignment="1">
      <alignment horizontal="right" vertical="top" wrapText="1"/>
    </xf>
    <xf numFmtId="43" fontId="0" fillId="0" borderId="1" xfId="1" applyFont="1" applyBorder="1" applyAlignment="1">
      <alignment horizontal="left" vertical="top" wrapText="1"/>
    </xf>
    <xf numFmtId="2" fontId="0" fillId="0" borderId="1" xfId="0" applyNumberFormat="1" applyBorder="1" applyAlignment="1">
      <alignment horizontal="right" vertical="top" wrapText="1"/>
    </xf>
    <xf numFmtId="10" fontId="0" fillId="0" borderId="1" xfId="2" applyNumberFormat="1" applyFont="1" applyBorder="1" applyAlignment="1">
      <alignment horizontal="right" vertical="top" wrapText="1"/>
    </xf>
    <xf numFmtId="4" fontId="0" fillId="0" borderId="1" xfId="0" applyNumberFormat="1" applyBorder="1" applyAlignment="1">
      <alignment horizontal="right" vertical="top" wrapText="1"/>
    </xf>
    <xf numFmtId="0" fontId="11" fillId="3" borderId="7" xfId="0" applyFont="1" applyFill="1" applyBorder="1" applyAlignment="1">
      <alignment horizontal="center" vertical="top" wrapText="1"/>
    </xf>
    <xf numFmtId="0" fontId="14" fillId="0" borderId="0" xfId="0" applyFont="1" applyAlignment="1">
      <alignment horizontal="right" vertical="top" wrapText="1"/>
    </xf>
    <xf numFmtId="0" fontId="0" fillId="0" borderId="0" xfId="0" applyAlignment="1">
      <alignment wrapText="1"/>
    </xf>
    <xf numFmtId="0" fontId="20" fillId="0" borderId="0" xfId="3" applyFont="1"/>
    <xf numFmtId="0" fontId="13" fillId="0" borderId="7" xfId="0" applyFont="1" applyBorder="1" applyAlignment="1">
      <alignment horizontal="center" vertical="top"/>
    </xf>
    <xf numFmtId="0" fontId="14" fillId="0" borderId="0" xfId="0" applyFont="1" applyAlignment="1">
      <alignment horizontal="right" vertical="top"/>
    </xf>
    <xf numFmtId="0" fontId="2" fillId="2" borderId="2" xfId="0" applyFont="1" applyFill="1" applyBorder="1" applyAlignment="1">
      <alignment horizontal="left" vertical="top" wrapText="1"/>
    </xf>
    <xf numFmtId="10" fontId="0" fillId="0" borderId="0" xfId="0" applyNumberFormat="1"/>
    <xf numFmtId="4" fontId="0" fillId="0" borderId="0" xfId="0" applyNumberFormat="1"/>
    <xf numFmtId="0" fontId="0" fillId="0" borderId="4" xfId="0" applyBorder="1" applyAlignment="1">
      <alignment vertical="top" wrapText="1"/>
    </xf>
    <xf numFmtId="164" fontId="4" fillId="0" borderId="7" xfId="0" applyNumberFormat="1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center" vertical="top" wrapText="1"/>
    </xf>
    <xf numFmtId="164" fontId="4" fillId="0" borderId="0" xfId="0" applyNumberFormat="1" applyFont="1" applyAlignment="1">
      <alignment horizontal="center" vertical="top" wrapText="1"/>
    </xf>
    <xf numFmtId="0" fontId="13" fillId="0" borderId="0" xfId="0" applyFont="1" applyAlignment="1">
      <alignment horizontal="center" vertical="top"/>
    </xf>
    <xf numFmtId="4" fontId="0" fillId="0" borderId="0" xfId="0" applyNumberFormat="1" applyAlignment="1">
      <alignment horizontal="right" vertical="top" wrapText="1"/>
    </xf>
    <xf numFmtId="4" fontId="9" fillId="0" borderId="0" xfId="0" applyNumberFormat="1" applyFont="1" applyAlignment="1">
      <alignment horizontal="right" vertical="top" wrapText="1"/>
    </xf>
    <xf numFmtId="0" fontId="13" fillId="0" borderId="0" xfId="0" applyFont="1" applyAlignment="1">
      <alignment horizontal="left" vertical="top"/>
    </xf>
    <xf numFmtId="4" fontId="0" fillId="0" borderId="0" xfId="0" applyNumberFormat="1" applyAlignment="1">
      <alignment horizontal="left" vertical="top" wrapText="1"/>
    </xf>
    <xf numFmtId="0" fontId="0" fillId="0" borderId="17" xfId="0" applyBorder="1"/>
    <xf numFmtId="9" fontId="8" fillId="0" borderId="1" xfId="2" applyFont="1" applyBorder="1" applyAlignment="1">
      <alignment horizontal="righ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6" fillId="0" borderId="12" xfId="7" applyFill="1" applyBorder="1" applyAlignment="1">
      <alignment horizontal="left" vertical="top"/>
    </xf>
    <xf numFmtId="0" fontId="16" fillId="0" borderId="13" xfId="7" applyFill="1" applyBorder="1" applyAlignment="1">
      <alignment horizontal="left" vertical="top"/>
    </xf>
    <xf numFmtId="0" fontId="16" fillId="0" borderId="14" xfId="7" applyFill="1" applyBorder="1" applyAlignment="1">
      <alignment horizontal="left" vertical="top"/>
    </xf>
    <xf numFmtId="0" fontId="8" fillId="0" borderId="8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2" borderId="4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9" fillId="0" borderId="0" xfId="0" applyFont="1" applyAlignment="1">
      <alignment horizontal="left" indent="1"/>
    </xf>
    <xf numFmtId="0" fontId="16" fillId="0" borderId="7" xfId="7" applyFill="1" applyBorder="1" applyAlignment="1">
      <alignment horizontal="left" vertical="top" wrapText="1"/>
    </xf>
  </cellXfs>
  <cellStyles count="8">
    <cellStyle name="_x000a_386grabber=m" xfId="6" xr:uid="{4D8528CF-DFF8-4CAA-BC71-1B9AD6472954}"/>
    <cellStyle name="Comma" xfId="1" builtinId="3"/>
    <cellStyle name="Hyperlink" xfId="7" builtinId="8"/>
    <cellStyle name="Normal" xfId="0" builtinId="0"/>
    <cellStyle name="Normal 2" xfId="3" xr:uid="{0F7BF93B-9129-499C-8093-0A67CD0131C3}"/>
    <cellStyle name="Normal 2 2" xfId="4" xr:uid="{8A6A2183-83CF-4CD2-9739-2BE7B8496B1B}"/>
    <cellStyle name="Normal 3 2" xfId="5" xr:uid="{C756F396-43B6-4723-B5D5-16F4686A7256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1570567</xdr:colOff>
      <xdr:row>159</xdr:row>
      <xdr:rowOff>223418</xdr:rowOff>
    </xdr:from>
    <xdr:to>
      <xdr:col>0</xdr:col>
      <xdr:colOff>5113867</xdr:colOff>
      <xdr:row>169</xdr:row>
      <xdr:rowOff>121748</xdr:rowOff>
    </xdr:to>
    <xdr:pic>
      <xdr:nvPicPr>
        <xdr:cNvPr id="2" name="Picture 1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162EE452-A3A9-419E-ABAB-FB97E9D4A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0567" y="31922618"/>
          <a:ext cx="3543300" cy="1938797"/>
        </a:xfrm>
        <a:prstGeom prst="rect">
          <a:avLst/>
        </a:prstGeom>
      </xdr:spPr>
    </xdr:pic>
    <xdr:clientData/>
  </xdr:twoCellAnchor>
  <xdr:twoCellAnchor editAs="oneCell">
    <xdr:from>
      <xdr:col>0</xdr:col>
      <xdr:colOff>6629400</xdr:colOff>
      <xdr:row>159</xdr:row>
      <xdr:rowOff>320847</xdr:rowOff>
    </xdr:from>
    <xdr:to>
      <xdr:col>2</xdr:col>
      <xdr:colOff>1413933</xdr:colOff>
      <xdr:row>169</xdr:row>
      <xdr:rowOff>135753</xdr:rowOff>
    </xdr:to>
    <xdr:pic>
      <xdr:nvPicPr>
        <xdr:cNvPr id="3" name="Picture 2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DB21A485-FCD2-40F8-B8F3-7C2E5E583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0" y="32020047"/>
          <a:ext cx="3623733" cy="1855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ifimf.com/wp-content/uploads/fund-sheets/Scheme_Performance_DAAF_Feb.xlsx" TargetMode="External"/><Relationship Id="rId2" Type="http://schemas.openxmlformats.org/officeDocument/2006/relationships/hyperlink" Target="https://unifimf.com/wp-content/uploads/fund-sheets/Scheme_Performance_Flexicap_March.xlsx" TargetMode="External"/><Relationship Id="rId1" Type="http://schemas.openxmlformats.org/officeDocument/2006/relationships/hyperlink" Target="https://unifimf.com/wp-content/uploads/fund-sheets/Scheme_Performance_Flexicap_Feb.xlsx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unifimf.com/wp-content/uploads/fund-sheets/Disclosure-of-category-wise-portfolio-overlap-levels-in-Unifi-Mutual-Fund-Schem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1"/>
  <sheetViews>
    <sheetView showGridLines="0" tabSelected="1" zoomScale="75" zoomScaleNormal="75" workbookViewId="0">
      <selection sqref="A1:H1"/>
    </sheetView>
  </sheetViews>
  <sheetFormatPr defaultRowHeight="14.5" x14ac:dyDescent="0.35"/>
  <cols>
    <col min="1" max="1" width="95.26953125" customWidth="1"/>
    <col min="2" max="2" width="31.26953125" bestFit="1" customWidth="1"/>
    <col min="3" max="3" width="30.81640625" customWidth="1"/>
    <col min="4" max="4" width="15.453125" customWidth="1"/>
    <col min="5" max="5" width="12.81640625" customWidth="1"/>
    <col min="6" max="6" width="9.90625" bestFit="1" customWidth="1"/>
    <col min="7" max="7" width="9.90625" customWidth="1"/>
    <col min="8" max="8" width="0.6328125" hidden="1" customWidth="1"/>
    <col min="9" max="12" width="0.7265625" customWidth="1"/>
    <col min="13" max="13" width="9.6328125" bestFit="1" customWidth="1"/>
  </cols>
  <sheetData>
    <row r="1" spans="1:13" ht="18" customHeight="1" x14ac:dyDescent="0.35">
      <c r="A1" s="91" t="s">
        <v>146</v>
      </c>
      <c r="B1" s="92"/>
      <c r="C1" s="92"/>
      <c r="D1" s="92"/>
      <c r="E1" s="92"/>
      <c r="F1" s="92"/>
      <c r="G1" s="92"/>
      <c r="H1" s="93"/>
    </row>
    <row r="2" spans="1:13" ht="30" customHeight="1" x14ac:dyDescent="0.35">
      <c r="A2" s="91" t="s">
        <v>147</v>
      </c>
      <c r="B2" s="92"/>
      <c r="C2" s="92"/>
      <c r="D2" s="92"/>
      <c r="E2" s="92"/>
      <c r="F2" s="92"/>
      <c r="G2" s="92"/>
      <c r="H2" s="93"/>
    </row>
    <row r="3" spans="1:13" x14ac:dyDescent="0.35">
      <c r="A3" s="94" t="s">
        <v>209</v>
      </c>
      <c r="B3" s="95"/>
      <c r="C3" s="95"/>
      <c r="D3" s="95"/>
      <c r="E3" s="95"/>
      <c r="F3" s="95"/>
      <c r="G3" s="95"/>
      <c r="H3" s="96"/>
    </row>
    <row r="4" spans="1:13" ht="68.5" customHeight="1" x14ac:dyDescent="0.35">
      <c r="A4" s="62" t="s">
        <v>1</v>
      </c>
      <c r="B4" s="62" t="s">
        <v>2</v>
      </c>
      <c r="C4" s="62" t="s">
        <v>3</v>
      </c>
      <c r="D4" s="62" t="s">
        <v>4</v>
      </c>
      <c r="E4" s="62" t="s">
        <v>5</v>
      </c>
      <c r="F4" s="62" t="s">
        <v>6</v>
      </c>
      <c r="G4" s="62" t="s">
        <v>7</v>
      </c>
      <c r="H4" s="2" t="s">
        <v>8</v>
      </c>
    </row>
    <row r="5" spans="1:13" ht="18.399999999999999" customHeight="1" x14ac:dyDescent="0.35">
      <c r="A5" s="3" t="s">
        <v>9</v>
      </c>
      <c r="B5" s="4"/>
      <c r="C5" s="4"/>
      <c r="D5" s="4"/>
      <c r="E5" s="4"/>
      <c r="F5" s="4"/>
      <c r="G5" s="4"/>
      <c r="H5" s="4"/>
    </row>
    <row r="6" spans="1:13" ht="16.649999999999999" customHeight="1" x14ac:dyDescent="0.35">
      <c r="A6" s="3" t="s">
        <v>10</v>
      </c>
      <c r="B6" s="4"/>
      <c r="C6" s="4"/>
      <c r="D6" s="4"/>
      <c r="E6" s="4"/>
      <c r="F6" s="4"/>
      <c r="G6" s="4"/>
      <c r="H6" s="4"/>
    </row>
    <row r="7" spans="1:13" x14ac:dyDescent="0.35">
      <c r="A7" s="6" t="s">
        <v>11</v>
      </c>
      <c r="B7" s="6" t="s">
        <v>12</v>
      </c>
      <c r="C7" s="6" t="s">
        <v>179</v>
      </c>
      <c r="D7" s="7">
        <v>51052</v>
      </c>
      <c r="E7" s="8">
        <v>909.95084799999995</v>
      </c>
      <c r="F7" s="9">
        <v>5.497854564409671E-2</v>
      </c>
      <c r="G7" s="4"/>
      <c r="H7" s="4"/>
    </row>
    <row r="8" spans="1:13" x14ac:dyDescent="0.35">
      <c r="A8" s="6" t="s">
        <v>13</v>
      </c>
      <c r="B8" s="6" t="s">
        <v>14</v>
      </c>
      <c r="C8" s="6" t="s">
        <v>180</v>
      </c>
      <c r="D8" s="7">
        <v>65802</v>
      </c>
      <c r="E8" s="8">
        <v>793.50631799999996</v>
      </c>
      <c r="F8" s="9">
        <v>4.7943054747328642E-2</v>
      </c>
      <c r="G8" s="4"/>
      <c r="H8" s="4"/>
      <c r="M8" s="63"/>
    </row>
    <row r="9" spans="1:13" x14ac:dyDescent="0.35">
      <c r="A9" s="6" t="s">
        <v>15</v>
      </c>
      <c r="B9" s="6" t="s">
        <v>16</v>
      </c>
      <c r="C9" s="6" t="s">
        <v>181</v>
      </c>
      <c r="D9" s="7">
        <v>59000</v>
      </c>
      <c r="E9" s="8">
        <v>792.90099999999995</v>
      </c>
      <c r="F9" s="9">
        <v>4.7906481889173347E-2</v>
      </c>
      <c r="G9" s="4"/>
      <c r="H9" s="4"/>
    </row>
    <row r="10" spans="1:13" x14ac:dyDescent="0.35">
      <c r="A10" s="6" t="s">
        <v>17</v>
      </c>
      <c r="B10" s="6" t="s">
        <v>18</v>
      </c>
      <c r="C10" s="6" t="s">
        <v>180</v>
      </c>
      <c r="D10" s="7">
        <v>179015</v>
      </c>
      <c r="E10" s="8">
        <v>632.63900999999998</v>
      </c>
      <c r="F10" s="9">
        <v>3.8223573024815903E-2</v>
      </c>
      <c r="G10" s="4"/>
      <c r="H10" s="4"/>
    </row>
    <row r="11" spans="1:13" x14ac:dyDescent="0.35">
      <c r="A11" s="6" t="s">
        <v>19</v>
      </c>
      <c r="B11" s="6" t="s">
        <v>20</v>
      </c>
      <c r="C11" s="6" t="s">
        <v>180</v>
      </c>
      <c r="D11" s="7">
        <v>82400</v>
      </c>
      <c r="E11" s="8">
        <v>602.79719999999998</v>
      </c>
      <c r="F11" s="9">
        <v>3.6420553315791505E-2</v>
      </c>
      <c r="G11" s="4"/>
      <c r="H11" s="4"/>
    </row>
    <row r="12" spans="1:13" x14ac:dyDescent="0.35">
      <c r="A12" s="6" t="s">
        <v>21</v>
      </c>
      <c r="B12" s="6" t="s">
        <v>22</v>
      </c>
      <c r="C12" s="6" t="s">
        <v>23</v>
      </c>
      <c r="D12" s="7">
        <v>17000</v>
      </c>
      <c r="E12" s="8">
        <v>595.697</v>
      </c>
      <c r="F12" s="9">
        <v>3.5991564573553188E-2</v>
      </c>
      <c r="G12" s="4"/>
      <c r="H12" s="4"/>
    </row>
    <row r="13" spans="1:13" x14ac:dyDescent="0.35">
      <c r="A13" s="6" t="s">
        <v>24</v>
      </c>
      <c r="B13" s="6" t="s">
        <v>25</v>
      </c>
      <c r="C13" s="6" t="s">
        <v>182</v>
      </c>
      <c r="D13" s="7">
        <v>275000</v>
      </c>
      <c r="E13" s="8">
        <v>527.61500000000001</v>
      </c>
      <c r="F13" s="9">
        <v>3.1878101354338301E-2</v>
      </c>
      <c r="G13" s="4"/>
      <c r="H13" s="4"/>
    </row>
    <row r="14" spans="1:13" x14ac:dyDescent="0.35">
      <c r="A14" s="6" t="s">
        <v>26</v>
      </c>
      <c r="B14" s="6" t="s">
        <v>27</v>
      </c>
      <c r="C14" s="6" t="s">
        <v>28</v>
      </c>
      <c r="D14" s="7">
        <v>6702</v>
      </c>
      <c r="E14" s="8">
        <v>497.22138000000001</v>
      </c>
      <c r="F14" s="9">
        <v>3.0041741700262425E-2</v>
      </c>
      <c r="G14" s="4"/>
      <c r="H14" s="4"/>
    </row>
    <row r="15" spans="1:13" x14ac:dyDescent="0.35">
      <c r="A15" s="6" t="s">
        <v>29</v>
      </c>
      <c r="B15" s="6" t="s">
        <v>30</v>
      </c>
      <c r="C15" s="6" t="s">
        <v>180</v>
      </c>
      <c r="D15" s="7">
        <v>42601</v>
      </c>
      <c r="E15" s="8">
        <v>494.725413</v>
      </c>
      <c r="F15" s="9">
        <v>2.9890937251937259E-2</v>
      </c>
      <c r="G15" s="4"/>
      <c r="H15" s="4"/>
    </row>
    <row r="16" spans="1:13" x14ac:dyDescent="0.35">
      <c r="A16" s="6" t="s">
        <v>31</v>
      </c>
      <c r="B16" s="6" t="s">
        <v>32</v>
      </c>
      <c r="C16" s="6" t="s">
        <v>180</v>
      </c>
      <c r="D16" s="7">
        <v>48002</v>
      </c>
      <c r="E16" s="8">
        <v>470.13158800000002</v>
      </c>
      <c r="F16" s="9">
        <v>2.8404996848345892E-2</v>
      </c>
      <c r="G16" s="4"/>
      <c r="H16" s="4"/>
    </row>
    <row r="17" spans="1:8" x14ac:dyDescent="0.35">
      <c r="A17" s="6" t="s">
        <v>33</v>
      </c>
      <c r="B17" s="6" t="s">
        <v>34</v>
      </c>
      <c r="C17" s="6" t="s">
        <v>183</v>
      </c>
      <c r="D17" s="7">
        <v>15000</v>
      </c>
      <c r="E17" s="8">
        <v>443.20499999999998</v>
      </c>
      <c r="F17" s="9">
        <v>2.6778112659324522E-2</v>
      </c>
      <c r="G17" s="4"/>
      <c r="H17" s="4"/>
    </row>
    <row r="18" spans="1:8" x14ac:dyDescent="0.35">
      <c r="A18" s="6" t="s">
        <v>35</v>
      </c>
      <c r="B18" s="6" t="s">
        <v>36</v>
      </c>
      <c r="C18" s="6" t="s">
        <v>184</v>
      </c>
      <c r="D18" s="7">
        <v>146400</v>
      </c>
      <c r="E18" s="8">
        <v>421.19279999999998</v>
      </c>
      <c r="F18" s="9">
        <v>2.5448152095974418E-2</v>
      </c>
      <c r="G18" s="4"/>
      <c r="H18" s="4"/>
    </row>
    <row r="19" spans="1:8" x14ac:dyDescent="0.35">
      <c r="A19" s="6" t="s">
        <v>37</v>
      </c>
      <c r="B19" s="6" t="s">
        <v>38</v>
      </c>
      <c r="C19" s="6" t="s">
        <v>185</v>
      </c>
      <c r="D19" s="7">
        <v>60000</v>
      </c>
      <c r="E19" s="8">
        <v>392.88</v>
      </c>
      <c r="F19" s="9">
        <v>2.373751402081524E-2</v>
      </c>
      <c r="G19" s="4"/>
      <c r="H19" s="4"/>
    </row>
    <row r="20" spans="1:8" x14ac:dyDescent="0.35">
      <c r="A20" s="6" t="s">
        <v>39</v>
      </c>
      <c r="B20" s="6" t="s">
        <v>40</v>
      </c>
      <c r="C20" s="6" t="s">
        <v>41</v>
      </c>
      <c r="D20" s="7">
        <v>100502</v>
      </c>
      <c r="E20" s="8">
        <v>372.51066300000002</v>
      </c>
      <c r="F20" s="9">
        <v>2.2506814003934231E-2</v>
      </c>
      <c r="G20" s="4"/>
      <c r="H20" s="4"/>
    </row>
    <row r="21" spans="1:8" x14ac:dyDescent="0.35">
      <c r="A21" s="6" t="s">
        <v>42</v>
      </c>
      <c r="B21" s="6" t="s">
        <v>43</v>
      </c>
      <c r="C21" s="6" t="s">
        <v>180</v>
      </c>
      <c r="D21" s="7">
        <v>1080000</v>
      </c>
      <c r="E21" s="8">
        <v>369.57600000000002</v>
      </c>
      <c r="F21" s="9">
        <v>2.2329503873337438E-2</v>
      </c>
      <c r="G21" s="4"/>
      <c r="H21" s="4"/>
    </row>
    <row r="22" spans="1:8" x14ac:dyDescent="0.35">
      <c r="A22" s="6" t="s">
        <v>44</v>
      </c>
      <c r="B22" s="6" t="s">
        <v>45</v>
      </c>
      <c r="C22" s="6" t="s">
        <v>186</v>
      </c>
      <c r="D22" s="7">
        <v>24000</v>
      </c>
      <c r="E22" s="8">
        <v>347.64</v>
      </c>
      <c r="F22" s="9">
        <v>2.1004147256659056E-2</v>
      </c>
      <c r="G22" s="4"/>
      <c r="H22" s="4"/>
    </row>
    <row r="23" spans="1:8" x14ac:dyDescent="0.35">
      <c r="A23" s="6" t="s">
        <v>46</v>
      </c>
      <c r="B23" s="6" t="s">
        <v>47</v>
      </c>
      <c r="C23" s="6" t="s">
        <v>187</v>
      </c>
      <c r="D23" s="7">
        <v>23000</v>
      </c>
      <c r="E23" s="8">
        <v>311.42</v>
      </c>
      <c r="F23" s="9">
        <v>1.8815762106399618E-2</v>
      </c>
      <c r="G23" s="4"/>
      <c r="H23" s="4"/>
    </row>
    <row r="24" spans="1:8" x14ac:dyDescent="0.35">
      <c r="A24" s="6" t="s">
        <v>48</v>
      </c>
      <c r="B24" s="6" t="s">
        <v>49</v>
      </c>
      <c r="C24" s="6" t="s">
        <v>188</v>
      </c>
      <c r="D24" s="7">
        <v>7000</v>
      </c>
      <c r="E24" s="8">
        <v>295.41399999999999</v>
      </c>
      <c r="F24" s="9">
        <v>1.7848691628347367E-2</v>
      </c>
      <c r="G24" s="4"/>
      <c r="H24" s="4"/>
    </row>
    <row r="25" spans="1:8" x14ac:dyDescent="0.35">
      <c r="A25" s="6" t="s">
        <v>50</v>
      </c>
      <c r="B25" s="6" t="s">
        <v>51</v>
      </c>
      <c r="C25" s="6" t="s">
        <v>189</v>
      </c>
      <c r="D25" s="7">
        <v>15300</v>
      </c>
      <c r="E25" s="8">
        <v>292.19940000000003</v>
      </c>
      <c r="F25" s="9">
        <v>1.7654467914818266E-2</v>
      </c>
      <c r="G25" s="4"/>
      <c r="H25" s="4"/>
    </row>
    <row r="26" spans="1:8" x14ac:dyDescent="0.35">
      <c r="A26" s="6" t="s">
        <v>52</v>
      </c>
      <c r="B26" s="6" t="s">
        <v>53</v>
      </c>
      <c r="C26" s="6" t="s">
        <v>183</v>
      </c>
      <c r="D26" s="7">
        <v>3200</v>
      </c>
      <c r="E26" s="8">
        <v>281.00799999999998</v>
      </c>
      <c r="F26" s="9">
        <v>1.6978291946551743E-2</v>
      </c>
      <c r="G26" s="4"/>
      <c r="H26" s="4"/>
    </row>
    <row r="27" spans="1:8" x14ac:dyDescent="0.35">
      <c r="A27" s="6" t="s">
        <v>54</v>
      </c>
      <c r="B27" s="6" t="s">
        <v>55</v>
      </c>
      <c r="C27" s="6" t="s">
        <v>190</v>
      </c>
      <c r="D27" s="7">
        <v>36356</v>
      </c>
      <c r="E27" s="8">
        <v>280.341116</v>
      </c>
      <c r="F27" s="9">
        <v>1.6937999316994988E-2</v>
      </c>
      <c r="G27" s="4"/>
      <c r="H27" s="4"/>
    </row>
    <row r="28" spans="1:8" x14ac:dyDescent="0.35">
      <c r="A28" s="6" t="s">
        <v>56</v>
      </c>
      <c r="B28" s="6" t="s">
        <v>57</v>
      </c>
      <c r="C28" s="6" t="s">
        <v>186</v>
      </c>
      <c r="D28" s="7">
        <v>32504</v>
      </c>
      <c r="E28" s="8">
        <v>260.56831599999998</v>
      </c>
      <c r="F28" s="9">
        <v>1.5743341616855568E-2</v>
      </c>
      <c r="G28" s="4"/>
      <c r="H28" s="4"/>
    </row>
    <row r="29" spans="1:8" x14ac:dyDescent="0.35">
      <c r="A29" s="6" t="s">
        <v>58</v>
      </c>
      <c r="B29" s="6" t="s">
        <v>59</v>
      </c>
      <c r="C29" s="6" t="s">
        <v>28</v>
      </c>
      <c r="D29" s="7">
        <v>16001</v>
      </c>
      <c r="E29" s="8">
        <v>256.86405300000001</v>
      </c>
      <c r="F29" s="9">
        <v>1.5519532833259337E-2</v>
      </c>
      <c r="G29" s="4"/>
      <c r="H29" s="4"/>
    </row>
    <row r="30" spans="1:8" x14ac:dyDescent="0.35">
      <c r="A30" s="6" t="s">
        <v>60</v>
      </c>
      <c r="B30" s="6" t="s">
        <v>61</v>
      </c>
      <c r="C30" s="6" t="s">
        <v>188</v>
      </c>
      <c r="D30" s="7">
        <v>42502</v>
      </c>
      <c r="E30" s="8">
        <v>251.59058899999999</v>
      </c>
      <c r="F30" s="9">
        <v>1.520091410581517E-2</v>
      </c>
      <c r="G30" s="4"/>
      <c r="H30" s="4"/>
    </row>
    <row r="31" spans="1:8" x14ac:dyDescent="0.35">
      <c r="A31" s="6" t="s">
        <v>62</v>
      </c>
      <c r="B31" s="6" t="s">
        <v>63</v>
      </c>
      <c r="C31" s="6" t="s">
        <v>191</v>
      </c>
      <c r="D31" s="7">
        <v>94209</v>
      </c>
      <c r="E31" s="8">
        <v>250.21910399999999</v>
      </c>
      <c r="F31" s="9">
        <v>1.5118050013937656E-2</v>
      </c>
      <c r="G31" s="4"/>
      <c r="H31" s="4"/>
    </row>
    <row r="32" spans="1:8" x14ac:dyDescent="0.35">
      <c r="A32" s="6" t="s">
        <v>64</v>
      </c>
      <c r="B32" s="6" t="s">
        <v>65</v>
      </c>
      <c r="C32" s="6" t="s">
        <v>180</v>
      </c>
      <c r="D32" s="7">
        <v>100001</v>
      </c>
      <c r="E32" s="8">
        <v>247.602476</v>
      </c>
      <c r="F32" s="9">
        <v>1.4959955318770538E-2</v>
      </c>
      <c r="G32" s="4"/>
      <c r="H32" s="4"/>
    </row>
    <row r="33" spans="1:8" x14ac:dyDescent="0.35">
      <c r="A33" s="6" t="s">
        <v>66</v>
      </c>
      <c r="B33" s="6" t="s">
        <v>67</v>
      </c>
      <c r="C33" s="6" t="s">
        <v>192</v>
      </c>
      <c r="D33" s="7">
        <v>6213</v>
      </c>
      <c r="E33" s="8">
        <v>245.00965500000001</v>
      </c>
      <c r="F33" s="9">
        <v>1.4803299024632469E-2</v>
      </c>
      <c r="G33" s="4"/>
      <c r="H33" s="4"/>
    </row>
    <row r="34" spans="1:8" x14ac:dyDescent="0.35">
      <c r="A34" s="6" t="s">
        <v>68</v>
      </c>
      <c r="B34" s="6" t="s">
        <v>69</v>
      </c>
      <c r="C34" s="6" t="s">
        <v>193</v>
      </c>
      <c r="D34" s="7">
        <v>7000</v>
      </c>
      <c r="E34" s="8">
        <v>244.10400000000001</v>
      </c>
      <c r="F34" s="9">
        <v>1.4748580030892596E-2</v>
      </c>
      <c r="G34" s="4"/>
      <c r="H34" s="4"/>
    </row>
    <row r="35" spans="1:8" x14ac:dyDescent="0.35">
      <c r="A35" s="6" t="s">
        <v>70</v>
      </c>
      <c r="B35" s="6" t="s">
        <v>71</v>
      </c>
      <c r="C35" s="6" t="s">
        <v>183</v>
      </c>
      <c r="D35" s="7">
        <v>7000</v>
      </c>
      <c r="E35" s="8">
        <v>235.46600000000001</v>
      </c>
      <c r="F35" s="9">
        <v>1.422667856960212E-2</v>
      </c>
      <c r="G35" s="4"/>
      <c r="H35" s="4"/>
    </row>
    <row r="36" spans="1:8" x14ac:dyDescent="0.35">
      <c r="A36" s="6" t="s">
        <v>72</v>
      </c>
      <c r="B36" s="6" t="s">
        <v>73</v>
      </c>
      <c r="C36" s="6" t="s">
        <v>194</v>
      </c>
      <c r="D36" s="7">
        <v>47501</v>
      </c>
      <c r="E36" s="8">
        <v>213.20823849999999</v>
      </c>
      <c r="F36" s="9">
        <v>1.2881881365167658E-2</v>
      </c>
      <c r="G36" s="4"/>
      <c r="H36" s="4"/>
    </row>
    <row r="37" spans="1:8" x14ac:dyDescent="0.35">
      <c r="A37" s="6" t="s">
        <v>74</v>
      </c>
      <c r="B37" s="6" t="s">
        <v>75</v>
      </c>
      <c r="C37" s="6" t="s">
        <v>186</v>
      </c>
      <c r="D37" s="7">
        <v>24000</v>
      </c>
      <c r="E37" s="8">
        <v>210.792</v>
      </c>
      <c r="F37" s="9">
        <v>1.2735894052829582E-2</v>
      </c>
      <c r="G37" s="4"/>
      <c r="H37" s="4"/>
    </row>
    <row r="38" spans="1:8" x14ac:dyDescent="0.35">
      <c r="A38" s="6" t="s">
        <v>76</v>
      </c>
      <c r="B38" s="6" t="s">
        <v>77</v>
      </c>
      <c r="C38" s="6" t="s">
        <v>195</v>
      </c>
      <c r="D38" s="7">
        <v>15001</v>
      </c>
      <c r="E38" s="8">
        <v>207.61384000000001</v>
      </c>
      <c r="F38" s="9">
        <v>1.2543872016685227E-2</v>
      </c>
      <c r="G38" s="4"/>
      <c r="H38" s="4"/>
    </row>
    <row r="39" spans="1:8" x14ac:dyDescent="0.35">
      <c r="A39" s="6" t="s">
        <v>78</v>
      </c>
      <c r="B39" s="6" t="s">
        <v>79</v>
      </c>
      <c r="C39" s="6" t="s">
        <v>195</v>
      </c>
      <c r="D39" s="7">
        <v>15001</v>
      </c>
      <c r="E39" s="8">
        <v>201.25341599999999</v>
      </c>
      <c r="F39" s="9">
        <v>1.2159579983804118E-2</v>
      </c>
      <c r="G39" s="4"/>
      <c r="H39" s="4"/>
    </row>
    <row r="40" spans="1:8" x14ac:dyDescent="0.35">
      <c r="A40" s="6" t="s">
        <v>210</v>
      </c>
      <c r="B40" s="6" t="s">
        <v>80</v>
      </c>
      <c r="C40" s="6" t="s">
        <v>194</v>
      </c>
      <c r="D40" s="7">
        <v>160000</v>
      </c>
      <c r="E40" s="8">
        <v>198.464</v>
      </c>
      <c r="F40" s="9">
        <v>1.1991045567672255E-2</v>
      </c>
      <c r="G40" s="4"/>
      <c r="H40" s="4"/>
    </row>
    <row r="41" spans="1:8" x14ac:dyDescent="0.35">
      <c r="A41" s="6" t="s">
        <v>81</v>
      </c>
      <c r="B41" s="6" t="s">
        <v>82</v>
      </c>
      <c r="C41" s="6" t="s">
        <v>186</v>
      </c>
      <c r="D41" s="7">
        <v>8800</v>
      </c>
      <c r="E41" s="8">
        <v>195.04320000000001</v>
      </c>
      <c r="F41" s="9">
        <v>1.1784363405275583E-2</v>
      </c>
      <c r="G41" s="4"/>
      <c r="H41" s="4"/>
    </row>
    <row r="42" spans="1:8" x14ac:dyDescent="0.35">
      <c r="A42" s="6" t="s">
        <v>83</v>
      </c>
      <c r="B42" s="6" t="s">
        <v>84</v>
      </c>
      <c r="C42" s="6" t="s">
        <v>188</v>
      </c>
      <c r="D42" s="7">
        <v>120127</v>
      </c>
      <c r="E42" s="8">
        <v>188.46725029999999</v>
      </c>
      <c r="F42" s="9">
        <v>1.1387049471748996E-2</v>
      </c>
      <c r="G42" s="4"/>
      <c r="H42" s="4"/>
    </row>
    <row r="43" spans="1:8" x14ac:dyDescent="0.35">
      <c r="A43" s="6" t="s">
        <v>211</v>
      </c>
      <c r="B43" s="6" t="s">
        <v>85</v>
      </c>
      <c r="C43" s="6" t="s">
        <v>196</v>
      </c>
      <c r="D43" s="7">
        <v>450000</v>
      </c>
      <c r="E43" s="8">
        <v>179.77500000000001</v>
      </c>
      <c r="F43" s="9">
        <v>1.0861870248147169E-2</v>
      </c>
      <c r="G43" s="4"/>
      <c r="H43" s="4"/>
    </row>
    <row r="44" spans="1:8" x14ac:dyDescent="0.35">
      <c r="A44" s="6" t="s">
        <v>86</v>
      </c>
      <c r="B44" s="6" t="s">
        <v>87</v>
      </c>
      <c r="C44" s="6" t="s">
        <v>197</v>
      </c>
      <c r="D44" s="7">
        <v>15500</v>
      </c>
      <c r="E44" s="8">
        <v>174.065</v>
      </c>
      <c r="F44" s="9">
        <v>1.0516876344006325E-2</v>
      </c>
      <c r="G44" s="4"/>
      <c r="H44" s="4"/>
    </row>
    <row r="45" spans="1:8" x14ac:dyDescent="0.35">
      <c r="A45" s="6" t="s">
        <v>88</v>
      </c>
      <c r="B45" s="6" t="s">
        <v>89</v>
      </c>
      <c r="C45" s="6" t="s">
        <v>198</v>
      </c>
      <c r="D45" s="7">
        <v>20000</v>
      </c>
      <c r="E45" s="8">
        <v>170.27</v>
      </c>
      <c r="F45" s="9">
        <v>1.0287585299135132E-2</v>
      </c>
      <c r="G45" s="4"/>
      <c r="H45" s="4"/>
    </row>
    <row r="46" spans="1:8" x14ac:dyDescent="0.35">
      <c r="A46" s="6" t="s">
        <v>90</v>
      </c>
      <c r="B46" s="6" t="s">
        <v>91</v>
      </c>
      <c r="C46" s="6" t="s">
        <v>199</v>
      </c>
      <c r="D46" s="7">
        <v>20002</v>
      </c>
      <c r="E46" s="8">
        <v>167.99679800000001</v>
      </c>
      <c r="F46" s="9">
        <v>1.0150240144515031E-2</v>
      </c>
      <c r="G46" s="4"/>
      <c r="H46" s="4"/>
    </row>
    <row r="47" spans="1:8" x14ac:dyDescent="0.35">
      <c r="A47" s="6" t="s">
        <v>92</v>
      </c>
      <c r="B47" s="6" t="s">
        <v>93</v>
      </c>
      <c r="C47" s="6" t="s">
        <v>195</v>
      </c>
      <c r="D47" s="7">
        <v>8100</v>
      </c>
      <c r="E47" s="8">
        <v>166.29300000000001</v>
      </c>
      <c r="F47" s="9">
        <v>1.0047297951189749E-2</v>
      </c>
      <c r="G47" s="4"/>
      <c r="H47" s="4"/>
    </row>
    <row r="48" spans="1:8" x14ac:dyDescent="0.35">
      <c r="A48" s="6" t="s">
        <v>94</v>
      </c>
      <c r="B48" s="6" t="s">
        <v>95</v>
      </c>
      <c r="C48" s="6" t="s">
        <v>194</v>
      </c>
      <c r="D48" s="7">
        <v>22000</v>
      </c>
      <c r="E48" s="8">
        <v>166.11099999999999</v>
      </c>
      <c r="F48" s="9">
        <v>1.0036301648115557E-2</v>
      </c>
      <c r="G48" s="4"/>
      <c r="H48" s="4"/>
    </row>
    <row r="49" spans="1:8" x14ac:dyDescent="0.35">
      <c r="A49" s="6" t="s">
        <v>96</v>
      </c>
      <c r="B49" s="6" t="s">
        <v>97</v>
      </c>
      <c r="C49" s="6" t="s">
        <v>195</v>
      </c>
      <c r="D49" s="7">
        <v>2455</v>
      </c>
      <c r="E49" s="8">
        <v>165.24605</v>
      </c>
      <c r="F49" s="9">
        <v>9.9840420198517004E-3</v>
      </c>
      <c r="G49" s="4"/>
      <c r="H49" s="4"/>
    </row>
    <row r="50" spans="1:8" x14ac:dyDescent="0.35">
      <c r="A50" s="6" t="s">
        <v>98</v>
      </c>
      <c r="B50" s="6" t="s">
        <v>99</v>
      </c>
      <c r="C50" s="6" t="s">
        <v>189</v>
      </c>
      <c r="D50" s="7">
        <v>3420</v>
      </c>
      <c r="E50" s="8">
        <v>158.87952000000001</v>
      </c>
      <c r="F50" s="9">
        <v>9.5993810670443776E-3</v>
      </c>
      <c r="G50" s="4"/>
      <c r="H50" s="4"/>
    </row>
    <row r="51" spans="1:8" x14ac:dyDescent="0.35">
      <c r="A51" s="6" t="s">
        <v>100</v>
      </c>
      <c r="B51" s="6" t="s">
        <v>101</v>
      </c>
      <c r="C51" s="6" t="s">
        <v>194</v>
      </c>
      <c r="D51" s="7">
        <v>20000</v>
      </c>
      <c r="E51" s="8">
        <v>158.41</v>
      </c>
      <c r="F51" s="9">
        <v>9.5710130218828703E-3</v>
      </c>
      <c r="G51" s="4"/>
      <c r="H51" s="4"/>
    </row>
    <row r="52" spans="1:8" x14ac:dyDescent="0.35">
      <c r="A52" s="6" t="s">
        <v>102</v>
      </c>
      <c r="B52" s="6" t="s">
        <v>103</v>
      </c>
      <c r="C52" s="6" t="s">
        <v>41</v>
      </c>
      <c r="D52" s="7">
        <v>52001</v>
      </c>
      <c r="E52" s="8">
        <v>153.97496100000001</v>
      </c>
      <c r="F52" s="9">
        <v>9.3030513021583675E-3</v>
      </c>
      <c r="G52" s="4"/>
      <c r="H52" s="4"/>
    </row>
    <row r="53" spans="1:8" x14ac:dyDescent="0.35">
      <c r="A53" s="6" t="s">
        <v>104</v>
      </c>
      <c r="B53" s="6" t="s">
        <v>105</v>
      </c>
      <c r="C53" s="6" t="s">
        <v>195</v>
      </c>
      <c r="D53" s="7">
        <v>11610</v>
      </c>
      <c r="E53" s="8">
        <v>145.19466</v>
      </c>
      <c r="F53" s="9">
        <v>8.7725521215065716E-3</v>
      </c>
      <c r="G53" s="4"/>
      <c r="H53" s="4"/>
    </row>
    <row r="54" spans="1:8" x14ac:dyDescent="0.35">
      <c r="A54" s="6" t="s">
        <v>212</v>
      </c>
      <c r="B54" s="6" t="s">
        <v>106</v>
      </c>
      <c r="C54" s="6" t="s">
        <v>200</v>
      </c>
      <c r="D54" s="7">
        <v>5700</v>
      </c>
      <c r="E54" s="8">
        <v>143.48609999999999</v>
      </c>
      <c r="F54" s="9">
        <v>8.6693222117239302E-3</v>
      </c>
      <c r="G54" s="4"/>
      <c r="H54" s="4"/>
    </row>
    <row r="55" spans="1:8" x14ac:dyDescent="0.35">
      <c r="A55" s="6" t="s">
        <v>107</v>
      </c>
      <c r="B55" s="6" t="s">
        <v>108</v>
      </c>
      <c r="C55" s="6" t="s">
        <v>195</v>
      </c>
      <c r="D55" s="7">
        <v>3200</v>
      </c>
      <c r="E55" s="8">
        <v>128.44159999999999</v>
      </c>
      <c r="F55" s="9">
        <v>7.7603448402971459E-3</v>
      </c>
      <c r="G55" s="4"/>
      <c r="H55" s="4"/>
    </row>
    <row r="56" spans="1:8" x14ac:dyDescent="0.35">
      <c r="A56" s="6" t="s">
        <v>109</v>
      </c>
      <c r="B56" s="6" t="s">
        <v>110</v>
      </c>
      <c r="C56" s="6" t="s">
        <v>188</v>
      </c>
      <c r="D56" s="7">
        <v>6565</v>
      </c>
      <c r="E56" s="8">
        <v>121.958005</v>
      </c>
      <c r="F56" s="9">
        <v>7.3686109082624594E-3</v>
      </c>
      <c r="G56" s="4"/>
      <c r="H56" s="4"/>
    </row>
    <row r="57" spans="1:8" x14ac:dyDescent="0.35">
      <c r="A57" s="6" t="s">
        <v>111</v>
      </c>
      <c r="B57" s="6" t="s">
        <v>112</v>
      </c>
      <c r="C57" s="6" t="s">
        <v>191</v>
      </c>
      <c r="D57" s="7">
        <v>55000</v>
      </c>
      <c r="E57" s="8">
        <v>109.9725</v>
      </c>
      <c r="F57" s="9">
        <v>6.6444557133325793E-3</v>
      </c>
      <c r="G57" s="4"/>
      <c r="H57" s="4"/>
    </row>
    <row r="58" spans="1:8" x14ac:dyDescent="0.35">
      <c r="A58" s="6" t="s">
        <v>113</v>
      </c>
      <c r="B58" s="6" t="s">
        <v>114</v>
      </c>
      <c r="C58" s="6" t="s">
        <v>190</v>
      </c>
      <c r="D58" s="7">
        <v>2250</v>
      </c>
      <c r="E58" s="8">
        <v>101.25225</v>
      </c>
      <c r="F58" s="9">
        <v>6.1175847689220368E-3</v>
      </c>
      <c r="G58" s="4"/>
      <c r="H58" s="4"/>
    </row>
    <row r="59" spans="1:8" x14ac:dyDescent="0.35">
      <c r="A59" s="6" t="s">
        <v>115</v>
      </c>
      <c r="B59" s="6" t="s">
        <v>116</v>
      </c>
      <c r="C59" s="6" t="s">
        <v>188</v>
      </c>
      <c r="D59" s="7">
        <v>4000</v>
      </c>
      <c r="E59" s="8">
        <v>91.32</v>
      </c>
      <c r="F59" s="9">
        <v>5.5174856963470971E-3</v>
      </c>
      <c r="G59" s="4"/>
      <c r="H59" s="4"/>
    </row>
    <row r="60" spans="1:8" x14ac:dyDescent="0.35">
      <c r="A60" s="6" t="s">
        <v>117</v>
      </c>
      <c r="B60" s="6" t="s">
        <v>118</v>
      </c>
      <c r="C60" s="6" t="s">
        <v>23</v>
      </c>
      <c r="D60" s="7">
        <v>66000</v>
      </c>
      <c r="E60" s="8">
        <v>86.420400000000001</v>
      </c>
      <c r="F60" s="9">
        <v>5.2214555505102353E-3</v>
      </c>
      <c r="G60" s="4"/>
      <c r="H60" s="4"/>
    </row>
    <row r="61" spans="1:8" x14ac:dyDescent="0.35">
      <c r="A61" s="6" t="s">
        <v>119</v>
      </c>
      <c r="B61" s="6" t="s">
        <v>120</v>
      </c>
      <c r="C61" s="6" t="s">
        <v>28</v>
      </c>
      <c r="D61" s="7">
        <v>1100</v>
      </c>
      <c r="E61" s="8">
        <v>55.24915</v>
      </c>
      <c r="F61" s="9">
        <v>3.3381120768762071E-3</v>
      </c>
      <c r="G61" s="4"/>
      <c r="H61" s="4"/>
    </row>
    <row r="62" spans="1:8" ht="18.899999999999999" customHeight="1" x14ac:dyDescent="0.35">
      <c r="A62" s="3" t="s">
        <v>121</v>
      </c>
      <c r="B62" s="4"/>
      <c r="C62" s="4"/>
      <c r="D62" s="4"/>
      <c r="E62" s="10">
        <v>16175.153867799998</v>
      </c>
      <c r="F62" s="11">
        <v>0.97729062748357343</v>
      </c>
      <c r="G62" s="4"/>
      <c r="H62" s="4"/>
    </row>
    <row r="63" spans="1:8" ht="21.15" customHeight="1" x14ac:dyDescent="0.35">
      <c r="A63" s="3" t="s">
        <v>122</v>
      </c>
      <c r="B63" s="4"/>
      <c r="C63" s="4"/>
      <c r="D63" s="4"/>
      <c r="E63" s="4"/>
      <c r="F63" s="4"/>
      <c r="G63" s="4"/>
      <c r="H63" s="4"/>
    </row>
    <row r="64" spans="1:8" ht="17.5" customHeight="1" x14ac:dyDescent="0.35">
      <c r="A64" s="3" t="s">
        <v>121</v>
      </c>
      <c r="B64" s="4"/>
      <c r="C64" s="4"/>
      <c r="D64" s="4"/>
      <c r="E64" s="12" t="s">
        <v>123</v>
      </c>
      <c r="F64" s="12" t="s">
        <v>123</v>
      </c>
      <c r="G64" s="4"/>
      <c r="H64" s="4"/>
    </row>
    <row r="65" spans="1:8" x14ac:dyDescent="0.35">
      <c r="A65" s="103" t="s">
        <v>124</v>
      </c>
      <c r="B65" s="77"/>
      <c r="C65" s="77"/>
      <c r="D65" s="77"/>
      <c r="E65" s="77"/>
      <c r="F65" s="77"/>
      <c r="G65" s="77"/>
      <c r="H65" s="77"/>
    </row>
    <row r="66" spans="1:8" x14ac:dyDescent="0.35">
      <c r="A66" s="104"/>
      <c r="B66" s="78"/>
      <c r="C66" s="78"/>
      <c r="D66" s="78"/>
      <c r="E66" s="78"/>
      <c r="F66" s="78"/>
      <c r="G66" s="78"/>
      <c r="H66" s="78"/>
    </row>
    <row r="67" spans="1:8" ht="19.75" customHeight="1" x14ac:dyDescent="0.35">
      <c r="A67" s="3" t="s">
        <v>121</v>
      </c>
      <c r="B67" s="4"/>
      <c r="C67" s="4"/>
      <c r="D67" s="4"/>
      <c r="E67" s="12" t="s">
        <v>123</v>
      </c>
      <c r="F67" s="12" t="s">
        <v>123</v>
      </c>
      <c r="G67" s="4"/>
      <c r="H67" s="4"/>
    </row>
    <row r="68" spans="1:8" ht="20.65" customHeight="1" x14ac:dyDescent="0.35">
      <c r="A68" s="3" t="s">
        <v>125</v>
      </c>
      <c r="B68" s="4"/>
      <c r="C68" s="4"/>
      <c r="D68" s="4"/>
      <c r="E68" s="10">
        <v>16175.153867799998</v>
      </c>
      <c r="F68" s="11">
        <v>0.97729062748357343</v>
      </c>
      <c r="G68" s="4"/>
      <c r="H68" s="4"/>
    </row>
    <row r="69" spans="1:8" x14ac:dyDescent="0.35">
      <c r="A69" s="1"/>
    </row>
    <row r="70" spans="1:8" x14ac:dyDescent="0.35">
      <c r="A70" s="3" t="s">
        <v>126</v>
      </c>
      <c r="B70" s="4"/>
      <c r="C70" s="4"/>
      <c r="D70" s="4"/>
      <c r="E70" s="4"/>
      <c r="F70" s="4"/>
      <c r="G70" s="4"/>
      <c r="H70" s="4"/>
    </row>
    <row r="71" spans="1:8" x14ac:dyDescent="0.35">
      <c r="A71" s="3" t="s">
        <v>127</v>
      </c>
      <c r="B71" s="4"/>
      <c r="C71" s="4"/>
      <c r="D71" s="4"/>
      <c r="E71" s="4"/>
      <c r="F71" s="4"/>
      <c r="G71" s="4"/>
      <c r="H71" s="4"/>
    </row>
    <row r="72" spans="1:8" x14ac:dyDescent="0.35">
      <c r="A72" s="3" t="s">
        <v>121</v>
      </c>
      <c r="B72" s="4"/>
      <c r="C72" s="4"/>
      <c r="D72" s="4"/>
      <c r="E72" s="12" t="s">
        <v>123</v>
      </c>
      <c r="F72" s="12" t="s">
        <v>123</v>
      </c>
      <c r="G72" s="4"/>
      <c r="H72" s="4"/>
    </row>
    <row r="73" spans="1:8" x14ac:dyDescent="0.35">
      <c r="A73" s="3" t="s">
        <v>128</v>
      </c>
      <c r="B73" s="4"/>
      <c r="C73" s="4"/>
      <c r="D73" s="4"/>
      <c r="E73" s="4"/>
      <c r="F73" s="4"/>
      <c r="G73" s="4"/>
      <c r="H73" s="4"/>
    </row>
    <row r="74" spans="1:8" x14ac:dyDescent="0.35">
      <c r="A74" s="3" t="s">
        <v>121</v>
      </c>
      <c r="B74" s="4"/>
      <c r="C74" s="4"/>
      <c r="D74" s="4"/>
      <c r="E74" s="12" t="s">
        <v>123</v>
      </c>
      <c r="F74" s="12" t="s">
        <v>123</v>
      </c>
      <c r="G74" s="4"/>
      <c r="H74" s="4"/>
    </row>
    <row r="75" spans="1:8" x14ac:dyDescent="0.35">
      <c r="A75" s="3" t="s">
        <v>129</v>
      </c>
      <c r="B75" s="4"/>
      <c r="C75" s="4"/>
      <c r="D75" s="4"/>
      <c r="E75" s="4"/>
      <c r="F75" s="4"/>
      <c r="G75" s="4"/>
      <c r="H75" s="4"/>
    </row>
    <row r="76" spans="1:8" x14ac:dyDescent="0.35">
      <c r="A76" s="3" t="s">
        <v>121</v>
      </c>
      <c r="B76" s="4"/>
      <c r="C76" s="4"/>
      <c r="D76" s="4"/>
      <c r="E76" s="12" t="s">
        <v>123</v>
      </c>
      <c r="F76" s="12" t="s">
        <v>123</v>
      </c>
      <c r="G76" s="4"/>
      <c r="H76" s="4"/>
    </row>
    <row r="77" spans="1:8" x14ac:dyDescent="0.35">
      <c r="A77" s="3" t="s">
        <v>125</v>
      </c>
      <c r="B77" s="4"/>
      <c r="C77" s="4"/>
      <c r="D77" s="4"/>
      <c r="E77" s="12" t="s">
        <v>123</v>
      </c>
      <c r="F77" s="12" t="s">
        <v>123</v>
      </c>
      <c r="G77" s="4"/>
      <c r="H77" s="4"/>
    </row>
    <row r="78" spans="1:8" x14ac:dyDescent="0.35">
      <c r="A78" s="1"/>
    </row>
    <row r="79" spans="1:8" x14ac:dyDescent="0.35">
      <c r="A79" s="3" t="s">
        <v>130</v>
      </c>
      <c r="B79" s="4"/>
      <c r="C79" s="4"/>
      <c r="D79" s="4"/>
      <c r="E79" s="4"/>
      <c r="F79" s="4"/>
      <c r="G79" s="4"/>
      <c r="H79" s="4"/>
    </row>
    <row r="80" spans="1:8" x14ac:dyDescent="0.35">
      <c r="A80" s="3" t="s">
        <v>131</v>
      </c>
      <c r="B80" s="4"/>
      <c r="C80" s="4"/>
      <c r="D80" s="4"/>
      <c r="E80" s="4"/>
      <c r="F80" s="4"/>
      <c r="G80" s="4"/>
      <c r="H80" s="4"/>
    </row>
    <row r="81" spans="1:13" x14ac:dyDescent="0.35">
      <c r="A81" s="6" t="s">
        <v>132</v>
      </c>
      <c r="B81" s="6" t="s">
        <v>133</v>
      </c>
      <c r="C81" s="5"/>
      <c r="D81" s="7">
        <v>300000</v>
      </c>
      <c r="E81" s="8">
        <v>299.95804500000003</v>
      </c>
      <c r="F81" s="9">
        <v>1.8123239408582337E-2</v>
      </c>
      <c r="G81" s="5"/>
      <c r="H81" s="5"/>
    </row>
    <row r="82" spans="1:13" x14ac:dyDescent="0.35">
      <c r="A82" s="3" t="s">
        <v>121</v>
      </c>
      <c r="B82" s="4"/>
      <c r="C82" s="4"/>
      <c r="D82" s="4"/>
      <c r="E82" s="10">
        <v>299.95804500000003</v>
      </c>
      <c r="F82" s="11">
        <v>1.8123239408582337E-2</v>
      </c>
      <c r="G82" s="4"/>
      <c r="H82" s="4"/>
    </row>
    <row r="83" spans="1:13" x14ac:dyDescent="0.35">
      <c r="A83" s="3" t="s">
        <v>125</v>
      </c>
      <c r="B83" s="4"/>
      <c r="C83" s="4"/>
      <c r="D83" s="4"/>
      <c r="E83" s="10">
        <v>299.95804500000003</v>
      </c>
      <c r="F83" s="11">
        <v>1.8123239408582337E-2</v>
      </c>
      <c r="G83" s="4"/>
      <c r="H83" s="4"/>
    </row>
    <row r="84" spans="1:13" x14ac:dyDescent="0.35">
      <c r="A84" s="4"/>
      <c r="B84" s="4"/>
      <c r="C84" s="4"/>
      <c r="D84" s="4"/>
      <c r="E84" s="4"/>
      <c r="F84" s="4"/>
      <c r="G84" s="4"/>
      <c r="H84" s="4"/>
    </row>
    <row r="85" spans="1:13" x14ac:dyDescent="0.35">
      <c r="A85" s="3" t="s">
        <v>134</v>
      </c>
      <c r="B85" s="4"/>
      <c r="C85" s="4"/>
      <c r="D85" s="4"/>
      <c r="E85" s="4"/>
      <c r="F85" s="4"/>
      <c r="G85" s="4"/>
      <c r="H85" s="4"/>
    </row>
    <row r="86" spans="1:13" x14ac:dyDescent="0.35">
      <c r="A86" s="47" t="s">
        <v>177</v>
      </c>
      <c r="B86" s="4"/>
      <c r="C86" s="4"/>
      <c r="D86" s="4"/>
      <c r="E86" s="52">
        <v>0</v>
      </c>
      <c r="F86" s="52">
        <v>0</v>
      </c>
      <c r="G86" s="4"/>
      <c r="H86" s="4"/>
    </row>
    <row r="87" spans="1:13" x14ac:dyDescent="0.35">
      <c r="A87" s="47" t="s">
        <v>178</v>
      </c>
      <c r="B87" s="4"/>
      <c r="C87" s="4"/>
      <c r="D87" s="4"/>
      <c r="E87" s="53">
        <f>6+5</f>
        <v>11</v>
      </c>
      <c r="F87" s="54">
        <f>E87/E92</f>
        <v>6.6461172426432403E-4</v>
      </c>
      <c r="G87" s="4"/>
      <c r="H87" s="4"/>
    </row>
    <row r="88" spans="1:13" x14ac:dyDescent="0.35">
      <c r="A88" s="47" t="s">
        <v>135</v>
      </c>
      <c r="B88" s="4"/>
      <c r="C88" s="4"/>
      <c r="D88" s="4"/>
      <c r="E88" s="55">
        <f>69.9051674-5</f>
        <v>64.905167399999996</v>
      </c>
      <c r="F88" s="54">
        <f>E88/$E$92</f>
        <v>3.9215213835798717E-3</v>
      </c>
      <c r="G88" s="4"/>
      <c r="H88" s="4"/>
    </row>
    <row r="89" spans="1:13" x14ac:dyDescent="0.35">
      <c r="A89" s="3" t="s">
        <v>125</v>
      </c>
      <c r="B89" s="4"/>
      <c r="C89" s="4"/>
      <c r="D89" s="4"/>
      <c r="E89" s="45">
        <f>SUM(E86:E88)</f>
        <v>75.905167399999996</v>
      </c>
      <c r="F89" s="46">
        <f>F87+F88</f>
        <v>4.5861331078441954E-3</v>
      </c>
      <c r="G89" s="4"/>
      <c r="H89" s="4"/>
    </row>
    <row r="90" spans="1:13" x14ac:dyDescent="0.35">
      <c r="A90" s="3"/>
      <c r="B90" s="4"/>
      <c r="C90" s="4"/>
      <c r="D90" s="4"/>
      <c r="E90" s="10"/>
      <c r="F90" s="11"/>
      <c r="G90" s="4"/>
      <c r="H90" s="4"/>
    </row>
    <row r="91" spans="1:13" x14ac:dyDescent="0.35">
      <c r="A91" s="3"/>
      <c r="B91" s="4"/>
      <c r="C91" s="4"/>
      <c r="D91" s="4"/>
      <c r="E91" s="10"/>
      <c r="F91" s="11"/>
      <c r="G91" s="4"/>
      <c r="H91" s="4"/>
    </row>
    <row r="92" spans="1:13" x14ac:dyDescent="0.35">
      <c r="A92" s="3" t="s">
        <v>136</v>
      </c>
      <c r="B92" s="4"/>
      <c r="C92" s="4"/>
      <c r="D92" s="4"/>
      <c r="E92" s="45">
        <f>E89+E83+E68</f>
        <v>16551.017080199999</v>
      </c>
      <c r="F92" s="76">
        <f>F89+F83+F68</f>
        <v>1</v>
      </c>
      <c r="G92" s="4"/>
      <c r="H92" s="4"/>
      <c r="M92" s="64"/>
    </row>
    <row r="93" spans="1:13" x14ac:dyDescent="0.35">
      <c r="A93" s="33"/>
      <c r="B93" s="4"/>
      <c r="C93" s="4"/>
      <c r="D93" s="4"/>
      <c r="E93" s="45"/>
      <c r="F93" s="46"/>
      <c r="G93" s="4"/>
      <c r="H93" s="14"/>
    </row>
    <row r="94" spans="1:13" x14ac:dyDescent="0.35">
      <c r="A94" s="33" t="s">
        <v>175</v>
      </c>
      <c r="B94" s="4"/>
      <c r="C94" s="4"/>
      <c r="D94" s="4"/>
      <c r="E94" s="45"/>
      <c r="F94" s="46"/>
      <c r="G94" s="4"/>
      <c r="H94" s="14"/>
    </row>
    <row r="95" spans="1:13" x14ac:dyDescent="0.35">
      <c r="A95" s="47" t="s">
        <v>176</v>
      </c>
      <c r="B95" s="4"/>
      <c r="C95" s="4"/>
      <c r="D95" s="48">
        <v>455</v>
      </c>
      <c r="E95" s="49">
        <v>2.1369075</v>
      </c>
      <c r="F95" s="50">
        <v>1.2910999999999999E-4</v>
      </c>
      <c r="G95" s="47"/>
      <c r="H95" s="14"/>
    </row>
    <row r="96" spans="1:13" x14ac:dyDescent="0.35">
      <c r="A96" s="47"/>
      <c r="B96" s="4"/>
      <c r="C96" s="4"/>
      <c r="D96" s="48"/>
      <c r="E96" s="49"/>
      <c r="F96" s="51"/>
      <c r="G96" s="47"/>
      <c r="H96" s="14"/>
    </row>
    <row r="97" spans="1:13" x14ac:dyDescent="0.35">
      <c r="A97" s="33" t="s">
        <v>121</v>
      </c>
      <c r="B97" s="4"/>
      <c r="C97" s="4"/>
      <c r="D97" s="4"/>
      <c r="E97" s="45">
        <v>2.1369075</v>
      </c>
      <c r="F97" s="46">
        <v>1.2910999999999999E-4</v>
      </c>
      <c r="G97" s="4"/>
      <c r="H97" s="14"/>
    </row>
    <row r="98" spans="1:13" x14ac:dyDescent="0.35">
      <c r="A98" s="33" t="s">
        <v>125</v>
      </c>
      <c r="B98" s="4"/>
      <c r="C98" s="4"/>
      <c r="D98" s="4"/>
      <c r="E98" s="45">
        <v>2.1369075</v>
      </c>
      <c r="F98" s="46">
        <v>1.2910999999999999E-4</v>
      </c>
      <c r="G98" s="4"/>
      <c r="H98" s="14"/>
    </row>
    <row r="99" spans="1:13" x14ac:dyDescent="0.35">
      <c r="A99" s="33"/>
      <c r="B99" s="4"/>
      <c r="C99" s="4"/>
      <c r="D99" s="4"/>
      <c r="E99" s="45"/>
      <c r="F99" s="46"/>
      <c r="G99" s="4"/>
      <c r="H99" s="14"/>
    </row>
    <row r="100" spans="1:13" x14ac:dyDescent="0.35">
      <c r="A100" s="13"/>
      <c r="B100" s="14"/>
      <c r="C100" s="14"/>
      <c r="D100" s="14"/>
      <c r="E100" s="15"/>
      <c r="F100" s="17"/>
      <c r="G100" s="14"/>
      <c r="H100" s="14"/>
    </row>
    <row r="101" spans="1:13" x14ac:dyDescent="0.35">
      <c r="A101" s="13" t="s">
        <v>148</v>
      </c>
      <c r="B101" s="14"/>
      <c r="C101" s="14"/>
      <c r="D101" s="14"/>
      <c r="E101" s="15"/>
      <c r="F101" s="17"/>
      <c r="G101" s="14"/>
      <c r="H101" s="14"/>
      <c r="I101" s="14"/>
    </row>
    <row r="102" spans="1:13" x14ac:dyDescent="0.35">
      <c r="A102" s="105" t="s">
        <v>137</v>
      </c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</row>
    <row r="103" spans="1:13" x14ac:dyDescent="0.35">
      <c r="A103" s="13"/>
      <c r="B103" s="14"/>
      <c r="C103" s="14"/>
      <c r="D103" s="14"/>
      <c r="E103" s="15"/>
      <c r="F103" s="16"/>
      <c r="G103" s="14"/>
      <c r="H103" s="14"/>
    </row>
    <row r="104" spans="1:13" x14ac:dyDescent="0.35">
      <c r="A104" s="18" t="s">
        <v>149</v>
      </c>
      <c r="B104" s="14"/>
      <c r="C104" s="14"/>
      <c r="D104" s="14"/>
      <c r="E104" s="15"/>
      <c r="F104" s="16"/>
      <c r="G104" s="14"/>
      <c r="H104" s="14"/>
    </row>
    <row r="105" spans="1:13" x14ac:dyDescent="0.35">
      <c r="A105" s="19" t="s">
        <v>156</v>
      </c>
      <c r="B105" s="14"/>
      <c r="C105" s="14"/>
      <c r="D105" s="14"/>
      <c r="E105" s="15"/>
      <c r="F105" s="16"/>
      <c r="G105" s="14"/>
      <c r="H105" s="14"/>
    </row>
    <row r="106" spans="1:13" x14ac:dyDescent="0.35">
      <c r="A106" s="13"/>
      <c r="B106" s="14"/>
      <c r="C106" s="14"/>
      <c r="D106" s="14"/>
      <c r="E106" s="15"/>
      <c r="F106" s="16"/>
      <c r="G106" s="14"/>
      <c r="H106" s="14"/>
    </row>
    <row r="107" spans="1:13" x14ac:dyDescent="0.35">
      <c r="A107" s="20" t="s">
        <v>157</v>
      </c>
      <c r="B107" s="21"/>
      <c r="C107" s="21"/>
      <c r="D107" s="21"/>
      <c r="E107" s="22"/>
      <c r="F107" s="23"/>
      <c r="G107" s="14"/>
      <c r="H107" s="14"/>
    </row>
    <row r="108" spans="1:13" x14ac:dyDescent="0.35">
      <c r="A108" s="13"/>
      <c r="B108" s="14"/>
      <c r="C108" s="14"/>
      <c r="D108" s="14"/>
      <c r="E108" s="15"/>
      <c r="F108" s="16"/>
      <c r="G108" s="14"/>
      <c r="H108" s="14"/>
    </row>
    <row r="109" spans="1:13" x14ac:dyDescent="0.35">
      <c r="A109" s="20" t="s">
        <v>174</v>
      </c>
      <c r="B109" s="24"/>
      <c r="C109" s="24"/>
      <c r="D109" s="24"/>
      <c r="E109" s="25"/>
      <c r="F109" s="26"/>
      <c r="G109" s="14"/>
      <c r="H109" s="14"/>
    </row>
    <row r="110" spans="1:13" x14ac:dyDescent="0.35">
      <c r="A110" s="13"/>
      <c r="B110" s="14"/>
      <c r="C110" s="14"/>
      <c r="D110" s="14"/>
      <c r="E110" s="15"/>
      <c r="F110" s="16"/>
      <c r="G110" s="14"/>
      <c r="H110" s="14"/>
    </row>
    <row r="111" spans="1:13" x14ac:dyDescent="0.35">
      <c r="A111" s="27" t="s">
        <v>201</v>
      </c>
      <c r="B111" s="14"/>
      <c r="C111" s="14"/>
      <c r="D111" s="14"/>
      <c r="E111" s="15"/>
      <c r="F111" s="16"/>
      <c r="G111" s="14"/>
      <c r="H111" s="14"/>
    </row>
    <row r="112" spans="1:13" x14ac:dyDescent="0.35">
      <c r="A112" s="20"/>
      <c r="B112" s="14"/>
      <c r="C112" s="14"/>
      <c r="D112" s="14"/>
      <c r="E112" s="15"/>
      <c r="F112" s="16"/>
      <c r="G112" s="14"/>
      <c r="H112" s="14"/>
    </row>
    <row r="113" spans="1:9" x14ac:dyDescent="0.35">
      <c r="A113" s="20" t="s">
        <v>158</v>
      </c>
      <c r="B113" s="24"/>
      <c r="C113" s="28"/>
      <c r="D113" s="24"/>
      <c r="E113" s="25"/>
      <c r="F113" s="29"/>
      <c r="G113" s="14"/>
      <c r="H113" s="14"/>
    </row>
    <row r="114" spans="1:9" x14ac:dyDescent="0.35">
      <c r="A114" s="20"/>
      <c r="B114" s="24"/>
      <c r="C114" s="28"/>
      <c r="D114" s="24"/>
      <c r="E114" s="25"/>
      <c r="F114" s="29"/>
      <c r="G114" s="14"/>
      <c r="H114" s="14"/>
    </row>
    <row r="115" spans="1:9" x14ac:dyDescent="0.35">
      <c r="A115" s="20" t="s">
        <v>159</v>
      </c>
      <c r="B115" s="24"/>
      <c r="C115" s="28"/>
      <c r="D115" s="24"/>
      <c r="E115" s="25"/>
      <c r="F115" s="29"/>
      <c r="G115" s="14"/>
      <c r="H115" s="14"/>
    </row>
    <row r="116" spans="1:9" x14ac:dyDescent="0.35">
      <c r="A116" s="20"/>
      <c r="B116" s="24"/>
      <c r="C116" s="28"/>
      <c r="D116" s="24"/>
      <c r="E116" s="25"/>
      <c r="F116" s="29"/>
      <c r="G116" s="14"/>
      <c r="H116" s="14"/>
    </row>
    <row r="117" spans="1:9" x14ac:dyDescent="0.35">
      <c r="A117" s="20" t="s">
        <v>218</v>
      </c>
      <c r="B117" s="27"/>
      <c r="C117" s="24"/>
      <c r="D117" s="30"/>
      <c r="E117" s="25"/>
      <c r="F117" s="29"/>
      <c r="G117" s="14"/>
      <c r="H117" s="14"/>
    </row>
    <row r="118" spans="1:9" s="58" customFormat="1" ht="37.5" x14ac:dyDescent="0.35">
      <c r="A118" s="56" t="s">
        <v>150</v>
      </c>
      <c r="B118" s="56" t="s">
        <v>204</v>
      </c>
      <c r="C118" s="56" t="s">
        <v>205</v>
      </c>
      <c r="D118" s="56" t="s">
        <v>206</v>
      </c>
      <c r="E118" s="56" t="s">
        <v>207</v>
      </c>
      <c r="F118" s="57"/>
      <c r="H118" s="59"/>
      <c r="I118" s="59"/>
    </row>
    <row r="119" spans="1:9" x14ac:dyDescent="0.35">
      <c r="A119" s="60" t="s">
        <v>176</v>
      </c>
      <c r="B119" s="60" t="s">
        <v>208</v>
      </c>
      <c r="C119" s="60">
        <v>7</v>
      </c>
      <c r="D119" s="34">
        <v>552</v>
      </c>
      <c r="E119" s="35">
        <v>469.65</v>
      </c>
      <c r="F119" s="61"/>
      <c r="H119" s="59"/>
      <c r="I119" s="59"/>
    </row>
    <row r="120" spans="1:9" x14ac:dyDescent="0.35">
      <c r="A120" s="73" t="s">
        <v>219</v>
      </c>
      <c r="B120" s="70"/>
      <c r="C120" s="70"/>
      <c r="D120" s="71"/>
      <c r="E120" s="72"/>
      <c r="F120" s="61"/>
      <c r="H120" s="59"/>
      <c r="I120" s="59"/>
    </row>
    <row r="121" spans="1:9" x14ac:dyDescent="0.35">
      <c r="A121" s="20"/>
      <c r="B121" s="27"/>
      <c r="C121" s="24"/>
      <c r="D121" s="30"/>
      <c r="E121" s="25"/>
      <c r="F121" s="29"/>
      <c r="G121" s="14"/>
      <c r="H121" s="14"/>
    </row>
    <row r="122" spans="1:9" x14ac:dyDescent="0.35">
      <c r="A122" s="20" t="s">
        <v>220</v>
      </c>
      <c r="B122" s="27"/>
      <c r="C122" s="24"/>
      <c r="D122" s="30"/>
      <c r="E122" s="25"/>
      <c r="F122" s="29"/>
      <c r="G122" s="14"/>
      <c r="H122" s="14"/>
    </row>
    <row r="123" spans="1:9" x14ac:dyDescent="0.35">
      <c r="A123" s="20"/>
      <c r="B123" s="27"/>
      <c r="C123" s="24"/>
      <c r="D123" s="30"/>
      <c r="E123" s="25"/>
      <c r="F123" s="29"/>
      <c r="G123" s="14"/>
      <c r="H123" s="14"/>
    </row>
    <row r="124" spans="1:9" x14ac:dyDescent="0.35">
      <c r="A124" s="20" t="s">
        <v>160</v>
      </c>
      <c r="B124" s="31"/>
      <c r="C124" s="31"/>
      <c r="D124" s="31"/>
      <c r="E124" s="31"/>
      <c r="F124" s="29"/>
      <c r="G124" s="14"/>
      <c r="H124" s="14"/>
    </row>
    <row r="125" spans="1:9" x14ac:dyDescent="0.35">
      <c r="A125" s="23"/>
      <c r="B125" s="31"/>
      <c r="C125" s="31"/>
      <c r="D125" s="31"/>
      <c r="E125" s="31"/>
      <c r="F125" s="29"/>
      <c r="G125" s="14"/>
      <c r="H125" s="14"/>
    </row>
    <row r="126" spans="1:9" x14ac:dyDescent="0.35">
      <c r="A126" s="32" t="s">
        <v>161</v>
      </c>
      <c r="B126" s="31"/>
      <c r="C126" s="31"/>
      <c r="D126" s="31"/>
      <c r="E126" s="31"/>
      <c r="F126" s="29"/>
      <c r="G126" s="14"/>
      <c r="H126" s="14"/>
    </row>
    <row r="127" spans="1:9" x14ac:dyDescent="0.35">
      <c r="A127" s="23"/>
      <c r="B127" s="31"/>
      <c r="C127" s="31"/>
      <c r="D127" s="31"/>
      <c r="E127" s="31"/>
      <c r="F127" s="16"/>
      <c r="G127" s="14"/>
      <c r="H127" s="14"/>
    </row>
    <row r="128" spans="1:9" x14ac:dyDescent="0.35">
      <c r="A128" s="32" t="s">
        <v>221</v>
      </c>
      <c r="B128" s="31"/>
      <c r="C128" s="31"/>
      <c r="D128" s="31"/>
      <c r="E128" s="31"/>
      <c r="F128" s="16"/>
      <c r="G128" s="14"/>
      <c r="H128" s="14"/>
    </row>
    <row r="129" spans="1:12" x14ac:dyDescent="0.35">
      <c r="A129" s="13"/>
      <c r="B129" s="14"/>
      <c r="C129" s="14"/>
      <c r="D129" s="14"/>
      <c r="E129" s="15"/>
      <c r="F129" s="17"/>
      <c r="G129" s="14"/>
      <c r="H129" s="14"/>
    </row>
    <row r="130" spans="1:12" ht="25" customHeight="1" x14ac:dyDescent="0.35">
      <c r="A130" s="86" t="s">
        <v>162</v>
      </c>
      <c r="B130" s="86"/>
      <c r="C130" s="86"/>
      <c r="D130" s="86"/>
      <c r="E130" s="87"/>
      <c r="F130" s="17"/>
      <c r="G130" s="14"/>
      <c r="H130" s="14"/>
    </row>
    <row r="131" spans="1:12" ht="43.5" x14ac:dyDescent="0.35">
      <c r="A131" s="36" t="s">
        <v>151</v>
      </c>
      <c r="B131" s="37" t="s">
        <v>152</v>
      </c>
      <c r="C131" s="37" t="s">
        <v>153</v>
      </c>
      <c r="D131" s="37" t="s">
        <v>154</v>
      </c>
      <c r="E131" s="75"/>
    </row>
    <row r="132" spans="1:12" x14ac:dyDescent="0.35">
      <c r="A132" s="38" t="s">
        <v>0</v>
      </c>
      <c r="B132" s="39">
        <v>75</v>
      </c>
      <c r="C132" s="39">
        <v>244141.37</v>
      </c>
      <c r="D132" s="39">
        <v>302808.63</v>
      </c>
    </row>
    <row r="133" spans="1:12" x14ac:dyDescent="0.35">
      <c r="A133" s="13"/>
      <c r="B133" s="74"/>
      <c r="C133" s="74"/>
      <c r="D133" s="74"/>
      <c r="E133" s="15"/>
      <c r="F133" s="17"/>
      <c r="G133" s="14"/>
      <c r="H133" s="14"/>
    </row>
    <row r="134" spans="1:12" x14ac:dyDescent="0.35">
      <c r="A134" s="13" t="s">
        <v>155</v>
      </c>
      <c r="B134" s="14"/>
      <c r="C134" s="14"/>
      <c r="D134" s="14"/>
      <c r="E134" s="15"/>
      <c r="F134" s="17"/>
      <c r="G134" s="14"/>
      <c r="H134" s="14"/>
    </row>
    <row r="135" spans="1:12" x14ac:dyDescent="0.35">
      <c r="A135" s="1"/>
    </row>
    <row r="136" spans="1:12" x14ac:dyDescent="0.35">
      <c r="A136" s="40" t="s">
        <v>138</v>
      </c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</row>
    <row r="137" spans="1:12" x14ac:dyDescent="0.35">
      <c r="A137" s="41" t="s">
        <v>139</v>
      </c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</row>
    <row r="138" spans="1:12" x14ac:dyDescent="0.35">
      <c r="A138" s="41" t="s">
        <v>140</v>
      </c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</row>
    <row r="139" spans="1:12" x14ac:dyDescent="0.35">
      <c r="A139" s="67" t="s">
        <v>141</v>
      </c>
      <c r="B139" s="68" t="s">
        <v>214</v>
      </c>
      <c r="C139" s="68" t="s">
        <v>213</v>
      </c>
    </row>
    <row r="140" spans="1:12" x14ac:dyDescent="0.35">
      <c r="A140" s="65" t="s">
        <v>202</v>
      </c>
      <c r="B140" s="66">
        <v>9.1166</v>
      </c>
      <c r="C140" s="66">
        <v>10.1723</v>
      </c>
      <c r="F140" s="69"/>
    </row>
    <row r="141" spans="1:12" x14ac:dyDescent="0.35">
      <c r="A141" s="65" t="s">
        <v>203</v>
      </c>
      <c r="B141" s="66">
        <v>9.02</v>
      </c>
      <c r="C141" s="66">
        <v>10.076000000000001</v>
      </c>
      <c r="F141" s="69"/>
    </row>
    <row r="142" spans="1:12" x14ac:dyDescent="0.35">
      <c r="A142" s="100"/>
      <c r="B142" s="101"/>
      <c r="C142" s="102"/>
    </row>
    <row r="143" spans="1:12" x14ac:dyDescent="0.35">
      <c r="A143" s="97" t="s">
        <v>215</v>
      </c>
      <c r="B143" s="98"/>
      <c r="C143" s="99"/>
    </row>
    <row r="144" spans="1:12" x14ac:dyDescent="0.35">
      <c r="A144" s="97" t="s">
        <v>216</v>
      </c>
      <c r="B144" s="98"/>
      <c r="C144" s="99"/>
    </row>
    <row r="145" spans="1:4" x14ac:dyDescent="0.35">
      <c r="A145" s="97" t="s">
        <v>142</v>
      </c>
      <c r="B145" s="98"/>
      <c r="C145" s="99"/>
    </row>
    <row r="146" spans="1:4" x14ac:dyDescent="0.35">
      <c r="A146" s="97" t="s">
        <v>143</v>
      </c>
      <c r="B146" s="98"/>
      <c r="C146" s="99"/>
    </row>
    <row r="147" spans="1:4" x14ac:dyDescent="0.35">
      <c r="A147" s="97" t="s">
        <v>144</v>
      </c>
      <c r="B147" s="98"/>
      <c r="C147" s="99"/>
    </row>
    <row r="148" spans="1:4" x14ac:dyDescent="0.35">
      <c r="A148" s="97" t="s">
        <v>173</v>
      </c>
      <c r="B148" s="98"/>
      <c r="C148" s="99"/>
    </row>
    <row r="149" spans="1:4" x14ac:dyDescent="0.35">
      <c r="A149" s="97" t="s">
        <v>163</v>
      </c>
      <c r="B149" s="98"/>
      <c r="C149" s="99"/>
    </row>
    <row r="150" spans="1:4" x14ac:dyDescent="0.35">
      <c r="A150" s="97" t="s">
        <v>145</v>
      </c>
      <c r="B150" s="98"/>
      <c r="C150" s="99"/>
    </row>
    <row r="151" spans="1:4" x14ac:dyDescent="0.35">
      <c r="A151" s="80" t="s">
        <v>217</v>
      </c>
      <c r="B151" s="81"/>
      <c r="C151" s="82"/>
    </row>
    <row r="152" spans="1:4" x14ac:dyDescent="0.35">
      <c r="A152" s="106" t="s">
        <v>222</v>
      </c>
      <c r="B152" s="106"/>
      <c r="C152" s="106"/>
    </row>
    <row r="153" spans="1:4" x14ac:dyDescent="0.35">
      <c r="A153" s="83" t="s">
        <v>164</v>
      </c>
      <c r="B153" s="84"/>
      <c r="C153" s="85"/>
    </row>
    <row r="154" spans="1:4" x14ac:dyDescent="0.35">
      <c r="A154" s="1"/>
    </row>
    <row r="155" spans="1:4" x14ac:dyDescent="0.35">
      <c r="A155" s="41" t="s">
        <v>165</v>
      </c>
      <c r="B155" s="41"/>
      <c r="C155" s="41"/>
      <c r="D155" s="41"/>
    </row>
    <row r="156" spans="1:4" x14ac:dyDescent="0.35">
      <c r="A156" s="79" t="s">
        <v>166</v>
      </c>
      <c r="B156" s="79"/>
      <c r="C156" s="79"/>
      <c r="D156" s="79"/>
    </row>
    <row r="157" spans="1:4" x14ac:dyDescent="0.35">
      <c r="A157" s="79" t="s">
        <v>167</v>
      </c>
      <c r="B157" s="79"/>
      <c r="C157" s="79"/>
      <c r="D157" s="79"/>
    </row>
    <row r="158" spans="1:4" x14ac:dyDescent="0.35">
      <c r="A158" s="79" t="s">
        <v>168</v>
      </c>
      <c r="B158" s="79"/>
      <c r="C158" s="79"/>
      <c r="D158" s="79"/>
    </row>
    <row r="160" spans="1:4" ht="28.75" customHeight="1" x14ac:dyDescent="0.35">
      <c r="A160" s="42" t="s">
        <v>169</v>
      </c>
      <c r="B160" s="88" t="s">
        <v>170</v>
      </c>
      <c r="C160" s="89"/>
      <c r="D160" s="43"/>
    </row>
    <row r="171" spans="1:3" x14ac:dyDescent="0.35">
      <c r="A171" s="44" t="s">
        <v>171</v>
      </c>
      <c r="B171" s="90" t="s">
        <v>172</v>
      </c>
      <c r="C171" s="90"/>
    </row>
  </sheetData>
  <mergeCells count="30">
    <mergeCell ref="B160:C160"/>
    <mergeCell ref="B171:C171"/>
    <mergeCell ref="A1:H1"/>
    <mergeCell ref="A2:H2"/>
    <mergeCell ref="A3:H3"/>
    <mergeCell ref="A149:C149"/>
    <mergeCell ref="A150:C150"/>
    <mergeCell ref="A144:C144"/>
    <mergeCell ref="A145:C145"/>
    <mergeCell ref="A146:C146"/>
    <mergeCell ref="A147:C147"/>
    <mergeCell ref="A148:C148"/>
    <mergeCell ref="A142:C142"/>
    <mergeCell ref="A143:C143"/>
    <mergeCell ref="A65:A66"/>
    <mergeCell ref="A102:M102"/>
    <mergeCell ref="H65:H66"/>
    <mergeCell ref="G65:G66"/>
    <mergeCell ref="F65:F66"/>
    <mergeCell ref="A157:D157"/>
    <mergeCell ref="A158:D158"/>
    <mergeCell ref="A151:C151"/>
    <mergeCell ref="A152:C152"/>
    <mergeCell ref="A153:C153"/>
    <mergeCell ref="A130:E130"/>
    <mergeCell ref="A156:D156"/>
    <mergeCell ref="E65:E66"/>
    <mergeCell ref="D65:D66"/>
    <mergeCell ref="C65:C66"/>
    <mergeCell ref="B65:B66"/>
  </mergeCells>
  <hyperlinks>
    <hyperlink ref="A152" r:id="rId1" display="https://unifimf.com/wp-content/uploads/fund-sheets/Scheme_Performance_Flexicap_Feb.xlsx" xr:uid="{A2E520B1-D2E1-4C4C-8839-CF321A48152D}"/>
    <hyperlink ref="A152:C152" r:id="rId2" display="12) For more details on Scheme Performance, please refer to the following link : Click here" xr:uid="{84476F52-F64E-40F9-8C2A-E72D5F1AF6B1}"/>
    <hyperlink ref="A153" r:id="rId3" display="Click here" xr:uid="{AFBD809C-4F98-47D4-A33A-C783F7B74750}"/>
    <hyperlink ref="A153:C153" r:id="rId4" display="10) For disclosure of category wise portfolio overlap levels in Unifi Mutual Fund Schemes, please refer to the following link : Click here" xr:uid="{20846B02-5D5B-43C8-BCB8-8F5FAD088129}"/>
  </hyperlinks>
  <pageMargins left="0.7" right="0.7" top="0.75" bottom="0.75" header="0.3" footer="0.3"/>
  <pageSetup paperSize="0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 Flexi Cap Fund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2026-04-04T09:37:52Z</dcterms:created>
  <dcterms:modified xsi:type="dcterms:W3CDTF">2026-04-09T04:39:47Z</dcterms:modified>
</cp:coreProperties>
</file>