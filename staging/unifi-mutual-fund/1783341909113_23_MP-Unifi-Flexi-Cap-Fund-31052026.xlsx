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0C83FE4-5D93-41F7-964D-D2394182C5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Flexi Cap Fund" sheetId="1" r:id="rId1"/>
    <sheet name="Missing ISIN" sheetId="2" state="hidden" r:id="rId2"/>
  </sheets>
  <definedNames>
    <definedName name="page\x2dtotal">'Missing ISIN'!$A$5</definedName>
    <definedName name="page\x2dtotal\x2dmaster0">'Missing ISIN'!$A$5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1" l="1"/>
  <c r="E65" i="1"/>
  <c r="F92" i="1"/>
  <c r="F91" i="1"/>
  <c r="F93" i="1" l="1"/>
</calcChain>
</file>

<file path=xl/sharedStrings.xml><?xml version="1.0" encoding="utf-8"?>
<sst xmlns="http://schemas.openxmlformats.org/spreadsheetml/2006/main" count="277" uniqueCount="219">
  <si>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</si>
  <si>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</si>
  <si>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</si>
  <si>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</si>
  <si>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</si>
  <si>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</si>
  <si>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</si>
  <si>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</si>
  <si>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</si>
  <si>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</si>
  <si>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Bharti Airtel Limited</t>
  </si>
  <si>
    <t>INE397D01024</t>
  </si>
  <si>
    <t xml:space="preserve"> The South Indian Bank Limited</t>
  </si>
  <si>
    <t>INE683A01023</t>
  </si>
  <si>
    <t xml:space="preserve"> ICICI Bank Limited</t>
  </si>
  <si>
    <t>INE090A01021</t>
  </si>
  <si>
    <t xml:space="preserve"> Reliance Industries Limited</t>
  </si>
  <si>
    <t>INE002A01018</t>
  </si>
  <si>
    <t xml:space="preserve"> Fedbank Financial Ser Ltd</t>
  </si>
  <si>
    <t>INE007N01010</t>
  </si>
  <si>
    <t xml:space="preserve"> Larsen &amp; Toubro Limited</t>
  </si>
  <si>
    <t>INE018A01030</t>
  </si>
  <si>
    <t>Construction</t>
  </si>
  <si>
    <t xml:space="preserve"> Kotak Mahindra Bank Limited</t>
  </si>
  <si>
    <t>INE237A01036</t>
  </si>
  <si>
    <t xml:space="preserve"> HDFC Bank Limited</t>
  </si>
  <si>
    <t>INE040A01034</t>
  </si>
  <si>
    <t xml:space="preserve"> Tata Steel Limited</t>
  </si>
  <si>
    <t>INE081A01020</t>
  </si>
  <si>
    <t xml:space="preserve"> Marksans Pharma Limited</t>
  </si>
  <si>
    <t>INE750C01026</t>
  </si>
  <si>
    <t xml:space="preserve"> Axis Bank Limited</t>
  </si>
  <si>
    <t>INE238A01034</t>
  </si>
  <si>
    <t xml:space="preserve"> Apollo Hospitals Enterprise Limited</t>
  </si>
  <si>
    <t>INE437A01024</t>
  </si>
  <si>
    <t>Healthcare Services</t>
  </si>
  <si>
    <t xml:space="preserve"> NTPC Limited</t>
  </si>
  <si>
    <t>INE733E01010</t>
  </si>
  <si>
    <t>Power</t>
  </si>
  <si>
    <t xml:space="preserve"> State Bank of India</t>
  </si>
  <si>
    <t>INE062A01020</t>
  </si>
  <si>
    <t xml:space="preserve"> Mahindra &amp; Mahindra Limited</t>
  </si>
  <si>
    <t>INE101A01026</t>
  </si>
  <si>
    <t xml:space="preserve"> Shyam Metalics and Energy Ltd.</t>
  </si>
  <si>
    <t>INE810G01011</t>
  </si>
  <si>
    <t xml:space="preserve"> CARE Ratings Limited</t>
  </si>
  <si>
    <t>INE752H01013</t>
  </si>
  <si>
    <t xml:space="preserve"> Pearl Global Industries Limited</t>
  </si>
  <si>
    <t>INE940H01022</t>
  </si>
  <si>
    <t xml:space="preserve"> Narayana Hrudayalaya Limited</t>
  </si>
  <si>
    <t>INE410P01011</t>
  </si>
  <si>
    <t xml:space="preserve"> Nippon Life India Asset Management Ltd</t>
  </si>
  <si>
    <t>INE298J01013</t>
  </si>
  <si>
    <t xml:space="preserve"> Bajaj Auto Limited</t>
  </si>
  <si>
    <t>INE917I01010</t>
  </si>
  <si>
    <t xml:space="preserve"> Torrent Pharmaceuticals Limited</t>
  </si>
  <si>
    <t>INE685A01028</t>
  </si>
  <si>
    <t xml:space="preserve"> Hindustan Aeronautics Limited</t>
  </si>
  <si>
    <t>INE066F01020</t>
  </si>
  <si>
    <t xml:space="preserve"> CMS Info Systems Limited</t>
  </si>
  <si>
    <t>INE925R01014</t>
  </si>
  <si>
    <t xml:space="preserve"> InterGlobe Aviation Limited</t>
  </si>
  <si>
    <t>INE646L01027</t>
  </si>
  <si>
    <t xml:space="preserve"> Aarti Pharmalabs Limited</t>
  </si>
  <si>
    <t>INE0LRU01027</t>
  </si>
  <si>
    <t xml:space="preserve"> Bank of Baroda</t>
  </si>
  <si>
    <t>INE028A01039</t>
  </si>
  <si>
    <t xml:space="preserve"> Coromandel International Limited</t>
  </si>
  <si>
    <t>INE169A01031</t>
  </si>
  <si>
    <t xml:space="preserve"> Aditya Birla Sun Life Mutual Fund</t>
  </si>
  <si>
    <t>INE404A01024</t>
  </si>
  <si>
    <t xml:space="preserve"> PNB Housing Finance Limited</t>
  </si>
  <si>
    <t>INE572E01012</t>
  </si>
  <si>
    <t xml:space="preserve"> Oracle Financial Services Software</t>
  </si>
  <si>
    <t>INE881D01027</t>
  </si>
  <si>
    <t xml:space="preserve"> HDFC Asset Management Company Limited</t>
  </si>
  <si>
    <t>INE127D01025</t>
  </si>
  <si>
    <t xml:space="preserve"> TVS Motor Company Limited</t>
  </si>
  <si>
    <t>INE494B01023</t>
  </si>
  <si>
    <t xml:space="preserve"> Aadhar Housing Finance Limited</t>
  </si>
  <si>
    <t>INE883F01010</t>
  </si>
  <si>
    <t xml:space="preserve"> Tech Mahindra Limited</t>
  </si>
  <si>
    <t>INE669C01036</t>
  </si>
  <si>
    <t xml:space="preserve"> Home First Finance Company India Limited</t>
  </si>
  <si>
    <t>INE481N01025</t>
  </si>
  <si>
    <t xml:space="preserve"> Vedanta Limited</t>
  </si>
  <si>
    <t>INE205A01025</t>
  </si>
  <si>
    <t xml:space="preserve"> Medplus Health Services Limited</t>
  </si>
  <si>
    <t>INE804L01022</t>
  </si>
  <si>
    <t>INE0W2G01015</t>
  </si>
  <si>
    <t>INE356A01018</t>
  </si>
  <si>
    <t>INE974X01010</t>
  </si>
  <si>
    <t xml:space="preserve"> Power Grid Corporation of India Limited</t>
  </si>
  <si>
    <t>INE752E01010</t>
  </si>
  <si>
    <t xml:space="preserve"> Can Fin Homes Limited</t>
  </si>
  <si>
    <t>INE477A01020</t>
  </si>
  <si>
    <t xml:space="preserve"> Bayer Cropscience Limited</t>
  </si>
  <si>
    <t>INE462A01022</t>
  </si>
  <si>
    <t xml:space="preserve"> Jubilant Ingrevia Limited</t>
  </si>
  <si>
    <t>INE0BY001018</t>
  </si>
  <si>
    <t xml:space="preserve"> RPG Life Sciences Limited</t>
  </si>
  <si>
    <t>INE105J01010</t>
  </si>
  <si>
    <t xml:space="preserve"> Infosys Limited</t>
  </si>
  <si>
    <t>INE009A01021</t>
  </si>
  <si>
    <t xml:space="preserve"> Cummins India Limited</t>
  </si>
  <si>
    <t>INE298A01020</t>
  </si>
  <si>
    <t xml:space="preserve"> LTIMindtree Ltd</t>
  </si>
  <si>
    <t>INE214T01019</t>
  </si>
  <si>
    <t xml:space="preserve"> Redington Limited</t>
  </si>
  <si>
    <t>INE891D01026</t>
  </si>
  <si>
    <t xml:space="preserve"> Adani Port &amp; Special Economic Zone Ltd</t>
  </si>
  <si>
    <t>INE742F01042</t>
  </si>
  <si>
    <t>INE956G01038</t>
  </si>
  <si>
    <t xml:space="preserve"> GlaxoSmithKline Pharmaceuticals Ltd</t>
  </si>
  <si>
    <t>INE159A01016</t>
  </si>
  <si>
    <t xml:space="preserve"> Kovai Medical Center &amp; Hospital Ltd.</t>
  </si>
  <si>
    <t>INE177F01017</t>
  </si>
  <si>
    <t>Subtotal</t>
  </si>
  <si>
    <t>(b) UNLISTED</t>
  </si>
  <si>
    <t>INE1CLE01013</t>
  </si>
  <si>
    <t>INE704J01044</t>
  </si>
  <si>
    <t>INE694L01019</t>
  </si>
  <si>
    <t>INE1CDF01017</t>
  </si>
  <si>
    <t>Preference Shares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</si>
  <si>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</si>
  <si>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</si>
  <si>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</si>
  <si>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</si>
  <si>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</si>
  <si>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</si>
  <si>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</si>
  <si>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</si>
  <si>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</si>
  <si>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INTRPS010626</t>
  </si>
  <si>
    <t>Others</t>
  </si>
  <si>
    <t>Net Current Assets</t>
  </si>
  <si>
    <t>GRAND TOTAL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</si>
  <si>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</si>
  <si>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</si>
  <si>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May 31, 2026 is Rs Nil and its percentage to Net Asset Value is Nil.</t>
  </si>
  <si>
    <t>2) Net Assets Value per unit (in Rs) are as follows :</t>
  </si>
  <si>
    <t>Plan/Option</t>
  </si>
  <si>
    <t>As on April 30, 2026</t>
  </si>
  <si>
    <t>5) Total outstanding exposure in derivative instruments as on May 31, 2026 : Nil.</t>
  </si>
  <si>
    <t>7) Details of repo transactions in corporate debt securities for the month of May 2026: Nil.</t>
  </si>
  <si>
    <t>10) Reverse Repo market value is considered as book cost plus accrued Interest.</t>
  </si>
  <si>
    <t>CRISIL / ICRA</t>
  </si>
  <si>
    <t>Unifi Mutual Fund</t>
  </si>
  <si>
    <t xml:space="preserve">Unifi Flexi Cap Fund
(An open-ended dynamic equity scheme investing across large cap, mid cap, small cap stocks) </t>
  </si>
  <si>
    <t>Monthly Portfolio Statement as on May 31, 2026</t>
  </si>
  <si>
    <t xml:space="preserve">   ^ Awaiting listing. Sector classification is based on peer data analysis</t>
  </si>
  <si>
    <t>Disclosure for investments in derivative instruments</t>
  </si>
  <si>
    <t>As on May 29, 2026</t>
  </si>
  <si>
    <t>9) Average maturity of the portfolio : Nil</t>
  </si>
  <si>
    <t>11) Whether any security is in default beyond its maturity date: Nil.</t>
  </si>
  <si>
    <r>
      <rPr>
        <sz val="11"/>
        <rFont val="Calibri"/>
        <family val="2"/>
      </rPr>
      <t xml:space="preserve">12)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</si>
  <si>
    <r>
      <rPr>
        <sz val="11"/>
        <rFont val="Calibri"/>
        <family val="2"/>
        <scheme val="minor"/>
      </rPr>
      <t xml:space="preserve">13)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</si>
  <si>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</si>
  <si>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</si>
  <si>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</si>
  <si>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</si>
  <si>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                                        Scheme’s Riskometer
 </t>
  </si>
  <si>
    <t xml:space="preserve">               Tier 1 Benchmark’s Riskometer-(Nifty 500 TRI)
</t>
  </si>
  <si>
    <t xml:space="preserve">                       Benchmark Risk-o-meter is very high</t>
  </si>
  <si>
    <t>Hedging Positions through Futures as on 31st May 2026 : Nil</t>
  </si>
  <si>
    <t>For the period 1st May 2026 to 31st May 2026, following hedging transactions through futures have been squared off/expired : Nil</t>
  </si>
  <si>
    <t>Other than Hedging Positions through Futures as on 31st May : Nil</t>
  </si>
  <si>
    <t>Hedging Position through Put Option as on  31st May 2026: Nil</t>
  </si>
  <si>
    <t>For the period 1st May 2026 to 31st May 2026, hedging transactions through options which have been squared off/expired: Nil</t>
  </si>
  <si>
    <t>Other than Hedging Positions through Options as on 31st May 2026: Nil</t>
  </si>
  <si>
    <t>Hedging Positions through Swaps as on 31st May 2026: Nil</t>
  </si>
  <si>
    <t>Hedging Positions through Interest Rate Futures as on 31st May 2026: Nil</t>
  </si>
  <si>
    <t>Writing of call options under covered call strategy as on 31st May 2026: Nil</t>
  </si>
  <si>
    <t>3) Details of Dividend declared per unit (in Rs.) during the Month of May 2026 : Nil</t>
  </si>
  <si>
    <t>4) No Bonus declared during the month of May 2026.</t>
  </si>
  <si>
    <t>8) Details of transactions of (Credit Default Swap) for the month ended May 31, 2026 : Nil.</t>
  </si>
  <si>
    <t>DERIVATIVE</t>
  </si>
  <si>
    <t>Share Application Money Pending Allotment</t>
  </si>
  <si>
    <t>Margin Money for derivative/TREPS</t>
  </si>
  <si>
    <t>Direct Plan - Growth Option</t>
  </si>
  <si>
    <t>Regular Plan - Growth Option</t>
  </si>
  <si>
    <t>Telecom - Services</t>
  </si>
  <si>
    <t>Banks</t>
  </si>
  <si>
    <t>Petroleum Products</t>
  </si>
  <si>
    <t>Finance</t>
  </si>
  <si>
    <t>Ferrous Metals</t>
  </si>
  <si>
    <t>Pharmaceuticals &amp; Biotechnology</t>
  </si>
  <si>
    <t>Automobiles</t>
  </si>
  <si>
    <t>Industrial Products</t>
  </si>
  <si>
    <t>Capital Markets</t>
  </si>
  <si>
    <t>Textiles &amp; Apparels</t>
  </si>
  <si>
    <t>Aerospace &amp; Defense</t>
  </si>
  <si>
    <t>Commercial Services &amp; Supplies</t>
  </si>
  <si>
    <t>Transport Services</t>
  </si>
  <si>
    <t>Fertilizers &amp; Agrochemicals</t>
  </si>
  <si>
    <t>IT - Software</t>
  </si>
  <si>
    <t>Diversified Metals</t>
  </si>
  <si>
    <t>Retailing</t>
  </si>
  <si>
    <t>IT - Services</t>
  </si>
  <si>
    <t>Auto Components</t>
  </si>
  <si>
    <t>Chemicals &amp; Petrochemicals</t>
  </si>
  <si>
    <t>Transport Infrastructure</t>
  </si>
  <si>
    <t>Other Utilities</t>
  </si>
  <si>
    <t xml:space="preserve">6) Total investments in Foreign Securities / Overseas ETFs as on May 31, 2026 and its percentage to NAV : Nil. </t>
  </si>
  <si>
    <t>For the period 1st May 2026 to 31st May 2026, non hedging transactions through futures have been squared off/expired :Nil</t>
  </si>
  <si>
    <t>Oil &amp; Gas</t>
  </si>
  <si>
    <t>Power Generation</t>
  </si>
  <si>
    <t>Iron &amp; Steel</t>
  </si>
  <si>
    <t>Aluminium</t>
  </si>
  <si>
    <t xml:space="preserve"> Sagility India Limited</t>
  </si>
  <si>
    <t xml:space="preserve"> Mphasis Limited</t>
  </si>
  <si>
    <t xml:space="preserve"> Tube Investments Of India Ltd</t>
  </si>
  <si>
    <t xml:space="preserve"> Va Tech Wabag Ltd</t>
  </si>
  <si>
    <t>Investors understand that their principal will be at very high risk.</t>
  </si>
  <si>
    <t>Vedanta Iron and Steel Limited^</t>
  </si>
  <si>
    <t>Malco Energy Limited^</t>
  </si>
  <si>
    <t>Talwandi Sabo Power Limited^</t>
  </si>
  <si>
    <t>Vedanta Aluminium Metal Limited^</t>
  </si>
  <si>
    <t>For the period 1st May 2026 to 31st May 2026, with regard to non-hedging transactions through options which have already been squared off/expired 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</si>
</sst>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_);_(* @_)"/>
    <numFmt numFmtId="165" formatCode="_(* #,##0_);_(* \(#,##0\);_(* &quot;-&quot;??_);_(@_)"/>
    <numFmt numFmtId="166" formatCode="0.0000"/>
  </numFmts>
  <fonts count="2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11" fillId="0" borderId="0"/>
    <xf numFmtId="0" fontId="1" fillId="0" borderId="0"/>
    <xf numFmtId="0" fontId="11" fillId="0" borderId="0"/>
    <xf numFmtId="0" fontId="1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9" fontId="7" fillId="0" borderId="0" xfId="2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0" fillId="0" borderId="0" xfId="3" applyFont="1" applyAlignment="1">
      <alignment vertical="center"/>
    </xf>
    <xf numFmtId="0" fontId="10" fillId="0" borderId="0" xfId="4" applyFont="1" applyAlignment="1">
      <alignment vertical="top"/>
    </xf>
    <xf numFmtId="0" fontId="10" fillId="0" borderId="0" xfId="5" applyFont="1"/>
    <xf numFmtId="0" fontId="12" fillId="0" borderId="0" xfId="5" applyFont="1"/>
    <xf numFmtId="0" fontId="12" fillId="0" borderId="0" xfId="6" applyFont="1"/>
    <xf numFmtId="0" fontId="12" fillId="0" borderId="0" xfId="0" applyFont="1"/>
    <xf numFmtId="0" fontId="13" fillId="0" borderId="0" xfId="5" applyFont="1"/>
    <xf numFmtId="0" fontId="13" fillId="0" borderId="0" xfId="6" applyFont="1"/>
    <xf numFmtId="4" fontId="13" fillId="0" borderId="0" xfId="6" applyNumberFormat="1" applyFont="1"/>
    <xf numFmtId="0" fontId="14" fillId="0" borderId="0" xfId="5" applyFont="1"/>
    <xf numFmtId="164" fontId="13" fillId="0" borderId="0" xfId="5" applyNumberFormat="1" applyFont="1"/>
    <xf numFmtId="9" fontId="7" fillId="0" borderId="0" xfId="2" applyFont="1" applyFill="1" applyBorder="1" applyAlignment="1">
      <alignment horizontal="right" vertical="top" wrapText="1"/>
    </xf>
    <xf numFmtId="165" fontId="13" fillId="0" borderId="0" xfId="5" applyNumberFormat="1" applyFont="1"/>
    <xf numFmtId="10" fontId="7" fillId="0" borderId="0" xfId="0" applyNumberFormat="1" applyFont="1" applyAlignment="1">
      <alignment horizontal="right" vertical="top" wrapText="1"/>
    </xf>
    <xf numFmtId="0" fontId="13" fillId="0" borderId="0" xfId="0" applyFont="1"/>
    <xf numFmtId="0" fontId="10" fillId="0" borderId="0" xfId="0" applyFont="1"/>
    <xf numFmtId="0" fontId="8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right" vertical="top" wrapText="1"/>
    </xf>
    <xf numFmtId="10" fontId="7" fillId="0" borderId="1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7" fillId="0" borderId="1" xfId="0" applyFont="1" applyBorder="1" applyAlignment="1">
      <alignment horizontal="right" vertical="top" wrapText="1"/>
    </xf>
    <xf numFmtId="43" fontId="0" fillId="0" borderId="1" xfId="1" applyFont="1" applyBorder="1" applyAlignment="1">
      <alignment horizontal="left" vertical="top" wrapText="1"/>
    </xf>
    <xf numFmtId="10" fontId="0" fillId="0" borderId="1" xfId="1" applyNumberFormat="1" applyFont="1" applyBorder="1" applyAlignment="1">
      <alignment horizontal="right" vertical="top" wrapText="1"/>
    </xf>
    <xf numFmtId="4" fontId="0" fillId="0" borderId="1" xfId="0" applyNumberForma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0" fillId="0" borderId="0" xfId="0" applyNumberFormat="1"/>
    <xf numFmtId="166" fontId="0" fillId="0" borderId="7" xfId="0" applyNumberFormat="1" applyBorder="1" applyAlignment="1">
      <alignment horizontal="center"/>
    </xf>
    <xf numFmtId="0" fontId="2" fillId="2" borderId="2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8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15" fillId="0" borderId="13" xfId="7" applyFill="1" applyBorder="1" applyAlignment="1">
      <alignment horizontal="left" vertical="top"/>
    </xf>
    <xf numFmtId="0" fontId="15" fillId="0" borderId="14" xfId="7" applyFill="1" applyBorder="1" applyAlignment="1">
      <alignment horizontal="left" vertical="top"/>
    </xf>
    <xf numFmtId="0" fontId="15" fillId="0" borderId="15" xfId="7" applyFill="1" applyBorder="1" applyAlignment="1">
      <alignment horizontal="left" vertical="top"/>
    </xf>
    <xf numFmtId="0" fontId="15" fillId="0" borderId="7" xfId="7" applyFill="1" applyBorder="1" applyAlignment="1">
      <alignment horizontal="left" vertical="top" wrapText="1"/>
    </xf>
  </cellXfs>
  <cellStyles count="8">
    <cellStyle name="_x000a_386grabber=m" xfId="6" xr:uid="{333801BA-5506-4C13-9F36-50F3BD2C78C9}"/>
    <cellStyle name="Comma" xfId="1" builtinId="3"/>
    <cellStyle name="Hyperlink" xfId="7" builtinId="8"/>
    <cellStyle name="Normal" xfId="0" builtinId="0"/>
    <cellStyle name="Normal 2" xfId="3" xr:uid="{63C3D8F5-FADF-49F9-B800-38FAB6929BA1}"/>
    <cellStyle name="Normal 2 2" xfId="4" xr:uid="{6FA3A34E-82FB-42B2-AA0F-607BBC09327A}"/>
    <cellStyle name="Normal 3 2" xfId="5" xr:uid="{77DF705E-86DC-4F66-8BD1-16C6B86BB06C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1570567</xdr:colOff>
      <xdr:row>151</xdr:row>
      <xdr:rowOff>223418</xdr:rowOff>
    </xdr:from>
    <xdr:to>
      <xdr:col>0</xdr:col>
      <xdr:colOff>5442857</xdr:colOff>
      <xdr:row>162</xdr:row>
      <xdr:rowOff>71881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3ED80234-DF7D-472E-A9A7-7627A6075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567" y="28961704"/>
          <a:ext cx="3872290" cy="2025606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6629400</xdr:colOff>
      <xdr:row>151</xdr:row>
      <xdr:rowOff>320847</xdr:rowOff>
    </xdr:from>
    <xdr:to>
      <xdr:col>2</xdr:col>
      <xdr:colOff>2042583</xdr:colOff>
      <xdr:row>162</xdr:row>
      <xdr:rowOff>27803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441D4A38-F1B2-4AF5-B72B-A03EA6CC0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29956297"/>
          <a:ext cx="3623733" cy="1872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Scheme_Performance_DAAF_Feb.xlsx" TargetMode="External"/><Relationship Id="rId2" Type="http://schemas.openxmlformats.org/officeDocument/2006/relationships/hyperlink" Target="https://unifimf.com/wp-content/uploads/fund-sheets/Scheme_Performance_Flexicap_May26.xlsx" TargetMode="External"/><Relationship Id="rId1" Type="http://schemas.openxmlformats.org/officeDocument/2006/relationships/hyperlink" Target="https://unifimf.com/wp-content/uploads/fund-sheets/Scheme_Performance_Flexicap_Feb.xls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unifimf.com/wp-content/uploads/fund-sheets/Disclosure-of-category-wise-portfolio-overlap-levels-in-Unifi-Mutual-Fund-Schem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3"/>
  <sheetViews>
    <sheetView showGridLines="0" tabSelected="1" zoomScale="70" zoomScaleNormal="70" workbookViewId="0">
      <selection sqref="A1:H1"/>
    </sheetView>
  </sheetViews>
  <sheetFormatPr defaultRowHeight="14.5" x14ac:dyDescent="0.35"/>
  <cols>
    <col min="1" max="1" width="95.26953125" customWidth="1"/>
    <col min="2" max="2" width="22.26953125" customWidth="1"/>
    <col min="3" max="3" width="30.81640625" customWidth="1"/>
    <col min="4" max="4" width="15.453125" customWidth="1"/>
    <col min="5" max="5" width="12.81640625" customWidth="1"/>
    <col min="6" max="6" width="9.453125" customWidth="1"/>
    <col min="7" max="7" width="7.7265625" customWidth="1"/>
    <col min="8" max="8" width="8.54296875" hidden="1" customWidth="1"/>
    <col min="9" max="12" width="0.7265625" customWidth="1"/>
  </cols>
  <sheetData>
    <row r="1" spans="1:13" ht="18" customHeight="1" x14ac:dyDescent="0.35">
      <c r="A1" s="56" t="s">
        <v>147</v>
      </c>
      <c r="B1" s="57"/>
      <c r="C1" s="57"/>
      <c r="D1" s="57"/>
      <c r="E1" s="57"/>
      <c r="F1" s="57"/>
      <c r="G1" s="57"/>
      <c r="H1" s="58"/>
    </row>
    <row r="2" spans="1:13" ht="30" customHeight="1" x14ac:dyDescent="0.35">
      <c r="A2" s="56" t="s">
        <v>148</v>
      </c>
      <c r="B2" s="57"/>
      <c r="C2" s="57"/>
      <c r="D2" s="57"/>
      <c r="E2" s="57"/>
      <c r="F2" s="57"/>
      <c r="G2" s="57"/>
      <c r="H2" s="58"/>
    </row>
    <row r="3" spans="1:13" x14ac:dyDescent="0.35">
      <c r="A3" s="59" t="s">
        <v>149</v>
      </c>
      <c r="B3" s="60"/>
      <c r="C3" s="60"/>
      <c r="D3" s="60"/>
      <c r="E3" s="60"/>
      <c r="F3" s="60"/>
      <c r="G3" s="60"/>
      <c r="H3" s="61"/>
    </row>
    <row r="4" spans="1:13" ht="62.5" x14ac:dyDescent="0.35">
      <c r="A4" s="51" t="s">
        <v>0</v>
      </c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3" t="s">
        <v>7</v>
      </c>
    </row>
    <row r="5" spans="1:13" ht="18.399999999999999" customHeight="1" x14ac:dyDescent="0.35">
      <c r="A5" s="4" t="s">
        <v>8</v>
      </c>
      <c r="B5" s="5"/>
      <c r="C5" s="5"/>
      <c r="D5" s="5"/>
      <c r="E5" s="5"/>
      <c r="F5" s="5"/>
      <c r="G5" s="5"/>
      <c r="H5" s="5"/>
    </row>
    <row r="6" spans="1:13" ht="16.649999999999999" customHeight="1" x14ac:dyDescent="0.35">
      <c r="A6" s="4" t="s">
        <v>9</v>
      </c>
      <c r="B6" s="5"/>
      <c r="C6" s="5"/>
      <c r="D6" s="5"/>
      <c r="E6" s="5"/>
      <c r="F6" s="5"/>
      <c r="G6" s="5"/>
      <c r="H6" s="5"/>
    </row>
    <row r="7" spans="1:13" x14ac:dyDescent="0.35">
      <c r="A7" s="7" t="s">
        <v>10</v>
      </c>
      <c r="B7" s="7" t="s">
        <v>11</v>
      </c>
      <c r="C7" s="7" t="s">
        <v>181</v>
      </c>
      <c r="D7" s="8">
        <v>51052</v>
      </c>
      <c r="E7" s="9">
        <v>933.74108000000001</v>
      </c>
      <c r="F7" s="10">
        <v>4.8073485355728564E-2</v>
      </c>
      <c r="G7" s="5"/>
      <c r="H7" s="5"/>
      <c r="M7" s="49"/>
    </row>
    <row r="8" spans="1:13" x14ac:dyDescent="0.35">
      <c r="A8" s="7" t="s">
        <v>12</v>
      </c>
      <c r="B8" s="7" t="s">
        <v>13</v>
      </c>
      <c r="C8" s="7" t="s">
        <v>182</v>
      </c>
      <c r="D8" s="8">
        <v>2200000</v>
      </c>
      <c r="E8" s="9">
        <v>911.24</v>
      </c>
      <c r="F8" s="10">
        <v>4.6915021448509155E-2</v>
      </c>
      <c r="G8" s="5"/>
      <c r="H8" s="5"/>
      <c r="M8" s="49"/>
    </row>
    <row r="9" spans="1:13" x14ac:dyDescent="0.35">
      <c r="A9" s="7" t="s">
        <v>14</v>
      </c>
      <c r="B9" s="7" t="s">
        <v>15</v>
      </c>
      <c r="C9" s="7" t="s">
        <v>182</v>
      </c>
      <c r="D9" s="8">
        <v>65802</v>
      </c>
      <c r="E9" s="9">
        <v>826.73632799999996</v>
      </c>
      <c r="F9" s="10">
        <v>4.2564365656009059E-2</v>
      </c>
      <c r="G9" s="5"/>
      <c r="H9" s="5"/>
      <c r="M9" s="49"/>
    </row>
    <row r="10" spans="1:13" x14ac:dyDescent="0.35">
      <c r="A10" s="7" t="s">
        <v>16</v>
      </c>
      <c r="B10" s="7" t="s">
        <v>17</v>
      </c>
      <c r="C10" s="7" t="s">
        <v>183</v>
      </c>
      <c r="D10" s="8">
        <v>59000</v>
      </c>
      <c r="E10" s="9">
        <v>779.50800000000004</v>
      </c>
      <c r="F10" s="10">
        <v>4.0132823997283344E-2</v>
      </c>
      <c r="G10" s="5"/>
      <c r="H10" s="5"/>
      <c r="M10" s="49"/>
    </row>
    <row r="11" spans="1:13" x14ac:dyDescent="0.35">
      <c r="A11" s="7" t="s">
        <v>18</v>
      </c>
      <c r="B11" s="7" t="s">
        <v>19</v>
      </c>
      <c r="C11" s="7" t="s">
        <v>184</v>
      </c>
      <c r="D11" s="8">
        <v>445906</v>
      </c>
      <c r="E11" s="9">
        <v>720.98541139999998</v>
      </c>
      <c r="F11" s="10">
        <v>3.7119799438011053E-2</v>
      </c>
      <c r="G11" s="5"/>
      <c r="H11" s="5"/>
      <c r="M11" s="49"/>
    </row>
    <row r="12" spans="1:13" x14ac:dyDescent="0.35">
      <c r="A12" s="7" t="s">
        <v>20</v>
      </c>
      <c r="B12" s="7" t="s">
        <v>21</v>
      </c>
      <c r="C12" s="7" t="s">
        <v>22</v>
      </c>
      <c r="D12" s="8">
        <v>17000</v>
      </c>
      <c r="E12" s="9">
        <v>693.005</v>
      </c>
      <c r="F12" s="10">
        <v>3.5679233175589402E-2</v>
      </c>
      <c r="G12" s="5"/>
      <c r="H12" s="5"/>
      <c r="M12" s="49"/>
    </row>
    <row r="13" spans="1:13" x14ac:dyDescent="0.35">
      <c r="A13" s="7" t="s">
        <v>23</v>
      </c>
      <c r="B13" s="7" t="s">
        <v>24</v>
      </c>
      <c r="C13" s="7" t="s">
        <v>182</v>
      </c>
      <c r="D13" s="8">
        <v>179015</v>
      </c>
      <c r="E13" s="9">
        <v>687.77562999999998</v>
      </c>
      <c r="F13" s="10">
        <v>3.5410000036446926E-2</v>
      </c>
      <c r="G13" s="5"/>
      <c r="H13" s="5"/>
      <c r="M13" s="49"/>
    </row>
    <row r="14" spans="1:13" x14ac:dyDescent="0.35">
      <c r="A14" s="7" t="s">
        <v>25</v>
      </c>
      <c r="B14" s="7" t="s">
        <v>26</v>
      </c>
      <c r="C14" s="7" t="s">
        <v>182</v>
      </c>
      <c r="D14" s="8">
        <v>82400</v>
      </c>
      <c r="E14" s="9">
        <v>613.50919999999996</v>
      </c>
      <c r="F14" s="10">
        <v>3.1586406739012432E-2</v>
      </c>
      <c r="G14" s="5"/>
      <c r="H14" s="5"/>
      <c r="M14" s="49"/>
    </row>
    <row r="15" spans="1:13" x14ac:dyDescent="0.35">
      <c r="A15" s="7" t="s">
        <v>27</v>
      </c>
      <c r="B15" s="7" t="s">
        <v>28</v>
      </c>
      <c r="C15" s="7" t="s">
        <v>185</v>
      </c>
      <c r="D15" s="8">
        <v>275000</v>
      </c>
      <c r="E15" s="9">
        <v>572.05499999999995</v>
      </c>
      <c r="F15" s="10">
        <v>2.9452144983458696E-2</v>
      </c>
      <c r="G15" s="5"/>
      <c r="H15" s="5"/>
      <c r="M15" s="49"/>
    </row>
    <row r="16" spans="1:13" x14ac:dyDescent="0.35">
      <c r="A16" s="7" t="s">
        <v>29</v>
      </c>
      <c r="B16" s="7" t="s">
        <v>30</v>
      </c>
      <c r="C16" s="7" t="s">
        <v>186</v>
      </c>
      <c r="D16" s="8">
        <v>230000</v>
      </c>
      <c r="E16" s="9">
        <v>566.23699999999997</v>
      </c>
      <c r="F16" s="10">
        <v>2.9152606338549093E-2</v>
      </c>
      <c r="G16" s="5"/>
      <c r="H16" s="5"/>
      <c r="M16" s="49"/>
    </row>
    <row r="17" spans="1:13" x14ac:dyDescent="0.35">
      <c r="A17" s="7" t="s">
        <v>31</v>
      </c>
      <c r="B17" s="7" t="s">
        <v>32</v>
      </c>
      <c r="C17" s="7" t="s">
        <v>182</v>
      </c>
      <c r="D17" s="8">
        <v>42601</v>
      </c>
      <c r="E17" s="9">
        <v>548.104466</v>
      </c>
      <c r="F17" s="10">
        <v>2.8219056207380772E-2</v>
      </c>
      <c r="G17" s="5"/>
      <c r="H17" s="5"/>
      <c r="M17" s="49"/>
    </row>
    <row r="18" spans="1:13" x14ac:dyDescent="0.35">
      <c r="A18" s="7" t="s">
        <v>33</v>
      </c>
      <c r="B18" s="7" t="s">
        <v>34</v>
      </c>
      <c r="C18" s="7" t="s">
        <v>35</v>
      </c>
      <c r="D18" s="8">
        <v>6702</v>
      </c>
      <c r="E18" s="9">
        <v>547.98902999999996</v>
      </c>
      <c r="F18" s="10">
        <v>2.8213113006450248E-2</v>
      </c>
      <c r="G18" s="5"/>
      <c r="H18" s="5"/>
      <c r="M18" s="49"/>
    </row>
    <row r="19" spans="1:13" x14ac:dyDescent="0.35">
      <c r="A19" s="7" t="s">
        <v>36</v>
      </c>
      <c r="B19" s="7" t="s">
        <v>37</v>
      </c>
      <c r="C19" s="7" t="s">
        <v>38</v>
      </c>
      <c r="D19" s="8">
        <v>120000</v>
      </c>
      <c r="E19" s="9">
        <v>464.28</v>
      </c>
      <c r="F19" s="10">
        <v>2.3903369209114865E-2</v>
      </c>
      <c r="G19" s="5"/>
      <c r="H19" s="5"/>
      <c r="M19" s="49"/>
    </row>
    <row r="20" spans="1:13" x14ac:dyDescent="0.35">
      <c r="A20" s="7" t="s">
        <v>39</v>
      </c>
      <c r="B20" s="7" t="s">
        <v>40</v>
      </c>
      <c r="C20" s="7" t="s">
        <v>182</v>
      </c>
      <c r="D20" s="8">
        <v>48002</v>
      </c>
      <c r="E20" s="9">
        <v>462.931288</v>
      </c>
      <c r="F20" s="10">
        <v>2.3833931023337394E-2</v>
      </c>
      <c r="G20" s="5"/>
      <c r="H20" s="5"/>
      <c r="M20" s="49"/>
    </row>
    <row r="21" spans="1:13" x14ac:dyDescent="0.35">
      <c r="A21" s="7" t="s">
        <v>41</v>
      </c>
      <c r="B21" s="7" t="s">
        <v>42</v>
      </c>
      <c r="C21" s="7" t="s">
        <v>187</v>
      </c>
      <c r="D21" s="8">
        <v>15000</v>
      </c>
      <c r="E21" s="9">
        <v>456.84</v>
      </c>
      <c r="F21" s="10">
        <v>2.3520322196717573E-2</v>
      </c>
      <c r="G21" s="5"/>
      <c r="H21" s="5"/>
      <c r="M21" s="49"/>
    </row>
    <row r="22" spans="1:13" x14ac:dyDescent="0.35">
      <c r="A22" s="7" t="s">
        <v>43</v>
      </c>
      <c r="B22" s="7" t="s">
        <v>44</v>
      </c>
      <c r="C22" s="7" t="s">
        <v>188</v>
      </c>
      <c r="D22" s="8">
        <v>46000</v>
      </c>
      <c r="E22" s="9">
        <v>447.74099999999999</v>
      </c>
      <c r="F22" s="10">
        <v>2.3051861878733305E-2</v>
      </c>
      <c r="G22" s="5"/>
      <c r="H22" s="5"/>
      <c r="M22" s="49"/>
    </row>
    <row r="23" spans="1:13" x14ac:dyDescent="0.35">
      <c r="A23" s="7" t="s">
        <v>45</v>
      </c>
      <c r="B23" s="7" t="s">
        <v>46</v>
      </c>
      <c r="C23" s="7" t="s">
        <v>189</v>
      </c>
      <c r="D23" s="8">
        <v>27000</v>
      </c>
      <c r="E23" s="9">
        <v>436.91399999999999</v>
      </c>
      <c r="F23" s="10">
        <v>2.2494435803030954E-2</v>
      </c>
      <c r="G23" s="5"/>
      <c r="H23" s="5"/>
      <c r="M23" s="49"/>
    </row>
    <row r="24" spans="1:13" x14ac:dyDescent="0.35">
      <c r="A24" s="7" t="s">
        <v>47</v>
      </c>
      <c r="B24" s="7" t="s">
        <v>48</v>
      </c>
      <c r="C24" s="7" t="s">
        <v>190</v>
      </c>
      <c r="D24" s="8">
        <v>23000</v>
      </c>
      <c r="E24" s="9">
        <v>380.30500000000001</v>
      </c>
      <c r="F24" s="10">
        <v>1.957993199593441E-2</v>
      </c>
      <c r="G24" s="5"/>
      <c r="H24" s="5"/>
      <c r="M24" s="49"/>
    </row>
    <row r="25" spans="1:13" x14ac:dyDescent="0.35">
      <c r="A25" s="7" t="s">
        <v>49</v>
      </c>
      <c r="B25" s="7" t="s">
        <v>50</v>
      </c>
      <c r="C25" s="7" t="s">
        <v>35</v>
      </c>
      <c r="D25" s="8">
        <v>20000</v>
      </c>
      <c r="E25" s="9">
        <v>378.8</v>
      </c>
      <c r="F25" s="10">
        <v>1.9502447351625551E-2</v>
      </c>
      <c r="G25" s="5"/>
      <c r="H25" s="5"/>
      <c r="M25" s="49"/>
    </row>
    <row r="26" spans="1:13" x14ac:dyDescent="0.35">
      <c r="A26" s="7" t="s">
        <v>51</v>
      </c>
      <c r="B26" s="7" t="s">
        <v>52</v>
      </c>
      <c r="C26" s="7" t="s">
        <v>189</v>
      </c>
      <c r="D26" s="8">
        <v>32504</v>
      </c>
      <c r="E26" s="9">
        <v>357.60900800000002</v>
      </c>
      <c r="F26" s="10">
        <v>1.8411433080747202E-2</v>
      </c>
      <c r="G26" s="5"/>
      <c r="H26" s="5"/>
      <c r="M26" s="49"/>
    </row>
    <row r="27" spans="1:13" x14ac:dyDescent="0.35">
      <c r="A27" s="7" t="s">
        <v>53</v>
      </c>
      <c r="B27" s="7" t="s">
        <v>54</v>
      </c>
      <c r="C27" s="7" t="s">
        <v>187</v>
      </c>
      <c r="D27" s="8">
        <v>3200</v>
      </c>
      <c r="E27" s="9">
        <v>334.72</v>
      </c>
      <c r="F27" s="10">
        <v>1.7232996772798586E-2</v>
      </c>
      <c r="G27" s="5"/>
      <c r="H27" s="5"/>
      <c r="M27" s="49"/>
    </row>
    <row r="28" spans="1:13" x14ac:dyDescent="0.35">
      <c r="A28" s="7" t="s">
        <v>55</v>
      </c>
      <c r="B28" s="7" t="s">
        <v>56</v>
      </c>
      <c r="C28" s="7" t="s">
        <v>186</v>
      </c>
      <c r="D28" s="8">
        <v>7000</v>
      </c>
      <c r="E28" s="9">
        <v>308.75599999999997</v>
      </c>
      <c r="F28" s="10">
        <v>1.5896245075233628E-2</v>
      </c>
      <c r="G28" s="5"/>
      <c r="H28" s="5"/>
      <c r="M28" s="49"/>
    </row>
    <row r="29" spans="1:13" x14ac:dyDescent="0.35">
      <c r="A29" s="7" t="s">
        <v>57</v>
      </c>
      <c r="B29" s="7" t="s">
        <v>58</v>
      </c>
      <c r="C29" s="7" t="s">
        <v>191</v>
      </c>
      <c r="D29" s="8">
        <v>7000</v>
      </c>
      <c r="E29" s="9">
        <v>301.26600000000002</v>
      </c>
      <c r="F29" s="10">
        <v>1.5510623822161625E-2</v>
      </c>
      <c r="G29" s="5"/>
      <c r="H29" s="5"/>
      <c r="M29" s="49"/>
    </row>
    <row r="30" spans="1:13" x14ac:dyDescent="0.35">
      <c r="A30" s="7" t="s">
        <v>59</v>
      </c>
      <c r="B30" s="7" t="s">
        <v>60</v>
      </c>
      <c r="C30" s="7" t="s">
        <v>192</v>
      </c>
      <c r="D30" s="8">
        <v>94209</v>
      </c>
      <c r="E30" s="9">
        <v>286.86640499999999</v>
      </c>
      <c r="F30" s="10">
        <v>1.4769263359193751E-2</v>
      </c>
      <c r="G30" s="5"/>
      <c r="H30" s="5"/>
      <c r="M30" s="49"/>
    </row>
    <row r="31" spans="1:13" x14ac:dyDescent="0.35">
      <c r="A31" s="7" t="s">
        <v>61</v>
      </c>
      <c r="B31" s="7" t="s">
        <v>62</v>
      </c>
      <c r="C31" s="7" t="s">
        <v>193</v>
      </c>
      <c r="D31" s="8">
        <v>6213</v>
      </c>
      <c r="E31" s="9">
        <v>273.68265000000002</v>
      </c>
      <c r="F31" s="10">
        <v>1.4090500191864736E-2</v>
      </c>
      <c r="G31" s="5"/>
      <c r="H31" s="5"/>
      <c r="M31" s="49"/>
    </row>
    <row r="32" spans="1:13" x14ac:dyDescent="0.35">
      <c r="A32" s="7" t="s">
        <v>63</v>
      </c>
      <c r="B32" s="7" t="s">
        <v>64</v>
      </c>
      <c r="C32" s="7" t="s">
        <v>186</v>
      </c>
      <c r="D32" s="8">
        <v>42502</v>
      </c>
      <c r="E32" s="9">
        <v>269.14391499999999</v>
      </c>
      <c r="F32" s="10">
        <v>1.3856824266889868E-2</v>
      </c>
      <c r="G32" s="5"/>
      <c r="H32" s="5"/>
      <c r="M32" s="49"/>
    </row>
    <row r="33" spans="1:13" x14ac:dyDescent="0.35">
      <c r="A33" s="7" t="s">
        <v>65</v>
      </c>
      <c r="B33" s="7" t="s">
        <v>66</v>
      </c>
      <c r="C33" s="7" t="s">
        <v>182</v>
      </c>
      <c r="D33" s="8">
        <v>100001</v>
      </c>
      <c r="E33" s="9">
        <v>268.50268499999999</v>
      </c>
      <c r="F33" s="10">
        <v>1.3823810659932944E-2</v>
      </c>
      <c r="G33" s="5"/>
      <c r="H33" s="5"/>
      <c r="M33" s="49"/>
    </row>
    <row r="34" spans="1:13" x14ac:dyDescent="0.35">
      <c r="A34" s="7" t="s">
        <v>67</v>
      </c>
      <c r="B34" s="7" t="s">
        <v>68</v>
      </c>
      <c r="C34" s="7" t="s">
        <v>194</v>
      </c>
      <c r="D34" s="8">
        <v>15300</v>
      </c>
      <c r="E34" s="9">
        <v>268.30079999999998</v>
      </c>
      <c r="F34" s="10">
        <v>1.3813416648360655E-2</v>
      </c>
      <c r="G34" s="5"/>
      <c r="H34" s="5"/>
      <c r="M34" s="49"/>
    </row>
    <row r="35" spans="1:13" x14ac:dyDescent="0.35">
      <c r="A35" s="7" t="s">
        <v>69</v>
      </c>
      <c r="B35" s="7" t="s">
        <v>70</v>
      </c>
      <c r="C35" s="7" t="s">
        <v>189</v>
      </c>
      <c r="D35" s="8">
        <v>24000</v>
      </c>
      <c r="E35" s="9">
        <v>255.36</v>
      </c>
      <c r="F35" s="10">
        <v>1.3147161973894142E-2</v>
      </c>
      <c r="G35" s="5"/>
      <c r="H35" s="5"/>
      <c r="M35" s="49"/>
    </row>
    <row r="36" spans="1:13" x14ac:dyDescent="0.35">
      <c r="A36" s="7" t="s">
        <v>71</v>
      </c>
      <c r="B36" s="7" t="s">
        <v>72</v>
      </c>
      <c r="C36" s="7" t="s">
        <v>184</v>
      </c>
      <c r="D36" s="8">
        <v>24000</v>
      </c>
      <c r="E36" s="9">
        <v>247.32</v>
      </c>
      <c r="F36" s="10">
        <v>1.2733224073400294E-2</v>
      </c>
      <c r="G36" s="5"/>
      <c r="H36" s="5"/>
      <c r="M36" s="49"/>
    </row>
    <row r="37" spans="1:13" x14ac:dyDescent="0.35">
      <c r="A37" s="7" t="s">
        <v>73</v>
      </c>
      <c r="B37" s="7" t="s">
        <v>74</v>
      </c>
      <c r="C37" s="7" t="s">
        <v>195</v>
      </c>
      <c r="D37" s="8">
        <v>2455</v>
      </c>
      <c r="E37" s="9">
        <v>244.61619999999999</v>
      </c>
      <c r="F37" s="10">
        <v>1.2594019434674515E-2</v>
      </c>
      <c r="G37" s="5"/>
      <c r="H37" s="5"/>
      <c r="M37" s="49"/>
    </row>
    <row r="38" spans="1:13" x14ac:dyDescent="0.35">
      <c r="A38" s="7" t="s">
        <v>75</v>
      </c>
      <c r="B38" s="7" t="s">
        <v>76</v>
      </c>
      <c r="C38" s="7" t="s">
        <v>189</v>
      </c>
      <c r="D38" s="8">
        <v>8800</v>
      </c>
      <c r="E38" s="9">
        <v>235.33840000000001</v>
      </c>
      <c r="F38" s="10">
        <v>1.2116353632037473E-2</v>
      </c>
      <c r="G38" s="5"/>
      <c r="H38" s="5"/>
      <c r="M38" s="49"/>
    </row>
    <row r="39" spans="1:13" x14ac:dyDescent="0.35">
      <c r="A39" s="7" t="s">
        <v>77</v>
      </c>
      <c r="B39" s="7" t="s">
        <v>78</v>
      </c>
      <c r="C39" s="7" t="s">
        <v>187</v>
      </c>
      <c r="D39" s="8">
        <v>7000</v>
      </c>
      <c r="E39" s="9">
        <v>234.899</v>
      </c>
      <c r="F39" s="10">
        <v>1.2093731204988094E-2</v>
      </c>
      <c r="G39" s="5"/>
      <c r="H39" s="5"/>
      <c r="M39" s="49"/>
    </row>
    <row r="40" spans="1:13" x14ac:dyDescent="0.35">
      <c r="A40" s="7" t="s">
        <v>79</v>
      </c>
      <c r="B40" s="7" t="s">
        <v>80</v>
      </c>
      <c r="C40" s="7" t="s">
        <v>184</v>
      </c>
      <c r="D40" s="8">
        <v>47501</v>
      </c>
      <c r="E40" s="9">
        <v>226.67477199999999</v>
      </c>
      <c r="F40" s="10">
        <v>1.1670308360273827E-2</v>
      </c>
      <c r="G40" s="5"/>
      <c r="H40" s="5"/>
      <c r="M40" s="49"/>
    </row>
    <row r="41" spans="1:13" x14ac:dyDescent="0.35">
      <c r="A41" s="7" t="s">
        <v>81</v>
      </c>
      <c r="B41" s="7" t="s">
        <v>82</v>
      </c>
      <c r="C41" s="7" t="s">
        <v>195</v>
      </c>
      <c r="D41" s="8">
        <v>15001</v>
      </c>
      <c r="E41" s="9">
        <v>222.599839</v>
      </c>
      <c r="F41" s="10">
        <v>1.1460511194767223E-2</v>
      </c>
      <c r="G41" s="5"/>
      <c r="H41" s="5"/>
      <c r="M41" s="49"/>
    </row>
    <row r="42" spans="1:13" x14ac:dyDescent="0.35">
      <c r="A42" s="7" t="s">
        <v>83</v>
      </c>
      <c r="B42" s="7" t="s">
        <v>84</v>
      </c>
      <c r="C42" s="7" t="s">
        <v>184</v>
      </c>
      <c r="D42" s="8">
        <v>20000</v>
      </c>
      <c r="E42" s="9">
        <v>213.04</v>
      </c>
      <c r="F42" s="10">
        <v>1.0968324666817074E-2</v>
      </c>
      <c r="G42" s="5"/>
      <c r="H42" s="5"/>
      <c r="M42" s="49"/>
    </row>
    <row r="43" spans="1:13" x14ac:dyDescent="0.35">
      <c r="A43" s="7" t="s">
        <v>85</v>
      </c>
      <c r="B43" s="7" t="s">
        <v>86</v>
      </c>
      <c r="C43" s="7" t="s">
        <v>196</v>
      </c>
      <c r="D43" s="8">
        <v>60000</v>
      </c>
      <c r="E43" s="9">
        <v>211.56</v>
      </c>
      <c r="F43" s="10">
        <v>1.0892127142845568E-2</v>
      </c>
      <c r="G43" s="5"/>
      <c r="H43" s="5"/>
      <c r="M43" s="49"/>
    </row>
    <row r="44" spans="1:13" x14ac:dyDescent="0.35">
      <c r="A44" s="7" t="s">
        <v>87</v>
      </c>
      <c r="B44" s="7" t="s">
        <v>88</v>
      </c>
      <c r="C44" s="7" t="s">
        <v>197</v>
      </c>
      <c r="D44" s="8">
        <v>22436</v>
      </c>
      <c r="E44" s="9">
        <v>200.847072</v>
      </c>
      <c r="F44" s="10">
        <v>1.0340574042788138E-2</v>
      </c>
      <c r="G44" s="5"/>
      <c r="H44" s="5"/>
      <c r="M44" s="49"/>
    </row>
    <row r="45" spans="1:13" x14ac:dyDescent="0.35">
      <c r="A45" s="7" t="s">
        <v>209</v>
      </c>
      <c r="B45" s="7" t="s">
        <v>89</v>
      </c>
      <c r="C45" s="7" t="s">
        <v>198</v>
      </c>
      <c r="D45" s="8">
        <v>450000</v>
      </c>
      <c r="E45" s="9">
        <v>184.68</v>
      </c>
      <c r="F45" s="10">
        <v>9.5082153561198701E-3</v>
      </c>
      <c r="G45" s="5"/>
      <c r="H45" s="5"/>
      <c r="M45" s="49"/>
    </row>
    <row r="46" spans="1:13" x14ac:dyDescent="0.35">
      <c r="A46" s="7" t="s">
        <v>210</v>
      </c>
      <c r="B46" s="7" t="s">
        <v>90</v>
      </c>
      <c r="C46" s="7" t="s">
        <v>195</v>
      </c>
      <c r="D46" s="8">
        <v>8100</v>
      </c>
      <c r="E46" s="9">
        <v>183.98339999999999</v>
      </c>
      <c r="F46" s="10">
        <v>9.4723510350397683E-3</v>
      </c>
      <c r="G46" s="5"/>
      <c r="H46" s="5"/>
      <c r="M46" s="49"/>
    </row>
    <row r="47" spans="1:13" x14ac:dyDescent="0.35">
      <c r="A47" s="7" t="s">
        <v>211</v>
      </c>
      <c r="B47" s="7" t="s">
        <v>91</v>
      </c>
      <c r="C47" s="7" t="s">
        <v>199</v>
      </c>
      <c r="D47" s="8">
        <v>5700</v>
      </c>
      <c r="E47" s="9">
        <v>179.0598</v>
      </c>
      <c r="F47" s="10">
        <v>9.2188604073194323E-3</v>
      </c>
      <c r="G47" s="5"/>
      <c r="H47" s="5"/>
      <c r="M47" s="49"/>
    </row>
    <row r="48" spans="1:13" x14ac:dyDescent="0.35">
      <c r="A48" s="7" t="s">
        <v>92</v>
      </c>
      <c r="B48" s="7" t="s">
        <v>93</v>
      </c>
      <c r="C48" s="7" t="s">
        <v>38</v>
      </c>
      <c r="D48" s="8">
        <v>59501</v>
      </c>
      <c r="E48" s="9">
        <v>172.8801555</v>
      </c>
      <c r="F48" s="10">
        <v>8.9007025627761052E-3</v>
      </c>
      <c r="G48" s="5"/>
      <c r="H48" s="5"/>
      <c r="M48" s="49"/>
    </row>
    <row r="49" spans="1:13" x14ac:dyDescent="0.35">
      <c r="A49" s="7" t="s">
        <v>94</v>
      </c>
      <c r="B49" s="7" t="s">
        <v>95</v>
      </c>
      <c r="C49" s="7" t="s">
        <v>184</v>
      </c>
      <c r="D49" s="8">
        <v>20000</v>
      </c>
      <c r="E49" s="9">
        <v>165.93</v>
      </c>
      <c r="F49" s="10">
        <v>8.5428751031025024E-3</v>
      </c>
      <c r="G49" s="5"/>
      <c r="H49" s="5"/>
      <c r="M49" s="49"/>
    </row>
    <row r="50" spans="1:13" x14ac:dyDescent="0.35">
      <c r="A50" s="7" t="s">
        <v>96</v>
      </c>
      <c r="B50" s="7" t="s">
        <v>97</v>
      </c>
      <c r="C50" s="7" t="s">
        <v>194</v>
      </c>
      <c r="D50" s="8">
        <v>3420</v>
      </c>
      <c r="E50" s="9">
        <v>154.22489999999999</v>
      </c>
      <c r="F50" s="10">
        <v>7.9402402126708439E-3</v>
      </c>
      <c r="G50" s="5"/>
      <c r="H50" s="5"/>
      <c r="M50" s="49"/>
    </row>
    <row r="51" spans="1:13" x14ac:dyDescent="0.35">
      <c r="A51" s="7" t="s">
        <v>98</v>
      </c>
      <c r="B51" s="7" t="s">
        <v>99</v>
      </c>
      <c r="C51" s="7" t="s">
        <v>200</v>
      </c>
      <c r="D51" s="8">
        <v>23000</v>
      </c>
      <c r="E51" s="9">
        <v>148.626</v>
      </c>
      <c r="F51" s="10">
        <v>7.6519818903978331E-3</v>
      </c>
      <c r="G51" s="5"/>
      <c r="H51" s="5"/>
      <c r="M51" s="49"/>
    </row>
    <row r="52" spans="1:13" x14ac:dyDescent="0.35">
      <c r="A52" s="7" t="s">
        <v>100</v>
      </c>
      <c r="B52" s="7" t="s">
        <v>101</v>
      </c>
      <c r="C52" s="7" t="s">
        <v>186</v>
      </c>
      <c r="D52" s="8">
        <v>6565</v>
      </c>
      <c r="E52" s="9">
        <v>146.05155500000001</v>
      </c>
      <c r="F52" s="10">
        <v>7.5194370697216038E-3</v>
      </c>
      <c r="G52" s="5"/>
      <c r="H52" s="5"/>
      <c r="M52" s="49"/>
    </row>
    <row r="53" spans="1:13" x14ac:dyDescent="0.35">
      <c r="A53" s="7" t="s">
        <v>102</v>
      </c>
      <c r="B53" s="7" t="s">
        <v>103</v>
      </c>
      <c r="C53" s="7" t="s">
        <v>195</v>
      </c>
      <c r="D53" s="8">
        <v>11610</v>
      </c>
      <c r="E53" s="9">
        <v>134.78048999999999</v>
      </c>
      <c r="F53" s="10">
        <v>6.9391483903149262E-3</v>
      </c>
      <c r="G53" s="5"/>
      <c r="H53" s="5"/>
      <c r="M53" s="49"/>
    </row>
    <row r="54" spans="1:13" x14ac:dyDescent="0.35">
      <c r="A54" s="7" t="s">
        <v>104</v>
      </c>
      <c r="B54" s="7" t="s">
        <v>105</v>
      </c>
      <c r="C54" s="7" t="s">
        <v>188</v>
      </c>
      <c r="D54" s="8">
        <v>2250</v>
      </c>
      <c r="E54" s="9">
        <v>132.32249999999999</v>
      </c>
      <c r="F54" s="10">
        <v>6.8125992335941708E-3</v>
      </c>
      <c r="G54" s="5"/>
      <c r="H54" s="5"/>
      <c r="M54" s="49"/>
    </row>
    <row r="55" spans="1:13" x14ac:dyDescent="0.35">
      <c r="A55" s="7" t="s">
        <v>106</v>
      </c>
      <c r="B55" s="7" t="s">
        <v>107</v>
      </c>
      <c r="C55" s="7" t="s">
        <v>195</v>
      </c>
      <c r="D55" s="8">
        <v>3200</v>
      </c>
      <c r="E55" s="9">
        <v>129.97120000000001</v>
      </c>
      <c r="F55" s="10">
        <v>6.6915429916251179E-3</v>
      </c>
      <c r="G55" s="5"/>
      <c r="H55" s="5"/>
      <c r="M55" s="49"/>
    </row>
    <row r="56" spans="1:13" x14ac:dyDescent="0.35">
      <c r="A56" s="7" t="s">
        <v>108</v>
      </c>
      <c r="B56" s="7" t="s">
        <v>109</v>
      </c>
      <c r="C56" s="7" t="s">
        <v>192</v>
      </c>
      <c r="D56" s="8">
        <v>55000</v>
      </c>
      <c r="E56" s="9">
        <v>123.3815</v>
      </c>
      <c r="F56" s="10">
        <v>6.3522735161419958E-3</v>
      </c>
      <c r="G56" s="5"/>
      <c r="H56" s="5"/>
      <c r="M56" s="49"/>
    </row>
    <row r="57" spans="1:13" x14ac:dyDescent="0.35">
      <c r="A57" s="7" t="s">
        <v>110</v>
      </c>
      <c r="B57" s="7" t="s">
        <v>111</v>
      </c>
      <c r="C57" s="7" t="s">
        <v>201</v>
      </c>
      <c r="D57" s="8">
        <v>6000</v>
      </c>
      <c r="E57" s="9">
        <v>108.276</v>
      </c>
      <c r="F57" s="10">
        <v>5.5745696659044563E-3</v>
      </c>
      <c r="G57" s="5"/>
      <c r="H57" s="5"/>
      <c r="M57" s="49"/>
    </row>
    <row r="58" spans="1:13" x14ac:dyDescent="0.35">
      <c r="A58" s="7" t="s">
        <v>212</v>
      </c>
      <c r="B58" s="7" t="s">
        <v>112</v>
      </c>
      <c r="C58" s="7" t="s">
        <v>202</v>
      </c>
      <c r="D58" s="8">
        <v>7000</v>
      </c>
      <c r="E58" s="9">
        <v>106.946</v>
      </c>
      <c r="F58" s="10">
        <v>5.5060948639570912E-3</v>
      </c>
      <c r="G58" s="5"/>
      <c r="H58" s="5"/>
      <c r="M58" s="49"/>
    </row>
    <row r="59" spans="1:13" x14ac:dyDescent="0.35">
      <c r="A59" s="7" t="s">
        <v>113</v>
      </c>
      <c r="B59" s="7" t="s">
        <v>114</v>
      </c>
      <c r="C59" s="7" t="s">
        <v>186</v>
      </c>
      <c r="D59" s="8">
        <v>4000</v>
      </c>
      <c r="E59" s="9">
        <v>88.408000000000001</v>
      </c>
      <c r="F59" s="10">
        <v>4.5516693914005061E-3</v>
      </c>
      <c r="G59" s="5"/>
      <c r="H59" s="5"/>
      <c r="M59" s="49"/>
    </row>
    <row r="60" spans="1:13" x14ac:dyDescent="0.35">
      <c r="A60" s="7" t="s">
        <v>214</v>
      </c>
      <c r="B60" s="7" t="s">
        <v>119</v>
      </c>
      <c r="C60" s="7" t="s">
        <v>207</v>
      </c>
      <c r="D60" s="8">
        <v>60000</v>
      </c>
      <c r="E60" s="9">
        <v>72.614999999999995</v>
      </c>
      <c r="F60" s="10">
        <v>3.7385697318856634E-3</v>
      </c>
      <c r="G60" s="5"/>
      <c r="H60" s="5"/>
      <c r="M60" s="49"/>
    </row>
    <row r="61" spans="1:13" x14ac:dyDescent="0.35">
      <c r="A61" s="7" t="s">
        <v>215</v>
      </c>
      <c r="B61" s="7" t="s">
        <v>120</v>
      </c>
      <c r="C61" s="7" t="s">
        <v>205</v>
      </c>
      <c r="D61" s="8">
        <v>60000</v>
      </c>
      <c r="E61" s="9">
        <v>72.614999999999995</v>
      </c>
      <c r="F61" s="10">
        <v>3.7385697318856634E-3</v>
      </c>
      <c r="G61" s="5"/>
      <c r="H61" s="5"/>
      <c r="M61" s="49"/>
    </row>
    <row r="62" spans="1:13" x14ac:dyDescent="0.35">
      <c r="A62" s="7" t="s">
        <v>216</v>
      </c>
      <c r="B62" s="7" t="s">
        <v>121</v>
      </c>
      <c r="C62" s="7" t="s">
        <v>206</v>
      </c>
      <c r="D62" s="8">
        <v>60000</v>
      </c>
      <c r="E62" s="9">
        <v>72.614999999999995</v>
      </c>
      <c r="F62" s="10">
        <v>3.7385697318856634E-3</v>
      </c>
      <c r="G62" s="5"/>
      <c r="H62" s="5"/>
      <c r="M62" s="49"/>
    </row>
    <row r="63" spans="1:13" x14ac:dyDescent="0.35">
      <c r="A63" s="7" t="s">
        <v>217</v>
      </c>
      <c r="B63" s="7" t="s">
        <v>122</v>
      </c>
      <c r="C63" s="7" t="s">
        <v>208</v>
      </c>
      <c r="D63" s="8">
        <v>60000</v>
      </c>
      <c r="E63" s="9">
        <v>72.614999999999995</v>
      </c>
      <c r="F63" s="10">
        <v>3.7385697318856634E-3</v>
      </c>
      <c r="G63" s="5"/>
      <c r="H63" s="5"/>
      <c r="M63" s="49"/>
    </row>
    <row r="64" spans="1:13" x14ac:dyDescent="0.35">
      <c r="A64" s="7" t="s">
        <v>115</v>
      </c>
      <c r="B64" s="7" t="s">
        <v>116</v>
      </c>
      <c r="C64" s="7" t="s">
        <v>35</v>
      </c>
      <c r="D64" s="8">
        <v>1100</v>
      </c>
      <c r="E64" s="9">
        <v>58.965499999999999</v>
      </c>
      <c r="F64" s="10">
        <v>3.0358277700957667E-3</v>
      </c>
      <c r="G64" s="5"/>
      <c r="H64" s="5"/>
      <c r="M64" s="49"/>
    </row>
    <row r="65" spans="1:8" ht="18.899999999999999" customHeight="1" x14ac:dyDescent="0.35">
      <c r="A65" s="4" t="s">
        <v>117</v>
      </c>
      <c r="B65" s="5"/>
      <c r="C65" s="5"/>
      <c r="D65" s="5"/>
      <c r="E65" s="11">
        <f>SUM(E7:E64)</f>
        <v>18898.747179900012</v>
      </c>
      <c r="F65" s="12">
        <f>SUM(F7:F64)</f>
        <v>0.97299847383231686</v>
      </c>
      <c r="G65" s="5"/>
      <c r="H65" s="5"/>
    </row>
    <row r="66" spans="1:8" ht="21.15" customHeight="1" x14ac:dyDescent="0.35">
      <c r="A66" s="4" t="s">
        <v>118</v>
      </c>
      <c r="B66" s="5"/>
      <c r="C66" s="5"/>
      <c r="D66" s="5"/>
      <c r="E66" s="5"/>
      <c r="F66" s="5"/>
      <c r="G66" s="5"/>
      <c r="H66" s="5"/>
    </row>
    <row r="67" spans="1:8" ht="17.5" customHeight="1" x14ac:dyDescent="0.35">
      <c r="A67" s="4" t="s">
        <v>117</v>
      </c>
      <c r="B67" s="5"/>
      <c r="C67" s="5"/>
      <c r="D67" s="5"/>
      <c r="E67" s="13" t="s">
        <v>124</v>
      </c>
      <c r="F67" s="13" t="s">
        <v>124</v>
      </c>
      <c r="G67" s="5"/>
      <c r="H67" s="5"/>
    </row>
    <row r="68" spans="1:8" x14ac:dyDescent="0.35">
      <c r="A68" s="66" t="s">
        <v>123</v>
      </c>
      <c r="B68" s="64"/>
      <c r="C68" s="64"/>
      <c r="D68" s="64"/>
      <c r="E68" s="64"/>
      <c r="F68" s="64"/>
      <c r="G68" s="64"/>
      <c r="H68" s="64"/>
    </row>
    <row r="69" spans="1:8" x14ac:dyDescent="0.35">
      <c r="A69" s="67"/>
      <c r="B69" s="65"/>
      <c r="C69" s="65"/>
      <c r="D69" s="65"/>
      <c r="E69" s="65"/>
      <c r="F69" s="65"/>
      <c r="G69" s="65"/>
      <c r="H69" s="65"/>
    </row>
    <row r="70" spans="1:8" ht="19.75" customHeight="1" x14ac:dyDescent="0.35">
      <c r="A70" s="4" t="s">
        <v>117</v>
      </c>
      <c r="B70" s="5"/>
      <c r="C70" s="5"/>
      <c r="D70" s="5"/>
      <c r="E70" s="13" t="s">
        <v>124</v>
      </c>
      <c r="F70" s="13" t="s">
        <v>124</v>
      </c>
      <c r="G70" s="5"/>
      <c r="H70" s="5"/>
    </row>
    <row r="71" spans="1:8" ht="20.65" customHeight="1" x14ac:dyDescent="0.35">
      <c r="A71" s="4" t="s">
        <v>125</v>
      </c>
      <c r="B71" s="5"/>
      <c r="C71" s="5"/>
      <c r="D71" s="5"/>
      <c r="E71" s="11">
        <v>18898.747179900005</v>
      </c>
      <c r="F71" s="12">
        <v>0.97299847383231675</v>
      </c>
      <c r="G71" s="5"/>
      <c r="H71" s="5"/>
    </row>
    <row r="72" spans="1:8" ht="21.15" customHeight="1" x14ac:dyDescent="0.35">
      <c r="A72" s="6"/>
      <c r="B72" s="5"/>
      <c r="C72" s="5"/>
      <c r="D72" s="5"/>
      <c r="E72" s="5"/>
      <c r="F72" s="5"/>
      <c r="G72" s="5"/>
      <c r="H72" s="5"/>
    </row>
    <row r="73" spans="1:8" x14ac:dyDescent="0.35">
      <c r="A73" s="1"/>
    </row>
    <row r="74" spans="1:8" x14ac:dyDescent="0.35">
      <c r="A74" s="4" t="s">
        <v>126</v>
      </c>
      <c r="B74" s="5"/>
      <c r="C74" s="5"/>
      <c r="D74" s="5"/>
      <c r="E74" s="5"/>
      <c r="F74" s="5"/>
      <c r="G74" s="5"/>
      <c r="H74" s="5"/>
    </row>
    <row r="75" spans="1:8" x14ac:dyDescent="0.35">
      <c r="A75" s="4" t="s">
        <v>127</v>
      </c>
      <c r="B75" s="5"/>
      <c r="C75" s="5"/>
      <c r="D75" s="5"/>
      <c r="E75" s="5"/>
      <c r="F75" s="5"/>
      <c r="G75" s="5"/>
      <c r="H75" s="5"/>
    </row>
    <row r="76" spans="1:8" x14ac:dyDescent="0.35">
      <c r="A76" s="4" t="s">
        <v>117</v>
      </c>
      <c r="B76" s="5"/>
      <c r="C76" s="5"/>
      <c r="D76" s="5"/>
      <c r="E76" s="13" t="s">
        <v>124</v>
      </c>
      <c r="F76" s="13" t="s">
        <v>124</v>
      </c>
      <c r="G76" s="5"/>
      <c r="H76" s="5"/>
    </row>
    <row r="77" spans="1:8" x14ac:dyDescent="0.35">
      <c r="A77" s="4" t="s">
        <v>128</v>
      </c>
      <c r="B77" s="5"/>
      <c r="C77" s="5"/>
      <c r="D77" s="5"/>
      <c r="E77" s="5"/>
      <c r="F77" s="5"/>
      <c r="G77" s="5"/>
      <c r="H77" s="5"/>
    </row>
    <row r="78" spans="1:8" x14ac:dyDescent="0.35">
      <c r="A78" s="4" t="s">
        <v>117</v>
      </c>
      <c r="B78" s="5"/>
      <c r="C78" s="5"/>
      <c r="D78" s="5"/>
      <c r="E78" s="13" t="s">
        <v>124</v>
      </c>
      <c r="F78" s="13" t="s">
        <v>124</v>
      </c>
      <c r="G78" s="5"/>
      <c r="H78" s="5"/>
    </row>
    <row r="79" spans="1:8" x14ac:dyDescent="0.35">
      <c r="A79" s="4" t="s">
        <v>129</v>
      </c>
      <c r="B79" s="5"/>
      <c r="C79" s="5"/>
      <c r="D79" s="5"/>
      <c r="E79" s="5"/>
      <c r="F79" s="5"/>
      <c r="G79" s="5"/>
      <c r="H79" s="5"/>
    </row>
    <row r="80" spans="1:8" x14ac:dyDescent="0.35">
      <c r="A80" s="4" t="s">
        <v>117</v>
      </c>
      <c r="B80" s="5"/>
      <c r="C80" s="5"/>
      <c r="D80" s="5"/>
      <c r="E80" s="13" t="s">
        <v>124</v>
      </c>
      <c r="F80" s="13" t="s">
        <v>124</v>
      </c>
      <c r="G80" s="5"/>
      <c r="H80" s="5"/>
    </row>
    <row r="81" spans="1:8" x14ac:dyDescent="0.35">
      <c r="A81" s="4" t="s">
        <v>125</v>
      </c>
      <c r="B81" s="5"/>
      <c r="C81" s="5"/>
      <c r="D81" s="5"/>
      <c r="E81" s="13" t="s">
        <v>124</v>
      </c>
      <c r="F81" s="13" t="s">
        <v>124</v>
      </c>
      <c r="G81" s="5"/>
      <c r="H81" s="5"/>
    </row>
    <row r="82" spans="1:8" x14ac:dyDescent="0.35">
      <c r="A82" s="1"/>
    </row>
    <row r="83" spans="1:8" x14ac:dyDescent="0.35">
      <c r="A83" s="4" t="s">
        <v>130</v>
      </c>
      <c r="B83" s="5"/>
      <c r="C83" s="5"/>
      <c r="D83" s="5"/>
      <c r="E83" s="5"/>
      <c r="F83" s="5"/>
      <c r="G83" s="5"/>
      <c r="H83" s="5"/>
    </row>
    <row r="84" spans="1:8" x14ac:dyDescent="0.35">
      <c r="A84" s="4" t="s">
        <v>131</v>
      </c>
      <c r="B84" s="5"/>
      <c r="C84" s="5"/>
      <c r="D84" s="5"/>
      <c r="E84" s="5"/>
      <c r="F84" s="5"/>
      <c r="G84" s="5"/>
      <c r="H84" s="5"/>
    </row>
    <row r="85" spans="1:8" x14ac:dyDescent="0.35">
      <c r="A85" s="7" t="s">
        <v>132</v>
      </c>
      <c r="B85" s="7" t="s">
        <v>133</v>
      </c>
      <c r="C85" s="6"/>
      <c r="D85" s="8">
        <v>500000</v>
      </c>
      <c r="E85" s="9">
        <v>500</v>
      </c>
      <c r="F85" s="10">
        <v>2.5742406747129819E-2</v>
      </c>
      <c r="G85" s="6"/>
      <c r="H85" s="6"/>
    </row>
    <row r="86" spans="1:8" x14ac:dyDescent="0.35">
      <c r="A86" s="4" t="s">
        <v>117</v>
      </c>
      <c r="B86" s="5"/>
      <c r="C86" s="5"/>
      <c r="D86" s="5"/>
      <c r="E86" s="11">
        <v>500</v>
      </c>
      <c r="F86" s="12">
        <v>2.5742406747129819E-2</v>
      </c>
      <c r="G86" s="5"/>
      <c r="H86" s="5"/>
    </row>
    <row r="87" spans="1:8" x14ac:dyDescent="0.35">
      <c r="A87" s="4" t="s">
        <v>125</v>
      </c>
      <c r="B87" s="5"/>
      <c r="C87" s="5"/>
      <c r="D87" s="5"/>
      <c r="E87" s="11">
        <v>500</v>
      </c>
      <c r="F87" s="12">
        <v>2.5742406747129819E-2</v>
      </c>
      <c r="G87" s="5"/>
      <c r="H87" s="5"/>
    </row>
    <row r="88" spans="1:8" x14ac:dyDescent="0.35">
      <c r="A88" s="5"/>
      <c r="B88" s="5"/>
      <c r="C88" s="5"/>
      <c r="D88" s="5"/>
      <c r="E88" s="5"/>
      <c r="F88" s="5"/>
      <c r="G88" s="5"/>
      <c r="H88" s="5"/>
    </row>
    <row r="89" spans="1:8" x14ac:dyDescent="0.35">
      <c r="A89" s="4" t="s">
        <v>134</v>
      </c>
      <c r="B89" s="5"/>
      <c r="C89" s="5"/>
      <c r="D89" s="5"/>
      <c r="E89" s="5"/>
      <c r="F89" s="5"/>
      <c r="G89" s="5"/>
      <c r="H89" s="5"/>
    </row>
    <row r="90" spans="1:8" x14ac:dyDescent="0.35">
      <c r="A90" s="42" t="s">
        <v>177</v>
      </c>
      <c r="B90" s="5"/>
      <c r="C90" s="5"/>
      <c r="D90" s="5"/>
      <c r="E90" s="45">
        <v>0</v>
      </c>
      <c r="F90" s="45">
        <v>0</v>
      </c>
      <c r="G90" s="5"/>
      <c r="H90" s="5"/>
    </row>
    <row r="91" spans="1:8" x14ac:dyDescent="0.35">
      <c r="A91" s="42" t="s">
        <v>178</v>
      </c>
      <c r="B91" s="5"/>
      <c r="C91" s="5"/>
      <c r="D91" s="5"/>
      <c r="E91" s="45">
        <v>4</v>
      </c>
      <c r="F91" s="46">
        <f>E91/$E$95</f>
        <v>2.0593925397703855E-4</v>
      </c>
      <c r="G91" s="5"/>
      <c r="H91" s="5"/>
    </row>
    <row r="92" spans="1:8" x14ac:dyDescent="0.35">
      <c r="A92" s="42" t="s">
        <v>135</v>
      </c>
      <c r="B92" s="5"/>
      <c r="C92" s="5"/>
      <c r="D92" s="5"/>
      <c r="E92" s="45">
        <v>20.456132499999999</v>
      </c>
      <c r="F92" s="46">
        <f>E92/$E$95</f>
        <v>1.0531801665763631E-3</v>
      </c>
      <c r="G92" s="5"/>
      <c r="H92" s="5"/>
    </row>
    <row r="93" spans="1:8" x14ac:dyDescent="0.35">
      <c r="A93" s="4" t="s">
        <v>125</v>
      </c>
      <c r="B93" s="5"/>
      <c r="C93" s="5"/>
      <c r="D93" s="5"/>
      <c r="E93" s="11">
        <v>24.456132499999999</v>
      </c>
      <c r="F93" s="12">
        <f>SUM(F91:F92)</f>
        <v>1.2591194205534015E-3</v>
      </c>
      <c r="G93" s="5"/>
      <c r="H93" s="5"/>
    </row>
    <row r="94" spans="1:8" x14ac:dyDescent="0.35">
      <c r="A94" s="4"/>
      <c r="B94" s="5"/>
      <c r="C94" s="5"/>
      <c r="D94" s="5"/>
      <c r="E94" s="13"/>
      <c r="F94" s="13"/>
      <c r="G94" s="5"/>
      <c r="H94" s="5"/>
    </row>
    <row r="95" spans="1:8" x14ac:dyDescent="0.35">
      <c r="A95" s="39" t="s">
        <v>136</v>
      </c>
      <c r="B95" s="5"/>
      <c r="C95" s="47"/>
      <c r="D95" s="47"/>
      <c r="E95" s="40">
        <v>19423.203312400001</v>
      </c>
      <c r="F95" s="41">
        <v>1</v>
      </c>
      <c r="G95" s="5"/>
      <c r="H95" s="5"/>
    </row>
    <row r="96" spans="1:8" x14ac:dyDescent="0.35">
      <c r="A96" s="39"/>
      <c r="B96" s="5"/>
      <c r="C96" s="5"/>
      <c r="D96" s="5"/>
      <c r="E96" s="40"/>
      <c r="F96" s="41"/>
      <c r="G96" s="5"/>
      <c r="H96" s="15"/>
    </row>
    <row r="97" spans="1:12" x14ac:dyDescent="0.35">
      <c r="A97" s="39" t="s">
        <v>176</v>
      </c>
      <c r="B97" s="5"/>
      <c r="C97" s="5"/>
      <c r="D97" s="5"/>
      <c r="E97" s="40"/>
      <c r="F97" s="41"/>
      <c r="G97" s="5"/>
      <c r="H97" s="15"/>
    </row>
    <row r="98" spans="1:12" x14ac:dyDescent="0.35">
      <c r="A98" s="42"/>
      <c r="B98" s="5"/>
      <c r="C98" s="5"/>
      <c r="D98" s="43"/>
      <c r="E98" s="44" t="s">
        <v>124</v>
      </c>
      <c r="F98" s="44" t="s">
        <v>124</v>
      </c>
      <c r="G98" s="42"/>
      <c r="H98" s="15"/>
    </row>
    <row r="99" spans="1:12" x14ac:dyDescent="0.35">
      <c r="A99" s="39" t="s">
        <v>117</v>
      </c>
      <c r="B99" s="5"/>
      <c r="C99" s="5"/>
      <c r="D99" s="5"/>
      <c r="E99" s="40"/>
      <c r="F99" s="41"/>
      <c r="G99" s="5"/>
      <c r="H99" s="15"/>
    </row>
    <row r="100" spans="1:12" x14ac:dyDescent="0.35">
      <c r="A100" s="39" t="s">
        <v>125</v>
      </c>
      <c r="B100" s="5"/>
      <c r="C100" s="5"/>
      <c r="D100" s="5"/>
      <c r="E100" s="44" t="s">
        <v>124</v>
      </c>
      <c r="F100" s="44" t="s">
        <v>124</v>
      </c>
      <c r="G100" s="5"/>
      <c r="H100" s="15"/>
    </row>
    <row r="101" spans="1:12" x14ac:dyDescent="0.35">
      <c r="A101" s="39"/>
      <c r="B101" s="5"/>
      <c r="C101" s="5"/>
      <c r="D101" s="5"/>
      <c r="E101" s="44" t="s">
        <v>124</v>
      </c>
      <c r="F101" s="44" t="s">
        <v>124</v>
      </c>
      <c r="G101" s="5"/>
      <c r="H101" s="15"/>
    </row>
    <row r="102" spans="1:12" x14ac:dyDescent="0.35">
      <c r="A102" s="62" t="s">
        <v>137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</row>
    <row r="103" spans="1:12" x14ac:dyDescent="0.35">
      <c r="A103" s="14" t="s">
        <v>150</v>
      </c>
      <c r="B103" s="15"/>
      <c r="C103" s="15"/>
      <c r="D103" s="15"/>
      <c r="E103" s="16"/>
      <c r="F103" s="17"/>
      <c r="G103" s="15"/>
      <c r="H103" s="15"/>
    </row>
    <row r="104" spans="1:12" x14ac:dyDescent="0.35">
      <c r="A104" s="18"/>
      <c r="B104" s="15"/>
      <c r="C104" s="15"/>
      <c r="D104" s="15"/>
      <c r="E104" s="16"/>
      <c r="F104" s="17"/>
      <c r="G104" s="15"/>
      <c r="H104" s="15"/>
    </row>
    <row r="105" spans="1:12" x14ac:dyDescent="0.35">
      <c r="A105" s="19" t="s">
        <v>151</v>
      </c>
      <c r="B105" s="15"/>
      <c r="C105" s="15"/>
      <c r="D105" s="15"/>
      <c r="E105" s="16"/>
      <c r="F105" s="17"/>
      <c r="G105" s="15"/>
      <c r="H105" s="15"/>
    </row>
    <row r="106" spans="1:12" x14ac:dyDescent="0.35">
      <c r="A106" s="20" t="s">
        <v>164</v>
      </c>
      <c r="B106" s="15"/>
      <c r="C106" s="15"/>
      <c r="D106" s="15"/>
      <c r="E106" s="16"/>
      <c r="F106" s="17"/>
      <c r="G106" s="15"/>
      <c r="H106" s="15"/>
    </row>
    <row r="107" spans="1:12" x14ac:dyDescent="0.35">
      <c r="A107" s="18"/>
      <c r="B107" s="15"/>
      <c r="C107" s="15"/>
      <c r="D107" s="15"/>
      <c r="E107" s="16"/>
      <c r="F107" s="17"/>
      <c r="G107" s="15"/>
      <c r="H107" s="15"/>
    </row>
    <row r="108" spans="1:12" x14ac:dyDescent="0.35">
      <c r="A108" s="21" t="s">
        <v>165</v>
      </c>
      <c r="B108" s="22"/>
      <c r="C108" s="22"/>
      <c r="D108" s="22"/>
      <c r="E108" s="23"/>
      <c r="F108" s="24"/>
      <c r="G108" s="15"/>
      <c r="H108" s="15"/>
    </row>
    <row r="109" spans="1:12" x14ac:dyDescent="0.35">
      <c r="A109" s="18"/>
      <c r="B109" s="15"/>
      <c r="C109" s="15"/>
      <c r="D109" s="15"/>
      <c r="E109" s="16"/>
      <c r="F109" s="17"/>
      <c r="G109" s="15"/>
      <c r="H109" s="15"/>
    </row>
    <row r="110" spans="1:12" x14ac:dyDescent="0.35">
      <c r="A110" s="21" t="s">
        <v>166</v>
      </c>
      <c r="B110" s="25"/>
      <c r="C110" s="25"/>
      <c r="D110" s="25"/>
      <c r="E110" s="26"/>
      <c r="F110" s="27"/>
      <c r="G110" s="15"/>
      <c r="H110" s="15"/>
    </row>
    <row r="111" spans="1:12" x14ac:dyDescent="0.35">
      <c r="A111" s="18"/>
      <c r="B111" s="15"/>
      <c r="C111" s="15"/>
      <c r="D111" s="15"/>
      <c r="E111" s="16"/>
      <c r="F111" s="17"/>
      <c r="G111" s="15"/>
      <c r="H111" s="15"/>
    </row>
    <row r="112" spans="1:12" x14ac:dyDescent="0.35">
      <c r="A112" s="28" t="s">
        <v>204</v>
      </c>
      <c r="B112" s="15"/>
      <c r="C112" s="15"/>
      <c r="D112" s="15"/>
      <c r="E112" s="16"/>
      <c r="F112" s="17"/>
      <c r="G112" s="15"/>
      <c r="H112" s="15"/>
    </row>
    <row r="113" spans="1:12" x14ac:dyDescent="0.35">
      <c r="A113" s="21"/>
      <c r="B113" s="15"/>
      <c r="C113" s="15"/>
      <c r="D113" s="15"/>
      <c r="E113" s="16"/>
      <c r="F113" s="17"/>
      <c r="G113" s="15"/>
      <c r="H113" s="15"/>
    </row>
    <row r="114" spans="1:12" x14ac:dyDescent="0.35">
      <c r="A114" s="21" t="s">
        <v>167</v>
      </c>
      <c r="B114" s="25"/>
      <c r="C114" s="29"/>
      <c r="D114" s="25"/>
      <c r="E114" s="26"/>
      <c r="F114" s="30"/>
      <c r="G114" s="15"/>
      <c r="H114" s="15"/>
    </row>
    <row r="115" spans="1:12" x14ac:dyDescent="0.35">
      <c r="A115" s="21"/>
      <c r="B115" s="25"/>
      <c r="C115" s="29"/>
      <c r="D115" s="25"/>
      <c r="E115" s="26"/>
      <c r="F115" s="30"/>
      <c r="G115" s="15"/>
      <c r="H115" s="15"/>
    </row>
    <row r="116" spans="1:12" x14ac:dyDescent="0.35">
      <c r="A116" s="21" t="s">
        <v>168</v>
      </c>
      <c r="B116" s="25"/>
      <c r="C116" s="29"/>
      <c r="D116" s="25"/>
      <c r="E116" s="26"/>
      <c r="F116" s="30"/>
      <c r="G116" s="15"/>
      <c r="H116" s="15"/>
    </row>
    <row r="117" spans="1:12" x14ac:dyDescent="0.35">
      <c r="A117" s="21"/>
      <c r="B117" s="25"/>
      <c r="C117" s="29"/>
      <c r="D117" s="25"/>
      <c r="E117" s="26"/>
      <c r="F117" s="30"/>
      <c r="G117" s="15"/>
      <c r="H117" s="15"/>
    </row>
    <row r="118" spans="1:12" x14ac:dyDescent="0.35">
      <c r="A118" s="21" t="s">
        <v>169</v>
      </c>
      <c r="B118" s="28"/>
      <c r="C118" s="25"/>
      <c r="D118" s="31"/>
      <c r="E118" s="26"/>
      <c r="F118" s="30"/>
      <c r="G118" s="15"/>
      <c r="H118" s="15"/>
    </row>
    <row r="119" spans="1:12" x14ac:dyDescent="0.35">
      <c r="A119" s="21"/>
      <c r="B119" s="28"/>
      <c r="C119" s="25"/>
      <c r="D119" s="31"/>
      <c r="E119" s="26"/>
      <c r="F119" s="30"/>
      <c r="G119" s="15"/>
      <c r="H119" s="15"/>
    </row>
    <row r="120" spans="1:12" x14ac:dyDescent="0.35">
      <c r="A120" s="21" t="s">
        <v>218</v>
      </c>
      <c r="B120" s="28"/>
      <c r="C120" s="25"/>
      <c r="D120" s="31"/>
      <c r="E120" s="26"/>
      <c r="F120" s="30"/>
      <c r="G120" s="15"/>
      <c r="H120" s="15"/>
    </row>
    <row r="121" spans="1:12" x14ac:dyDescent="0.35">
      <c r="A121" s="18"/>
      <c r="B121" s="15"/>
      <c r="C121" s="15"/>
      <c r="D121" s="15"/>
      <c r="E121" s="16"/>
      <c r="F121" s="32"/>
      <c r="G121" s="15"/>
      <c r="H121" s="15"/>
    </row>
    <row r="122" spans="1:12" x14ac:dyDescent="0.35">
      <c r="A122" s="21" t="s">
        <v>170</v>
      </c>
      <c r="B122" s="33"/>
      <c r="C122" s="33"/>
      <c r="D122" s="33"/>
      <c r="E122" s="33"/>
      <c r="F122" s="30"/>
      <c r="G122" s="15"/>
      <c r="H122" s="15"/>
    </row>
    <row r="123" spans="1:12" x14ac:dyDescent="0.35">
      <c r="A123" s="24"/>
      <c r="B123" s="33"/>
      <c r="C123" s="33"/>
      <c r="D123" s="33"/>
      <c r="E123" s="33"/>
      <c r="F123" s="30"/>
      <c r="G123" s="15"/>
      <c r="H123" s="15"/>
    </row>
    <row r="124" spans="1:12" x14ac:dyDescent="0.35">
      <c r="A124" s="34" t="s">
        <v>171</v>
      </c>
      <c r="B124" s="33"/>
      <c r="C124" s="33"/>
      <c r="D124" s="33"/>
      <c r="E124" s="33"/>
      <c r="F124" s="30"/>
      <c r="G124" s="15"/>
      <c r="H124" s="15"/>
    </row>
    <row r="125" spans="1:12" x14ac:dyDescent="0.35">
      <c r="A125" s="24"/>
      <c r="B125" s="33"/>
      <c r="C125" s="33"/>
      <c r="D125" s="33"/>
      <c r="E125" s="33"/>
      <c r="F125" s="17"/>
      <c r="G125" s="15"/>
      <c r="H125" s="15"/>
    </row>
    <row r="126" spans="1:12" x14ac:dyDescent="0.35">
      <c r="A126" s="34" t="s">
        <v>172</v>
      </c>
      <c r="B126" s="33"/>
      <c r="C126" s="33"/>
      <c r="D126" s="33"/>
      <c r="E126" s="33"/>
      <c r="F126" s="17"/>
      <c r="G126" s="15"/>
      <c r="H126" s="15"/>
    </row>
    <row r="127" spans="1:12" x14ac:dyDescent="0.35">
      <c r="A127" s="18"/>
      <c r="B127" s="15"/>
      <c r="C127" s="15"/>
      <c r="D127" s="15"/>
      <c r="E127" s="16"/>
      <c r="F127" s="32"/>
      <c r="G127" s="15"/>
      <c r="H127" s="15"/>
    </row>
    <row r="128" spans="1:12" x14ac:dyDescent="0.35">
      <c r="A128" s="63" t="s">
        <v>138</v>
      </c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</row>
    <row r="129" spans="1:12" x14ac:dyDescent="0.35">
      <c r="A129" s="62" t="s">
        <v>139</v>
      </c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</row>
    <row r="130" spans="1:12" x14ac:dyDescent="0.35">
      <c r="A130" s="62" t="s">
        <v>140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</row>
    <row r="131" spans="1:12" x14ac:dyDescent="0.35">
      <c r="A131" s="4" t="s">
        <v>141</v>
      </c>
      <c r="B131" s="2" t="s">
        <v>152</v>
      </c>
      <c r="C131" s="2" t="s">
        <v>142</v>
      </c>
    </row>
    <row r="132" spans="1:12" x14ac:dyDescent="0.35">
      <c r="A132" s="48" t="s">
        <v>179</v>
      </c>
      <c r="B132" s="50">
        <v>10.173</v>
      </c>
      <c r="C132" s="50">
        <v>10.0854</v>
      </c>
    </row>
    <row r="133" spans="1:12" x14ac:dyDescent="0.35">
      <c r="A133" s="48" t="s">
        <v>180</v>
      </c>
      <c r="B133" s="50">
        <v>10.0441</v>
      </c>
      <c r="C133" s="50">
        <v>9.9679000000000002</v>
      </c>
    </row>
    <row r="134" spans="1:12" x14ac:dyDescent="0.35">
      <c r="A134" s="71"/>
      <c r="B134" s="72"/>
      <c r="C134" s="73"/>
    </row>
    <row r="135" spans="1:12" x14ac:dyDescent="0.35">
      <c r="A135" s="68" t="s">
        <v>173</v>
      </c>
      <c r="B135" s="69"/>
      <c r="C135" s="70"/>
    </row>
    <row r="136" spans="1:12" x14ac:dyDescent="0.35">
      <c r="A136" s="68" t="s">
        <v>174</v>
      </c>
      <c r="B136" s="69"/>
      <c r="C136" s="70"/>
    </row>
    <row r="137" spans="1:12" x14ac:dyDescent="0.35">
      <c r="A137" s="68" t="s">
        <v>143</v>
      </c>
      <c r="B137" s="69"/>
      <c r="C137" s="70"/>
    </row>
    <row r="138" spans="1:12" x14ac:dyDescent="0.35">
      <c r="A138" s="68" t="s">
        <v>203</v>
      </c>
      <c r="B138" s="69"/>
      <c r="C138" s="70"/>
    </row>
    <row r="139" spans="1:12" x14ac:dyDescent="0.35">
      <c r="A139" s="68" t="s">
        <v>144</v>
      </c>
      <c r="B139" s="69"/>
      <c r="C139" s="70"/>
    </row>
    <row r="140" spans="1:12" x14ac:dyDescent="0.35">
      <c r="A140" s="68" t="s">
        <v>175</v>
      </c>
      <c r="B140" s="69"/>
      <c r="C140" s="70"/>
    </row>
    <row r="141" spans="1:12" x14ac:dyDescent="0.35">
      <c r="A141" s="68" t="s">
        <v>153</v>
      </c>
      <c r="B141" s="69"/>
      <c r="C141" s="70"/>
    </row>
    <row r="142" spans="1:12" x14ac:dyDescent="0.35">
      <c r="A142" s="68" t="s">
        <v>145</v>
      </c>
      <c r="B142" s="69"/>
      <c r="C142" s="70"/>
    </row>
    <row r="143" spans="1:12" x14ac:dyDescent="0.35">
      <c r="A143" s="74" t="s">
        <v>154</v>
      </c>
      <c r="B143" s="75"/>
      <c r="C143" s="76"/>
    </row>
    <row r="144" spans="1:12" x14ac:dyDescent="0.35">
      <c r="A144" s="80" t="s">
        <v>155</v>
      </c>
      <c r="B144" s="80"/>
      <c r="C144" s="80"/>
    </row>
    <row r="145" spans="1:4" x14ac:dyDescent="0.35">
      <c r="A145" s="77" t="s">
        <v>156</v>
      </c>
      <c r="B145" s="78"/>
      <c r="C145" s="79"/>
    </row>
    <row r="146" spans="1:4" x14ac:dyDescent="0.35">
      <c r="A146" s="1"/>
    </row>
    <row r="147" spans="1:4" x14ac:dyDescent="0.35">
      <c r="A147" s="35" t="s">
        <v>157</v>
      </c>
      <c r="B147" s="35"/>
      <c r="C147" s="35"/>
      <c r="D147" s="35"/>
    </row>
    <row r="148" spans="1:4" x14ac:dyDescent="0.35">
      <c r="A148" s="52" t="s">
        <v>158</v>
      </c>
      <c r="B148" s="52"/>
      <c r="C148" s="52"/>
      <c r="D148" s="52"/>
    </row>
    <row r="149" spans="1:4" x14ac:dyDescent="0.35">
      <c r="A149" s="52" t="s">
        <v>159</v>
      </c>
      <c r="B149" s="52"/>
      <c r="C149" s="52"/>
      <c r="D149" s="52"/>
    </row>
    <row r="150" spans="1:4" x14ac:dyDescent="0.35">
      <c r="A150" s="52" t="s">
        <v>160</v>
      </c>
      <c r="B150" s="52"/>
      <c r="C150" s="52"/>
      <c r="D150" s="52"/>
    </row>
    <row r="152" spans="1:4" ht="28.75" customHeight="1" x14ac:dyDescent="0.35">
      <c r="A152" s="36" t="s">
        <v>161</v>
      </c>
      <c r="B152" s="53" t="s">
        <v>162</v>
      </c>
      <c r="C152" s="54"/>
      <c r="D152" s="37"/>
    </row>
    <row r="163" spans="1:3" x14ac:dyDescent="0.35">
      <c r="A163" s="38" t="s">
        <v>213</v>
      </c>
      <c r="B163" s="55" t="s">
        <v>163</v>
      </c>
      <c r="C163" s="55"/>
    </row>
  </sheetData>
  <mergeCells count="32">
    <mergeCell ref="A143:C143"/>
    <mergeCell ref="A144:C144"/>
    <mergeCell ref="A145:C145"/>
    <mergeCell ref="A135:C135"/>
    <mergeCell ref="A137:C137"/>
    <mergeCell ref="A138:C138"/>
    <mergeCell ref="A139:C139"/>
    <mergeCell ref="A140:C140"/>
    <mergeCell ref="A129:L129"/>
    <mergeCell ref="A130:L130"/>
    <mergeCell ref="A136:C136"/>
    <mergeCell ref="A141:C141"/>
    <mergeCell ref="A142:C142"/>
    <mergeCell ref="A134:C134"/>
    <mergeCell ref="A1:H1"/>
    <mergeCell ref="A2:H2"/>
    <mergeCell ref="A3:H3"/>
    <mergeCell ref="A102:L102"/>
    <mergeCell ref="A128:L128"/>
    <mergeCell ref="F68:F69"/>
    <mergeCell ref="G68:G69"/>
    <mergeCell ref="H68:H69"/>
    <mergeCell ref="A68:A69"/>
    <mergeCell ref="B68:B69"/>
    <mergeCell ref="C68:C69"/>
    <mergeCell ref="D68:D69"/>
    <mergeCell ref="E68:E69"/>
    <mergeCell ref="A148:D148"/>
    <mergeCell ref="A149:D149"/>
    <mergeCell ref="A150:D150"/>
    <mergeCell ref="B152:C152"/>
    <mergeCell ref="B163:C163"/>
  </mergeCells>
  <hyperlinks>
    <hyperlink ref="A144" r:id="rId1" display="https://unifimf.com/wp-content/uploads/fund-sheets/Scheme_Performance_Flexicap_Feb.xlsx" xr:uid="{8949A9E2-6D38-49B8-9AC2-667ED8BB7ED6}"/>
    <hyperlink ref="A144:C144" r:id="rId2" display="12) For more details on Scheme Performance, please refer to the following link : Click here" xr:uid="{D3097860-677D-4F50-BD6F-2EBA0A624BE1}"/>
    <hyperlink ref="A145" r:id="rId3" display="Click here" xr:uid="{A3F4AD03-8E40-420B-87F0-D52B4C69E9B0}"/>
    <hyperlink ref="A145:C145" r:id="rId4" display="10) For disclosure of category wise portfolio overlap levels in Unifi Mutual Fund Schemes, please refer to the following link : Click here" xr:uid="{B0179B19-BDD7-4673-B568-0DBEF0D8D7B6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4.5" x14ac:dyDescent="0.35"/>
  <cols>
    <col min="1" max="1" width="27.6328125" customWidth="1"/>
    <col min="2" max="2" width="26.54296875" customWidth="1"/>
    <col min="3" max="18" width="9.1796875" customWidth="1"/>
  </cols>
  <sheetData>
    <row r="1" spans="1:2" x14ac:dyDescent="0.35">
      <c r="A1" s="1"/>
    </row>
    <row r="2" spans="1:2" x14ac:dyDescent="0.35">
      <c r="A2" s="1"/>
    </row>
    <row r="3" spans="1:2" x14ac:dyDescent="0.35">
      <c r="A3" s="1"/>
    </row>
    <row r="4" spans="1:2" x14ac:dyDescent="0.35">
      <c r="A4" s="4" t="s">
        <v>1</v>
      </c>
      <c r="B4" s="4" t="s">
        <v>146</v>
      </c>
    </row>
    <row r="5" spans="1:2" x14ac:dyDescent="0.35">
      <c r="A5" s="1"/>
    </row>
    <row r="6" spans="1:2" x14ac:dyDescent="0.3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Unifi Flexi Cap Fund</vt:lpstr>
      <vt:lpstr>Missing ISIN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2026-06-01T13:44:23Z</dcterms:created>
  <dcterms:modified xsi:type="dcterms:W3CDTF">2026-06-09T05:16:34Z</dcterms:modified>
</cp:coreProperties>
</file>