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eporting\Monthly Portfolio Report\11. Feb 2026\Flexi Cap\"/>
    </mc:Choice>
  </mc:AlternateContent>
  <xr:revisionPtr revIDLastSave="0" documentId="13_ncr:1_{3E17D616-4F18-4DDB-982E-DA9CEAB41EC2}" xr6:coauthVersionLast="47" xr6:coauthVersionMax="47" xr10:uidLastSave="{00000000-0000-0000-0000-000000000000}"/>
  <bookViews>
    <workbookView xWindow="-110" yWindow="-110" windowWidth="19420" windowHeight="11500" xr2:uid="{126CA8C8-0CE3-40C2-A6DF-84781D8952B7}"/>
  </bookViews>
  <sheets>
    <sheet name="Sheet1" sheetId="1" r:id="rId1"/>
  </sheets>
  <definedNames>
    <definedName name="_xlnm._FilterDatabase" localSheetId="0" hidden="1">Sheet1!$N$7:$N$62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1" l="1"/>
  <c r="E99" i="1"/>
  <c r="E98" i="1"/>
  <c r="E97" i="1"/>
  <c r="E96" i="1"/>
  <c r="E93" i="1" l="1"/>
  <c r="F93" i="1" l="1"/>
</calcChain>
</file>

<file path=xl/sharedStrings.xml><?xml version="1.0" encoding="utf-8"?>
<sst xmlns="http://schemas.openxmlformats.org/spreadsheetml/2006/main" count="291" uniqueCount="240">
  <si>
    <t>Unifi Flexi Cap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</si>
  <si>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</si>
  <si>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</si>
  <si>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</si>
  <si>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</si>
  <si>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</si>
  <si>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</si>
  <si>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</si>
  <si>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</si>
  <si>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</si>
  <si>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Bharti Airtel Limited</t>
  </si>
  <si>
    <t>INE397D01024</t>
  </si>
  <si>
    <t>Telecom - Services</t>
  </si>
  <si>
    <t xml:space="preserve"> ICICI Bank Limited</t>
  </si>
  <si>
    <t>INE090A01021</t>
  </si>
  <si>
    <t>Banks</t>
  </si>
  <si>
    <t xml:space="preserve"> Kotak Mahindra Bank Limited</t>
  </si>
  <si>
    <t>INE237A01036</t>
  </si>
  <si>
    <t xml:space="preserve"> HDFC Bank Limited</t>
  </si>
  <si>
    <t>INE040A01034</t>
  </si>
  <si>
    <t xml:space="preserve"> Reliance Industries Limited</t>
  </si>
  <si>
    <t>INE002A01018</t>
  </si>
  <si>
    <t>Petroleum Products</t>
  </si>
  <si>
    <t xml:space="preserve"> Larsen &amp; Toubro Limited</t>
  </si>
  <si>
    <t>INE018A01030</t>
  </si>
  <si>
    <t>Construction</t>
  </si>
  <si>
    <t xml:space="preserve"> State Bank of India</t>
  </si>
  <si>
    <t>INE062A01020</t>
  </si>
  <si>
    <t xml:space="preserve"> Tata Steel Limited</t>
  </si>
  <si>
    <t>INE081A01020</t>
  </si>
  <si>
    <t>Ferrous Metals</t>
  </si>
  <si>
    <t xml:space="preserve"> Axis Bank Limited</t>
  </si>
  <si>
    <t>INE238A01034</t>
  </si>
  <si>
    <t xml:space="preserve"> Apollo Hospitals Enterprise Limited</t>
  </si>
  <si>
    <t>INE437A01024</t>
  </si>
  <si>
    <t>Healthcare Services</t>
  </si>
  <si>
    <t xml:space="preserve"> Mahindra &amp; Mahindra Limited</t>
  </si>
  <si>
    <t>INE101A01026</t>
  </si>
  <si>
    <t>Automobiles</t>
  </si>
  <si>
    <t xml:space="preserve"> ITC Limited</t>
  </si>
  <si>
    <t>INE154A01025</t>
  </si>
  <si>
    <t>Diversified FMCG</t>
  </si>
  <si>
    <t xml:space="preserve"> The South Indian Bank Limited</t>
  </si>
  <si>
    <t>INE683A01023</t>
  </si>
  <si>
    <t xml:space="preserve"> NTPC Limited</t>
  </si>
  <si>
    <t>INE733E01010</t>
  </si>
  <si>
    <t>Power</t>
  </si>
  <si>
    <t xml:space="preserve"> CARE Ratings Limited</t>
  </si>
  <si>
    <t>INE752H01013</t>
  </si>
  <si>
    <t>Capital Markets</t>
  </si>
  <si>
    <t xml:space="preserve"> Pearl Global Industries Limited</t>
  </si>
  <si>
    <t>INE940H01022</t>
  </si>
  <si>
    <t>Textiles &amp; Apparels</t>
  </si>
  <si>
    <t xml:space="preserve"> Coromandel International Limited</t>
  </si>
  <si>
    <t>INE169A01031</t>
  </si>
  <si>
    <t>Fertilizers &amp; Agrochemicals</t>
  </si>
  <si>
    <t xml:space="preserve"> Bajaj Auto Limited</t>
  </si>
  <si>
    <t>INE917I01010</t>
  </si>
  <si>
    <t xml:space="preserve"> Aarti Pharmalabs Limited</t>
  </si>
  <si>
    <t>INE0LRU01027</t>
  </si>
  <si>
    <t>Pharmaceuticals &amp; Biotechnology</t>
  </si>
  <si>
    <t xml:space="preserve"> Torrent Pharmaceuticals Limited</t>
  </si>
  <si>
    <t>INE685A01028</t>
  </si>
  <si>
    <t>INE298J01013</t>
  </si>
  <si>
    <t xml:space="preserve"> InterGlobe Aviation Limited</t>
  </si>
  <si>
    <t>INE646L01027</t>
  </si>
  <si>
    <t>Transport Services</t>
  </si>
  <si>
    <t xml:space="preserve"> Narayana Hrudayalaya Limited</t>
  </si>
  <si>
    <t>INE410P01011</t>
  </si>
  <si>
    <t xml:space="preserve"> CMS Info Systems Limited</t>
  </si>
  <si>
    <t>INE925R01014</t>
  </si>
  <si>
    <t>Commercial Services &amp; Supplies</t>
  </si>
  <si>
    <t xml:space="preserve"> TVS Motor Company Limited</t>
  </si>
  <si>
    <t>INE494B01023</t>
  </si>
  <si>
    <t xml:space="preserve"> Bank of Baroda</t>
  </si>
  <si>
    <t>INE028A01039</t>
  </si>
  <si>
    <t xml:space="preserve"> Vedanta Limited</t>
  </si>
  <si>
    <t>INE205A01025</t>
  </si>
  <si>
    <t>Diversified Metals</t>
  </si>
  <si>
    <t xml:space="preserve"> HDFC Asset Management Company Limited</t>
  </si>
  <si>
    <t>INE127D01025</t>
  </si>
  <si>
    <t>INE810G01011</t>
  </si>
  <si>
    <t>Industrial Products</t>
  </si>
  <si>
    <t xml:space="preserve"> Hindustan Aeronautics Limited</t>
  </si>
  <si>
    <t>INE066F01020</t>
  </si>
  <si>
    <t>Aerospace &amp; Defense</t>
  </si>
  <si>
    <t xml:space="preserve"> Aadhar Housing Finance Limited</t>
  </si>
  <si>
    <t>INE883F01010</t>
  </si>
  <si>
    <t>Finance</t>
  </si>
  <si>
    <t xml:space="preserve"> Aditya Birla Sun Life Mutual Fund</t>
  </si>
  <si>
    <t>INE404A01024</t>
  </si>
  <si>
    <t xml:space="preserve"> Marksans Pharma Limited</t>
  </si>
  <si>
    <t>INE750C01026</t>
  </si>
  <si>
    <t xml:space="preserve"> HCL Technologies Limited</t>
  </si>
  <si>
    <t>INE860A01027</t>
  </si>
  <si>
    <t>IT - Software</t>
  </si>
  <si>
    <t xml:space="preserve"> Tech Mahindra Limited</t>
  </si>
  <si>
    <t>INE669C01036</t>
  </si>
  <si>
    <t xml:space="preserve"> Aditya Birla Real Estate Limited</t>
  </si>
  <si>
    <t>INE055A01016</t>
  </si>
  <si>
    <t>Paper, Forest &amp; Jute Products</t>
  </si>
  <si>
    <t xml:space="preserve"> MphasiS Limited</t>
  </si>
  <si>
    <t>INE356A01018</t>
  </si>
  <si>
    <t xml:space="preserve"> TD Power Systems Limited</t>
  </si>
  <si>
    <t>INE419M01027</t>
  </si>
  <si>
    <t>Electrical Equipment</t>
  </si>
  <si>
    <t>INE0W2G01015</t>
  </si>
  <si>
    <t>IT - Services</t>
  </si>
  <si>
    <t xml:space="preserve"> Oracle Financial Services Software</t>
  </si>
  <si>
    <t>INE881D01027</t>
  </si>
  <si>
    <t xml:space="preserve"> Medplus Health Services Limited</t>
  </si>
  <si>
    <t>INE804L01022</t>
  </si>
  <si>
    <t>Retailing</t>
  </si>
  <si>
    <t xml:space="preserve"> Bayer Cropscience Limited</t>
  </si>
  <si>
    <t>INE462A01022</t>
  </si>
  <si>
    <t>INE974X01010</t>
  </si>
  <si>
    <t>Auto Components</t>
  </si>
  <si>
    <t xml:space="preserve"> Power Grid Corporation of India Limited</t>
  </si>
  <si>
    <t>INE752E01010</t>
  </si>
  <si>
    <t xml:space="preserve"> Redington Limited</t>
  </si>
  <si>
    <t>INE891D01026</t>
  </si>
  <si>
    <t xml:space="preserve"> PNB Housing Finance Limited</t>
  </si>
  <si>
    <t>INE572E01012</t>
  </si>
  <si>
    <t xml:space="preserve"> Infosys Limited</t>
  </si>
  <si>
    <t>INE009A01021</t>
  </si>
  <si>
    <t>INE214T01019</t>
  </si>
  <si>
    <t xml:space="preserve"> Can Fin Homes Limited</t>
  </si>
  <si>
    <t>INE477A01020</t>
  </si>
  <si>
    <t xml:space="preserve"> RPG Life Sciences Limited</t>
  </si>
  <si>
    <t>INE105J01010</t>
  </si>
  <si>
    <t xml:space="preserve"> Cummins India Limited</t>
  </si>
  <si>
    <t>INE298A01020</t>
  </si>
  <si>
    <t>INE159A01016</t>
  </si>
  <si>
    <t xml:space="preserve"> NCC Limited</t>
  </si>
  <si>
    <t>INE868B01028</t>
  </si>
  <si>
    <t>INE177F01017</t>
  </si>
  <si>
    <t>INE132201018</t>
  </si>
  <si>
    <t>Subtotal</t>
  </si>
  <si>
    <t>(b) UNLISTED</t>
  </si>
  <si>
    <t>NIL</t>
  </si>
  <si>
    <t>INE494B04019</t>
  </si>
  <si>
    <t>AUTOMOBILES</t>
  </si>
  <si>
    <t>Total</t>
  </si>
  <si>
    <t>Debt Instruments</t>
  </si>
  <si>
    <t>(b) Privately placed / Unlisted</t>
  </si>
  <si>
    <t>(c) Securitised Debt</t>
  </si>
  <si>
    <t>Money Market Instruments</t>
  </si>
  <si>
    <t>Tri Party Repo (TREPs)</t>
  </si>
  <si>
    <t>TREPS</t>
  </si>
  <si>
    <t>INTRPS020326</t>
  </si>
  <si>
    <t>Others</t>
  </si>
  <si>
    <t>Net Current Assets</t>
  </si>
  <si>
    <t>GRAND TOTAL</t>
  </si>
  <si>
    <t>^^  As per AMFI Best Practices Circular dated 24 March 2021, Yield to Call (YTC) to be disclosed for Perpetual Bonds issued by Banks.</t>
  </si>
  <si>
    <t>Notes :</t>
  </si>
  <si>
    <t>1) The provision made for investment in security below investment grade as on February 28, 2026 is Rs Nil and its percentage to Net Asset Value is Nil.</t>
  </si>
  <si>
    <t>2) Net Assets Value per unit (in Rs) are as follows :</t>
  </si>
  <si>
    <t>Plan/Option</t>
  </si>
  <si>
    <t>Direct Plan - Growth Option</t>
  </si>
  <si>
    <t>Regular Plan - Growth Option</t>
  </si>
  <si>
    <t>3) Details of Dividend declared per unit (in Rs.) during the Month of February 2026</t>
  </si>
  <si>
    <t>Individuals/HUF</t>
  </si>
  <si>
    <t>Other than Individual/HUF</t>
  </si>
  <si>
    <t>4) No Bonus declared during the month February 2026</t>
  </si>
  <si>
    <t>5) Total outstanding exposure in derivative instruments as on February 28, 2026 : Nil.</t>
  </si>
  <si>
    <t xml:space="preserve">6) Total investments in Foreign Securities / Overseas ETFs as at February 28, 2026 and its percentage to NAV : Nil. </t>
  </si>
  <si>
    <t>7) Details of repo transactions in corporate debt securities for the month of February 2026: Nil.</t>
  </si>
  <si>
    <t>10) Reverse Repo market value is considered as book cost plus accrued Interest.</t>
  </si>
  <si>
    <t>11) Whether any security is in default beyond its maturity date: NIL</t>
  </si>
  <si>
    <t>Underlying</t>
  </si>
  <si>
    <t>Number of Contracts</t>
  </si>
  <si>
    <t>Option price when sold</t>
  </si>
  <si>
    <t>Current option price</t>
  </si>
  <si>
    <t>Margin maintained in Rs. Lakhs</t>
  </si>
  <si>
    <t>State Bank of India</t>
  </si>
  <si>
    <t>Larsen &amp; Toubro Limited</t>
  </si>
  <si>
    <t>NTPC Limited</t>
  </si>
  <si>
    <t>Tata Steel Limited</t>
  </si>
  <si>
    <t>Apollo Hospitals Enterprise Ltd</t>
  </si>
  <si>
    <t>Reliance Industries Limited</t>
  </si>
  <si>
    <t xml:space="preserve">Call options written as percentage of total market value of equity shares held in 
the scheme </t>
  </si>
  <si>
    <t>9) Average maturity of the portfolio : Nil</t>
  </si>
  <si>
    <t>Scheme name</t>
  </si>
  <si>
    <t>Total number of contracts entered into *</t>
  </si>
  <si>
    <t>Gross notional value of contracts entered into</t>
  </si>
  <si>
    <t>SBIN BANK</t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</si>
  <si>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</si>
  <si>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</si>
  <si>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</si>
  <si>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</si>
  <si>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Investors understand that their principal will be very high risk.</t>
  </si>
  <si>
    <t xml:space="preserve">                                         Scheme’s Riskometer
 </t>
  </si>
  <si>
    <t xml:space="preserve">               Tier 1 Benchmark’s Riskometer-(Nifty 500 TRI)
</t>
  </si>
  <si>
    <t xml:space="preserve">                       Benchmark Risk-o-meter is very high</t>
  </si>
  <si>
    <t>Unifi Mutual Fund</t>
  </si>
  <si>
    <t xml:space="preserve">Unifi Flexi Cap Fund
(An open-ended dynamic equity scheme investing across large cap, mid cap, small cap stocks) </t>
  </si>
  <si>
    <t>Monthly Portfolio Statement as on 28-February-2026</t>
  </si>
  <si>
    <t>(a) Non convertible Preference Shares/Bonds</t>
  </si>
  <si>
    <t>Listed / awaiting listing on Stock Exchange</t>
  </si>
  <si>
    <t xml:space="preserve"> Nippon Life India Asset Management Limited</t>
  </si>
  <si>
    <t xml:space="preserve"> Shyam Metalics and Energy Limited</t>
  </si>
  <si>
    <t xml:space="preserve"> Sagility India Limited</t>
  </si>
  <si>
    <t xml:space="preserve"> Tube Investments Of India Limited</t>
  </si>
  <si>
    <t xml:space="preserve"> LTIMindtree Limited</t>
  </si>
  <si>
    <t xml:space="preserve"> GlaxoSmithKline Pharmaceuticals Limited</t>
  </si>
  <si>
    <t xml:space="preserve"> Kovai Medical Center &amp; Hospital Limited</t>
  </si>
  <si>
    <t xml:space="preserve"> Accord Transformer &amp; Switchgear Limited</t>
  </si>
  <si>
    <t>6.00% TVS Motor Company Ltd (Preference Shares) 01-Sep-2026**</t>
  </si>
  <si>
    <t>Margin Money for derivative/TREPS</t>
  </si>
  <si>
    <t>8) Details of transactions of (Credit Default Swap) for the month ended February 28, 2026 : Nil.</t>
  </si>
  <si>
    <t>how</t>
  </si>
  <si>
    <t>DERIVATIVE</t>
  </si>
  <si>
    <t>$</t>
  </si>
  <si>
    <t xml:space="preserve">  ** Thinly Traded/Illiquid Securities</t>
  </si>
  <si>
    <t>Disclosure for investments in derivative instruments</t>
  </si>
  <si>
    <t xml:space="preserve">Writing of call options under covered call strategy as on 28th February 2026: </t>
  </si>
  <si>
    <t>As on February 27, 2026</t>
  </si>
  <si>
    <t>As on January 30, 2026</t>
  </si>
  <si>
    <t>CALL NTPC Limited 30/03/2026 385</t>
  </si>
  <si>
    <t>CALL Tata Steel Limited 30/03/2026 220</t>
  </si>
  <si>
    <t>CALL SBIN BANK 30/03/2026 1250</t>
  </si>
  <si>
    <t>CALL Apollo Hospitals Enterprise Ltd 30/03/2026 8000</t>
  </si>
  <si>
    <t>CALL Larsen &amp; Toubro Limited 30/03/2026 4500</t>
  </si>
  <si>
    <t>For the period 01st February 2026 to 28th February 2026, following hedging transactions through futures have been squared off/expired : Nil</t>
  </si>
  <si>
    <t>Hedging Positions through Futures as on 28th February 2026 : Nil</t>
  </si>
  <si>
    <t>For the period 1st February 2026 to 28th February 2026, non hedging transactions through futures have been squared off/expired :Nil</t>
  </si>
  <si>
    <t>Hedging Position through Put Option as on  28th February 2026: Nil</t>
  </si>
  <si>
    <t>Other than Hedging Positions through Options as on  28th February 2026: Nil</t>
  </si>
  <si>
    <t>For the period 01st February 2026 to 28th February 2026, following non-hedging transactions through options have been squared off/expired : Nil</t>
  </si>
  <si>
    <t>Hedging Positions through Swaps as on 28th February 2026: Nil</t>
  </si>
  <si>
    <t>Hedging Positions through Interest Rate Futures as on 28th February 2026: Nil</t>
  </si>
  <si>
    <t>% of Underlying shares</t>
  </si>
  <si>
    <t>For the period 01st February, 2026 to 28th February, 2026 the following call options written have been exercised/expired :</t>
  </si>
  <si>
    <t>Net profit/loss value on all contracts</t>
  </si>
  <si>
    <t>*Includes bought &amp; sold/expired contracts</t>
  </si>
  <si>
    <r>
      <rPr>
        <sz val="11"/>
        <rFont val="Calibri"/>
        <family val="2"/>
        <scheme val="minor"/>
      </rPr>
      <t xml:space="preserve">12) For more details on Scheme Performance,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</si>
  <si>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r>
      <rPr>
        <sz val="11"/>
        <rFont val="Calibri"/>
        <family val="2"/>
        <scheme val="minor"/>
      </rPr>
      <t xml:space="preserve">13) For disclosure of category wise portfolio overlap levels in Unifi Mutual Fund Schemes,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</si>
  <si>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>Share Application Money Pending Allotment</t>
  </si>
  <si>
    <t>Other than Hedging Positions through Futures as on 28th February : Nil</t>
  </si>
  <si>
    <t>For the period 01st February 2026 to 28th February 2026, hedging transactions through options which have been squared off/expired: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</si>
</sst>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00"/>
    <numFmt numFmtId="165" formatCode="_(* #,##0.00_);_(* \(#,##0.00\);_(* &quot;-&quot;??_);_(@_)"/>
    <numFmt numFmtId="166" formatCode="_(* #,##0_);_(* \(#,##0\);_(* &quot;-&quot;??_);_(@_)"/>
    <numFmt numFmtId="167" formatCode="_(* #,##0.00_);_(* \(#,##0.00\);_(* &quot;-&quot;_);_(* @_)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8"/>
      <color indexed="8"/>
      <name val="Arial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b/>
      <sz val="1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0"/>
    <xf numFmtId="0" fontId="12" fillId="0" borderId="0"/>
    <xf numFmtId="0" fontId="5" fillId="0" borderId="0"/>
    <xf numFmtId="0" fontId="12" fillId="0" borderId="0"/>
    <xf numFmtId="165" fontId="5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left" inden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4" fontId="2" fillId="0" borderId="6" xfId="0" applyNumberFormat="1" applyFont="1" applyBorder="1" applyAlignment="1">
      <alignment horizontal="right" vertical="top" wrapText="1"/>
    </xf>
    <xf numFmtId="10" fontId="2" fillId="0" borderId="6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10" fontId="4" fillId="0" borderId="6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2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0" fontId="2" fillId="0" borderId="6" xfId="0" applyFont="1" applyBorder="1" applyAlignment="1">
      <alignment horizontal="center" vertical="top" wrapText="1"/>
    </xf>
    <xf numFmtId="164" fontId="3" fillId="0" borderId="6" xfId="0" applyNumberFormat="1" applyFont="1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0" fontId="0" fillId="0" borderId="7" xfId="1" applyNumberFormat="1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6" fillId="0" borderId="7" xfId="0" applyFont="1" applyBorder="1"/>
    <xf numFmtId="4" fontId="4" fillId="0" borderId="7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0" fillId="0" borderId="0" xfId="1" applyNumberFormat="1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/>
    <xf numFmtId="4" fontId="0" fillId="0" borderId="7" xfId="0" applyNumberFormat="1" applyBorder="1"/>
    <xf numFmtId="0" fontId="3" fillId="0" borderId="0" xfId="0" applyFont="1"/>
    <xf numFmtId="0" fontId="9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9" fillId="0" borderId="0" xfId="0" applyFont="1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9" fontId="2" fillId="0" borderId="6" xfId="1" applyFont="1" applyBorder="1" applyAlignment="1">
      <alignment horizontal="right" vertical="top" wrapText="1"/>
    </xf>
    <xf numFmtId="0" fontId="2" fillId="0" borderId="0" xfId="0" applyFont="1"/>
    <xf numFmtId="10" fontId="0" fillId="0" borderId="0" xfId="0" applyNumberFormat="1"/>
    <xf numFmtId="0" fontId="0" fillId="0" borderId="6" xfId="0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10" fontId="0" fillId="0" borderId="6" xfId="1" applyNumberFormat="1" applyFont="1" applyBorder="1" applyAlignment="1">
      <alignment horizontal="right" vertical="top" wrapText="1"/>
    </xf>
    <xf numFmtId="43" fontId="0" fillId="0" borderId="6" xfId="2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4" fontId="0" fillId="0" borderId="0" xfId="0" applyNumberFormat="1"/>
    <xf numFmtId="10" fontId="0" fillId="0" borderId="0" xfId="1" applyNumberFormat="1" applyFont="1" applyFill="1" applyBorder="1"/>
    <xf numFmtId="0" fontId="2" fillId="0" borderId="4" xfId="0" applyFont="1" applyBorder="1" applyAlignment="1">
      <alignment horizontal="left" vertical="top" wrapText="1"/>
    </xf>
    <xf numFmtId="9" fontId="2" fillId="0" borderId="0" xfId="1" applyFont="1" applyBorder="1" applyAlignment="1">
      <alignment horizontal="right" vertical="top" wrapText="1"/>
    </xf>
    <xf numFmtId="0" fontId="11" fillId="0" borderId="0" xfId="3" applyFont="1" applyAlignment="1">
      <alignment vertical="center"/>
    </xf>
    <xf numFmtId="0" fontId="11" fillId="0" borderId="0" xfId="4" applyFont="1" applyAlignment="1">
      <alignment vertical="top"/>
    </xf>
    <xf numFmtId="0" fontId="11" fillId="0" borderId="0" xfId="5" applyFont="1"/>
    <xf numFmtId="0" fontId="13" fillId="0" borderId="0" xfId="5" applyFont="1"/>
    <xf numFmtId="0" fontId="13" fillId="0" borderId="0" xfId="6" applyFont="1"/>
    <xf numFmtId="0" fontId="13" fillId="0" borderId="0" xfId="0" applyFont="1"/>
    <xf numFmtId="0" fontId="14" fillId="0" borderId="0" xfId="5" applyFont="1"/>
    <xf numFmtId="0" fontId="14" fillId="0" borderId="0" xfId="6" applyFont="1"/>
    <xf numFmtId="4" fontId="14" fillId="0" borderId="0" xfId="6" applyNumberFormat="1" applyFont="1"/>
    <xf numFmtId="0" fontId="15" fillId="0" borderId="0" xfId="5" applyFont="1"/>
    <xf numFmtId="0" fontId="11" fillId="0" borderId="0" xfId="0" applyFont="1"/>
    <xf numFmtId="9" fontId="2" fillId="0" borderId="0" xfId="1" applyFont="1" applyFill="1" applyBorder="1" applyAlignment="1">
      <alignment horizontal="right" vertical="top" wrapText="1"/>
    </xf>
    <xf numFmtId="167" fontId="14" fillId="0" borderId="0" xfId="5" applyNumberFormat="1" applyFont="1"/>
    <xf numFmtId="166" fontId="14" fillId="0" borderId="0" xfId="5" applyNumberFormat="1" applyFont="1"/>
    <xf numFmtId="0" fontId="14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3" fillId="0" borderId="0" xfId="0" applyFont="1" applyAlignment="1">
      <alignment horizontal="left" indent="1"/>
    </xf>
    <xf numFmtId="10" fontId="3" fillId="0" borderId="6" xfId="0" quotePrefix="1" applyNumberFormat="1" applyFont="1" applyBorder="1" applyAlignment="1">
      <alignment horizontal="right" vertical="top" wrapText="1"/>
    </xf>
    <xf numFmtId="43" fontId="3" fillId="0" borderId="7" xfId="2" applyFont="1" applyBorder="1" applyAlignment="1">
      <alignment horizontal="right" vertical="top" wrapText="1"/>
    </xf>
    <xf numFmtId="10" fontId="0" fillId="0" borderId="7" xfId="1" applyNumberFormat="1" applyFont="1" applyBorder="1" applyAlignment="1">
      <alignment horizontal="right" vertical="top" wrapText="1"/>
    </xf>
    <xf numFmtId="4" fontId="0" fillId="0" borderId="7" xfId="0" applyNumberForma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16" fillId="0" borderId="7" xfId="8" applyBorder="1" applyAlignment="1">
      <alignment horizontal="left" vertical="top" wrapText="1"/>
    </xf>
    <xf numFmtId="0" fontId="16" fillId="0" borderId="12" xfId="8" applyBorder="1" applyAlignment="1">
      <alignment horizontal="left" vertical="top"/>
    </xf>
    <xf numFmtId="0" fontId="16" fillId="0" borderId="13" xfId="8" applyBorder="1" applyAlignment="1">
      <alignment horizontal="left" vertical="top"/>
    </xf>
    <xf numFmtId="0" fontId="16" fillId="0" borderId="14" xfId="8" applyBorder="1" applyAlignment="1">
      <alignment horizontal="left" vertical="top"/>
    </xf>
    <xf numFmtId="0" fontId="0" fillId="0" borderId="0" xfId="0" applyAlignment="1">
      <alignment horizontal="center" vertical="top"/>
    </xf>
  </cellXfs>
  <cellStyles count="9">
    <cellStyle name="_x000a_386grabber=m" xfId="6" xr:uid="{18E32A84-7C91-44F1-A8D2-5D876C824DF1}"/>
    <cellStyle name="Comma" xfId="2" builtinId="3"/>
    <cellStyle name="Comma 3" xfId="7" xr:uid="{C59A7B18-4876-4599-A15E-4A8AB7316316}"/>
    <cellStyle name="Hyperlink" xfId="8" builtinId="8"/>
    <cellStyle name="Normal" xfId="0" builtinId="0"/>
    <cellStyle name="Normal 2" xfId="3" xr:uid="{5F740C76-5C4B-40C5-8473-B80761B8F7FD}"/>
    <cellStyle name="Normal 2 2" xfId="4" xr:uid="{D81AA494-ABD5-42D9-A6CF-E677C89C07F2}"/>
    <cellStyle name="Normal 3 2" xfId="5" xr:uid="{04ED9B64-2B8A-4D7B-A50C-E4F1E4117B7F}"/>
    <cellStyle name="Percent" xfId="1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740833</xdr:colOff>
      <xdr:row>172</xdr:row>
      <xdr:rowOff>223418</xdr:rowOff>
    </xdr:from>
    <xdr:to>
      <xdr:col>0</xdr:col>
      <xdr:colOff>4508500</xdr:colOff>
      <xdr:row>182</xdr:row>
      <xdr:rowOff>163557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A30A307A-6476-4CCE-B73C-10D9F4BF1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833" y="32968251"/>
          <a:ext cx="3767667" cy="1919223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172</xdr:row>
      <xdr:rowOff>244647</xdr:rowOff>
    </xdr:from>
    <xdr:to>
      <xdr:col>3</xdr:col>
      <xdr:colOff>10582</xdr:colOff>
      <xdr:row>182</xdr:row>
      <xdr:rowOff>179915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9470AF32-7AA4-42C2-AD70-066EE995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32989480"/>
          <a:ext cx="3651249" cy="1914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Scheme_Performance_DAAF_Feb.xlsx" TargetMode="External"/><Relationship Id="rId2" Type="http://schemas.openxmlformats.org/officeDocument/2006/relationships/hyperlink" Target="https://unifimf.com/wp-content/uploads/fund-sheets/Scheme_Performance_Flexicap_Feb.xlsx" TargetMode="External"/><Relationship Id="rId1" Type="http://schemas.openxmlformats.org/officeDocument/2006/relationships/hyperlink" Target="https://unifimf.com/wp-content/uploads/fund-sheets/Scheme_Performance_Flexicap_Feb.xls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nifimf.com/wp-content/uploads/fund-sheets/Disclosure-of-category-wise-portfolio-overlap-levels-in-Unifi-Mutual-Fund-Schem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08CF-AAE8-417B-9F87-D2C3C7D0EE0F}">
  <dimension ref="A1:O184"/>
  <sheetViews>
    <sheetView tabSelected="1" zoomScale="70" zoomScaleNormal="70" workbookViewId="0">
      <selection sqref="A1:H1"/>
    </sheetView>
  </sheetViews>
  <sheetFormatPr defaultRowHeight="14.5" x14ac:dyDescent="0.35"/>
  <cols>
    <col min="1" max="1" width="75.7265625" bestFit="1" customWidth="1"/>
    <col min="2" max="2" width="24.6328125" bestFit="1" customWidth="1"/>
    <col min="3" max="3" width="28" bestFit="1" customWidth="1"/>
    <col min="4" max="4" width="23.08984375" customWidth="1"/>
    <col min="5" max="5" width="25.6328125" bestFit="1" customWidth="1"/>
    <col min="6" max="6" width="24.54296875" customWidth="1"/>
    <col min="7" max="7" width="11.90625" customWidth="1"/>
    <col min="8" max="8" width="0.81640625" hidden="1" customWidth="1"/>
    <col min="9" max="12" width="0.7265625" hidden="1" customWidth="1"/>
    <col min="13" max="13" width="0" hidden="1" customWidth="1"/>
    <col min="14" max="14" width="37.1796875" bestFit="1" customWidth="1"/>
    <col min="15" max="15" width="29.7265625" bestFit="1" customWidth="1"/>
    <col min="16" max="16" width="22.90625" bestFit="1" customWidth="1"/>
  </cols>
  <sheetData>
    <row r="1" spans="1:14" ht="18" customHeight="1" x14ac:dyDescent="0.35">
      <c r="A1" s="78" t="s">
        <v>194</v>
      </c>
      <c r="B1" s="79"/>
      <c r="C1" s="79"/>
      <c r="D1" s="79"/>
      <c r="E1" s="79"/>
      <c r="F1" s="79"/>
      <c r="G1" s="79"/>
      <c r="H1" s="80"/>
    </row>
    <row r="2" spans="1:14" ht="30" customHeight="1" x14ac:dyDescent="0.35">
      <c r="A2" s="78" t="s">
        <v>195</v>
      </c>
      <c r="B2" s="79"/>
      <c r="C2" s="79"/>
      <c r="D2" s="79"/>
      <c r="E2" s="79"/>
      <c r="F2" s="79"/>
      <c r="G2" s="79"/>
      <c r="H2" s="80"/>
    </row>
    <row r="3" spans="1:14" x14ac:dyDescent="0.35">
      <c r="A3" s="82" t="s">
        <v>196</v>
      </c>
      <c r="B3" s="83"/>
      <c r="C3" s="83"/>
      <c r="D3" s="83"/>
      <c r="E3" s="83"/>
      <c r="F3" s="83"/>
      <c r="G3" s="83"/>
      <c r="H3" s="84"/>
    </row>
    <row r="4" spans="1:14" ht="25" customHeight="1" x14ac:dyDescent="0.35">
      <c r="A4" s="85" t="s">
        <v>1</v>
      </c>
      <c r="B4" s="85" t="s">
        <v>2</v>
      </c>
      <c r="C4" s="85" t="s">
        <v>3</v>
      </c>
      <c r="D4" s="85" t="s">
        <v>4</v>
      </c>
      <c r="E4" s="85" t="s">
        <v>5</v>
      </c>
      <c r="F4" s="87" t="s">
        <v>6</v>
      </c>
      <c r="G4" s="85" t="s">
        <v>7</v>
      </c>
      <c r="H4" s="89" t="s">
        <v>210</v>
      </c>
    </row>
    <row r="5" spans="1:14" x14ac:dyDescent="0.35">
      <c r="A5" s="86"/>
      <c r="B5" s="86"/>
      <c r="C5" s="86"/>
      <c r="D5" s="86"/>
      <c r="E5" s="86"/>
      <c r="F5" s="88"/>
      <c r="G5" s="86"/>
      <c r="H5" s="90"/>
    </row>
    <row r="6" spans="1:14" ht="18.399999999999999" customHeight="1" x14ac:dyDescent="0.35">
      <c r="A6" s="2" t="s">
        <v>8</v>
      </c>
      <c r="B6" s="3"/>
      <c r="C6" s="3"/>
      <c r="D6" s="3"/>
      <c r="E6" s="3"/>
      <c r="F6" s="3"/>
      <c r="G6" s="3"/>
      <c r="H6" s="4"/>
    </row>
    <row r="7" spans="1:14" ht="16.649999999999999" customHeight="1" x14ac:dyDescent="0.35">
      <c r="A7" s="2" t="s">
        <v>9</v>
      </c>
      <c r="B7" s="3"/>
      <c r="C7" s="3"/>
      <c r="D7" s="3"/>
      <c r="E7" s="3"/>
      <c r="F7" s="3"/>
      <c r="G7" s="3"/>
      <c r="H7" s="3"/>
    </row>
    <row r="8" spans="1:14" x14ac:dyDescent="0.35">
      <c r="A8" s="5" t="s">
        <v>10</v>
      </c>
      <c r="B8" s="5" t="s">
        <v>11</v>
      </c>
      <c r="C8" s="5" t="s">
        <v>12</v>
      </c>
      <c r="D8" s="6">
        <v>51052</v>
      </c>
      <c r="E8" s="7">
        <v>959.42023600000005</v>
      </c>
      <c r="F8" s="8">
        <v>5.3614732366316843E-2</v>
      </c>
      <c r="G8" s="3"/>
      <c r="H8" s="4"/>
    </row>
    <row r="9" spans="1:14" x14ac:dyDescent="0.35">
      <c r="A9" s="5" t="s">
        <v>13</v>
      </c>
      <c r="B9" s="5" t="s">
        <v>14</v>
      </c>
      <c r="C9" s="5" t="s">
        <v>15</v>
      </c>
      <c r="D9" s="6">
        <v>65802</v>
      </c>
      <c r="E9" s="7">
        <v>907.34377800000004</v>
      </c>
      <c r="F9" s="8">
        <v>5.0704573445866742E-2</v>
      </c>
      <c r="G9" s="3"/>
      <c r="H9" s="4"/>
      <c r="N9" s="42"/>
    </row>
    <row r="10" spans="1:14" x14ac:dyDescent="0.35">
      <c r="A10" s="5" t="s">
        <v>16</v>
      </c>
      <c r="B10" s="5" t="s">
        <v>17</v>
      </c>
      <c r="C10" s="5" t="s">
        <v>15</v>
      </c>
      <c r="D10" s="6">
        <v>179015</v>
      </c>
      <c r="E10" s="7">
        <v>743.27027999999996</v>
      </c>
      <c r="F10" s="8">
        <v>4.1535747988994245E-2</v>
      </c>
      <c r="G10" s="3"/>
      <c r="H10" s="4"/>
    </row>
    <row r="11" spans="1:14" x14ac:dyDescent="0.35">
      <c r="A11" s="5" t="s">
        <v>18</v>
      </c>
      <c r="B11" s="5" t="s">
        <v>19</v>
      </c>
      <c r="C11" s="5" t="s">
        <v>15</v>
      </c>
      <c r="D11" s="6">
        <v>82400</v>
      </c>
      <c r="E11" s="7">
        <v>731.50599999999997</v>
      </c>
      <c r="F11" s="8">
        <v>4.0878331457618919E-2</v>
      </c>
      <c r="G11" s="3"/>
      <c r="H11" s="4"/>
    </row>
    <row r="12" spans="1:14" x14ac:dyDescent="0.35">
      <c r="A12" s="5" t="s">
        <v>20</v>
      </c>
      <c r="B12" s="5" t="s">
        <v>21</v>
      </c>
      <c r="C12" s="5" t="s">
        <v>22</v>
      </c>
      <c r="D12" s="6">
        <v>49000</v>
      </c>
      <c r="E12" s="7">
        <v>683.01099999999997</v>
      </c>
      <c r="F12" s="8">
        <v>3.8168313106385673E-2</v>
      </c>
      <c r="G12" s="3"/>
      <c r="H12" s="4"/>
    </row>
    <row r="13" spans="1:14" x14ac:dyDescent="0.35">
      <c r="A13" s="5" t="s">
        <v>23</v>
      </c>
      <c r="B13" s="5" t="s">
        <v>24</v>
      </c>
      <c r="C13" s="5" t="s">
        <v>25</v>
      </c>
      <c r="D13" s="6">
        <v>15000</v>
      </c>
      <c r="E13" s="7">
        <v>641.745</v>
      </c>
      <c r="F13" s="8">
        <v>3.5862268827965393E-2</v>
      </c>
      <c r="G13" s="3"/>
      <c r="H13" s="4"/>
    </row>
    <row r="14" spans="1:14" x14ac:dyDescent="0.35">
      <c r="A14" s="5" t="s">
        <v>26</v>
      </c>
      <c r="B14" s="5" t="s">
        <v>27</v>
      </c>
      <c r="C14" s="5" t="s">
        <v>15</v>
      </c>
      <c r="D14" s="6">
        <v>48002</v>
      </c>
      <c r="E14" s="7">
        <v>576.84003399999995</v>
      </c>
      <c r="F14" s="8">
        <v>3.2235221731436468E-2</v>
      </c>
      <c r="G14" s="3"/>
      <c r="H14" s="4"/>
    </row>
    <row r="15" spans="1:14" x14ac:dyDescent="0.35">
      <c r="A15" s="5" t="s">
        <v>28</v>
      </c>
      <c r="B15" s="5" t="s">
        <v>29</v>
      </c>
      <c r="C15" s="5" t="s">
        <v>30</v>
      </c>
      <c r="D15" s="6">
        <v>265000</v>
      </c>
      <c r="E15" s="7">
        <v>562.67449999999997</v>
      </c>
      <c r="F15" s="8">
        <v>3.1443617296030374E-2</v>
      </c>
      <c r="G15" s="3"/>
      <c r="H15" s="4"/>
    </row>
    <row r="16" spans="1:14" x14ac:dyDescent="0.35">
      <c r="A16" s="5" t="s">
        <v>31</v>
      </c>
      <c r="B16" s="5" t="s">
        <v>32</v>
      </c>
      <c r="C16" s="5" t="s">
        <v>15</v>
      </c>
      <c r="D16" s="6">
        <v>39601</v>
      </c>
      <c r="E16" s="7">
        <v>548.03823899999998</v>
      </c>
      <c r="F16" s="8">
        <v>3.0625707492886969E-2</v>
      </c>
      <c r="G16" s="3"/>
      <c r="H16" s="4"/>
    </row>
    <row r="17" spans="1:8" x14ac:dyDescent="0.35">
      <c r="A17" s="5" t="s">
        <v>33</v>
      </c>
      <c r="B17" s="5" t="s">
        <v>34</v>
      </c>
      <c r="C17" s="5" t="s">
        <v>35</v>
      </c>
      <c r="D17" s="6">
        <v>6702</v>
      </c>
      <c r="E17" s="7">
        <v>524.19692999999995</v>
      </c>
      <c r="F17" s="8">
        <v>2.92933972566271E-2</v>
      </c>
      <c r="G17" s="3"/>
      <c r="H17" s="4"/>
    </row>
    <row r="18" spans="1:8" x14ac:dyDescent="0.35">
      <c r="A18" s="5" t="s">
        <v>36</v>
      </c>
      <c r="B18" s="5" t="s">
        <v>37</v>
      </c>
      <c r="C18" s="5" t="s">
        <v>38</v>
      </c>
      <c r="D18" s="6">
        <v>15000</v>
      </c>
      <c r="E18" s="7">
        <v>509.61</v>
      </c>
      <c r="F18" s="8">
        <v>2.8478244189544828E-2</v>
      </c>
      <c r="G18" s="3"/>
      <c r="H18" s="4"/>
    </row>
    <row r="19" spans="1:8" x14ac:dyDescent="0.35">
      <c r="A19" s="5" t="s">
        <v>39</v>
      </c>
      <c r="B19" s="5" t="s">
        <v>40</v>
      </c>
      <c r="C19" s="5" t="s">
        <v>41</v>
      </c>
      <c r="D19" s="6">
        <v>146400</v>
      </c>
      <c r="E19" s="7">
        <v>459.11040000000003</v>
      </c>
      <c r="F19" s="8">
        <v>2.5656203922920666E-2</v>
      </c>
      <c r="G19" s="3"/>
      <c r="H19" s="4"/>
    </row>
    <row r="20" spans="1:8" x14ac:dyDescent="0.35">
      <c r="A20" s="5" t="s">
        <v>42</v>
      </c>
      <c r="B20" s="5" t="s">
        <v>43</v>
      </c>
      <c r="C20" s="5" t="s">
        <v>15</v>
      </c>
      <c r="D20" s="6">
        <v>935000</v>
      </c>
      <c r="E20" s="7">
        <v>384.7525</v>
      </c>
      <c r="F20" s="8">
        <v>2.1500903921700606E-2</v>
      </c>
      <c r="G20" s="3"/>
      <c r="H20" s="4"/>
    </row>
    <row r="21" spans="1:8" x14ac:dyDescent="0.35">
      <c r="A21" s="5" t="s">
        <v>44</v>
      </c>
      <c r="B21" s="5" t="s">
        <v>45</v>
      </c>
      <c r="C21" s="5" t="s">
        <v>46</v>
      </c>
      <c r="D21" s="6">
        <v>100502</v>
      </c>
      <c r="E21" s="7">
        <v>383.817138</v>
      </c>
      <c r="F21" s="8">
        <v>2.1448633621978033E-2</v>
      </c>
      <c r="G21" s="3"/>
      <c r="H21" s="4"/>
    </row>
    <row r="22" spans="1:8" x14ac:dyDescent="0.35">
      <c r="A22" s="5" t="s">
        <v>47</v>
      </c>
      <c r="B22" s="5" t="s">
        <v>48</v>
      </c>
      <c r="C22" s="5" t="s">
        <v>49</v>
      </c>
      <c r="D22" s="6">
        <v>22325</v>
      </c>
      <c r="E22" s="7">
        <v>359.94597499999998</v>
      </c>
      <c r="F22" s="8">
        <v>2.0114655071709342E-2</v>
      </c>
      <c r="G22" s="3"/>
      <c r="H22" s="4"/>
    </row>
    <row r="23" spans="1:8" x14ac:dyDescent="0.35">
      <c r="A23" s="5" t="s">
        <v>50</v>
      </c>
      <c r="B23" s="5" t="s">
        <v>51</v>
      </c>
      <c r="C23" s="5" t="s">
        <v>52</v>
      </c>
      <c r="D23" s="6">
        <v>23000</v>
      </c>
      <c r="E23" s="7">
        <v>353.92399999999998</v>
      </c>
      <c r="F23" s="8">
        <v>1.9778132486686806E-2</v>
      </c>
      <c r="G23" s="3"/>
      <c r="H23" s="4"/>
    </row>
    <row r="24" spans="1:8" x14ac:dyDescent="0.35">
      <c r="A24" s="5" t="s">
        <v>53</v>
      </c>
      <c r="B24" s="5" t="s">
        <v>54</v>
      </c>
      <c r="C24" s="5" t="s">
        <v>55</v>
      </c>
      <c r="D24" s="6">
        <v>15300</v>
      </c>
      <c r="E24" s="7">
        <v>339.66</v>
      </c>
      <c r="F24" s="8">
        <v>1.8981025532114355E-2</v>
      </c>
      <c r="G24" s="3"/>
      <c r="H24" s="4"/>
    </row>
    <row r="25" spans="1:8" x14ac:dyDescent="0.35">
      <c r="A25" s="5" t="s">
        <v>56</v>
      </c>
      <c r="B25" s="5" t="s">
        <v>57</v>
      </c>
      <c r="C25" s="5" t="s">
        <v>38</v>
      </c>
      <c r="D25" s="6">
        <v>3200</v>
      </c>
      <c r="E25" s="7">
        <v>319.12</v>
      </c>
      <c r="F25" s="8">
        <v>1.7833200458718518E-2</v>
      </c>
      <c r="G25" s="3"/>
      <c r="H25" s="4"/>
    </row>
    <row r="26" spans="1:8" ht="14.5" customHeight="1" x14ac:dyDescent="0.35">
      <c r="A26" s="5" t="s">
        <v>58</v>
      </c>
      <c r="B26" s="5" t="s">
        <v>59</v>
      </c>
      <c r="C26" s="5" t="s">
        <v>60</v>
      </c>
      <c r="D26" s="6">
        <v>42502</v>
      </c>
      <c r="E26" s="7">
        <v>307.586974</v>
      </c>
      <c r="F26" s="8">
        <v>1.7188706962373533E-2</v>
      </c>
      <c r="G26" s="3"/>
      <c r="H26" s="4"/>
    </row>
    <row r="27" spans="1:8" ht="14.5" customHeight="1" x14ac:dyDescent="0.35">
      <c r="A27" s="5" t="s">
        <v>61</v>
      </c>
      <c r="B27" s="5" t="s">
        <v>62</v>
      </c>
      <c r="C27" s="5" t="s">
        <v>60</v>
      </c>
      <c r="D27" s="6">
        <v>7000</v>
      </c>
      <c r="E27" s="7">
        <v>303.33100000000002</v>
      </c>
      <c r="F27" s="8">
        <v>1.6950872801277099E-2</v>
      </c>
      <c r="G27" s="3"/>
      <c r="H27" s="4"/>
    </row>
    <row r="28" spans="1:8" x14ac:dyDescent="0.35">
      <c r="A28" s="5" t="s">
        <v>199</v>
      </c>
      <c r="B28" s="5" t="s">
        <v>63</v>
      </c>
      <c r="C28" s="5" t="s">
        <v>49</v>
      </c>
      <c r="D28" s="6">
        <v>32504</v>
      </c>
      <c r="E28" s="7">
        <v>302.67724800000002</v>
      </c>
      <c r="F28" s="8">
        <v>1.6914339552134807E-2</v>
      </c>
      <c r="G28" s="3"/>
      <c r="H28" s="4"/>
    </row>
    <row r="29" spans="1:8" x14ac:dyDescent="0.35">
      <c r="A29" s="5" t="s">
        <v>64</v>
      </c>
      <c r="B29" s="5" t="s">
        <v>65</v>
      </c>
      <c r="C29" s="5" t="s">
        <v>66</v>
      </c>
      <c r="D29" s="6">
        <v>6213</v>
      </c>
      <c r="E29" s="7">
        <v>299.91393599999998</v>
      </c>
      <c r="F29" s="8">
        <v>1.6759918967947096E-2</v>
      </c>
      <c r="G29" s="3"/>
      <c r="H29" s="4"/>
    </row>
    <row r="30" spans="1:8" x14ac:dyDescent="0.35">
      <c r="A30" s="5" t="s">
        <v>67</v>
      </c>
      <c r="B30" s="5" t="s">
        <v>68</v>
      </c>
      <c r="C30" s="5" t="s">
        <v>35</v>
      </c>
      <c r="D30" s="6">
        <v>16001</v>
      </c>
      <c r="E30" s="7">
        <v>292.962309</v>
      </c>
      <c r="F30" s="8">
        <v>1.6371445171866499E-2</v>
      </c>
      <c r="G30" s="3"/>
      <c r="H30" s="4"/>
    </row>
    <row r="31" spans="1:8" x14ac:dyDescent="0.35">
      <c r="A31" s="5" t="s">
        <v>69</v>
      </c>
      <c r="B31" s="5" t="s">
        <v>70</v>
      </c>
      <c r="C31" s="5" t="s">
        <v>71</v>
      </c>
      <c r="D31" s="6">
        <v>94209</v>
      </c>
      <c r="E31" s="7">
        <v>286.01852400000001</v>
      </c>
      <c r="F31" s="8">
        <v>1.5983409605787147E-2</v>
      </c>
      <c r="G31" s="3"/>
      <c r="H31" s="4"/>
    </row>
    <row r="32" spans="1:8" x14ac:dyDescent="0.35">
      <c r="A32" s="5" t="s">
        <v>72</v>
      </c>
      <c r="B32" s="5" t="s">
        <v>73</v>
      </c>
      <c r="C32" s="5" t="s">
        <v>38</v>
      </c>
      <c r="D32" s="6">
        <v>7000</v>
      </c>
      <c r="E32" s="7">
        <v>270.87900000000002</v>
      </c>
      <c r="F32" s="8">
        <v>1.5137376244225413E-2</v>
      </c>
      <c r="G32" s="3"/>
      <c r="H32" s="4"/>
    </row>
    <row r="33" spans="1:8" x14ac:dyDescent="0.35">
      <c r="A33" s="5" t="s">
        <v>74</v>
      </c>
      <c r="B33" s="5" t="s">
        <v>75</v>
      </c>
      <c r="C33" s="5" t="s">
        <v>15</v>
      </c>
      <c r="D33" s="6">
        <v>80001</v>
      </c>
      <c r="E33" s="7">
        <v>257.5632195</v>
      </c>
      <c r="F33" s="8">
        <v>1.4393258097694971E-2</v>
      </c>
      <c r="G33" s="3"/>
      <c r="H33" s="4"/>
    </row>
    <row r="34" spans="1:8" x14ac:dyDescent="0.35">
      <c r="A34" s="5" t="s">
        <v>76</v>
      </c>
      <c r="B34" s="5" t="s">
        <v>77</v>
      </c>
      <c r="C34" s="5" t="s">
        <v>78</v>
      </c>
      <c r="D34" s="6">
        <v>34000</v>
      </c>
      <c r="E34" s="7">
        <v>244.256</v>
      </c>
      <c r="F34" s="8">
        <v>1.3649618360631582E-2</v>
      </c>
      <c r="G34" s="3"/>
      <c r="H34" s="4"/>
    </row>
    <row r="35" spans="1:8" x14ac:dyDescent="0.35">
      <c r="A35" s="5" t="s">
        <v>79</v>
      </c>
      <c r="B35" s="5" t="s">
        <v>80</v>
      </c>
      <c r="C35" s="5" t="s">
        <v>49</v>
      </c>
      <c r="D35" s="6">
        <v>8800</v>
      </c>
      <c r="E35" s="7">
        <v>237.4768</v>
      </c>
      <c r="F35" s="8">
        <v>1.3270780203982847E-2</v>
      </c>
      <c r="G35" s="3"/>
      <c r="H35" s="4"/>
    </row>
    <row r="36" spans="1:8" x14ac:dyDescent="0.35">
      <c r="A36" s="5" t="s">
        <v>200</v>
      </c>
      <c r="B36" s="5" t="s">
        <v>81</v>
      </c>
      <c r="C36" s="5" t="s">
        <v>82</v>
      </c>
      <c r="D36" s="6">
        <v>26356</v>
      </c>
      <c r="E36" s="7">
        <v>226.740668</v>
      </c>
      <c r="F36" s="8">
        <v>1.2670819079304787E-2</v>
      </c>
      <c r="G36" s="3"/>
      <c r="H36" s="4"/>
    </row>
    <row r="37" spans="1:8" x14ac:dyDescent="0.35">
      <c r="A37" s="5" t="s">
        <v>83</v>
      </c>
      <c r="B37" s="5" t="s">
        <v>84</v>
      </c>
      <c r="C37" s="5" t="s">
        <v>85</v>
      </c>
      <c r="D37" s="6">
        <v>5700</v>
      </c>
      <c r="E37" s="7">
        <v>223.05240000000001</v>
      </c>
      <c r="F37" s="8">
        <v>1.2464709707941423E-2</v>
      </c>
      <c r="G37" s="3"/>
      <c r="H37" s="4"/>
    </row>
    <row r="38" spans="1:8" x14ac:dyDescent="0.35">
      <c r="A38" s="5" t="s">
        <v>86</v>
      </c>
      <c r="B38" s="5" t="s">
        <v>87</v>
      </c>
      <c r="C38" s="5" t="s">
        <v>88</v>
      </c>
      <c r="D38" s="6">
        <v>47501</v>
      </c>
      <c r="E38" s="7">
        <v>218.00583950000001</v>
      </c>
      <c r="F38" s="8">
        <v>1.2182695653593369E-2</v>
      </c>
      <c r="G38" s="3"/>
      <c r="H38" s="4"/>
    </row>
    <row r="39" spans="1:8" x14ac:dyDescent="0.35">
      <c r="A39" s="5" t="s">
        <v>89</v>
      </c>
      <c r="B39" s="5" t="s">
        <v>90</v>
      </c>
      <c r="C39" s="5" t="s">
        <v>49</v>
      </c>
      <c r="D39" s="6">
        <v>24000</v>
      </c>
      <c r="E39" s="7">
        <v>214.464</v>
      </c>
      <c r="F39" s="8">
        <v>1.1984769062354628E-2</v>
      </c>
      <c r="G39" s="3"/>
      <c r="H39" s="4"/>
    </row>
    <row r="40" spans="1:8" ht="14.5" customHeight="1" x14ac:dyDescent="0.35">
      <c r="A40" s="5" t="s">
        <v>91</v>
      </c>
      <c r="B40" s="5" t="s">
        <v>92</v>
      </c>
      <c r="C40" s="5" t="s">
        <v>60</v>
      </c>
      <c r="D40" s="6">
        <v>120127</v>
      </c>
      <c r="E40" s="7">
        <v>208.9368911</v>
      </c>
      <c r="F40" s="8">
        <v>1.1675900796589814E-2</v>
      </c>
      <c r="G40" s="3"/>
      <c r="H40" s="4"/>
    </row>
    <row r="41" spans="1:8" x14ac:dyDescent="0.35">
      <c r="A41" s="5" t="s">
        <v>93</v>
      </c>
      <c r="B41" s="5" t="s">
        <v>94</v>
      </c>
      <c r="C41" s="5" t="s">
        <v>95</v>
      </c>
      <c r="D41" s="6">
        <v>15001</v>
      </c>
      <c r="E41" s="7">
        <v>208.37889100000001</v>
      </c>
      <c r="F41" s="8">
        <v>1.1644718396115744E-2</v>
      </c>
      <c r="G41" s="3"/>
      <c r="H41" s="4"/>
    </row>
    <row r="42" spans="1:8" x14ac:dyDescent="0.35">
      <c r="A42" s="5" t="s">
        <v>96</v>
      </c>
      <c r="B42" s="5" t="s">
        <v>97</v>
      </c>
      <c r="C42" s="5" t="s">
        <v>95</v>
      </c>
      <c r="D42" s="6">
        <v>15001</v>
      </c>
      <c r="E42" s="7">
        <v>203.68357800000001</v>
      </c>
      <c r="F42" s="8">
        <v>1.138233290493554E-2</v>
      </c>
      <c r="G42" s="3"/>
      <c r="H42" s="4"/>
    </row>
    <row r="43" spans="1:8" x14ac:dyDescent="0.35">
      <c r="A43" s="5" t="s">
        <v>98</v>
      </c>
      <c r="B43" s="5" t="s">
        <v>99</v>
      </c>
      <c r="C43" s="5" t="s">
        <v>100</v>
      </c>
      <c r="D43" s="6">
        <v>15500</v>
      </c>
      <c r="E43" s="7">
        <v>199.98099999999999</v>
      </c>
      <c r="F43" s="8">
        <v>1.117542385602591E-2</v>
      </c>
      <c r="G43" s="3"/>
      <c r="H43" s="4"/>
    </row>
    <row r="44" spans="1:8" x14ac:dyDescent="0.35">
      <c r="A44" s="5" t="s">
        <v>101</v>
      </c>
      <c r="B44" s="5" t="s">
        <v>102</v>
      </c>
      <c r="C44" s="5" t="s">
        <v>95</v>
      </c>
      <c r="D44" s="6">
        <v>8100</v>
      </c>
      <c r="E44" s="7">
        <v>186.01650000000001</v>
      </c>
      <c r="F44" s="8">
        <v>1.0395053688672643E-2</v>
      </c>
      <c r="G44" s="3"/>
      <c r="H44" s="4"/>
    </row>
    <row r="45" spans="1:8" x14ac:dyDescent="0.35">
      <c r="A45" s="5" t="s">
        <v>103</v>
      </c>
      <c r="B45" s="5" t="s">
        <v>104</v>
      </c>
      <c r="C45" s="5" t="s">
        <v>105</v>
      </c>
      <c r="D45" s="6">
        <v>20000</v>
      </c>
      <c r="E45" s="7">
        <v>180.66</v>
      </c>
      <c r="F45" s="8">
        <v>1.0095719462497141E-2</v>
      </c>
      <c r="G45" s="3"/>
      <c r="H45" s="4"/>
    </row>
    <row r="46" spans="1:8" x14ac:dyDescent="0.35">
      <c r="A46" s="5" t="s">
        <v>201</v>
      </c>
      <c r="B46" s="5" t="s">
        <v>106</v>
      </c>
      <c r="C46" s="5" t="s">
        <v>107</v>
      </c>
      <c r="D46" s="6">
        <v>450000</v>
      </c>
      <c r="E46" s="7">
        <v>177.97499999999999</v>
      </c>
      <c r="F46" s="8">
        <v>9.945675143019644E-3</v>
      </c>
      <c r="G46" s="3"/>
      <c r="H46" s="4"/>
    </row>
    <row r="47" spans="1:8" x14ac:dyDescent="0.35">
      <c r="A47" s="5" t="s">
        <v>108</v>
      </c>
      <c r="B47" s="5" t="s">
        <v>109</v>
      </c>
      <c r="C47" s="5" t="s">
        <v>95</v>
      </c>
      <c r="D47" s="6">
        <v>2455</v>
      </c>
      <c r="E47" s="7">
        <v>170.1806</v>
      </c>
      <c r="F47" s="8">
        <v>9.5101051453528231E-3</v>
      </c>
      <c r="G47" s="3"/>
      <c r="H47" s="4"/>
    </row>
    <row r="48" spans="1:8" x14ac:dyDescent="0.35">
      <c r="A48" s="5" t="s">
        <v>110</v>
      </c>
      <c r="B48" s="5" t="s">
        <v>111</v>
      </c>
      <c r="C48" s="5" t="s">
        <v>112</v>
      </c>
      <c r="D48" s="6">
        <v>20002</v>
      </c>
      <c r="E48" s="7">
        <v>169.53695200000001</v>
      </c>
      <c r="F48" s="8">
        <v>9.4741365322641626E-3</v>
      </c>
      <c r="G48" s="3"/>
      <c r="H48" s="4"/>
    </row>
    <row r="49" spans="1:8" x14ac:dyDescent="0.35">
      <c r="A49" s="5" t="s">
        <v>113</v>
      </c>
      <c r="B49" s="5" t="s">
        <v>114</v>
      </c>
      <c r="C49" s="5" t="s">
        <v>55</v>
      </c>
      <c r="D49" s="6">
        <v>3420</v>
      </c>
      <c r="E49" s="7">
        <v>159.79607999999999</v>
      </c>
      <c r="F49" s="8">
        <v>8.9297929529876582E-3</v>
      </c>
      <c r="G49" s="3"/>
      <c r="H49" s="4"/>
    </row>
    <row r="50" spans="1:8" x14ac:dyDescent="0.35">
      <c r="A50" s="5" t="s">
        <v>202</v>
      </c>
      <c r="B50" s="5" t="s">
        <v>115</v>
      </c>
      <c r="C50" s="5" t="s">
        <v>116</v>
      </c>
      <c r="D50" s="6">
        <v>5700</v>
      </c>
      <c r="E50" s="7">
        <v>156.94380000000001</v>
      </c>
      <c r="F50" s="8">
        <v>8.7704006209357848E-3</v>
      </c>
      <c r="G50" s="3"/>
      <c r="H50" s="4"/>
    </row>
    <row r="51" spans="1:8" x14ac:dyDescent="0.35">
      <c r="A51" s="5" t="s">
        <v>117</v>
      </c>
      <c r="B51" s="5" t="s">
        <v>118</v>
      </c>
      <c r="C51" s="5" t="s">
        <v>46</v>
      </c>
      <c r="D51" s="6">
        <v>52001</v>
      </c>
      <c r="E51" s="7">
        <v>155.30098649999999</v>
      </c>
      <c r="F51" s="8">
        <v>8.6785962136225834E-3</v>
      </c>
      <c r="G51" s="3"/>
      <c r="H51" s="4"/>
    </row>
    <row r="52" spans="1:8" x14ac:dyDescent="0.35">
      <c r="A52" s="5" t="s">
        <v>119</v>
      </c>
      <c r="B52" s="5" t="s">
        <v>120</v>
      </c>
      <c r="C52" s="5" t="s">
        <v>71</v>
      </c>
      <c r="D52" s="6">
        <v>55000</v>
      </c>
      <c r="E52" s="7">
        <v>154.2475</v>
      </c>
      <c r="F52" s="8">
        <v>8.6197248300206343E-3</v>
      </c>
      <c r="G52" s="3"/>
      <c r="H52" s="4"/>
    </row>
    <row r="53" spans="1:8" x14ac:dyDescent="0.35">
      <c r="A53" s="5" t="s">
        <v>121</v>
      </c>
      <c r="B53" s="5" t="s">
        <v>122</v>
      </c>
      <c r="C53" s="5" t="s">
        <v>88</v>
      </c>
      <c r="D53" s="6">
        <v>18500</v>
      </c>
      <c r="E53" s="7">
        <v>152.57875000000001</v>
      </c>
      <c r="F53" s="8">
        <v>8.5264710281107367E-3</v>
      </c>
      <c r="G53" s="3"/>
      <c r="H53" s="4"/>
    </row>
    <row r="54" spans="1:8" x14ac:dyDescent="0.35">
      <c r="A54" s="5" t="s">
        <v>123</v>
      </c>
      <c r="B54" s="5" t="s">
        <v>124</v>
      </c>
      <c r="C54" s="5" t="s">
        <v>95</v>
      </c>
      <c r="D54" s="6">
        <v>11610</v>
      </c>
      <c r="E54" s="7">
        <v>150.94161</v>
      </c>
      <c r="F54" s="8">
        <v>8.4349836697534212E-3</v>
      </c>
      <c r="G54" s="3"/>
      <c r="H54" s="4"/>
    </row>
    <row r="55" spans="1:8" x14ac:dyDescent="0.35">
      <c r="A55" s="5" t="s">
        <v>203</v>
      </c>
      <c r="B55" s="5" t="s">
        <v>125</v>
      </c>
      <c r="C55" s="5" t="s">
        <v>95</v>
      </c>
      <c r="D55" s="6">
        <v>3200</v>
      </c>
      <c r="E55" s="7">
        <v>142.78399999999999</v>
      </c>
      <c r="F55" s="8">
        <v>7.9791166153724783E-3</v>
      </c>
      <c r="G55" s="3"/>
      <c r="H55" s="4"/>
    </row>
    <row r="56" spans="1:8" x14ac:dyDescent="0.35">
      <c r="A56" s="5" t="s">
        <v>126</v>
      </c>
      <c r="B56" s="5" t="s">
        <v>127</v>
      </c>
      <c r="C56" s="5" t="s">
        <v>88</v>
      </c>
      <c r="D56" s="6">
        <v>16000</v>
      </c>
      <c r="E56" s="7">
        <v>134.94399999999999</v>
      </c>
      <c r="F56" s="8">
        <v>7.5409983789838054E-3</v>
      </c>
      <c r="G56" s="3"/>
      <c r="H56" s="4"/>
    </row>
    <row r="57" spans="1:8" ht="14.5" customHeight="1" x14ac:dyDescent="0.35">
      <c r="A57" s="5" t="s">
        <v>128</v>
      </c>
      <c r="B57" s="5" t="s">
        <v>129</v>
      </c>
      <c r="C57" s="5" t="s">
        <v>60</v>
      </c>
      <c r="D57" s="6">
        <v>6565</v>
      </c>
      <c r="E57" s="7">
        <v>123.05436</v>
      </c>
      <c r="F57" s="8">
        <v>6.8765764264205123E-3</v>
      </c>
      <c r="G57" s="3"/>
      <c r="H57" s="4"/>
    </row>
    <row r="58" spans="1:8" x14ac:dyDescent="0.35">
      <c r="A58" s="5" t="s">
        <v>130</v>
      </c>
      <c r="B58" s="5" t="s">
        <v>131</v>
      </c>
      <c r="C58" s="5" t="s">
        <v>82</v>
      </c>
      <c r="D58" s="6">
        <v>2250</v>
      </c>
      <c r="E58" s="7">
        <v>110.21174999999999</v>
      </c>
      <c r="F58" s="8">
        <v>6.1589001963404701E-3</v>
      </c>
      <c r="G58" s="3"/>
      <c r="H58" s="4"/>
    </row>
    <row r="59" spans="1:8" ht="14.5" customHeight="1" x14ac:dyDescent="0.35">
      <c r="A59" s="5" t="s">
        <v>204</v>
      </c>
      <c r="B59" s="5" t="s">
        <v>132</v>
      </c>
      <c r="C59" s="5" t="s">
        <v>60</v>
      </c>
      <c r="D59" s="6">
        <v>4000</v>
      </c>
      <c r="E59" s="7">
        <v>102.864</v>
      </c>
      <c r="F59" s="8">
        <v>5.7482900851893387E-3</v>
      </c>
      <c r="G59" s="3"/>
      <c r="H59" s="4"/>
    </row>
    <row r="60" spans="1:8" ht="14.5" customHeight="1" x14ac:dyDescent="0.35">
      <c r="A60" s="5" t="s">
        <v>133</v>
      </c>
      <c r="B60" s="5" t="s">
        <v>134</v>
      </c>
      <c r="C60" s="5" t="s">
        <v>25</v>
      </c>
      <c r="D60" s="6">
        <v>66000</v>
      </c>
      <c r="E60" s="7">
        <v>100.7424</v>
      </c>
      <c r="F60" s="8">
        <v>5.6297299257094657E-3</v>
      </c>
      <c r="G60" s="3"/>
      <c r="H60" s="4"/>
    </row>
    <row r="61" spans="1:8" ht="14.5" customHeight="1" x14ac:dyDescent="0.35">
      <c r="A61" s="5" t="s">
        <v>205</v>
      </c>
      <c r="B61" s="5" t="s">
        <v>135</v>
      </c>
      <c r="C61" s="5" t="s">
        <v>35</v>
      </c>
      <c r="D61" s="6">
        <v>1100</v>
      </c>
      <c r="E61" s="7">
        <v>58.160299999999999</v>
      </c>
      <c r="F61" s="8">
        <v>3.2501387836525657E-3</v>
      </c>
      <c r="G61" s="3"/>
      <c r="H61" s="4"/>
    </row>
    <row r="62" spans="1:8" ht="14.5" customHeight="1" x14ac:dyDescent="0.35">
      <c r="A62" s="5" t="s">
        <v>206</v>
      </c>
      <c r="B62" s="5" t="s">
        <v>136</v>
      </c>
      <c r="C62" s="5" t="s">
        <v>105</v>
      </c>
      <c r="D62" s="6">
        <v>9000</v>
      </c>
      <c r="E62" s="7">
        <v>4.1399999999999997</v>
      </c>
      <c r="F62" s="8">
        <v>2.3135325237871231E-4</v>
      </c>
      <c r="G62" s="3"/>
      <c r="H62" s="4"/>
    </row>
    <row r="63" spans="1:8" ht="18.899999999999999" customHeight="1" x14ac:dyDescent="0.35">
      <c r="A63" s="2" t="s">
        <v>137</v>
      </c>
      <c r="B63" s="3"/>
      <c r="C63" s="3"/>
      <c r="D63" s="3"/>
      <c r="E63" s="9">
        <v>17084.972876600001</v>
      </c>
      <c r="F63" s="10">
        <v>0.95474976855156835</v>
      </c>
      <c r="G63" s="3"/>
      <c r="H63" s="3"/>
    </row>
    <row r="64" spans="1:8" ht="21.15" customHeight="1" x14ac:dyDescent="0.35">
      <c r="A64" s="2" t="s">
        <v>138</v>
      </c>
      <c r="B64" s="3"/>
      <c r="C64" s="3"/>
      <c r="D64" s="3"/>
      <c r="E64" s="3"/>
      <c r="F64" s="3"/>
      <c r="G64" s="3"/>
      <c r="H64" s="3"/>
    </row>
    <row r="65" spans="1:8" ht="17.5" customHeight="1" x14ac:dyDescent="0.35">
      <c r="A65" s="2" t="s">
        <v>137</v>
      </c>
      <c r="B65" s="3"/>
      <c r="C65" s="3"/>
      <c r="D65" s="3"/>
      <c r="E65" s="11" t="s">
        <v>139</v>
      </c>
      <c r="F65" s="11" t="s">
        <v>139</v>
      </c>
      <c r="G65" s="3"/>
      <c r="H65" s="3"/>
    </row>
    <row r="66" spans="1:8" ht="20.65" customHeight="1" x14ac:dyDescent="0.35">
      <c r="A66" s="2" t="s">
        <v>142</v>
      </c>
      <c r="B66" s="3"/>
      <c r="C66" s="3"/>
      <c r="D66" s="3"/>
      <c r="E66" s="9">
        <v>17084.972876600001</v>
      </c>
      <c r="F66" s="10">
        <v>0.95474976855156835</v>
      </c>
      <c r="G66" s="3"/>
      <c r="H66" s="3"/>
    </row>
    <row r="67" spans="1:8" x14ac:dyDescent="0.35">
      <c r="A67" s="1"/>
    </row>
    <row r="68" spans="1:8" x14ac:dyDescent="0.35">
      <c r="A68" s="2" t="s">
        <v>143</v>
      </c>
      <c r="B68" s="3"/>
      <c r="C68" s="3"/>
      <c r="D68" s="3"/>
      <c r="E68" s="3"/>
      <c r="F68" s="3"/>
      <c r="G68" s="3"/>
      <c r="H68" s="3"/>
    </row>
    <row r="69" spans="1:8" x14ac:dyDescent="0.35">
      <c r="A69" s="2" t="s">
        <v>197</v>
      </c>
      <c r="B69" s="3"/>
      <c r="C69" s="3"/>
      <c r="D69" s="3"/>
      <c r="E69" s="3"/>
      <c r="F69" s="3"/>
      <c r="G69" s="3"/>
      <c r="H69" s="3"/>
    </row>
    <row r="70" spans="1:8" x14ac:dyDescent="0.35">
      <c r="A70" s="38" t="s">
        <v>198</v>
      </c>
      <c r="B70" s="3"/>
      <c r="C70" s="3"/>
      <c r="D70" s="3"/>
      <c r="E70" s="3"/>
      <c r="F70" s="3"/>
      <c r="G70" s="3"/>
      <c r="H70" s="3"/>
    </row>
    <row r="71" spans="1:8" x14ac:dyDescent="0.35">
      <c r="A71" s="39" t="s">
        <v>207</v>
      </c>
      <c r="B71" s="12" t="s">
        <v>140</v>
      </c>
      <c r="C71" s="12" t="s">
        <v>141</v>
      </c>
      <c r="D71" s="13">
        <v>26804</v>
      </c>
      <c r="E71" s="14">
        <v>2.7533873</v>
      </c>
      <c r="F71" s="15">
        <v>1.5386999999999999E-4</v>
      </c>
      <c r="G71" s="15">
        <v>6.3299999999999995E-2</v>
      </c>
      <c r="H71" s="37"/>
    </row>
    <row r="72" spans="1:8" x14ac:dyDescent="0.35">
      <c r="A72" s="2" t="s">
        <v>137</v>
      </c>
      <c r="B72" s="3"/>
      <c r="C72" s="3"/>
      <c r="D72" s="3"/>
      <c r="E72" s="9">
        <v>2.7533873</v>
      </c>
      <c r="F72" s="10">
        <v>1.5386999999999999E-4</v>
      </c>
      <c r="G72" s="3"/>
      <c r="H72" s="3"/>
    </row>
    <row r="73" spans="1:8" x14ac:dyDescent="0.35">
      <c r="A73" s="2"/>
      <c r="B73" s="3"/>
      <c r="C73" s="3"/>
      <c r="D73" s="3"/>
      <c r="E73" s="3"/>
      <c r="F73" s="3"/>
      <c r="G73" s="3"/>
      <c r="H73" s="3"/>
    </row>
    <row r="74" spans="1:8" x14ac:dyDescent="0.35">
      <c r="A74" s="2" t="s">
        <v>144</v>
      </c>
      <c r="B74" s="3"/>
      <c r="C74" s="3"/>
      <c r="D74" s="3"/>
      <c r="E74" s="3"/>
      <c r="F74" s="3"/>
      <c r="G74" s="3"/>
      <c r="H74" s="3"/>
    </row>
    <row r="75" spans="1:8" x14ac:dyDescent="0.35">
      <c r="A75" s="2" t="s">
        <v>137</v>
      </c>
      <c r="B75" s="3"/>
      <c r="C75" s="3"/>
      <c r="D75" s="3"/>
      <c r="E75" s="11" t="s">
        <v>139</v>
      </c>
      <c r="F75" s="11" t="s">
        <v>139</v>
      </c>
      <c r="G75" s="3"/>
      <c r="H75" s="4"/>
    </row>
    <row r="76" spans="1:8" x14ac:dyDescent="0.35">
      <c r="A76" s="2" t="s">
        <v>145</v>
      </c>
      <c r="B76" s="3"/>
      <c r="C76" s="3"/>
      <c r="D76" s="3"/>
      <c r="E76" s="3"/>
      <c r="F76" s="3"/>
      <c r="G76" s="3"/>
      <c r="H76" s="3"/>
    </row>
    <row r="77" spans="1:8" x14ac:dyDescent="0.35">
      <c r="A77" s="2" t="s">
        <v>137</v>
      </c>
      <c r="B77" s="3"/>
      <c r="C77" s="3"/>
      <c r="D77" s="3"/>
      <c r="E77" s="11" t="s">
        <v>139</v>
      </c>
      <c r="F77" s="11" t="s">
        <v>139</v>
      </c>
      <c r="G77" s="3"/>
      <c r="H77" s="4"/>
    </row>
    <row r="78" spans="1:8" x14ac:dyDescent="0.35">
      <c r="A78" s="2" t="s">
        <v>142</v>
      </c>
      <c r="B78" s="3"/>
      <c r="C78" s="3"/>
      <c r="D78" s="3"/>
      <c r="E78" s="9">
        <v>2.7533873</v>
      </c>
      <c r="F78" s="10">
        <v>1.5386999999999999E-4</v>
      </c>
      <c r="G78" s="3"/>
      <c r="H78" s="3"/>
    </row>
    <row r="79" spans="1:8" x14ac:dyDescent="0.35">
      <c r="A79" s="1"/>
    </row>
    <row r="80" spans="1:8" x14ac:dyDescent="0.35">
      <c r="A80" s="2" t="s">
        <v>146</v>
      </c>
      <c r="B80" s="3"/>
      <c r="C80" s="3"/>
      <c r="D80" s="3"/>
      <c r="E80" s="3"/>
      <c r="F80" s="3"/>
      <c r="G80" s="3"/>
      <c r="H80" s="3"/>
    </row>
    <row r="81" spans="1:8" x14ac:dyDescent="0.35">
      <c r="A81" s="2" t="s">
        <v>147</v>
      </c>
      <c r="B81" s="3"/>
      <c r="C81" s="3"/>
      <c r="D81" s="3"/>
      <c r="E81" s="3"/>
      <c r="F81" s="3"/>
      <c r="G81" s="3"/>
      <c r="H81" s="3"/>
    </row>
    <row r="82" spans="1:8" x14ac:dyDescent="0.35">
      <c r="A82" s="5" t="s">
        <v>148</v>
      </c>
      <c r="B82" s="5" t="s">
        <v>149</v>
      </c>
      <c r="C82" s="4"/>
      <c r="D82" s="6">
        <v>400000</v>
      </c>
      <c r="E82" s="7">
        <v>399.94720000000001</v>
      </c>
      <c r="F82" s="8">
        <v>2.235002065211578E-2</v>
      </c>
      <c r="G82" s="4"/>
      <c r="H82" s="4"/>
    </row>
    <row r="83" spans="1:8" x14ac:dyDescent="0.35">
      <c r="A83" s="2" t="s">
        <v>137</v>
      </c>
      <c r="B83" s="3"/>
      <c r="C83" s="3"/>
      <c r="D83" s="3"/>
      <c r="E83" s="9">
        <v>399.94720000000001</v>
      </c>
      <c r="F83" s="10">
        <v>2.235002065211578E-2</v>
      </c>
      <c r="G83" s="3"/>
      <c r="H83" s="4"/>
    </row>
    <row r="84" spans="1:8" x14ac:dyDescent="0.35">
      <c r="A84" s="2" t="s">
        <v>142</v>
      </c>
      <c r="B84" s="3"/>
      <c r="C84" s="3"/>
      <c r="D84" s="3"/>
      <c r="E84" s="9">
        <v>399.94720000000001</v>
      </c>
      <c r="F84" s="10">
        <v>2.235002065211578E-2</v>
      </c>
      <c r="G84" s="3"/>
      <c r="H84" s="3"/>
    </row>
    <row r="85" spans="1:8" x14ac:dyDescent="0.35">
      <c r="A85" s="3"/>
      <c r="B85" s="3"/>
      <c r="C85" s="3"/>
      <c r="D85" s="3"/>
      <c r="E85" s="3"/>
      <c r="F85" s="3"/>
      <c r="G85" s="3"/>
      <c r="H85" s="3"/>
    </row>
    <row r="86" spans="1:8" x14ac:dyDescent="0.35">
      <c r="A86" s="2" t="s">
        <v>150</v>
      </c>
      <c r="B86" s="3"/>
      <c r="C86" s="3"/>
      <c r="D86" s="3"/>
      <c r="E86" s="3"/>
      <c r="F86" s="3"/>
      <c r="G86" s="3"/>
      <c r="H86" s="3"/>
    </row>
    <row r="87" spans="1:8" x14ac:dyDescent="0.35">
      <c r="A87" s="5" t="s">
        <v>237</v>
      </c>
      <c r="B87" s="3"/>
      <c r="C87" s="3"/>
      <c r="D87" s="3"/>
      <c r="E87" s="47">
        <v>0</v>
      </c>
      <c r="F87" s="47">
        <v>0</v>
      </c>
      <c r="G87" s="3"/>
      <c r="H87" s="3"/>
    </row>
    <row r="88" spans="1:8" x14ac:dyDescent="0.35">
      <c r="A88" s="5" t="s">
        <v>208</v>
      </c>
      <c r="B88" s="3"/>
      <c r="C88" s="3"/>
      <c r="D88" s="3"/>
      <c r="E88" s="44">
        <v>6</v>
      </c>
      <c r="F88" s="46">
        <v>3.3529456866480045E-4</v>
      </c>
      <c r="G88" s="3"/>
      <c r="H88" s="3"/>
    </row>
    <row r="89" spans="1:8" x14ac:dyDescent="0.35">
      <c r="A89" s="5" t="s">
        <v>151</v>
      </c>
      <c r="B89" s="3"/>
      <c r="C89" s="3"/>
      <c r="D89" s="3"/>
      <c r="E89" s="45">
        <v>401.03930729999996</v>
      </c>
      <c r="F89" s="46">
        <v>2.2411050259797307E-2</v>
      </c>
      <c r="G89" s="3"/>
      <c r="H89" s="3"/>
    </row>
    <row r="90" spans="1:8" x14ac:dyDescent="0.35">
      <c r="A90" s="2" t="s">
        <v>142</v>
      </c>
      <c r="B90" s="3"/>
      <c r="C90" s="3"/>
      <c r="D90" s="3"/>
      <c r="E90" s="9">
        <v>407.03930729999996</v>
      </c>
      <c r="F90" s="10">
        <v>2.2746344828462106E-2</v>
      </c>
      <c r="G90" s="3"/>
      <c r="H90" s="3"/>
    </row>
    <row r="91" spans="1:8" x14ac:dyDescent="0.35">
      <c r="A91" s="2"/>
      <c r="B91" s="3"/>
      <c r="C91" s="3"/>
      <c r="D91" s="3"/>
      <c r="E91" s="9"/>
      <c r="F91" s="10"/>
      <c r="G91" s="3"/>
      <c r="H91" s="3"/>
    </row>
    <row r="92" spans="1:8" x14ac:dyDescent="0.35">
      <c r="A92" s="2"/>
      <c r="B92" s="3"/>
      <c r="C92" s="3"/>
      <c r="D92" s="3"/>
      <c r="E92" s="9"/>
      <c r="F92" s="10"/>
      <c r="G92" s="3"/>
      <c r="H92" s="3"/>
    </row>
    <row r="93" spans="1:8" x14ac:dyDescent="0.35">
      <c r="A93" s="2" t="s">
        <v>152</v>
      </c>
      <c r="B93" s="3"/>
      <c r="C93" s="3"/>
      <c r="D93" s="3"/>
      <c r="E93" s="9">
        <f>E66+E72+E84+E90</f>
        <v>17894.7127712</v>
      </c>
      <c r="F93" s="40">
        <f>F66+F72+F84+F90</f>
        <v>1.0000000040321462</v>
      </c>
      <c r="G93" s="3"/>
      <c r="H93" s="3"/>
    </row>
    <row r="94" spans="1:8" x14ac:dyDescent="0.35">
      <c r="A94" s="2"/>
      <c r="B94" s="3"/>
      <c r="C94" s="3"/>
      <c r="D94" s="3"/>
      <c r="E94" s="9"/>
      <c r="F94" s="10"/>
      <c r="G94" s="3"/>
      <c r="H94" s="17"/>
    </row>
    <row r="95" spans="1:8" x14ac:dyDescent="0.35">
      <c r="A95" s="2" t="s">
        <v>211</v>
      </c>
      <c r="B95" s="3"/>
      <c r="C95" s="3"/>
      <c r="D95" s="3"/>
      <c r="E95" s="9"/>
      <c r="F95" s="10"/>
      <c r="G95" s="3"/>
      <c r="H95" s="17"/>
    </row>
    <row r="96" spans="1:8" x14ac:dyDescent="0.35">
      <c r="A96" s="5" t="s">
        <v>220</v>
      </c>
      <c r="B96" s="3"/>
      <c r="C96" s="3"/>
      <c r="D96" s="43">
        <v>-4500</v>
      </c>
      <c r="E96" s="7">
        <f>-60975/10^5</f>
        <v>-0.60975000000000001</v>
      </c>
      <c r="F96" s="92">
        <v>-3.40743105405603E-5</v>
      </c>
      <c r="G96" s="5" t="s">
        <v>212</v>
      </c>
      <c r="H96" s="17"/>
    </row>
    <row r="97" spans="1:13" x14ac:dyDescent="0.35">
      <c r="A97" s="5" t="s">
        <v>222</v>
      </c>
      <c r="B97" s="3"/>
      <c r="C97" s="3"/>
      <c r="D97" s="43">
        <v>-3500</v>
      </c>
      <c r="E97" s="7">
        <f>-82425/10^5</f>
        <v>-0.82425000000000004</v>
      </c>
      <c r="F97" s="8">
        <v>-4.6061091370326966E-5</v>
      </c>
      <c r="G97" s="5" t="s">
        <v>212</v>
      </c>
      <c r="H97" s="17"/>
    </row>
    <row r="98" spans="1:13" x14ac:dyDescent="0.35">
      <c r="A98" s="5" t="s">
        <v>221</v>
      </c>
      <c r="B98" s="3"/>
      <c r="C98" s="3"/>
      <c r="D98" s="43">
        <v>-1000</v>
      </c>
      <c r="E98" s="7">
        <f>-96150/10^5</f>
        <v>-0.96150000000000002</v>
      </c>
      <c r="F98" s="8">
        <v>-5.3730954628534271E-5</v>
      </c>
      <c r="G98" s="5"/>
      <c r="H98" s="17"/>
    </row>
    <row r="99" spans="1:13" x14ac:dyDescent="0.35">
      <c r="A99" s="5" t="s">
        <v>219</v>
      </c>
      <c r="B99" s="3"/>
      <c r="C99" s="3"/>
      <c r="D99" s="43">
        <v>-27500</v>
      </c>
      <c r="E99" s="7">
        <f>-104225/10^5</f>
        <v>-1.0422499999999999</v>
      </c>
      <c r="F99" s="8">
        <v>-5.8243460698481376E-5</v>
      </c>
      <c r="G99" s="5"/>
      <c r="H99" s="17"/>
    </row>
    <row r="100" spans="1:13" x14ac:dyDescent="0.35">
      <c r="A100" s="5" t="s">
        <v>218</v>
      </c>
      <c r="B100" s="3"/>
      <c r="C100" s="3"/>
      <c r="D100" s="43">
        <v>-24000</v>
      </c>
      <c r="E100" s="7">
        <f>-174000/10^5</f>
        <v>-1.74</v>
      </c>
      <c r="F100" s="8">
        <v>-9.7235424912792126E-5</v>
      </c>
      <c r="G100" s="5"/>
      <c r="H100" s="17"/>
    </row>
    <row r="101" spans="1:13" x14ac:dyDescent="0.35">
      <c r="A101" s="5"/>
      <c r="B101" s="3"/>
      <c r="C101" s="3"/>
      <c r="D101" s="43"/>
      <c r="E101" s="7"/>
      <c r="F101" s="8"/>
      <c r="G101" s="5"/>
      <c r="H101" s="17"/>
    </row>
    <row r="102" spans="1:13" x14ac:dyDescent="0.35">
      <c r="A102" s="2" t="s">
        <v>137</v>
      </c>
      <c r="B102" s="3"/>
      <c r="C102" s="3"/>
      <c r="D102" s="3"/>
      <c r="E102" s="9">
        <v>-5.1777499999999996</v>
      </c>
      <c r="F102" s="10">
        <v>-2.893452421506951E-4</v>
      </c>
      <c r="G102" s="3"/>
      <c r="H102" s="17"/>
    </row>
    <row r="103" spans="1:13" x14ac:dyDescent="0.35">
      <c r="A103" s="2" t="s">
        <v>142</v>
      </c>
      <c r="B103" s="3"/>
      <c r="C103" s="3"/>
      <c r="D103" s="3"/>
      <c r="E103" s="9">
        <v>-5.1777499999999996</v>
      </c>
      <c r="F103" s="10">
        <v>-2.893452421506951E-4</v>
      </c>
      <c r="G103" s="3"/>
      <c r="H103" s="17"/>
    </row>
    <row r="104" spans="1:13" x14ac:dyDescent="0.35">
      <c r="A104" s="2"/>
      <c r="B104" s="3"/>
      <c r="C104" s="3"/>
      <c r="D104" s="3"/>
      <c r="E104" s="9"/>
      <c r="F104" s="10"/>
      <c r="G104" s="3"/>
      <c r="H104" s="17"/>
    </row>
    <row r="105" spans="1:13" x14ac:dyDescent="0.35">
      <c r="A105" s="16"/>
      <c r="B105" s="17"/>
      <c r="C105" s="17"/>
      <c r="D105" s="17"/>
      <c r="E105" s="18"/>
      <c r="F105" s="53"/>
      <c r="G105" s="17"/>
      <c r="H105" s="17"/>
    </row>
    <row r="106" spans="1:13" x14ac:dyDescent="0.35">
      <c r="A106" s="16" t="s">
        <v>213</v>
      </c>
      <c r="B106" s="17"/>
      <c r="C106" s="17"/>
      <c r="D106" s="17"/>
      <c r="E106" s="18"/>
      <c r="F106" s="19"/>
      <c r="G106" s="17"/>
      <c r="H106" s="17"/>
      <c r="I106" s="17"/>
    </row>
    <row r="107" spans="1:13" x14ac:dyDescent="0.35">
      <c r="A107" s="91" t="s">
        <v>153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</row>
    <row r="108" spans="1:13" x14ac:dyDescent="0.35">
      <c r="A108" s="16"/>
      <c r="B108" s="17"/>
      <c r="C108" s="17"/>
      <c r="D108" s="17"/>
      <c r="E108" s="18"/>
      <c r="F108" s="53"/>
      <c r="G108" s="17"/>
      <c r="H108" s="17"/>
    </row>
    <row r="109" spans="1:13" x14ac:dyDescent="0.35">
      <c r="A109" s="54" t="s">
        <v>214</v>
      </c>
      <c r="B109" s="17"/>
      <c r="C109" s="17"/>
      <c r="D109" s="17"/>
      <c r="E109" s="18"/>
      <c r="F109" s="53"/>
      <c r="G109" s="17"/>
      <c r="H109" s="17"/>
    </row>
    <row r="110" spans="1:13" x14ac:dyDescent="0.35">
      <c r="A110" s="55" t="s">
        <v>224</v>
      </c>
      <c r="B110" s="17"/>
      <c r="C110" s="17"/>
      <c r="D110" s="17"/>
      <c r="E110" s="18"/>
      <c r="F110" s="53"/>
      <c r="G110" s="17"/>
      <c r="H110" s="17"/>
    </row>
    <row r="111" spans="1:13" x14ac:dyDescent="0.35">
      <c r="A111" s="16"/>
      <c r="B111" s="17"/>
      <c r="C111" s="17"/>
      <c r="D111" s="17"/>
      <c r="E111" s="18"/>
      <c r="F111" s="53"/>
      <c r="G111" s="17"/>
      <c r="H111" s="17"/>
    </row>
    <row r="112" spans="1:13" x14ac:dyDescent="0.35">
      <c r="A112" s="56" t="s">
        <v>223</v>
      </c>
      <c r="B112" s="57"/>
      <c r="C112" s="57"/>
      <c r="D112" s="57"/>
      <c r="E112" s="58"/>
      <c r="F112" s="59"/>
      <c r="G112" s="17"/>
      <c r="H112" s="17"/>
    </row>
    <row r="113" spans="1:8" x14ac:dyDescent="0.35">
      <c r="A113" s="16"/>
      <c r="B113" s="17"/>
      <c r="C113" s="17"/>
      <c r="D113" s="17"/>
      <c r="E113" s="18"/>
      <c r="F113" s="53"/>
      <c r="G113" s="17"/>
      <c r="H113" s="17"/>
    </row>
    <row r="114" spans="1:8" x14ac:dyDescent="0.35">
      <c r="A114" s="56" t="s">
        <v>238</v>
      </c>
      <c r="B114" s="60"/>
      <c r="C114" s="60"/>
      <c r="D114" s="60"/>
      <c r="E114" s="61"/>
      <c r="F114" s="62"/>
      <c r="G114" s="17"/>
      <c r="H114" s="17"/>
    </row>
    <row r="115" spans="1:8" x14ac:dyDescent="0.35">
      <c r="A115" s="16"/>
      <c r="B115" s="17"/>
      <c r="C115" s="17"/>
      <c r="D115" s="17"/>
      <c r="E115" s="18"/>
      <c r="F115" s="53"/>
      <c r="G115" s="17"/>
      <c r="H115" s="17"/>
    </row>
    <row r="116" spans="1:8" x14ac:dyDescent="0.35">
      <c r="A116" s="63" t="s">
        <v>225</v>
      </c>
      <c r="B116" s="17"/>
      <c r="C116" s="17"/>
      <c r="D116" s="17"/>
      <c r="E116" s="18"/>
      <c r="F116" s="53"/>
      <c r="G116" s="17"/>
      <c r="H116" s="17"/>
    </row>
    <row r="117" spans="1:8" x14ac:dyDescent="0.35">
      <c r="A117" s="56"/>
      <c r="B117" s="17"/>
      <c r="C117" s="17"/>
      <c r="D117" s="17"/>
      <c r="E117" s="18"/>
      <c r="F117" s="53"/>
      <c r="G117" s="17"/>
      <c r="H117" s="17"/>
    </row>
    <row r="118" spans="1:8" x14ac:dyDescent="0.35">
      <c r="A118" s="56" t="s">
        <v>226</v>
      </c>
      <c r="B118" s="60"/>
      <c r="C118" s="66"/>
      <c r="D118" s="60"/>
      <c r="E118" s="61"/>
      <c r="F118" s="65"/>
      <c r="G118" s="17"/>
      <c r="H118" s="17"/>
    </row>
    <row r="119" spans="1:8" x14ac:dyDescent="0.35">
      <c r="A119" s="56"/>
      <c r="B119" s="60"/>
      <c r="C119" s="66"/>
      <c r="D119" s="60"/>
      <c r="E119" s="61"/>
      <c r="F119" s="65"/>
      <c r="G119" s="17"/>
      <c r="H119" s="17"/>
    </row>
    <row r="120" spans="1:8" x14ac:dyDescent="0.35">
      <c r="A120" s="56" t="s">
        <v>239</v>
      </c>
      <c r="B120" s="60"/>
      <c r="C120" s="66"/>
      <c r="D120" s="60"/>
      <c r="E120" s="61"/>
      <c r="F120" s="65"/>
      <c r="G120" s="17"/>
      <c r="H120" s="17"/>
    </row>
    <row r="121" spans="1:8" x14ac:dyDescent="0.35">
      <c r="A121" s="56"/>
      <c r="B121" s="60"/>
      <c r="C121" s="66"/>
      <c r="D121" s="60"/>
      <c r="E121" s="61"/>
      <c r="F121" s="65"/>
      <c r="G121" s="17"/>
      <c r="H121" s="17"/>
    </row>
    <row r="122" spans="1:8" x14ac:dyDescent="0.35">
      <c r="A122" s="56" t="s">
        <v>227</v>
      </c>
      <c r="B122" s="63"/>
      <c r="C122" s="60"/>
      <c r="D122" s="67"/>
      <c r="E122" s="61"/>
      <c r="F122" s="65"/>
      <c r="G122" s="17"/>
      <c r="H122" s="17"/>
    </row>
    <row r="123" spans="1:8" x14ac:dyDescent="0.35">
      <c r="A123" s="56"/>
      <c r="B123" s="63"/>
      <c r="C123" s="60"/>
      <c r="D123" s="67"/>
      <c r="E123" s="61"/>
      <c r="F123" s="65"/>
      <c r="G123" s="17"/>
      <c r="H123" s="17"/>
    </row>
    <row r="124" spans="1:8" x14ac:dyDescent="0.35">
      <c r="A124" s="56" t="s">
        <v>228</v>
      </c>
      <c r="B124" s="63"/>
      <c r="C124" s="60"/>
      <c r="D124" s="67"/>
      <c r="E124" s="61"/>
      <c r="F124" s="65"/>
      <c r="G124" s="17"/>
      <c r="H124" s="17"/>
    </row>
    <row r="125" spans="1:8" x14ac:dyDescent="0.35">
      <c r="A125" s="56"/>
      <c r="B125" s="63"/>
      <c r="C125" s="60"/>
      <c r="D125" s="67"/>
      <c r="E125" s="61"/>
      <c r="F125" s="65"/>
      <c r="G125" s="17"/>
      <c r="H125" s="17"/>
    </row>
    <row r="126" spans="1:8" x14ac:dyDescent="0.35">
      <c r="A126" s="56" t="s">
        <v>229</v>
      </c>
      <c r="B126" s="68"/>
      <c r="C126" s="68"/>
      <c r="D126" s="68"/>
      <c r="E126" s="68"/>
      <c r="F126" s="65"/>
      <c r="G126" s="17"/>
      <c r="H126" s="17"/>
    </row>
    <row r="127" spans="1:8" x14ac:dyDescent="0.35">
      <c r="A127" s="59"/>
      <c r="B127" s="68"/>
      <c r="C127" s="68"/>
      <c r="D127" s="68"/>
      <c r="E127" s="68"/>
      <c r="F127" s="65"/>
      <c r="G127" s="17"/>
      <c r="H127" s="17"/>
    </row>
    <row r="128" spans="1:8" x14ac:dyDescent="0.35">
      <c r="A128" s="64" t="s">
        <v>230</v>
      </c>
      <c r="B128" s="68"/>
      <c r="C128" s="68"/>
      <c r="D128" s="68"/>
      <c r="E128" s="68"/>
      <c r="F128" s="65"/>
      <c r="G128" s="17"/>
      <c r="H128" s="17"/>
    </row>
    <row r="129" spans="1:15" x14ac:dyDescent="0.35">
      <c r="A129" s="59"/>
      <c r="B129" s="68"/>
      <c r="C129" s="68"/>
      <c r="D129" s="68"/>
      <c r="E129" s="68"/>
      <c r="F129" s="53"/>
      <c r="G129" s="17"/>
      <c r="H129" s="17"/>
    </row>
    <row r="130" spans="1:15" x14ac:dyDescent="0.35">
      <c r="A130" s="64" t="s">
        <v>215</v>
      </c>
      <c r="B130" s="68"/>
      <c r="C130" s="68"/>
      <c r="D130" s="68"/>
      <c r="E130" s="68"/>
      <c r="F130" s="53"/>
      <c r="G130" s="17"/>
      <c r="H130" s="17"/>
    </row>
    <row r="131" spans="1:15" ht="55" customHeight="1" x14ac:dyDescent="0.35">
      <c r="A131" s="2" t="s">
        <v>169</v>
      </c>
      <c r="B131" s="2" t="s">
        <v>170</v>
      </c>
      <c r="C131" s="2" t="s">
        <v>231</v>
      </c>
      <c r="D131" s="2" t="s">
        <v>171</v>
      </c>
      <c r="E131" s="2" t="s">
        <v>172</v>
      </c>
      <c r="F131" s="52" t="s">
        <v>173</v>
      </c>
      <c r="G131" s="17"/>
      <c r="M131" s="48"/>
      <c r="O131" s="49"/>
    </row>
    <row r="132" spans="1:15" x14ac:dyDescent="0.35">
      <c r="A132" s="25" t="s">
        <v>174</v>
      </c>
      <c r="B132" s="22">
        <v>6</v>
      </c>
      <c r="C132" s="94">
        <v>9.3746093912753639E-2</v>
      </c>
      <c r="D132" s="95">
        <v>19</v>
      </c>
      <c r="E132" s="27">
        <v>13.55</v>
      </c>
      <c r="F132" s="93">
        <v>7.6950859499999993</v>
      </c>
      <c r="G132" s="17"/>
      <c r="N132" s="50"/>
      <c r="O132" s="51"/>
    </row>
    <row r="133" spans="1:15" ht="14.5" customHeight="1" x14ac:dyDescent="0.35">
      <c r="A133" s="25" t="s">
        <v>175</v>
      </c>
      <c r="B133" s="22">
        <v>20</v>
      </c>
      <c r="C133" s="94">
        <v>0.23333333333333334</v>
      </c>
      <c r="D133" s="95">
        <v>30.5</v>
      </c>
      <c r="E133" s="27">
        <v>23.55</v>
      </c>
      <c r="F133" s="93">
        <v>21.966931349999999</v>
      </c>
      <c r="G133" s="17"/>
      <c r="N133" s="50"/>
      <c r="O133" s="51"/>
    </row>
    <row r="134" spans="1:15" x14ac:dyDescent="0.35">
      <c r="A134" s="25" t="s">
        <v>176</v>
      </c>
      <c r="B134" s="22">
        <v>16</v>
      </c>
      <c r="C134" s="94">
        <v>0.23880121788621123</v>
      </c>
      <c r="D134" s="95">
        <v>3.8</v>
      </c>
      <c r="E134" s="27">
        <v>7.25</v>
      </c>
      <c r="F134" s="93">
        <v>13.134304800000001</v>
      </c>
      <c r="G134" s="17"/>
      <c r="N134" s="50"/>
      <c r="O134" s="51"/>
    </row>
    <row r="135" spans="1:15" x14ac:dyDescent="0.35">
      <c r="A135" s="25" t="s">
        <v>177</v>
      </c>
      <c r="B135" s="22">
        <v>5</v>
      </c>
      <c r="C135" s="94">
        <v>0.10377358490566038</v>
      </c>
      <c r="D135" s="95">
        <v>3.35</v>
      </c>
      <c r="E135" s="27">
        <v>3.79</v>
      </c>
      <c r="F135" s="93">
        <v>8.7177389749999996</v>
      </c>
      <c r="G135" s="17"/>
      <c r="N135" s="50"/>
      <c r="O135" s="51"/>
    </row>
    <row r="136" spans="1:15" ht="14.5" customHeight="1" x14ac:dyDescent="0.35">
      <c r="A136" s="25" t="s">
        <v>178</v>
      </c>
      <c r="B136" s="22">
        <v>8</v>
      </c>
      <c r="C136" s="94">
        <v>0.14920919128618323</v>
      </c>
      <c r="D136" s="95">
        <v>63.375</v>
      </c>
      <c r="E136" s="27">
        <v>96.15</v>
      </c>
      <c r="F136" s="93">
        <v>11.153459</v>
      </c>
      <c r="G136" s="17"/>
      <c r="N136" s="50"/>
      <c r="O136" s="51"/>
    </row>
    <row r="137" spans="1:15" x14ac:dyDescent="0.35">
      <c r="A137" s="16"/>
      <c r="B137" s="17"/>
      <c r="C137" s="17"/>
      <c r="D137" s="17"/>
      <c r="E137" s="18"/>
      <c r="F137" s="19"/>
      <c r="G137" s="17"/>
      <c r="H137" s="17"/>
    </row>
    <row r="138" spans="1:15" ht="31" customHeight="1" x14ac:dyDescent="0.35">
      <c r="A138" s="23" t="s">
        <v>180</v>
      </c>
      <c r="B138" s="24">
        <v>2.6445915557690724E-2</v>
      </c>
      <c r="C138" s="30"/>
      <c r="D138" s="17"/>
      <c r="E138" s="18"/>
      <c r="F138" s="19"/>
      <c r="G138" s="17"/>
      <c r="H138" s="17"/>
    </row>
    <row r="139" spans="1:15" x14ac:dyDescent="0.35">
      <c r="A139" s="28"/>
      <c r="B139" s="29"/>
      <c r="C139" s="17"/>
      <c r="D139" s="17"/>
      <c r="E139" s="18"/>
      <c r="F139" s="19"/>
      <c r="G139" s="17"/>
      <c r="H139" s="17"/>
    </row>
    <row r="140" spans="1:15" ht="25" customHeight="1" x14ac:dyDescent="0.35">
      <c r="A140" s="96" t="s">
        <v>232</v>
      </c>
      <c r="B140" s="96"/>
      <c r="C140" s="96"/>
      <c r="D140" s="96"/>
      <c r="E140" s="96"/>
      <c r="F140" s="19"/>
      <c r="G140" s="17"/>
      <c r="H140" s="17"/>
    </row>
    <row r="141" spans="1:15" ht="29" x14ac:dyDescent="0.35">
      <c r="A141" s="26" t="s">
        <v>182</v>
      </c>
      <c r="B141" s="26" t="s">
        <v>169</v>
      </c>
      <c r="C141" s="35" t="s">
        <v>183</v>
      </c>
      <c r="D141" s="35" t="s">
        <v>184</v>
      </c>
      <c r="E141" s="35" t="s">
        <v>233</v>
      </c>
    </row>
    <row r="142" spans="1:15" x14ac:dyDescent="0.35">
      <c r="A142" s="31" t="s">
        <v>0</v>
      </c>
      <c r="B142" s="31" t="s">
        <v>185</v>
      </c>
      <c r="C142" s="31">
        <v>20</v>
      </c>
      <c r="D142" s="32">
        <v>107250</v>
      </c>
      <c r="E142" s="32">
        <v>51000</v>
      </c>
    </row>
    <row r="143" spans="1:15" x14ac:dyDescent="0.35">
      <c r="A143" s="31" t="s">
        <v>0</v>
      </c>
      <c r="B143" s="31" t="s">
        <v>177</v>
      </c>
      <c r="C143" s="31">
        <v>12</v>
      </c>
      <c r="D143" s="32">
        <v>199650</v>
      </c>
      <c r="E143" s="32">
        <v>21450</v>
      </c>
    </row>
    <row r="144" spans="1:15" x14ac:dyDescent="0.35">
      <c r="A144" s="31" t="s">
        <v>0</v>
      </c>
      <c r="B144" s="31" t="s">
        <v>179</v>
      </c>
      <c r="C144" s="31">
        <v>54</v>
      </c>
      <c r="D144" s="32">
        <v>255449.75</v>
      </c>
      <c r="E144" s="32">
        <v>68550.25</v>
      </c>
    </row>
    <row r="145" spans="1:12" x14ac:dyDescent="0.35">
      <c r="A145" s="16"/>
      <c r="B145" s="17"/>
      <c r="C145" s="17"/>
      <c r="D145" s="17"/>
      <c r="E145" s="18"/>
      <c r="F145" s="19"/>
      <c r="G145" s="17"/>
      <c r="H145" s="17"/>
    </row>
    <row r="146" spans="1:12" x14ac:dyDescent="0.35">
      <c r="A146" s="16" t="s">
        <v>234</v>
      </c>
      <c r="B146" s="17"/>
      <c r="C146" s="17"/>
      <c r="D146" s="17"/>
      <c r="E146" s="18"/>
      <c r="F146" s="19"/>
      <c r="G146" s="17"/>
      <c r="H146" s="17"/>
    </row>
    <row r="147" spans="1:12" x14ac:dyDescent="0.35">
      <c r="A147" s="1"/>
    </row>
    <row r="148" spans="1:12" x14ac:dyDescent="0.35">
      <c r="A148" s="41" t="s">
        <v>154</v>
      </c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</row>
    <row r="149" spans="1:12" x14ac:dyDescent="0.35">
      <c r="A149" s="33" t="s">
        <v>155</v>
      </c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</row>
    <row r="150" spans="1:12" x14ac:dyDescent="0.35">
      <c r="A150" s="33" t="s">
        <v>156</v>
      </c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</row>
    <row r="151" spans="1:12" x14ac:dyDescent="0.35">
      <c r="A151" s="2" t="s">
        <v>157</v>
      </c>
      <c r="B151" s="20" t="s">
        <v>216</v>
      </c>
      <c r="C151" s="20" t="s">
        <v>217</v>
      </c>
    </row>
    <row r="152" spans="1:12" x14ac:dyDescent="0.35">
      <c r="A152" s="4" t="s">
        <v>158</v>
      </c>
      <c r="B152" s="21">
        <v>10.076000000000001</v>
      </c>
      <c r="C152" s="21">
        <v>10.084300000000001</v>
      </c>
    </row>
    <row r="153" spans="1:12" x14ac:dyDescent="0.35">
      <c r="A153" s="4" t="s">
        <v>159</v>
      </c>
      <c r="B153" s="21">
        <v>10.1723</v>
      </c>
      <c r="C153" s="21">
        <v>9.9986999999999995</v>
      </c>
    </row>
    <row r="154" spans="1:12" x14ac:dyDescent="0.35">
      <c r="A154" s="75"/>
      <c r="B154" s="76"/>
      <c r="C154" s="77"/>
    </row>
    <row r="155" spans="1:12" x14ac:dyDescent="0.35">
      <c r="A155" s="72" t="s">
        <v>160</v>
      </c>
      <c r="B155" s="73"/>
      <c r="C155" s="74"/>
    </row>
    <row r="156" spans="1:12" x14ac:dyDescent="0.35">
      <c r="A156" s="2" t="s">
        <v>157</v>
      </c>
      <c r="B156" s="20" t="s">
        <v>161</v>
      </c>
      <c r="C156" s="20" t="s">
        <v>162</v>
      </c>
    </row>
    <row r="157" spans="1:12" x14ac:dyDescent="0.35">
      <c r="A157" s="72" t="s">
        <v>163</v>
      </c>
      <c r="B157" s="73"/>
      <c r="C157" s="74"/>
    </row>
    <row r="158" spans="1:12" x14ac:dyDescent="0.35">
      <c r="A158" s="72" t="s">
        <v>164</v>
      </c>
      <c r="B158" s="73"/>
      <c r="C158" s="74"/>
    </row>
    <row r="159" spans="1:12" x14ac:dyDescent="0.35">
      <c r="A159" s="72" t="s">
        <v>165</v>
      </c>
      <c r="B159" s="73"/>
      <c r="C159" s="74"/>
    </row>
    <row r="160" spans="1:12" x14ac:dyDescent="0.35">
      <c r="A160" s="72" t="s">
        <v>166</v>
      </c>
      <c r="B160" s="73"/>
      <c r="C160" s="74"/>
    </row>
    <row r="161" spans="1:4" x14ac:dyDescent="0.35">
      <c r="A161" s="72" t="s">
        <v>209</v>
      </c>
      <c r="B161" s="73"/>
      <c r="C161" s="74"/>
    </row>
    <row r="162" spans="1:4" x14ac:dyDescent="0.35">
      <c r="A162" s="72" t="s">
        <v>181</v>
      </c>
      <c r="B162" s="73"/>
      <c r="C162" s="74"/>
    </row>
    <row r="163" spans="1:4" x14ac:dyDescent="0.35">
      <c r="A163" s="72" t="s">
        <v>167</v>
      </c>
      <c r="B163" s="73"/>
      <c r="C163" s="74"/>
    </row>
    <row r="164" spans="1:4" x14ac:dyDescent="0.35">
      <c r="A164" s="97" t="s">
        <v>168</v>
      </c>
      <c r="B164" s="98"/>
      <c r="C164" s="99"/>
    </row>
    <row r="165" spans="1:4" x14ac:dyDescent="0.35">
      <c r="A165" s="100" t="s">
        <v>235</v>
      </c>
      <c r="B165" s="100"/>
      <c r="C165" s="100"/>
    </row>
    <row r="166" spans="1:4" x14ac:dyDescent="0.35">
      <c r="A166" s="101" t="s">
        <v>236</v>
      </c>
      <c r="B166" s="102"/>
      <c r="C166" s="103"/>
    </row>
    <row r="167" spans="1:4" x14ac:dyDescent="0.35">
      <c r="A167" s="1"/>
    </row>
    <row r="168" spans="1:4" x14ac:dyDescent="0.35">
      <c r="A168" s="33" t="s">
        <v>186</v>
      </c>
      <c r="B168" s="33"/>
      <c r="C168" s="33"/>
      <c r="D168" s="33"/>
    </row>
    <row r="169" spans="1:4" x14ac:dyDescent="0.35">
      <c r="A169" s="81" t="s">
        <v>187</v>
      </c>
      <c r="B169" s="81"/>
      <c r="C169" s="81"/>
      <c r="D169" s="81"/>
    </row>
    <row r="170" spans="1:4" x14ac:dyDescent="0.35">
      <c r="A170" s="81" t="s">
        <v>188</v>
      </c>
      <c r="B170" s="81"/>
      <c r="C170" s="81"/>
      <c r="D170" s="81"/>
    </row>
    <row r="171" spans="1:4" x14ac:dyDescent="0.35">
      <c r="A171" s="81" t="s">
        <v>189</v>
      </c>
      <c r="B171" s="81"/>
      <c r="C171" s="81"/>
      <c r="D171" s="81"/>
    </row>
    <row r="173" spans="1:4" ht="28.75" customHeight="1" x14ac:dyDescent="0.35">
      <c r="A173" s="36" t="s">
        <v>191</v>
      </c>
      <c r="B173" s="69" t="s">
        <v>192</v>
      </c>
      <c r="C173" s="70"/>
      <c r="D173" s="34"/>
    </row>
    <row r="184" spans="1:3" x14ac:dyDescent="0.35">
      <c r="A184" s="104" t="s">
        <v>190</v>
      </c>
      <c r="B184" s="71" t="s">
        <v>193</v>
      </c>
      <c r="C184" s="71"/>
    </row>
  </sheetData>
  <mergeCells count="30">
    <mergeCell ref="A1:H1"/>
    <mergeCell ref="A2:H2"/>
    <mergeCell ref="A169:D169"/>
    <mergeCell ref="A170:D170"/>
    <mergeCell ref="A171:D171"/>
    <mergeCell ref="A3:H3"/>
    <mergeCell ref="A4:A5"/>
    <mergeCell ref="B4:B5"/>
    <mergeCell ref="C4:C5"/>
    <mergeCell ref="D4:D5"/>
    <mergeCell ref="E4:E5"/>
    <mergeCell ref="F4:F5"/>
    <mergeCell ref="H4:H5"/>
    <mergeCell ref="G4:G5"/>
    <mergeCell ref="A107:M107"/>
    <mergeCell ref="A140:E140"/>
    <mergeCell ref="B173:C173"/>
    <mergeCell ref="B184:C184"/>
    <mergeCell ref="A154:C154"/>
    <mergeCell ref="A155:C155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</mergeCells>
  <hyperlinks>
    <hyperlink ref="A165" r:id="rId1" display="https://unifimf.com/wp-content/uploads/fund-sheets/Scheme_Performance_Flexicap_Feb.xlsx" xr:uid="{C36F157C-0AA3-473E-951C-68EA24004102}"/>
    <hyperlink ref="A165:C165" r:id="rId2" display="Click here" xr:uid="{21EBFA5A-AB68-4DC7-BAAF-039B85FD62E8}"/>
    <hyperlink ref="A166" r:id="rId3" display="Click here" xr:uid="{0F60B216-F5D1-4680-A36E-D3F2C19A906C}"/>
    <hyperlink ref="A166:C166" r:id="rId4" display="10) For disclosure of category wise portfolio overlap levels in Unifi Mutual Fund Schemes, please refer to the following link : Click here" xr:uid="{1CD7E7C7-EE10-4CF9-B6A3-A122C98CB414}"/>
  </hyperlinks>
  <pageMargins left="0.7" right="0.7" top="0.75" bottom="0.75" header="0.3" footer="0.3"/>
  <pageSetup paperSize="0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Prakarsh Agarwal</dc:creator>
  <cp:lastModifiedBy>Achudhan K M</cp:lastModifiedBy>
  <cp:lastPrinted>2026-03-07T06:03:11Z</cp:lastPrinted>
  <dcterms:created xsi:type="dcterms:W3CDTF">2026-03-04T16:37:44Z</dcterms:created>
  <dcterms:modified xsi:type="dcterms:W3CDTF">2026-03-09T15:56:52Z</dcterms:modified>
</cp:coreProperties>
</file>