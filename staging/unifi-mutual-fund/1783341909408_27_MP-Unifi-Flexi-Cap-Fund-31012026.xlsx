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5577BEE3-1638-474A-B5E3-E5E3BBA36F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Flexi Cap Fund" sheetId="2" r:id="rId1"/>
  </sheets>
  <definedNames>
    <definedName name="_xlnm._FilterDatabase" localSheetId="0" hidden="1">'Unifi Flexi Cap Fund'!$N$6:$O$63</definedName>
    <definedName name="page\x2dtotal">#REF!</definedName>
    <definedName name="page\x2dtotal\x2dmaster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" i="2" l="1"/>
  <c r="F92" i="2" s="1"/>
</calcChain>
</file>

<file path=xl/sharedStrings.xml><?xml version="1.0" encoding="utf-8"?>
<sst xmlns="http://schemas.openxmlformats.org/spreadsheetml/2006/main" count="251" uniqueCount="200">
  <si>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</si>
  <si>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</si>
  <si>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</si>
  <si>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</si>
  <si>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</si>
  <si>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</si>
  <si>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</si>
  <si>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</si>
  <si>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</si>
  <si>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</si>
  <si>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HDFC Bank Limited</t>
  </si>
  <si>
    <t>INE040A01034</t>
  </si>
  <si>
    <t xml:space="preserve"> Reliance Industries Limited</t>
  </si>
  <si>
    <t>INE002A01018</t>
  </si>
  <si>
    <t xml:space="preserve"> ITC Limited</t>
  </si>
  <si>
    <t>INE154A01025</t>
  </si>
  <si>
    <t xml:space="preserve"> Mahindra &amp; Mahindra Limited</t>
  </si>
  <si>
    <t>INE101A01026</t>
  </si>
  <si>
    <t xml:space="preserve"> Kotak Mahindra Bank Limited</t>
  </si>
  <si>
    <t>INE237A01036</t>
  </si>
  <si>
    <t xml:space="preserve"> Tata Steel Limited</t>
  </si>
  <si>
    <t>INE081A01020</t>
  </si>
  <si>
    <t xml:space="preserve"> ICICI Bank Limited</t>
  </si>
  <si>
    <t>INE090A01021</t>
  </si>
  <si>
    <t xml:space="preserve"> Axis Bank Limited</t>
  </si>
  <si>
    <t>INE238A01034</t>
  </si>
  <si>
    <t xml:space="preserve"> State Bank of India</t>
  </si>
  <si>
    <t>INE062A01020</t>
  </si>
  <si>
    <t xml:space="preserve"> InterGlobe Aviation Limited</t>
  </si>
  <si>
    <t>INE646L01027</t>
  </si>
  <si>
    <t>Power</t>
  </si>
  <si>
    <t xml:space="preserve"> PNB Housing Finance Limited</t>
  </si>
  <si>
    <t>INE572E01012</t>
  </si>
  <si>
    <t xml:space="preserve"> Bank of Baroda</t>
  </si>
  <si>
    <t>INE028A01039</t>
  </si>
  <si>
    <t>Healthcare Services</t>
  </si>
  <si>
    <t xml:space="preserve"> HDFC Asset Management Company Limited</t>
  </si>
  <si>
    <t>INE127D01025</t>
  </si>
  <si>
    <t xml:space="preserve"> Bharti Airtel Limited</t>
  </si>
  <si>
    <t>INE397D01024</t>
  </si>
  <si>
    <t xml:space="preserve"> Larsen &amp; Toubro Limited</t>
  </si>
  <si>
    <t>INE018A01030</t>
  </si>
  <si>
    <t>Construction</t>
  </si>
  <si>
    <t xml:space="preserve"> Apollo Hospitals Enterprise Limited</t>
  </si>
  <si>
    <t>INE437A01024</t>
  </si>
  <si>
    <t xml:space="preserve"> Infosys Limited</t>
  </si>
  <si>
    <t>INE009A01021</t>
  </si>
  <si>
    <t xml:space="preserve"> Power Grid Corporation of India Limited</t>
  </si>
  <si>
    <t>INE752E01010</t>
  </si>
  <si>
    <t xml:space="preserve"> TVS Motor Company Limited</t>
  </si>
  <si>
    <t>INE494B01023</t>
  </si>
  <si>
    <t xml:space="preserve"> Tech Mahindra Limited</t>
  </si>
  <si>
    <t>INE669C01036</t>
  </si>
  <si>
    <t>Subtotal</t>
  </si>
  <si>
    <t>(b) UNLISTED</t>
  </si>
  <si>
    <t>NIL</t>
  </si>
  <si>
    <t>Total</t>
  </si>
  <si>
    <t>Debt Instruments</t>
  </si>
  <si>
    <t>(b) Privately placed / Unlisted</t>
  </si>
  <si>
    <t>(c) Securitised Debt</t>
  </si>
  <si>
    <t>Money Market Instruments</t>
  </si>
  <si>
    <t>Others</t>
  </si>
  <si>
    <t>Net Current Assets</t>
  </si>
  <si>
    <t>GRAND TOTAL</t>
  </si>
  <si>
    <t>^^  As per AMFI Best Practices Circular dated 24 March 2021, Yield to Call (YTC) to be disclosed for Perpetual Bonds issued by Banks.</t>
  </si>
  <si>
    <t>Notes :</t>
  </si>
  <si>
    <t>1) The provision made for investment in security below investment grade as on January 31, 2026 is Rs Nil and its percentage to Net Asset Value is Nil.</t>
  </si>
  <si>
    <t>2) Net Assets Value per unit (in Rs) are as follows :</t>
  </si>
  <si>
    <t>Plan/Option</t>
  </si>
  <si>
    <t>As on December 31, 2025</t>
  </si>
  <si>
    <t>4) No Bonus declared during the month January 2026</t>
  </si>
  <si>
    <t>5) Total outstanding exposure in derivative instruments as on January 31, 2026 : Nil.</t>
  </si>
  <si>
    <t xml:space="preserve">6) Total investments in Foreign Securities / Overseas ETFs as at January 31, 2026 and its percentage to NAV : Nil. </t>
  </si>
  <si>
    <t>7) Details of repo transactions in corporate debt securities for the month of January 2026: Nil.</t>
  </si>
  <si>
    <t xml:space="preserve">9) Average maturity of the portfolio : </t>
  </si>
  <si>
    <t>10) Reverse Repo market value is considered as book cost plus accrued Interest.</t>
  </si>
  <si>
    <t>11) Whether any security is in default beyond its maturity date: NIL</t>
  </si>
  <si>
    <t>12) Whether during the period any investment is made in derivative instruments: NIL</t>
  </si>
  <si>
    <t xml:space="preserve"> NTPC Limited</t>
  </si>
  <si>
    <t>INE733E01010</t>
  </si>
  <si>
    <t xml:space="preserve"> Coromandel International Limited</t>
  </si>
  <si>
    <t>INE169A01031</t>
  </si>
  <si>
    <t xml:space="preserve"> Aarti Pharmalabs Limited</t>
  </si>
  <si>
    <t>INE0LRU01027</t>
  </si>
  <si>
    <t xml:space="preserve"> Bajaj Auto Limited</t>
  </si>
  <si>
    <t>INE917I01010</t>
  </si>
  <si>
    <t xml:space="preserve"> Nippon Life India Asset Management Ltd</t>
  </si>
  <si>
    <t>INE298J01013</t>
  </si>
  <si>
    <t xml:space="preserve"> Narayana Hrudayalaya Limited</t>
  </si>
  <si>
    <t>INE410P01011</t>
  </si>
  <si>
    <t xml:space="preserve"> CARE Ratings Limited</t>
  </si>
  <si>
    <t>INE752H01013</t>
  </si>
  <si>
    <t xml:space="preserve"> Torrent Pharmaceuticals Limited</t>
  </si>
  <si>
    <t>INE685A01028</t>
  </si>
  <si>
    <t xml:space="preserve"> CMS Info Systems Limited</t>
  </si>
  <si>
    <t>INE925R01014</t>
  </si>
  <si>
    <t xml:space="preserve"> Hindustan Aeronautics Limited</t>
  </si>
  <si>
    <t>INE066F01020</t>
  </si>
  <si>
    <t xml:space="preserve"> The South Indian Bank Limited</t>
  </si>
  <si>
    <t>INE683A01023</t>
  </si>
  <si>
    <t xml:space="preserve"> HCL Technologies Limited</t>
  </si>
  <si>
    <t>INE860A01027</t>
  </si>
  <si>
    <t xml:space="preserve"> Pearl Global Industries Limited</t>
  </si>
  <si>
    <t>INE940H01022</t>
  </si>
  <si>
    <t xml:space="preserve"> Redington Limited</t>
  </si>
  <si>
    <t>INE891D01026</t>
  </si>
  <si>
    <t xml:space="preserve"> Aadhar Housing Finance Limited</t>
  </si>
  <si>
    <t>INE883F01010</t>
  </si>
  <si>
    <t xml:space="preserve"> Vedanta Limited</t>
  </si>
  <si>
    <t>INE205A01025</t>
  </si>
  <si>
    <t xml:space="preserve"> SAGILITY INDIA LIMITED</t>
  </si>
  <si>
    <t>INE0W2G01015</t>
  </si>
  <si>
    <t xml:space="preserve"> MphasiS Limited</t>
  </si>
  <si>
    <t>INE356A01018</t>
  </si>
  <si>
    <t xml:space="preserve"> PARADEEP PHOSPHATES LIMITED</t>
  </si>
  <si>
    <t>INE088F01024</t>
  </si>
  <si>
    <t xml:space="preserve"> Marksans Pharma Limited</t>
  </si>
  <si>
    <t>INE750C01026</t>
  </si>
  <si>
    <t xml:space="preserve"> Aditya Birla Real Estate Limited</t>
  </si>
  <si>
    <t>INE055A01016</t>
  </si>
  <si>
    <t xml:space="preserve"> LTIMindtree Ltd</t>
  </si>
  <si>
    <t>INE214T01019</t>
  </si>
  <si>
    <t xml:space="preserve"> Oracle Financial Services Software</t>
  </si>
  <si>
    <t>INE881D01027</t>
  </si>
  <si>
    <t xml:space="preserve"> Aditya Birla Sun Life Mutual Fund</t>
  </si>
  <si>
    <t>INE404A01024</t>
  </si>
  <si>
    <t xml:space="preserve"> Medplus Health Services Limited</t>
  </si>
  <si>
    <t>INE804L01022</t>
  </si>
  <si>
    <t xml:space="preserve"> Bayer Cropscience Limited</t>
  </si>
  <si>
    <t>INE462A01022</t>
  </si>
  <si>
    <t xml:space="preserve"> Can Fin Homes Limited</t>
  </si>
  <si>
    <t>INE477A01020</t>
  </si>
  <si>
    <t xml:space="preserve"> Shyam Metalics and Energy Ltd.</t>
  </si>
  <si>
    <t>INE810G01011</t>
  </si>
  <si>
    <t xml:space="preserve"> TD Power Systems Limited</t>
  </si>
  <si>
    <t>INE419M01027</t>
  </si>
  <si>
    <t xml:space="preserve"> TUBE INVESTMENTS OF INDIA LTD</t>
  </si>
  <si>
    <t>INE974X01010</t>
  </si>
  <si>
    <t xml:space="preserve"> RPG Life Sciences Limited</t>
  </si>
  <si>
    <t>INE105J01010</t>
  </si>
  <si>
    <t xml:space="preserve"> Godrej Agrovet Limited</t>
  </si>
  <si>
    <t>INE850D01014</t>
  </si>
  <si>
    <t xml:space="preserve"> NCC Limited</t>
  </si>
  <si>
    <t>INE868B01028</t>
  </si>
  <si>
    <t xml:space="preserve"> GlaxoSmithKline Pharmaceuticals Ltd</t>
  </si>
  <si>
    <t>INE159A01016</t>
  </si>
  <si>
    <t xml:space="preserve"> Grindwell Norton Limited</t>
  </si>
  <si>
    <t>INE536A01023</t>
  </si>
  <si>
    <t xml:space="preserve"> Cummins India Limited</t>
  </si>
  <si>
    <t>INE298A01020</t>
  </si>
  <si>
    <t xml:space="preserve"> Kovai Medical Center &amp; Hospital Ltd.</t>
  </si>
  <si>
    <t>INE177F01017</t>
  </si>
  <si>
    <t>Unifi Mutual Fund</t>
  </si>
  <si>
    <t xml:space="preserve">Unifi Flexi Cap Fund
(An open-ended dynamic equity scheme investing across large cap, mid cap, small cap stocks) </t>
  </si>
  <si>
    <t>INE494B04019</t>
  </si>
  <si>
    <t>Telecom - Services</t>
  </si>
  <si>
    <t>Banks</t>
  </si>
  <si>
    <t>Petroleum Products</t>
  </si>
  <si>
    <t>Automobiles</t>
  </si>
  <si>
    <t>Ferrous Metals</t>
  </si>
  <si>
    <t>Diversified FMCG</t>
  </si>
  <si>
    <t>Fertilizers &amp; Agrochemicals</t>
  </si>
  <si>
    <t>Pharmaceuticals &amp; Biotechnology</t>
  </si>
  <si>
    <t>Transport Services</t>
  </si>
  <si>
    <t>Capital Markets</t>
  </si>
  <si>
    <t>Commercial Services &amp; Supplies</t>
  </si>
  <si>
    <t>Aerospace &amp; Defense</t>
  </si>
  <si>
    <t>IT - Software</t>
  </si>
  <si>
    <t>Textiles &amp; Apparels</t>
  </si>
  <si>
    <t>Finance</t>
  </si>
  <si>
    <t>Diversified Metals</t>
  </si>
  <si>
    <t>IT - Services</t>
  </si>
  <si>
    <t>Paper, Forest &amp; Jute Products</t>
  </si>
  <si>
    <t>Retailing</t>
  </si>
  <si>
    <t>Industrial Products</t>
  </si>
  <si>
    <t>Electrical Equipment</t>
  </si>
  <si>
    <t>Auto Components</t>
  </si>
  <si>
    <t>Food Products</t>
  </si>
  <si>
    <t>Direct Plan - Growth Option</t>
  </si>
  <si>
    <t>Regular Plan - Growth Option</t>
  </si>
  <si>
    <t>(a) Non convertible Preference Shares/Bonds</t>
  </si>
  <si>
    <t>Listed / awaiting listing on Stock Exchange</t>
  </si>
  <si>
    <t>6.00% TVS Motor Company Ltd (Preference Share) 01-Sep-2026**</t>
  </si>
  <si>
    <t>Tri Party Repo (TREPs)</t>
  </si>
  <si>
    <t>TREPS</t>
  </si>
  <si>
    <t>Margin Money for derivative/TREPS</t>
  </si>
  <si>
    <t>As on January 30, 2026</t>
  </si>
  <si>
    <t>8) Details of transactions of (Credit Default Swap) for the month ended January 31, 2026 : Nil.</t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</si>
  <si>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</si>
  <si>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</si>
  <si>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</si>
  <si>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</si>
  <si>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Scheme’s Riskometer
 </t>
  </si>
  <si>
    <t xml:space="preserve">Tier 1 Benchmark’s Riskometer-(Nifty 500 TRI)
</t>
  </si>
  <si>
    <t xml:space="preserve">                                Investors understand that their principal will be at very high risk.</t>
  </si>
  <si>
    <t xml:space="preserve">          Benchmark Risk-o-meter is very high</t>
  </si>
  <si>
    <r>
      <rPr>
        <sz val="11"/>
        <rFont val="Calibri"/>
        <family val="2"/>
      </rPr>
      <t>13) For more details on Scheme Performance, please refer to the following link :</t>
    </r>
    <r>
      <rPr>
        <u/>
        <sz val="11"/>
        <color theme="10"/>
        <rFont val="Calibri"/>
        <family val="2"/>
      </rPr>
      <t>Click here</t>
    </r>
  </si>
  <si>
    <t xml:space="preserve">  ** Thinly Traded/Illiquid Securities</t>
  </si>
  <si>
    <t>Monthly Portfolio Statement as on 31-JANUARY-2026</t>
  </si>
  <si>
    <t>3) Details of Dividend declared per unit (in Rs.) during the Month of January 2026 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</si>
</sst>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000"/>
    <numFmt numFmtId="165" formatCode="0.0000000%"/>
  </numFmts>
  <fonts count="11" x14ac:knownFonts="1">
    <font>
      <sz val="11"/>
      <color theme="1"/>
      <name val="Calibri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0"/>
      <color indexed="56"/>
      <name val="Tahoma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0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wrapText="1"/>
    </xf>
    <xf numFmtId="4" fontId="5" fillId="0" borderId="1" xfId="0" applyNumberFormat="1" applyFont="1" applyBorder="1" applyAlignment="1">
      <alignment horizontal="right" vertical="top" wrapText="1"/>
    </xf>
    <xf numFmtId="10" fontId="5" fillId="0" borderId="1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2" fillId="0" borderId="0" xfId="0" applyNumberFormat="1" applyFont="1" applyAlignment="1">
      <alignment horizontal="right" vertical="top" wrapText="1"/>
    </xf>
    <xf numFmtId="10" fontId="2" fillId="0" borderId="0" xfId="0" applyNumberFormat="1" applyFont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6" fillId="0" borderId="0" xfId="0" applyFont="1"/>
    <xf numFmtId="4" fontId="2" fillId="0" borderId="2" xfId="0" applyNumberFormat="1" applyFont="1" applyBorder="1" applyAlignment="1">
      <alignment horizontal="right" vertical="top" wrapText="1"/>
    </xf>
    <xf numFmtId="10" fontId="2" fillId="0" borderId="2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0" borderId="7" xfId="0" applyFont="1" applyBorder="1" applyAlignment="1">
      <alignment horizontal="right" vertical="top" wrapText="1"/>
    </xf>
    <xf numFmtId="0" fontId="0" fillId="0" borderId="7" xfId="0" applyBorder="1"/>
    <xf numFmtId="0" fontId="2" fillId="0" borderId="9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10" fontId="2" fillId="0" borderId="1" xfId="2" applyNumberFormat="1" applyFont="1" applyBorder="1" applyAlignment="1">
      <alignment horizontal="right" vertical="top" wrapText="1"/>
    </xf>
    <xf numFmtId="165" fontId="0" fillId="0" borderId="0" xfId="0" applyNumberFormat="1"/>
    <xf numFmtId="43" fontId="0" fillId="0" borderId="0" xfId="0" applyNumberFormat="1"/>
    <xf numFmtId="43" fontId="8" fillId="0" borderId="0" xfId="1" applyFont="1" applyBorder="1" applyAlignment="1">
      <alignment horizontal="right"/>
    </xf>
    <xf numFmtId="0" fontId="3" fillId="0" borderId="0" xfId="0" applyFont="1"/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4" xfId="3" applyBorder="1" applyAlignment="1">
      <alignment horizontal="left" vertical="top" wrapText="1"/>
    </xf>
    <xf numFmtId="0" fontId="7" fillId="0" borderId="5" xfId="3" applyBorder="1" applyAlignment="1">
      <alignment horizontal="left" vertical="top" wrapText="1"/>
    </xf>
    <xf numFmtId="0" fontId="7" fillId="0" borderId="6" xfId="3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1453515</xdr:colOff>
      <xdr:row>121</xdr:row>
      <xdr:rowOff>78105</xdr:rowOff>
    </xdr:from>
    <xdr:to>
      <xdr:col>0</xdr:col>
      <xdr:colOff>5046724</xdr:colOff>
      <xdr:row>130</xdr:row>
      <xdr:rowOff>114301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2D127136-E6C8-478C-90E5-B56F1A991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" y="24671655"/>
          <a:ext cx="3593209" cy="1693546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121</xdr:row>
      <xdr:rowOff>116205</xdr:rowOff>
    </xdr:from>
    <xdr:to>
      <xdr:col>2</xdr:col>
      <xdr:colOff>2023745</xdr:colOff>
      <xdr:row>130</xdr:row>
      <xdr:rowOff>173553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036E0C5C-493C-4213-997E-101D58371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0460" y="24709755"/>
          <a:ext cx="3518535" cy="17146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unifimf.com/wp-content/uploads/fund-sheets/Scheme_Performance_Flexicap_Jan.xlsx" TargetMode="External"/><Relationship Id="rId1" Type="http://schemas.openxmlformats.org/officeDocument/2006/relationships/hyperlink" Target="https://unifimf.com/wp-content/uploads/fund-sheets/Scheme_Performance_Flexicap_Jan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2"/>
  <sheetViews>
    <sheetView showGridLines="0" tabSelected="1" zoomScale="60" zoomScaleNormal="60" workbookViewId="0">
      <selection sqref="A1:I1"/>
    </sheetView>
  </sheetViews>
  <sheetFormatPr defaultRowHeight="14.5" x14ac:dyDescent="0.35"/>
  <cols>
    <col min="1" max="1" width="95.26953125" customWidth="1"/>
    <col min="2" max="2" width="22.26953125" customWidth="1"/>
    <col min="3" max="3" width="30.81640625" customWidth="1"/>
    <col min="4" max="4" width="15.453125" customWidth="1"/>
    <col min="5" max="5" width="12.81640625" customWidth="1"/>
    <col min="6" max="6" width="13.90625" bestFit="1" customWidth="1"/>
    <col min="7" max="7" width="7.7265625" customWidth="1"/>
    <col min="8" max="8" width="8.54296875" hidden="1" customWidth="1"/>
    <col min="9" max="9" width="6" customWidth="1"/>
    <col min="10" max="13" width="0.7265625" customWidth="1"/>
    <col min="14" max="14" width="29.81640625" bestFit="1" customWidth="1"/>
    <col min="15" max="16" width="12.36328125" bestFit="1" customWidth="1"/>
  </cols>
  <sheetData>
    <row r="1" spans="1:15" ht="18" customHeight="1" x14ac:dyDescent="0.35">
      <c r="A1" s="48" t="s">
        <v>152</v>
      </c>
      <c r="B1" s="49"/>
      <c r="C1" s="49"/>
      <c r="D1" s="49"/>
      <c r="E1" s="49"/>
      <c r="F1" s="49"/>
      <c r="G1" s="49"/>
      <c r="H1" s="49"/>
      <c r="I1" s="50"/>
    </row>
    <row r="2" spans="1:15" ht="30" customHeight="1" x14ac:dyDescent="0.35">
      <c r="A2" s="48" t="s">
        <v>153</v>
      </c>
      <c r="B2" s="49"/>
      <c r="C2" s="49"/>
      <c r="D2" s="49"/>
      <c r="E2" s="49"/>
      <c r="F2" s="49"/>
      <c r="G2" s="49"/>
      <c r="H2" s="49"/>
      <c r="I2" s="50"/>
    </row>
    <row r="3" spans="1:15" x14ac:dyDescent="0.35">
      <c r="A3" s="64" t="s">
        <v>198</v>
      </c>
      <c r="B3" s="65"/>
      <c r="C3" s="65"/>
      <c r="D3" s="65"/>
      <c r="E3" s="65"/>
      <c r="F3" s="65"/>
      <c r="G3" s="65"/>
      <c r="H3" s="65"/>
      <c r="I3" s="66"/>
    </row>
    <row r="4" spans="1:15" ht="62.5" x14ac:dyDescent="0.35">
      <c r="A4" s="27" t="s">
        <v>0</v>
      </c>
      <c r="B4" s="27" t="s">
        <v>1</v>
      </c>
      <c r="C4" s="27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28"/>
    </row>
    <row r="5" spans="1:15" ht="18.399999999999999" customHeight="1" x14ac:dyDescent="0.35">
      <c r="A5" s="4" t="s">
        <v>8</v>
      </c>
      <c r="B5" s="5"/>
      <c r="C5" s="5"/>
      <c r="D5" s="5"/>
      <c r="E5" s="5"/>
      <c r="F5" s="5"/>
      <c r="G5" s="5"/>
      <c r="H5" s="5"/>
      <c r="I5" s="6"/>
    </row>
    <row r="6" spans="1:15" ht="16.649999999999999" customHeight="1" x14ac:dyDescent="0.35">
      <c r="A6" s="4" t="s">
        <v>9</v>
      </c>
      <c r="B6" s="5"/>
      <c r="C6" s="5"/>
      <c r="D6" s="5"/>
      <c r="E6" s="5"/>
      <c r="F6" s="5"/>
      <c r="G6" s="5"/>
      <c r="H6" s="5"/>
      <c r="I6" s="5"/>
      <c r="O6" s="29"/>
    </row>
    <row r="7" spans="1:15" x14ac:dyDescent="0.35">
      <c r="A7" s="7" t="s">
        <v>38</v>
      </c>
      <c r="B7" s="7" t="s">
        <v>39</v>
      </c>
      <c r="C7" s="7" t="s">
        <v>155</v>
      </c>
      <c r="D7" s="8">
        <v>46052</v>
      </c>
      <c r="E7" s="9">
        <v>906.62572399999999</v>
      </c>
      <c r="F7" s="10">
        <v>5.1978129318415792E-2</v>
      </c>
      <c r="G7" s="5"/>
      <c r="H7" s="5"/>
      <c r="I7" s="6"/>
    </row>
    <row r="8" spans="1:15" x14ac:dyDescent="0.35">
      <c r="A8" s="7" t="s">
        <v>22</v>
      </c>
      <c r="B8" s="7" t="s">
        <v>23</v>
      </c>
      <c r="C8" s="7" t="s">
        <v>156</v>
      </c>
      <c r="D8" s="8">
        <v>65802</v>
      </c>
      <c r="E8" s="9">
        <v>891.61710000000005</v>
      </c>
      <c r="F8" s="10">
        <v>5.1117663771815577E-2</v>
      </c>
      <c r="G8" s="5"/>
      <c r="H8" s="5"/>
      <c r="I8" s="6"/>
    </row>
    <row r="9" spans="1:15" x14ac:dyDescent="0.35">
      <c r="A9" s="7" t="s">
        <v>10</v>
      </c>
      <c r="B9" s="7" t="s">
        <v>11</v>
      </c>
      <c r="C9" s="7" t="s">
        <v>156</v>
      </c>
      <c r="D9" s="8">
        <v>82400</v>
      </c>
      <c r="E9" s="9">
        <v>765.702</v>
      </c>
      <c r="F9" s="10">
        <v>4.3898773795844344E-2</v>
      </c>
      <c r="G9" s="5"/>
      <c r="H9" s="5"/>
      <c r="I9" s="6"/>
    </row>
    <row r="10" spans="1:15" x14ac:dyDescent="0.35">
      <c r="A10" s="7" t="s">
        <v>18</v>
      </c>
      <c r="B10" s="7" t="s">
        <v>19</v>
      </c>
      <c r="C10" s="7" t="s">
        <v>156</v>
      </c>
      <c r="D10" s="8">
        <v>179015</v>
      </c>
      <c r="E10" s="9">
        <v>730.38120000000004</v>
      </c>
      <c r="F10" s="10">
        <v>4.1873782598892718E-2</v>
      </c>
      <c r="G10" s="5"/>
      <c r="H10" s="5"/>
      <c r="I10" s="6"/>
    </row>
    <row r="11" spans="1:15" x14ac:dyDescent="0.35">
      <c r="A11" s="7" t="s">
        <v>12</v>
      </c>
      <c r="B11" s="7" t="s">
        <v>13</v>
      </c>
      <c r="C11" s="7" t="s">
        <v>157</v>
      </c>
      <c r="D11" s="8">
        <v>49000</v>
      </c>
      <c r="E11" s="9">
        <v>683.74599999999998</v>
      </c>
      <c r="F11" s="10">
        <v>3.9200120918860583E-2</v>
      </c>
      <c r="G11" s="5"/>
      <c r="H11" s="5"/>
      <c r="I11" s="6"/>
    </row>
    <row r="12" spans="1:15" x14ac:dyDescent="0.35">
      <c r="A12" s="7" t="s">
        <v>40</v>
      </c>
      <c r="B12" s="7" t="s">
        <v>41</v>
      </c>
      <c r="C12" s="7" t="s">
        <v>42</v>
      </c>
      <c r="D12" s="8">
        <v>15000</v>
      </c>
      <c r="E12" s="9">
        <v>589.84500000000003</v>
      </c>
      <c r="F12" s="10">
        <v>3.3816644372888942E-2</v>
      </c>
      <c r="G12" s="5"/>
      <c r="H12" s="5"/>
      <c r="I12" s="6"/>
    </row>
    <row r="13" spans="1:15" x14ac:dyDescent="0.35">
      <c r="A13" s="7" t="s">
        <v>24</v>
      </c>
      <c r="B13" s="7" t="s">
        <v>25</v>
      </c>
      <c r="C13" s="7" t="s">
        <v>156</v>
      </c>
      <c r="D13" s="8">
        <v>39601</v>
      </c>
      <c r="E13" s="9">
        <v>542.69210399999997</v>
      </c>
      <c r="F13" s="10">
        <v>3.1113302452242302E-2</v>
      </c>
      <c r="G13" s="5"/>
      <c r="H13" s="5"/>
      <c r="I13" s="6"/>
    </row>
    <row r="14" spans="1:15" x14ac:dyDescent="0.35">
      <c r="A14" s="7" t="s">
        <v>26</v>
      </c>
      <c r="B14" s="7" t="s">
        <v>27</v>
      </c>
      <c r="C14" s="7" t="s">
        <v>156</v>
      </c>
      <c r="D14" s="8">
        <v>48002</v>
      </c>
      <c r="E14" s="9">
        <v>517.05354299999999</v>
      </c>
      <c r="F14" s="10">
        <v>2.9643407650100009E-2</v>
      </c>
      <c r="G14" s="5"/>
      <c r="H14" s="5"/>
      <c r="I14" s="6"/>
    </row>
    <row r="15" spans="1:15" x14ac:dyDescent="0.35">
      <c r="A15" s="7" t="s">
        <v>16</v>
      </c>
      <c r="B15" s="7" t="s">
        <v>17</v>
      </c>
      <c r="C15" s="7" t="s">
        <v>158</v>
      </c>
      <c r="D15" s="8">
        <v>15000</v>
      </c>
      <c r="E15" s="9">
        <v>514.77</v>
      </c>
      <c r="F15" s="10">
        <v>2.9512488914599667E-2</v>
      </c>
      <c r="G15" s="5"/>
      <c r="H15" s="5"/>
      <c r="I15" s="6"/>
    </row>
    <row r="16" spans="1:15" x14ac:dyDescent="0.35">
      <c r="A16" s="7" t="s">
        <v>20</v>
      </c>
      <c r="B16" s="7" t="s">
        <v>21</v>
      </c>
      <c r="C16" s="7" t="s">
        <v>159</v>
      </c>
      <c r="D16" s="8">
        <v>265000</v>
      </c>
      <c r="E16" s="9">
        <v>511.79450000000003</v>
      </c>
      <c r="F16" s="10">
        <v>2.9341899309989084E-2</v>
      </c>
      <c r="G16" s="5"/>
      <c r="H16" s="5"/>
      <c r="I16" s="6"/>
    </row>
    <row r="17" spans="1:9" x14ac:dyDescent="0.35">
      <c r="A17" s="7" t="s">
        <v>14</v>
      </c>
      <c r="B17" s="7" t="s">
        <v>15</v>
      </c>
      <c r="C17" s="7" t="s">
        <v>160</v>
      </c>
      <c r="D17" s="8">
        <v>146400</v>
      </c>
      <c r="E17" s="9">
        <v>471.62759999999997</v>
      </c>
      <c r="F17" s="10">
        <v>2.7039074376555054E-2</v>
      </c>
      <c r="G17" s="5"/>
      <c r="H17" s="5"/>
      <c r="I17" s="6"/>
    </row>
    <row r="18" spans="1:9" x14ac:dyDescent="0.35">
      <c r="A18" s="7" t="s">
        <v>43</v>
      </c>
      <c r="B18" s="7" t="s">
        <v>44</v>
      </c>
      <c r="C18" s="7" t="s">
        <v>35</v>
      </c>
      <c r="D18" s="8">
        <v>6702</v>
      </c>
      <c r="E18" s="9">
        <v>466.49270999999999</v>
      </c>
      <c r="F18" s="10">
        <v>2.6744683902745998E-2</v>
      </c>
      <c r="G18" s="5"/>
      <c r="H18" s="5"/>
      <c r="I18" s="6"/>
    </row>
    <row r="19" spans="1:9" x14ac:dyDescent="0.35">
      <c r="A19" s="7" t="s">
        <v>78</v>
      </c>
      <c r="B19" s="7" t="s">
        <v>79</v>
      </c>
      <c r="C19" s="7" t="s">
        <v>30</v>
      </c>
      <c r="D19" s="8">
        <v>100502</v>
      </c>
      <c r="E19" s="9">
        <v>357.78712000000002</v>
      </c>
      <c r="F19" s="10">
        <v>2.0512439366681318E-2</v>
      </c>
      <c r="G19" s="5"/>
      <c r="H19" s="5"/>
      <c r="I19" s="6"/>
    </row>
    <row r="20" spans="1:9" x14ac:dyDescent="0.35">
      <c r="A20" s="7" t="s">
        <v>80</v>
      </c>
      <c r="B20" s="7" t="s">
        <v>81</v>
      </c>
      <c r="C20" s="7" t="s">
        <v>161</v>
      </c>
      <c r="D20" s="8">
        <v>15300</v>
      </c>
      <c r="E20" s="9">
        <v>349.23779999999999</v>
      </c>
      <c r="F20" s="10">
        <v>2.0022294813332508E-2</v>
      </c>
      <c r="G20" s="5"/>
      <c r="H20" s="5"/>
      <c r="I20" s="6"/>
    </row>
    <row r="21" spans="1:9" x14ac:dyDescent="0.35">
      <c r="A21" s="7" t="s">
        <v>82</v>
      </c>
      <c r="B21" s="7" t="s">
        <v>83</v>
      </c>
      <c r="C21" s="7" t="s">
        <v>162</v>
      </c>
      <c r="D21" s="8">
        <v>42502</v>
      </c>
      <c r="E21" s="9">
        <v>320.12506400000001</v>
      </c>
      <c r="F21" s="10">
        <v>1.835322066667737E-2</v>
      </c>
      <c r="G21" s="5"/>
      <c r="H21" s="5"/>
      <c r="I21" s="6"/>
    </row>
    <row r="22" spans="1:9" x14ac:dyDescent="0.35">
      <c r="A22" s="7" t="s">
        <v>84</v>
      </c>
      <c r="B22" s="7" t="s">
        <v>85</v>
      </c>
      <c r="C22" s="7" t="s">
        <v>158</v>
      </c>
      <c r="D22" s="8">
        <v>3200</v>
      </c>
      <c r="E22" s="9">
        <v>307.12</v>
      </c>
      <c r="F22" s="10">
        <v>1.76076220359614E-2</v>
      </c>
      <c r="G22" s="5"/>
      <c r="H22" s="5"/>
      <c r="I22" s="6"/>
    </row>
    <row r="23" spans="1:9" x14ac:dyDescent="0.35">
      <c r="A23" s="7" t="s">
        <v>28</v>
      </c>
      <c r="B23" s="7" t="s">
        <v>29</v>
      </c>
      <c r="C23" s="7" t="s">
        <v>163</v>
      </c>
      <c r="D23" s="8">
        <v>6213</v>
      </c>
      <c r="E23" s="9">
        <v>285.58054499999997</v>
      </c>
      <c r="F23" s="10">
        <v>1.6372734752487191E-2</v>
      </c>
      <c r="G23" s="5"/>
      <c r="H23" s="5"/>
      <c r="I23" s="6"/>
    </row>
    <row r="24" spans="1:9" x14ac:dyDescent="0.35">
      <c r="A24" s="7" t="s">
        <v>86</v>
      </c>
      <c r="B24" s="7" t="s">
        <v>87</v>
      </c>
      <c r="C24" s="7" t="s">
        <v>164</v>
      </c>
      <c r="D24" s="8">
        <v>32504</v>
      </c>
      <c r="E24" s="9">
        <v>285.41762399999999</v>
      </c>
      <c r="F24" s="10">
        <v>1.6363394262158586E-2</v>
      </c>
      <c r="G24" s="5"/>
      <c r="H24" s="5"/>
      <c r="I24" s="6"/>
    </row>
    <row r="25" spans="1:9" x14ac:dyDescent="0.35">
      <c r="A25" s="7" t="s">
        <v>88</v>
      </c>
      <c r="B25" s="7" t="s">
        <v>89</v>
      </c>
      <c r="C25" s="7" t="s">
        <v>35</v>
      </c>
      <c r="D25" s="8">
        <v>16001</v>
      </c>
      <c r="E25" s="9">
        <v>282.88167900000002</v>
      </c>
      <c r="F25" s="10">
        <v>1.6218004964607187E-2</v>
      </c>
      <c r="G25" s="5"/>
      <c r="H25" s="5"/>
      <c r="I25" s="6"/>
    </row>
    <row r="26" spans="1:9" x14ac:dyDescent="0.35">
      <c r="A26" s="7" t="s">
        <v>90</v>
      </c>
      <c r="B26" s="7" t="s">
        <v>91</v>
      </c>
      <c r="C26" s="7" t="s">
        <v>164</v>
      </c>
      <c r="D26" s="8">
        <v>17325</v>
      </c>
      <c r="E26" s="9">
        <v>277.61579999999998</v>
      </c>
      <c r="F26" s="10">
        <v>1.5916104706990924E-2</v>
      </c>
      <c r="G26" s="5"/>
      <c r="H26" s="5"/>
      <c r="I26" s="6"/>
    </row>
    <row r="27" spans="1:9" x14ac:dyDescent="0.35">
      <c r="A27" s="7" t="s">
        <v>92</v>
      </c>
      <c r="B27" s="7" t="s">
        <v>93</v>
      </c>
      <c r="C27" s="7" t="s">
        <v>162</v>
      </c>
      <c r="D27" s="8">
        <v>7000</v>
      </c>
      <c r="E27" s="9">
        <v>277.25599999999997</v>
      </c>
      <c r="F27" s="10">
        <v>1.5895476866379633E-2</v>
      </c>
      <c r="G27" s="5"/>
      <c r="H27" s="5"/>
      <c r="I27" s="6"/>
    </row>
    <row r="28" spans="1:9" x14ac:dyDescent="0.35">
      <c r="A28" s="7" t="s">
        <v>94</v>
      </c>
      <c r="B28" s="7" t="s">
        <v>95</v>
      </c>
      <c r="C28" s="7" t="s">
        <v>165</v>
      </c>
      <c r="D28" s="8">
        <v>83546</v>
      </c>
      <c r="E28" s="9">
        <v>263.462311</v>
      </c>
      <c r="F28" s="10">
        <v>1.5104665254001419E-2</v>
      </c>
      <c r="G28" s="5"/>
      <c r="H28" s="5"/>
      <c r="I28" s="6"/>
    </row>
    <row r="29" spans="1:9" x14ac:dyDescent="0.35">
      <c r="A29" s="7" t="s">
        <v>96</v>
      </c>
      <c r="B29" s="7" t="s">
        <v>97</v>
      </c>
      <c r="C29" s="7" t="s">
        <v>166</v>
      </c>
      <c r="D29" s="8">
        <v>5700</v>
      </c>
      <c r="E29" s="9">
        <v>263.30579999999998</v>
      </c>
      <c r="F29" s="10">
        <v>1.5095692257998323E-2</v>
      </c>
      <c r="G29" s="5"/>
      <c r="H29" s="5"/>
      <c r="I29" s="6"/>
    </row>
    <row r="30" spans="1:9" x14ac:dyDescent="0.35">
      <c r="A30" s="7" t="s">
        <v>98</v>
      </c>
      <c r="B30" s="7" t="s">
        <v>99</v>
      </c>
      <c r="C30" s="7" t="s">
        <v>156</v>
      </c>
      <c r="D30" s="8">
        <v>700000</v>
      </c>
      <c r="E30" s="9">
        <v>263.06</v>
      </c>
      <c r="F30" s="10">
        <v>1.508160019790312E-2</v>
      </c>
      <c r="G30" s="5"/>
      <c r="H30" s="5"/>
      <c r="I30" s="6"/>
    </row>
    <row r="31" spans="1:9" x14ac:dyDescent="0.35">
      <c r="A31" s="7" t="s">
        <v>51</v>
      </c>
      <c r="B31" s="7" t="s">
        <v>52</v>
      </c>
      <c r="C31" s="7" t="s">
        <v>167</v>
      </c>
      <c r="D31" s="8">
        <v>15001</v>
      </c>
      <c r="E31" s="9">
        <v>261.48243100000002</v>
      </c>
      <c r="F31" s="10">
        <v>1.4991155945859458E-2</v>
      </c>
      <c r="G31" s="5"/>
      <c r="H31" s="5"/>
      <c r="I31" s="6"/>
    </row>
    <row r="32" spans="1:9" x14ac:dyDescent="0.35">
      <c r="A32" s="7" t="s">
        <v>49</v>
      </c>
      <c r="B32" s="7" t="s">
        <v>50</v>
      </c>
      <c r="C32" s="7" t="s">
        <v>158</v>
      </c>
      <c r="D32" s="8">
        <v>7000</v>
      </c>
      <c r="E32" s="9">
        <v>257.41800000000001</v>
      </c>
      <c r="F32" s="10">
        <v>1.4758136393765017E-2</v>
      </c>
      <c r="G32" s="5"/>
      <c r="H32" s="5"/>
      <c r="I32" s="6"/>
    </row>
    <row r="33" spans="1:9" x14ac:dyDescent="0.35">
      <c r="A33" s="7" t="s">
        <v>100</v>
      </c>
      <c r="B33" s="7" t="s">
        <v>101</v>
      </c>
      <c r="C33" s="7" t="s">
        <v>167</v>
      </c>
      <c r="D33" s="8">
        <v>15001</v>
      </c>
      <c r="E33" s="9">
        <v>254.356956</v>
      </c>
      <c r="F33" s="10">
        <v>1.4582642431185414E-2</v>
      </c>
      <c r="G33" s="5"/>
      <c r="H33" s="5"/>
      <c r="I33" s="6"/>
    </row>
    <row r="34" spans="1:9" x14ac:dyDescent="0.35">
      <c r="A34" s="7" t="s">
        <v>102</v>
      </c>
      <c r="B34" s="7" t="s">
        <v>103</v>
      </c>
      <c r="C34" s="7" t="s">
        <v>168</v>
      </c>
      <c r="D34" s="8">
        <v>16000</v>
      </c>
      <c r="E34" s="9">
        <v>249.2</v>
      </c>
      <c r="F34" s="10">
        <v>1.4286986882526637E-2</v>
      </c>
      <c r="G34" s="5"/>
      <c r="H34" s="5"/>
      <c r="I34" s="6"/>
    </row>
    <row r="35" spans="1:9" x14ac:dyDescent="0.35">
      <c r="A35" s="7" t="s">
        <v>104</v>
      </c>
      <c r="B35" s="7" t="s">
        <v>105</v>
      </c>
      <c r="C35" s="7" t="s">
        <v>165</v>
      </c>
      <c r="D35" s="8">
        <v>90000</v>
      </c>
      <c r="E35" s="9">
        <v>244.30500000000001</v>
      </c>
      <c r="F35" s="10">
        <v>1.4006349640191294E-2</v>
      </c>
      <c r="G35" s="5"/>
      <c r="H35" s="5"/>
      <c r="I35" s="6"/>
    </row>
    <row r="36" spans="1:9" x14ac:dyDescent="0.35">
      <c r="A36" s="7" t="s">
        <v>33</v>
      </c>
      <c r="B36" s="7" t="s">
        <v>34</v>
      </c>
      <c r="C36" s="7" t="s">
        <v>156</v>
      </c>
      <c r="D36" s="8">
        <v>80001</v>
      </c>
      <c r="E36" s="9">
        <v>239.52299400000001</v>
      </c>
      <c r="F36" s="10">
        <v>1.3732190502975548E-2</v>
      </c>
      <c r="G36" s="5"/>
      <c r="H36" s="5"/>
      <c r="I36" s="6"/>
    </row>
    <row r="37" spans="1:9" x14ac:dyDescent="0.35">
      <c r="A37" s="7" t="s">
        <v>106</v>
      </c>
      <c r="B37" s="7" t="s">
        <v>107</v>
      </c>
      <c r="C37" s="7" t="s">
        <v>169</v>
      </c>
      <c r="D37" s="8">
        <v>47501</v>
      </c>
      <c r="E37" s="9">
        <v>233.37241299999999</v>
      </c>
      <c r="F37" s="10">
        <v>1.3379569034007178E-2</v>
      </c>
      <c r="G37" s="5"/>
      <c r="H37" s="5"/>
      <c r="I37" s="6"/>
    </row>
    <row r="38" spans="1:9" x14ac:dyDescent="0.35">
      <c r="A38" s="7" t="s">
        <v>108</v>
      </c>
      <c r="B38" s="7" t="s">
        <v>109</v>
      </c>
      <c r="C38" s="7" t="s">
        <v>170</v>
      </c>
      <c r="D38" s="8">
        <v>34000</v>
      </c>
      <c r="E38" s="9">
        <v>231.727</v>
      </c>
      <c r="F38" s="10">
        <v>1.3285235189916735E-2</v>
      </c>
      <c r="G38" s="5"/>
      <c r="H38" s="5"/>
      <c r="I38" s="6"/>
    </row>
    <row r="39" spans="1:9" x14ac:dyDescent="0.35">
      <c r="A39" s="7" t="s">
        <v>110</v>
      </c>
      <c r="B39" s="7" t="s">
        <v>111</v>
      </c>
      <c r="C39" s="7" t="s">
        <v>171</v>
      </c>
      <c r="D39" s="8">
        <v>450000</v>
      </c>
      <c r="E39" s="9">
        <v>224.685</v>
      </c>
      <c r="F39" s="10">
        <v>1.2881507414528481E-2</v>
      </c>
      <c r="G39" s="5"/>
      <c r="H39" s="5"/>
      <c r="I39" s="6"/>
    </row>
    <row r="40" spans="1:9" x14ac:dyDescent="0.35">
      <c r="A40" s="7" t="s">
        <v>112</v>
      </c>
      <c r="B40" s="7" t="s">
        <v>113</v>
      </c>
      <c r="C40" s="7" t="s">
        <v>167</v>
      </c>
      <c r="D40" s="8">
        <v>8100</v>
      </c>
      <c r="E40" s="9">
        <v>223.47900000000001</v>
      </c>
      <c r="F40" s="10">
        <v>1.2812365736437282E-2</v>
      </c>
      <c r="G40" s="5"/>
      <c r="H40" s="5"/>
      <c r="I40" s="6"/>
    </row>
    <row r="41" spans="1:9" x14ac:dyDescent="0.35">
      <c r="A41" s="7" t="s">
        <v>36</v>
      </c>
      <c r="B41" s="7" t="s">
        <v>37</v>
      </c>
      <c r="C41" s="7" t="s">
        <v>164</v>
      </c>
      <c r="D41" s="8">
        <v>8800</v>
      </c>
      <c r="E41" s="9">
        <v>221.38159999999999</v>
      </c>
      <c r="F41" s="10">
        <v>1.2692118841222949E-2</v>
      </c>
      <c r="G41" s="5"/>
      <c r="H41" s="5"/>
      <c r="I41" s="6"/>
    </row>
    <row r="42" spans="1:9" x14ac:dyDescent="0.35">
      <c r="A42" s="7" t="s">
        <v>114</v>
      </c>
      <c r="B42" s="7" t="s">
        <v>115</v>
      </c>
      <c r="C42" s="7" t="s">
        <v>161</v>
      </c>
      <c r="D42" s="8">
        <v>153382</v>
      </c>
      <c r="E42" s="9">
        <v>213.18564180000001</v>
      </c>
      <c r="F42" s="10">
        <v>1.2222233017414217E-2</v>
      </c>
      <c r="G42" s="5"/>
      <c r="H42" s="5"/>
      <c r="I42" s="6"/>
    </row>
    <row r="43" spans="1:9" x14ac:dyDescent="0.35">
      <c r="A43" s="7" t="s">
        <v>116</v>
      </c>
      <c r="B43" s="7" t="s">
        <v>117</v>
      </c>
      <c r="C43" s="7" t="s">
        <v>162</v>
      </c>
      <c r="D43" s="8">
        <v>120127</v>
      </c>
      <c r="E43" s="9">
        <v>196.8280895</v>
      </c>
      <c r="F43" s="10">
        <v>1.128443151203563E-2</v>
      </c>
      <c r="G43" s="5"/>
      <c r="H43" s="5"/>
      <c r="I43" s="6"/>
    </row>
    <row r="44" spans="1:9" x14ac:dyDescent="0.35">
      <c r="A44" s="7" t="s">
        <v>118</v>
      </c>
      <c r="B44" s="7" t="s">
        <v>119</v>
      </c>
      <c r="C44" s="7" t="s">
        <v>172</v>
      </c>
      <c r="D44" s="8">
        <v>15500</v>
      </c>
      <c r="E44" s="9">
        <v>196.292</v>
      </c>
      <c r="F44" s="10">
        <v>1.1253696746167411E-2</v>
      </c>
      <c r="G44" s="5"/>
      <c r="H44" s="5"/>
      <c r="I44" s="6"/>
    </row>
    <row r="45" spans="1:9" x14ac:dyDescent="0.35">
      <c r="A45" s="7" t="s">
        <v>120</v>
      </c>
      <c r="B45" s="7" t="s">
        <v>121</v>
      </c>
      <c r="C45" s="7" t="s">
        <v>167</v>
      </c>
      <c r="D45" s="8">
        <v>3200</v>
      </c>
      <c r="E45" s="9">
        <v>191.184</v>
      </c>
      <c r="F45" s="10">
        <v>1.0960847913920435E-2</v>
      </c>
      <c r="G45" s="5"/>
      <c r="H45" s="5"/>
      <c r="I45" s="6"/>
    </row>
    <row r="46" spans="1:9" x14ac:dyDescent="0.35">
      <c r="A46" s="7" t="s">
        <v>122</v>
      </c>
      <c r="B46" s="7" t="s">
        <v>123</v>
      </c>
      <c r="C46" s="7" t="s">
        <v>167</v>
      </c>
      <c r="D46" s="8">
        <v>2455</v>
      </c>
      <c r="E46" s="9">
        <v>190.50800000000001</v>
      </c>
      <c r="F46" s="10">
        <v>1.0922091882088222E-2</v>
      </c>
      <c r="G46" s="5"/>
      <c r="H46" s="5"/>
      <c r="I46" s="6"/>
    </row>
    <row r="47" spans="1:9" x14ac:dyDescent="0.35">
      <c r="A47" s="7" t="s">
        <v>124</v>
      </c>
      <c r="B47" s="7" t="s">
        <v>125</v>
      </c>
      <c r="C47" s="7" t="s">
        <v>164</v>
      </c>
      <c r="D47" s="8">
        <v>24000</v>
      </c>
      <c r="E47" s="9">
        <v>182.268</v>
      </c>
      <c r="F47" s="10">
        <v>1.0449681079873055E-2</v>
      </c>
      <c r="G47" s="5"/>
      <c r="H47" s="5"/>
      <c r="I47" s="6"/>
    </row>
    <row r="48" spans="1:9" x14ac:dyDescent="0.35">
      <c r="A48" s="7" t="s">
        <v>45</v>
      </c>
      <c r="B48" s="7" t="s">
        <v>46</v>
      </c>
      <c r="C48" s="7" t="s">
        <v>167</v>
      </c>
      <c r="D48" s="8">
        <v>10110</v>
      </c>
      <c r="E48" s="9">
        <v>165.9051</v>
      </c>
      <c r="F48" s="10">
        <v>9.511572983323717E-3</v>
      </c>
      <c r="G48" s="5"/>
      <c r="H48" s="5"/>
      <c r="I48" s="6"/>
    </row>
    <row r="49" spans="1:9" x14ac:dyDescent="0.35">
      <c r="A49" s="7" t="s">
        <v>126</v>
      </c>
      <c r="B49" s="7" t="s">
        <v>127</v>
      </c>
      <c r="C49" s="7" t="s">
        <v>173</v>
      </c>
      <c r="D49" s="8">
        <v>20002</v>
      </c>
      <c r="E49" s="9">
        <v>159.80597900000001</v>
      </c>
      <c r="F49" s="10">
        <v>9.1619017886128713E-3</v>
      </c>
      <c r="G49" s="5"/>
      <c r="H49" s="5"/>
      <c r="I49" s="6"/>
    </row>
    <row r="50" spans="1:9" x14ac:dyDescent="0.35">
      <c r="A50" s="7" t="s">
        <v>128</v>
      </c>
      <c r="B50" s="7" t="s">
        <v>129</v>
      </c>
      <c r="C50" s="7" t="s">
        <v>161</v>
      </c>
      <c r="D50" s="8">
        <v>3420</v>
      </c>
      <c r="E50" s="9">
        <v>152.74404000000001</v>
      </c>
      <c r="F50" s="10">
        <v>8.7570308822797916E-3</v>
      </c>
      <c r="G50" s="5"/>
      <c r="H50" s="5"/>
      <c r="I50" s="6"/>
    </row>
    <row r="51" spans="1:9" x14ac:dyDescent="0.35">
      <c r="A51" s="7" t="s">
        <v>31</v>
      </c>
      <c r="B51" s="7" t="s">
        <v>32</v>
      </c>
      <c r="C51" s="7" t="s">
        <v>169</v>
      </c>
      <c r="D51" s="8">
        <v>18500</v>
      </c>
      <c r="E51" s="9">
        <v>152.14400000000001</v>
      </c>
      <c r="F51" s="10">
        <v>8.7226297442019769E-3</v>
      </c>
      <c r="G51" s="5"/>
      <c r="H51" s="5"/>
      <c r="I51" s="6"/>
    </row>
    <row r="52" spans="1:9" x14ac:dyDescent="0.35">
      <c r="A52" s="7" t="s">
        <v>130</v>
      </c>
      <c r="B52" s="7" t="s">
        <v>131</v>
      </c>
      <c r="C52" s="7" t="s">
        <v>169</v>
      </c>
      <c r="D52" s="8">
        <v>16000</v>
      </c>
      <c r="E52" s="9">
        <v>149.19200000000001</v>
      </c>
      <c r="F52" s="10">
        <v>8.5533874276802341E-3</v>
      </c>
      <c r="G52" s="5"/>
      <c r="H52" s="5"/>
      <c r="I52" s="6"/>
    </row>
    <row r="53" spans="1:9" x14ac:dyDescent="0.35">
      <c r="A53" s="7" t="s">
        <v>132</v>
      </c>
      <c r="B53" s="7" t="s">
        <v>133</v>
      </c>
      <c r="C53" s="7" t="s">
        <v>174</v>
      </c>
      <c r="D53" s="8">
        <v>17356</v>
      </c>
      <c r="E53" s="9">
        <v>148.61075</v>
      </c>
      <c r="F53" s="10">
        <v>8.5200635467594116E-3</v>
      </c>
      <c r="G53" s="5"/>
      <c r="H53" s="5"/>
      <c r="I53" s="6"/>
    </row>
    <row r="54" spans="1:9" x14ac:dyDescent="0.35">
      <c r="A54" s="7" t="s">
        <v>134</v>
      </c>
      <c r="B54" s="7" t="s">
        <v>135</v>
      </c>
      <c r="C54" s="7" t="s">
        <v>175</v>
      </c>
      <c r="D54" s="8">
        <v>20000</v>
      </c>
      <c r="E54" s="9">
        <v>145.9</v>
      </c>
      <c r="F54" s="10">
        <v>8.3646524324263102E-3</v>
      </c>
      <c r="G54" s="5"/>
      <c r="H54" s="5"/>
      <c r="I54" s="6"/>
    </row>
    <row r="55" spans="1:9" x14ac:dyDescent="0.35">
      <c r="A55" s="7" t="s">
        <v>47</v>
      </c>
      <c r="B55" s="7" t="s">
        <v>48</v>
      </c>
      <c r="C55" s="7" t="s">
        <v>30</v>
      </c>
      <c r="D55" s="8">
        <v>52001</v>
      </c>
      <c r="E55" s="9">
        <v>133.382565</v>
      </c>
      <c r="F55" s="10">
        <v>7.6470102588794405E-3</v>
      </c>
      <c r="G55" s="5"/>
      <c r="H55" s="5"/>
      <c r="I55" s="6"/>
    </row>
    <row r="56" spans="1:9" x14ac:dyDescent="0.35">
      <c r="A56" s="7" t="s">
        <v>136</v>
      </c>
      <c r="B56" s="7" t="s">
        <v>137</v>
      </c>
      <c r="C56" s="7" t="s">
        <v>176</v>
      </c>
      <c r="D56" s="8">
        <v>5700</v>
      </c>
      <c r="E56" s="9">
        <v>133.10069999999999</v>
      </c>
      <c r="F56" s="10">
        <v>7.6308505415534234E-3</v>
      </c>
      <c r="G56" s="5"/>
      <c r="H56" s="5"/>
      <c r="I56" s="6"/>
    </row>
    <row r="57" spans="1:9" x14ac:dyDescent="0.35">
      <c r="A57" s="7" t="s">
        <v>138</v>
      </c>
      <c r="B57" s="7" t="s">
        <v>139</v>
      </c>
      <c r="C57" s="7" t="s">
        <v>162</v>
      </c>
      <c r="D57" s="8">
        <v>6565</v>
      </c>
      <c r="E57" s="9">
        <v>131.818635</v>
      </c>
      <c r="F57" s="10">
        <v>7.5573479499099787E-3</v>
      </c>
      <c r="G57" s="5"/>
      <c r="H57" s="5"/>
      <c r="I57" s="6"/>
    </row>
    <row r="58" spans="1:9" x14ac:dyDescent="0.35">
      <c r="A58" s="7" t="s">
        <v>140</v>
      </c>
      <c r="B58" s="7" t="s">
        <v>141</v>
      </c>
      <c r="C58" s="7" t="s">
        <v>177</v>
      </c>
      <c r="D58" s="8">
        <v>20655</v>
      </c>
      <c r="E58" s="9">
        <v>110.2047525</v>
      </c>
      <c r="F58" s="10">
        <v>6.3181936330641841E-3</v>
      </c>
      <c r="G58" s="5"/>
      <c r="H58" s="5"/>
      <c r="I58" s="6"/>
    </row>
    <row r="59" spans="1:9" x14ac:dyDescent="0.35">
      <c r="A59" s="7" t="s">
        <v>142</v>
      </c>
      <c r="B59" s="7" t="s">
        <v>143</v>
      </c>
      <c r="C59" s="7" t="s">
        <v>42</v>
      </c>
      <c r="D59" s="8">
        <v>66000</v>
      </c>
      <c r="E59" s="9">
        <v>96.643799999999999</v>
      </c>
      <c r="F59" s="10">
        <v>5.5407251319322948E-3</v>
      </c>
      <c r="G59" s="5"/>
      <c r="H59" s="5"/>
      <c r="I59" s="6"/>
    </row>
    <row r="60" spans="1:9" x14ac:dyDescent="0.35">
      <c r="A60" s="7" t="s">
        <v>144</v>
      </c>
      <c r="B60" s="7" t="s">
        <v>145</v>
      </c>
      <c r="C60" s="7" t="s">
        <v>162</v>
      </c>
      <c r="D60" s="8">
        <v>4000</v>
      </c>
      <c r="E60" s="9">
        <v>96.063999999999993</v>
      </c>
      <c r="F60" s="10">
        <v>5.507484381553125E-3</v>
      </c>
      <c r="G60" s="5"/>
      <c r="H60" s="5"/>
      <c r="I60" s="6"/>
    </row>
    <row r="61" spans="1:9" x14ac:dyDescent="0.35">
      <c r="A61" s="7" t="s">
        <v>146</v>
      </c>
      <c r="B61" s="7" t="s">
        <v>147</v>
      </c>
      <c r="C61" s="7" t="s">
        <v>174</v>
      </c>
      <c r="D61" s="8">
        <v>6000</v>
      </c>
      <c r="E61" s="9">
        <v>92.603999999999999</v>
      </c>
      <c r="F61" s="10">
        <v>5.3091177097491843E-3</v>
      </c>
      <c r="G61" s="5"/>
      <c r="H61" s="5"/>
      <c r="I61" s="6"/>
    </row>
    <row r="62" spans="1:9" x14ac:dyDescent="0.35">
      <c r="A62" s="7" t="s">
        <v>148</v>
      </c>
      <c r="B62" s="7" t="s">
        <v>149</v>
      </c>
      <c r="C62" s="7" t="s">
        <v>174</v>
      </c>
      <c r="D62" s="8">
        <v>2250</v>
      </c>
      <c r="E62" s="9">
        <v>92.53125</v>
      </c>
      <c r="F62" s="10">
        <v>5.3049468498145786E-3</v>
      </c>
      <c r="G62" s="5"/>
      <c r="H62" s="5"/>
      <c r="I62" s="6"/>
    </row>
    <row r="63" spans="1:9" x14ac:dyDescent="0.35">
      <c r="A63" s="7" t="s">
        <v>150</v>
      </c>
      <c r="B63" s="7" t="s">
        <v>151</v>
      </c>
      <c r="C63" s="7" t="s">
        <v>35</v>
      </c>
      <c r="D63" s="8">
        <v>1100</v>
      </c>
      <c r="E63" s="9">
        <v>59.690950000000001</v>
      </c>
      <c r="F63" s="10">
        <v>3.4221662104958E-3</v>
      </c>
      <c r="G63" s="5"/>
      <c r="H63" s="5"/>
      <c r="I63" s="6"/>
    </row>
    <row r="64" spans="1:9" ht="18.899999999999999" customHeight="1" x14ac:dyDescent="0.35">
      <c r="A64" s="4" t="s">
        <v>53</v>
      </c>
      <c r="B64" s="5"/>
      <c r="C64" s="5"/>
      <c r="D64" s="5"/>
      <c r="E64" s="11">
        <v>16956.735870800003</v>
      </c>
      <c r="F64" s="12">
        <v>0.97215354316448044</v>
      </c>
      <c r="G64" s="5"/>
      <c r="H64" s="5"/>
      <c r="I64" s="5"/>
    </row>
    <row r="65" spans="1:16" ht="21.15" customHeight="1" x14ac:dyDescent="0.35">
      <c r="A65" s="4" t="s">
        <v>54</v>
      </c>
      <c r="B65" s="5"/>
      <c r="C65" s="5"/>
      <c r="D65" s="5"/>
      <c r="E65" s="5"/>
      <c r="F65" s="5"/>
      <c r="G65" s="5"/>
      <c r="H65" s="5"/>
      <c r="I65" s="5"/>
    </row>
    <row r="66" spans="1:16" ht="17.5" customHeight="1" x14ac:dyDescent="0.35">
      <c r="A66" s="4" t="s">
        <v>53</v>
      </c>
      <c r="B66" s="5"/>
      <c r="C66" s="5"/>
      <c r="D66" s="5"/>
      <c r="E66" s="13" t="s">
        <v>55</v>
      </c>
      <c r="F66" s="13" t="s">
        <v>55</v>
      </c>
      <c r="G66" s="5"/>
      <c r="H66" s="5"/>
      <c r="I66" s="5"/>
    </row>
    <row r="67" spans="1:16" ht="17.5" customHeight="1" x14ac:dyDescent="0.35">
      <c r="A67" s="25" t="s">
        <v>56</v>
      </c>
      <c r="B67" s="24"/>
      <c r="C67" s="24"/>
      <c r="D67" s="24"/>
      <c r="E67" s="30">
        <v>16956.735870800003</v>
      </c>
      <c r="F67" s="31">
        <v>0.97215354316448088</v>
      </c>
      <c r="G67" s="24"/>
      <c r="H67" s="24"/>
      <c r="I67" s="24"/>
    </row>
    <row r="68" spans="1:16" ht="17.5" customHeight="1" x14ac:dyDescent="0.35">
      <c r="A68" s="32"/>
      <c r="B68" s="33"/>
      <c r="C68" s="33"/>
      <c r="D68" s="33"/>
      <c r="E68" s="34"/>
      <c r="F68" s="34"/>
      <c r="G68" s="33"/>
      <c r="H68" s="33"/>
      <c r="I68" s="33"/>
    </row>
    <row r="69" spans="1:16" ht="17.5" customHeight="1" x14ac:dyDescent="0.35">
      <c r="A69" s="26" t="s">
        <v>57</v>
      </c>
      <c r="B69" s="35"/>
      <c r="C69" s="35"/>
      <c r="D69" s="35"/>
      <c r="E69" s="35"/>
      <c r="F69" s="35"/>
      <c r="G69" s="35"/>
      <c r="H69" s="35"/>
      <c r="I69" s="35"/>
    </row>
    <row r="70" spans="1:16" x14ac:dyDescent="0.35">
      <c r="A70" s="4" t="s">
        <v>180</v>
      </c>
      <c r="B70" s="59"/>
      <c r="C70" s="59"/>
      <c r="D70" s="59"/>
      <c r="E70" s="59"/>
      <c r="F70" s="59"/>
      <c r="G70" s="59"/>
      <c r="H70" s="59"/>
      <c r="I70" s="59"/>
    </row>
    <row r="71" spans="1:16" x14ac:dyDescent="0.35">
      <c r="A71" s="36" t="s">
        <v>181</v>
      </c>
      <c r="B71" s="60"/>
      <c r="C71" s="60"/>
      <c r="D71" s="60"/>
      <c r="E71" s="60"/>
      <c r="F71" s="60"/>
      <c r="G71" s="60"/>
      <c r="H71" s="60"/>
      <c r="I71" s="60"/>
    </row>
    <row r="72" spans="1:16" x14ac:dyDescent="0.35">
      <c r="A72" s="37" t="s">
        <v>182</v>
      </c>
      <c r="B72" s="16" t="s">
        <v>154</v>
      </c>
      <c r="C72" s="16" t="s">
        <v>158</v>
      </c>
      <c r="D72" s="17">
        <v>26804</v>
      </c>
      <c r="E72" s="18">
        <v>2.7402533</v>
      </c>
      <c r="F72" s="19">
        <v>1.571025800638055E-4</v>
      </c>
      <c r="G72" s="19">
        <v>6.3449999999999993E-2</v>
      </c>
      <c r="H72" s="15"/>
      <c r="I72" s="15"/>
    </row>
    <row r="73" spans="1:16" ht="19.75" customHeight="1" x14ac:dyDescent="0.35">
      <c r="A73" s="4" t="s">
        <v>53</v>
      </c>
      <c r="B73" s="5"/>
      <c r="C73" s="5"/>
      <c r="D73" s="5"/>
      <c r="E73" s="38">
        <v>2.7402533</v>
      </c>
      <c r="F73" s="12">
        <v>1.571025800638055E-4</v>
      </c>
      <c r="G73" s="5"/>
      <c r="H73" s="5"/>
      <c r="I73" s="5"/>
    </row>
    <row r="74" spans="1:16" ht="19.75" customHeight="1" x14ac:dyDescent="0.35">
      <c r="A74" s="4"/>
      <c r="B74" s="5"/>
      <c r="C74" s="5"/>
      <c r="D74" s="5"/>
      <c r="E74" s="38"/>
      <c r="F74" s="12"/>
      <c r="G74" s="5"/>
      <c r="H74" s="5"/>
      <c r="I74" s="5"/>
    </row>
    <row r="75" spans="1:16" x14ac:dyDescent="0.35">
      <c r="A75" s="4" t="s">
        <v>58</v>
      </c>
      <c r="B75" s="5"/>
      <c r="C75" s="5"/>
      <c r="D75" s="5"/>
      <c r="E75" s="5"/>
      <c r="F75" s="5"/>
      <c r="G75" s="5"/>
      <c r="H75" s="5"/>
      <c r="I75" s="5"/>
    </row>
    <row r="76" spans="1:16" x14ac:dyDescent="0.35">
      <c r="A76" s="4" t="s">
        <v>53</v>
      </c>
      <c r="B76" s="5"/>
      <c r="C76" s="5"/>
      <c r="D76" s="5"/>
      <c r="E76" s="13" t="s">
        <v>55</v>
      </c>
      <c r="F76" s="13" t="s">
        <v>55</v>
      </c>
      <c r="G76" s="5"/>
      <c r="H76" s="5"/>
      <c r="I76" s="6"/>
    </row>
    <row r="77" spans="1:16" x14ac:dyDescent="0.35">
      <c r="A77" s="4" t="s">
        <v>59</v>
      </c>
      <c r="B77" s="5"/>
      <c r="C77" s="5"/>
      <c r="D77" s="5"/>
      <c r="E77" s="5"/>
      <c r="F77" s="5"/>
      <c r="G77" s="5"/>
      <c r="H77" s="5"/>
      <c r="I77" s="5"/>
    </row>
    <row r="78" spans="1:16" x14ac:dyDescent="0.35">
      <c r="A78" s="4" t="s">
        <v>53</v>
      </c>
      <c r="B78" s="5"/>
      <c r="C78" s="5"/>
      <c r="D78" s="5"/>
      <c r="E78" s="13" t="s">
        <v>55</v>
      </c>
      <c r="F78" s="13" t="s">
        <v>55</v>
      </c>
      <c r="G78" s="5"/>
      <c r="H78" s="5"/>
      <c r="I78" s="6"/>
    </row>
    <row r="79" spans="1:16" x14ac:dyDescent="0.35">
      <c r="A79" s="4" t="s">
        <v>56</v>
      </c>
      <c r="B79" s="5"/>
      <c r="C79" s="5"/>
      <c r="D79" s="5"/>
      <c r="E79" s="38">
        <v>2.7402533</v>
      </c>
      <c r="F79" s="12">
        <v>1.571E-4</v>
      </c>
      <c r="G79" s="5"/>
      <c r="H79" s="5"/>
      <c r="I79" s="5"/>
      <c r="N79" s="42"/>
      <c r="O79" s="40"/>
      <c r="P79" s="41"/>
    </row>
    <row r="80" spans="1:16" x14ac:dyDescent="0.35">
      <c r="A80" s="1"/>
    </row>
    <row r="81" spans="1:13" x14ac:dyDescent="0.35">
      <c r="A81" s="4" t="s">
        <v>60</v>
      </c>
      <c r="B81" s="5"/>
      <c r="C81" s="5"/>
      <c r="D81" s="5"/>
      <c r="E81" s="5"/>
      <c r="F81" s="5"/>
      <c r="G81" s="5"/>
      <c r="H81" s="5"/>
      <c r="I81" s="5"/>
    </row>
    <row r="82" spans="1:13" x14ac:dyDescent="0.35">
      <c r="A82" s="4" t="s">
        <v>183</v>
      </c>
      <c r="B82" s="5"/>
      <c r="C82" s="5"/>
      <c r="D82" s="5"/>
      <c r="E82" s="5"/>
      <c r="F82" s="5"/>
      <c r="G82" s="5"/>
      <c r="H82" s="5"/>
      <c r="I82" s="5"/>
    </row>
    <row r="83" spans="1:13" x14ac:dyDescent="0.35">
      <c r="A83" s="7" t="s">
        <v>184</v>
      </c>
      <c r="B83" s="5"/>
      <c r="C83" s="5"/>
      <c r="D83" s="5"/>
      <c r="E83" s="13" t="s">
        <v>55</v>
      </c>
      <c r="F83" s="13" t="s">
        <v>55</v>
      </c>
      <c r="G83" s="5"/>
      <c r="H83" s="5"/>
      <c r="I83" s="5"/>
    </row>
    <row r="84" spans="1:13" x14ac:dyDescent="0.35">
      <c r="A84" s="4" t="s">
        <v>53</v>
      </c>
      <c r="B84" s="5"/>
      <c r="C84" s="5"/>
      <c r="D84" s="5"/>
      <c r="E84" s="13" t="s">
        <v>55</v>
      </c>
      <c r="F84" s="13" t="s">
        <v>55</v>
      </c>
      <c r="G84" s="5"/>
      <c r="H84" s="5"/>
      <c r="I84" s="6"/>
    </row>
    <row r="85" spans="1:13" x14ac:dyDescent="0.35">
      <c r="A85" s="4" t="s">
        <v>56</v>
      </c>
      <c r="B85" s="5"/>
      <c r="C85" s="5"/>
      <c r="D85" s="5"/>
      <c r="E85" s="13" t="s">
        <v>55</v>
      </c>
      <c r="F85" s="13" t="s">
        <v>55</v>
      </c>
      <c r="G85" s="5"/>
      <c r="H85" s="5"/>
      <c r="I85" s="5"/>
    </row>
    <row r="86" spans="1:13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13" x14ac:dyDescent="0.35">
      <c r="A87" s="4" t="s">
        <v>61</v>
      </c>
      <c r="B87" s="5"/>
      <c r="C87" s="5"/>
      <c r="D87" s="5"/>
      <c r="E87" s="5"/>
      <c r="F87" s="5"/>
      <c r="G87" s="5"/>
      <c r="H87" s="5"/>
      <c r="I87" s="5"/>
    </row>
    <row r="88" spans="1:13" x14ac:dyDescent="0.35">
      <c r="A88" s="7" t="s">
        <v>185</v>
      </c>
      <c r="B88" s="5"/>
      <c r="C88" s="5"/>
      <c r="D88" s="5"/>
      <c r="E88" s="18">
        <v>6</v>
      </c>
      <c r="F88" s="19">
        <v>3.4398844821492707E-4</v>
      </c>
      <c r="G88" s="5"/>
      <c r="H88" s="5"/>
      <c r="I88" s="5"/>
    </row>
    <row r="89" spans="1:13" x14ac:dyDescent="0.35">
      <c r="A89" s="7" t="s">
        <v>62</v>
      </c>
      <c r="B89" s="5"/>
      <c r="C89" s="5"/>
      <c r="D89" s="5"/>
      <c r="E89" s="18">
        <v>476.97007179999997</v>
      </c>
      <c r="F89" s="19">
        <v>2.7345365807240722E-2</v>
      </c>
      <c r="G89" s="5"/>
      <c r="H89" s="5"/>
      <c r="I89" s="5"/>
    </row>
    <row r="90" spans="1:13" x14ac:dyDescent="0.35">
      <c r="A90" s="4" t="s">
        <v>56</v>
      </c>
      <c r="B90" s="5"/>
      <c r="C90" s="5"/>
      <c r="D90" s="5"/>
      <c r="E90" s="38">
        <v>482.97007179999997</v>
      </c>
      <c r="F90" s="12">
        <v>2.7689354255455649E-2</v>
      </c>
      <c r="G90" s="5"/>
      <c r="H90" s="5"/>
      <c r="I90" s="5"/>
    </row>
    <row r="91" spans="1:13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13" x14ac:dyDescent="0.35">
      <c r="A92" s="4" t="s">
        <v>63</v>
      </c>
      <c r="B92" s="5"/>
      <c r="C92" s="5"/>
      <c r="D92" s="5"/>
      <c r="E92" s="11">
        <f>E90+E79+E67</f>
        <v>17442.446195900004</v>
      </c>
      <c r="F92" s="39">
        <f>F90+F79+F67</f>
        <v>0.9999999974199365</v>
      </c>
      <c r="G92" s="5"/>
      <c r="H92" s="5"/>
      <c r="I92" s="5"/>
    </row>
    <row r="93" spans="1:13" x14ac:dyDescent="0.35">
      <c r="A93" s="20"/>
      <c r="B93" s="21"/>
      <c r="C93" s="21"/>
      <c r="D93" s="21"/>
      <c r="E93" s="22"/>
      <c r="F93" s="23"/>
      <c r="G93" s="21"/>
      <c r="H93" s="21"/>
      <c r="I93" s="21"/>
    </row>
    <row r="94" spans="1:13" x14ac:dyDescent="0.35">
      <c r="A94" s="20" t="s">
        <v>197</v>
      </c>
      <c r="B94" s="21"/>
      <c r="C94" s="21"/>
      <c r="D94" s="21"/>
      <c r="E94" s="22"/>
      <c r="F94" s="23"/>
      <c r="G94" s="21"/>
      <c r="H94" s="21"/>
      <c r="I94" s="21"/>
    </row>
    <row r="95" spans="1:13" x14ac:dyDescent="0.35">
      <c r="A95" s="55" t="s">
        <v>64</v>
      </c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</row>
    <row r="96" spans="1:13" x14ac:dyDescent="0.35">
      <c r="A96" s="1"/>
    </row>
    <row r="97" spans="1:13" x14ac:dyDescent="0.35">
      <c r="A97" s="54" t="s">
        <v>65</v>
      </c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spans="1:13" x14ac:dyDescent="0.35">
      <c r="A98" s="55" t="s">
        <v>66</v>
      </c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</row>
    <row r="99" spans="1:13" x14ac:dyDescent="0.35">
      <c r="A99" s="55" t="s">
        <v>67</v>
      </c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</row>
    <row r="100" spans="1:13" ht="25" x14ac:dyDescent="0.35">
      <c r="A100" s="4" t="s">
        <v>68</v>
      </c>
      <c r="B100" s="2" t="s">
        <v>186</v>
      </c>
      <c r="C100" s="2" t="s">
        <v>69</v>
      </c>
    </row>
    <row r="101" spans="1:13" x14ac:dyDescent="0.35">
      <c r="A101" s="6" t="s">
        <v>178</v>
      </c>
      <c r="B101" s="14">
        <v>10.084300000000001</v>
      </c>
      <c r="C101" s="14">
        <v>10.4064</v>
      </c>
    </row>
    <row r="102" spans="1:13" x14ac:dyDescent="0.35">
      <c r="A102" s="6" t="s">
        <v>179</v>
      </c>
      <c r="B102" s="14">
        <v>9.9986999999999995</v>
      </c>
      <c r="C102" s="14">
        <v>10.3291</v>
      </c>
    </row>
    <row r="103" spans="1:13" x14ac:dyDescent="0.35">
      <c r="A103" s="56"/>
      <c r="B103" s="57"/>
      <c r="C103" s="58"/>
    </row>
    <row r="104" spans="1:13" x14ac:dyDescent="0.35">
      <c r="A104" s="51" t="s">
        <v>199</v>
      </c>
      <c r="B104" s="52"/>
      <c r="C104" s="53"/>
    </row>
    <row r="105" spans="1:13" x14ac:dyDescent="0.35">
      <c r="A105" s="51" t="s">
        <v>70</v>
      </c>
      <c r="B105" s="52"/>
      <c r="C105" s="53"/>
    </row>
    <row r="106" spans="1:13" x14ac:dyDescent="0.35">
      <c r="A106" s="51" t="s">
        <v>71</v>
      </c>
      <c r="B106" s="52"/>
      <c r="C106" s="53"/>
    </row>
    <row r="107" spans="1:13" x14ac:dyDescent="0.35">
      <c r="A107" s="51" t="s">
        <v>72</v>
      </c>
      <c r="B107" s="52"/>
      <c r="C107" s="53"/>
    </row>
    <row r="108" spans="1:13" x14ac:dyDescent="0.35">
      <c r="A108" s="51" t="s">
        <v>73</v>
      </c>
      <c r="B108" s="52"/>
      <c r="C108" s="53"/>
    </row>
    <row r="109" spans="1:13" x14ac:dyDescent="0.35">
      <c r="A109" s="51" t="s">
        <v>187</v>
      </c>
      <c r="B109" s="52"/>
      <c r="C109" s="53"/>
    </row>
    <row r="110" spans="1:13" x14ac:dyDescent="0.35">
      <c r="A110" s="51" t="s">
        <v>74</v>
      </c>
      <c r="B110" s="52"/>
      <c r="C110" s="53"/>
    </row>
    <row r="111" spans="1:13" x14ac:dyDescent="0.35">
      <c r="A111" s="51" t="s">
        <v>75</v>
      </c>
      <c r="B111" s="52"/>
      <c r="C111" s="53"/>
    </row>
    <row r="112" spans="1:13" x14ac:dyDescent="0.35">
      <c r="A112" s="51" t="s">
        <v>76</v>
      </c>
      <c r="B112" s="52"/>
      <c r="C112" s="53"/>
    </row>
    <row r="113" spans="1:4" x14ac:dyDescent="0.35">
      <c r="A113" s="51" t="s">
        <v>77</v>
      </c>
      <c r="B113" s="52"/>
      <c r="C113" s="53"/>
    </row>
    <row r="114" spans="1:4" x14ac:dyDescent="0.35">
      <c r="A114" s="61" t="s">
        <v>196</v>
      </c>
      <c r="B114" s="62"/>
      <c r="C114" s="63"/>
    </row>
    <row r="115" spans="1:4" x14ac:dyDescent="0.35">
      <c r="A115" s="1"/>
    </row>
    <row r="116" spans="1:4" x14ac:dyDescent="0.35">
      <c r="A116" s="43" t="s">
        <v>188</v>
      </c>
      <c r="B116" s="43"/>
      <c r="C116" s="43"/>
      <c r="D116" s="43"/>
    </row>
    <row r="117" spans="1:4" x14ac:dyDescent="0.35">
      <c r="A117" s="46" t="s">
        <v>189</v>
      </c>
      <c r="B117" s="46"/>
      <c r="C117" s="46"/>
      <c r="D117" s="46"/>
    </row>
    <row r="118" spans="1:4" x14ac:dyDescent="0.35">
      <c r="A118" s="46" t="s">
        <v>190</v>
      </c>
      <c r="B118" s="46"/>
      <c r="C118" s="46"/>
      <c r="D118" s="46"/>
    </row>
    <row r="119" spans="1:4" x14ac:dyDescent="0.35">
      <c r="A119" s="46" t="s">
        <v>191</v>
      </c>
      <c r="B119" s="46"/>
      <c r="C119" s="46"/>
      <c r="D119" s="46"/>
    </row>
    <row r="121" spans="1:4" ht="29" x14ac:dyDescent="0.35">
      <c r="A121" s="44" t="s">
        <v>192</v>
      </c>
      <c r="B121" s="47" t="s">
        <v>193</v>
      </c>
      <c r="C121" s="47"/>
      <c r="D121" s="45"/>
    </row>
    <row r="132" spans="1:2" x14ac:dyDescent="0.35">
      <c r="A132" t="s">
        <v>194</v>
      </c>
      <c r="B132" t="s">
        <v>195</v>
      </c>
    </row>
  </sheetData>
  <mergeCells count="31">
    <mergeCell ref="A2:I2"/>
    <mergeCell ref="A3:I3"/>
    <mergeCell ref="H70:H71"/>
    <mergeCell ref="I70:I71"/>
    <mergeCell ref="A95:M95"/>
    <mergeCell ref="A114:C114"/>
    <mergeCell ref="A105:C105"/>
    <mergeCell ref="A106:C106"/>
    <mergeCell ref="A107:C107"/>
    <mergeCell ref="A108:C108"/>
    <mergeCell ref="A109:C109"/>
    <mergeCell ref="B70:B71"/>
    <mergeCell ref="C70:C71"/>
    <mergeCell ref="D70:D71"/>
    <mergeCell ref="E70:E71"/>
    <mergeCell ref="A117:D117"/>
    <mergeCell ref="A118:D118"/>
    <mergeCell ref="A119:D119"/>
    <mergeCell ref="B121:C121"/>
    <mergeCell ref="A1:I1"/>
    <mergeCell ref="A110:C110"/>
    <mergeCell ref="A111:C111"/>
    <mergeCell ref="A112:C112"/>
    <mergeCell ref="A113:C113"/>
    <mergeCell ref="A97:M97"/>
    <mergeCell ref="A98:M98"/>
    <mergeCell ref="A99:M99"/>
    <mergeCell ref="A103:C103"/>
    <mergeCell ref="A104:C104"/>
    <mergeCell ref="F70:F71"/>
    <mergeCell ref="G70:G71"/>
  </mergeCells>
  <hyperlinks>
    <hyperlink ref="A114" r:id="rId1" display="https://unifimf.com/wp-content/uploads/fund-sheets/Scheme_Performance_Flexicap_Jan.xlsx" xr:uid="{F1493BA9-7743-4EA8-A714-96183BF1C062}"/>
    <hyperlink ref="A114:C114" r:id="rId2" display="13) For more details on Scheme Performance, please refer to the following link :Click here" xr:uid="{202FB81A-C9C8-4511-A523-FEAB98A31E54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Flexi Cap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2026-01-31T13:19:08Z</dcterms:created>
  <dcterms:modified xsi:type="dcterms:W3CDTF">2026-02-09T13:12:23Z</dcterms:modified>
</cp:coreProperties>
</file>