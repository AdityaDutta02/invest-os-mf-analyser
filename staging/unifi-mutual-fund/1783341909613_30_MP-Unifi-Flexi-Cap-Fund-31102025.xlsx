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October 2025\"/>
    </mc:Choice>
  </mc:AlternateContent>
  <xr:revisionPtr revIDLastSave="0" documentId="13_ncr:1_{319D4B42-13E7-4CFD-8C4E-55530C275D4A}" xr6:coauthVersionLast="47" xr6:coauthVersionMax="47" xr10:uidLastSave="{00000000-0000-0000-0000-000000000000}"/>
  <bookViews>
    <workbookView xWindow="-110" yWindow="-110" windowWidth="19420" windowHeight="11500" xr2:uid="{2A1399A2-5AC2-48ED-AF71-A9AF05FDD9ED}"/>
  </bookViews>
  <sheets>
    <sheet name="UFI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" i="1" l="1"/>
  <c r="E76" i="1"/>
  <c r="F63" i="1"/>
  <c r="E63" i="1"/>
  <c r="F69" i="1" l="1"/>
  <c r="F76" i="1" s="1"/>
  <c r="E69" i="1"/>
  <c r="E86" i="1"/>
  <c r="F86" i="1" s="1"/>
  <c r="F87" i="1" s="1"/>
</calcChain>
</file>

<file path=xl/sharedStrings.xml><?xml version="1.0" encoding="utf-8"?>
<sst xmlns="http://schemas.openxmlformats.org/spreadsheetml/2006/main" count="226" uniqueCount="189">
  <si>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</si>
  <si>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</si>
  <si>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</si>
  <si>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</si>
  <si>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</si>
  <si>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</si>
  <si>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</si>
  <si>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</si>
  <si>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</si>
  <si>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</si>
  <si>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</si>
  <si>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</si>
  <si>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</si>
  <si>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</si>
  <si>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</si>
  <si>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</si>
  <si>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</si>
  <si>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</si>
  <si>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</si>
  <si>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</si>
  <si>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</si>
  <si>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</si>
  <si>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</si>
  <si>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</si>
  <si>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</si>
  <si>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</si>
  <si>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</si>
  <si>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</si>
  <si>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</si>
  <si>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</si>
  <si>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</si>
  <si>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</si>
  <si>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</si>
  <si>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</si>
  <si>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</si>
  <si>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</si>
  <si>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</si>
  <si>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 xml:space="preserve"> Oracle Financial Services Software</t>
  </si>
  <si>
    <t>INE881D01027</t>
  </si>
  <si>
    <t>INE499A01024</t>
  </si>
  <si>
    <t xml:space="preserve"> Redington Limited</t>
  </si>
  <si>
    <t>INE891D01026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</si>
  <si>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</si>
  <si>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</si>
  <si>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</si>
  <si>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</si>
  <si>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</si>
  <si>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</si>
  <si>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>INE298J01013</t>
  </si>
  <si>
    <t>INE0LRU01027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</si>
  <si>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</si>
  <si>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</si>
  <si>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</si>
  <si>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</si>
  <si>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</si>
  <si>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>INE925R01014</t>
  </si>
  <si>
    <t>INE028A01039</t>
  </si>
  <si>
    <t xml:space="preserve"> Aadhar Housing Finance Limited</t>
  </si>
  <si>
    <t>INE883F01010</t>
  </si>
  <si>
    <t>INE804L01022</t>
  </si>
  <si>
    <t xml:space="preserve"> Coal India Limited</t>
  </si>
  <si>
    <t>INE522F01014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</si>
  <si>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</si>
  <si>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</si>
  <si>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</si>
  <si>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</si>
  <si>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</si>
  <si>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</si>
  <si>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</si>
  <si>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</si>
  <si>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</si>
  <si>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</si>
  <si>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Ion Exchange (India) Limited</t>
  </si>
  <si>
    <t>INE570A01022</t>
  </si>
  <si>
    <t xml:space="preserve"> Marksans Pharma Limited</t>
  </si>
  <si>
    <t>INE750C01026</t>
  </si>
  <si>
    <t>Subtotal</t>
  </si>
  <si>
    <t>NIL</t>
  </si>
  <si>
    <t>Total</t>
  </si>
  <si>
    <t>Debt Instruments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</si>
  <si>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</si>
  <si>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</si>
  <si>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</si>
  <si>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</si>
  <si>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</si>
  <si>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</si>
  <si>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Net Current Assets</t>
  </si>
  <si>
    <t>GRAND TOTAL</t>
  </si>
  <si>
    <t>Notes :</t>
  </si>
  <si>
    <t>2) Net Assets Value per unit (in Rs) are as follows :</t>
  </si>
  <si>
    <t>Plan/Option</t>
  </si>
  <si>
    <t>Regular</t>
  </si>
  <si>
    <t xml:space="preserve">Direct 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</si>
  <si>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</si>
  <si>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</si>
  <si>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</si>
  <si>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</si>
  <si>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</si>
  <si>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</si>
  <si>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</si>
  <si>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</si>
  <si>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</si>
  <si>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 xml:space="preserve">Scheme’s Riskometer
 </t>
  </si>
  <si>
    <t xml:space="preserve">          Benchmark Risk-o-meter is very high</t>
  </si>
  <si>
    <t xml:space="preserve">Tier 1 Benchmark’s Riskometer-(Nifty 500 TRI)
</t>
  </si>
  <si>
    <t xml:space="preserve"> State Bank of India</t>
  </si>
  <si>
    <t xml:space="preserve"> InterGlobe Aviation Limited</t>
  </si>
  <si>
    <t xml:space="preserve"> Infosys Limited</t>
  </si>
  <si>
    <t>INE009A01021</t>
  </si>
  <si>
    <t xml:space="preserve"> Power Grid Corporation of India Limited</t>
  </si>
  <si>
    <t xml:space="preserve"> RPG Life Sciences Limited</t>
  </si>
  <si>
    <t>INE105J01010</t>
  </si>
  <si>
    <t xml:space="preserve"> Bank of Baroda</t>
  </si>
  <si>
    <t xml:space="preserve"> Cummins India Limited</t>
  </si>
  <si>
    <t>INE298A01020</t>
  </si>
  <si>
    <t xml:space="preserve"> Reliance Industries Limited</t>
  </si>
  <si>
    <t>INE002A01018</t>
  </si>
  <si>
    <t>INE066F01020</t>
  </si>
  <si>
    <t>INE419M01027</t>
  </si>
  <si>
    <t>INE177F01017</t>
  </si>
  <si>
    <t>Construction</t>
  </si>
  <si>
    <t>Healthcare Services</t>
  </si>
  <si>
    <t xml:space="preserve"> Aarti Pharmalabs Limited</t>
  </si>
  <si>
    <t xml:space="preserve"> CMS Info Systems Limited</t>
  </si>
  <si>
    <t>Power</t>
  </si>
  <si>
    <t xml:space="preserve"> Narayana Hrudayalaya Limited</t>
  </si>
  <si>
    <t xml:space="preserve"> Medplus Health Services Limited</t>
  </si>
  <si>
    <t xml:space="preserve"> Pearl Global Industries Limited</t>
  </si>
  <si>
    <t>INE940H01022</t>
  </si>
  <si>
    <t xml:space="preserve"> Bajaj Auto Limited</t>
  </si>
  <si>
    <t>INE917I01010</t>
  </si>
  <si>
    <t>INE974X01010</t>
  </si>
  <si>
    <t>INE159A01016</t>
  </si>
  <si>
    <t xml:space="preserve"> Indegene Limited</t>
  </si>
  <si>
    <t>INE065X01017</t>
  </si>
  <si>
    <t>As on September 30, 2025</t>
  </si>
  <si>
    <t>INE088F01024</t>
  </si>
  <si>
    <t xml:space="preserve"> Aditya Birla Real Estate Limited</t>
  </si>
  <si>
    <t>INE055A01016</t>
  </si>
  <si>
    <t xml:space="preserve"> Alivus Life Sciences</t>
  </si>
  <si>
    <t>INE03Q201024</t>
  </si>
  <si>
    <t>As on October 31, 2025</t>
  </si>
  <si>
    <t>1) The provision made for investment in security below investment grade as on October 31, 2025 is Rs Nil and its percentage to Net Asset Value is Nil.</t>
  </si>
  <si>
    <t>5) Total outstanding exposure in derivative instruments as on October 31, 2025 : Nil.</t>
  </si>
  <si>
    <t xml:space="preserve">6) Total investments in Foreign Securities / Overseas ETFs as at October 31, 2025 and its percentage to NAV : Nil. </t>
  </si>
  <si>
    <t>Monthly Portfolio Statement as on 31-October-2025</t>
  </si>
  <si>
    <t xml:space="preserve"> Paradeep Phosphates Limited</t>
  </si>
  <si>
    <t>Telecom - Services</t>
  </si>
  <si>
    <t>Banks</t>
  </si>
  <si>
    <t>Diversified FMCG</t>
  </si>
  <si>
    <t>Automobiles</t>
  </si>
  <si>
    <t>Petroleum Products</t>
  </si>
  <si>
    <t>Pharmaceuticals &amp; Biotechnology</t>
  </si>
  <si>
    <t>Transport Services</t>
  </si>
  <si>
    <t>Commercial Services &amp; Supplies</t>
  </si>
  <si>
    <t>Fertilizers &amp; Agrochemicals</t>
  </si>
  <si>
    <t>Capital Markets</t>
  </si>
  <si>
    <t>Finance</t>
  </si>
  <si>
    <t>IT - Software</t>
  </si>
  <si>
    <t>Electrical Equipment</t>
  </si>
  <si>
    <t>Aerospace &amp; Defense</t>
  </si>
  <si>
    <t>Paper, Forest &amp; Jute Products</t>
  </si>
  <si>
    <t>Retailing</t>
  </si>
  <si>
    <t>Diversified</t>
  </si>
  <si>
    <t>Textiles &amp; Apparels</t>
  </si>
  <si>
    <t>Food Products</t>
  </si>
  <si>
    <t>Industrial Products</t>
  </si>
  <si>
    <t>Auto Components</t>
  </si>
  <si>
    <t>Consumable Fuels</t>
  </si>
  <si>
    <t>Other Utilities</t>
  </si>
  <si>
    <t>Listed / awaiting listing on Stock Exchange</t>
  </si>
  <si>
    <t>Margin Money for derivative/TREPS</t>
  </si>
  <si>
    <t>3) Details of Dividend declared per unit (in Rs.) during the Month of October 31, 2025 : Nil.</t>
  </si>
  <si>
    <t>4) No Bonus declared during the month of October 31, 2025</t>
  </si>
  <si>
    <t>8) Details of repo transactions in corporate debt securities for the month of October 31, 2025: Nil.</t>
  </si>
  <si>
    <t>9) Details of transactions of (Credit Default Swap) for the month ended October 31, 2025 : Nil.</t>
  </si>
  <si>
    <t>7) Portfolio Turnover Ratio ( Times ) : Nil</t>
  </si>
  <si>
    <t>(a) Non convertible Preference Shares/Bonds</t>
  </si>
  <si>
    <t>6.00% TVS Motor Company Ltd (Preference Share) 01-Sep-2026**</t>
  </si>
  <si>
    <t>**Thinly/Illiquid Securities</t>
  </si>
  <si>
    <t xml:space="preserve"> Nippon Life India Asset Management Limited</t>
  </si>
  <si>
    <t xml:space="preserve"> TD Power Systems Limited</t>
  </si>
  <si>
    <t xml:space="preserve"> Hindustan Aeronautics Limited</t>
  </si>
  <si>
    <t xml:space="preserve"> DCM Shriram Limited</t>
  </si>
  <si>
    <t xml:space="preserve"> Tube Investments Of India Limited</t>
  </si>
  <si>
    <t xml:space="preserve"> GlaxoSmithKline Pharmaceuticals Limited</t>
  </si>
  <si>
    <t xml:space="preserve"> Kovai Medical Center &amp; Hospital Limited.</t>
  </si>
  <si>
    <r>
      <rPr>
        <sz val="11"/>
        <rFont val="Calibri"/>
        <family val="2"/>
      </rPr>
      <t>13) For more details on Scheme Performance, please refer to the following link:</t>
    </r>
    <r>
      <rPr>
        <u/>
        <sz val="11"/>
        <color theme="10"/>
        <rFont val="Calibri"/>
        <family val="2"/>
      </rPr>
      <t xml:space="preserve"> Click here</t>
    </r>
  </si>
  <si>
    <t xml:space="preserve">                                Investors understand that their principal will be at very high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</si>
</sst>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%"/>
  </numFmts>
  <fonts count="10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Protection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right" vertical="top" wrapText="1"/>
    </xf>
    <xf numFmtId="10" fontId="2" fillId="0" borderId="0" xfId="2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4" fontId="2" fillId="0" borderId="6" xfId="0" applyNumberFormat="1" applyFont="1" applyBorder="1" applyAlignment="1">
      <alignment horizontal="right" vertical="top" wrapText="1"/>
    </xf>
    <xf numFmtId="10" fontId="2" fillId="0" borderId="6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2" fillId="0" borderId="6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2" fontId="2" fillId="0" borderId="5" xfId="0" applyNumberFormat="1" applyFont="1" applyBorder="1" applyAlignment="1">
      <alignment horizontal="right" vertical="top" wrapText="1"/>
    </xf>
    <xf numFmtId="2" fontId="3" fillId="0" borderId="7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horizontal="right" vertical="top" wrapText="1"/>
    </xf>
    <xf numFmtId="10" fontId="2" fillId="0" borderId="4" xfId="0" applyNumberFormat="1" applyFont="1" applyBorder="1" applyAlignment="1">
      <alignment horizontal="right" vertical="top" wrapText="1"/>
    </xf>
    <xf numFmtId="0" fontId="0" fillId="0" borderId="7" xfId="0" applyBorder="1" applyAlignment="1">
      <alignment horizontal="left" indent="1"/>
    </xf>
    <xf numFmtId="0" fontId="0" fillId="0" borderId="7" xfId="0" applyBorder="1"/>
    <xf numFmtId="2" fontId="2" fillId="0" borderId="4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10" fontId="0" fillId="0" borderId="3" xfId="2" applyNumberFormat="1" applyFont="1" applyBorder="1" applyAlignment="1">
      <alignment horizontal="right" vertical="top" wrapText="1"/>
    </xf>
    <xf numFmtId="4" fontId="2" fillId="0" borderId="5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10" fontId="3" fillId="0" borderId="7" xfId="2" applyNumberFormat="1" applyFont="1" applyBorder="1" applyAlignment="1">
      <alignment vertical="top" wrapText="1"/>
    </xf>
    <xf numFmtId="10" fontId="2" fillId="0" borderId="5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0" borderId="0" xfId="0" applyFont="1" applyAlignment="1">
      <alignment horizontal="left" indent="1"/>
    </xf>
    <xf numFmtId="0" fontId="8" fillId="0" borderId="1" xfId="3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4">
    <cellStyle name="Hyperlink" xfId="3" builtinId="8"/>
    <cellStyle name="Normal" xfId="0" builtinId="0"/>
    <cellStyle name="Normal 3" xfId="1" xr:uid="{2EC53EF0-DAD1-464E-B3EF-7F361776C67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117</xdr:row>
      <xdr:rowOff>78105</xdr:rowOff>
    </xdr:from>
    <xdr:to>
      <xdr:col>0</xdr:col>
      <xdr:colOff>5046724</xdr:colOff>
      <xdr:row>126</xdr:row>
      <xdr:rowOff>114299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117</xdr:row>
      <xdr:rowOff>116205</xdr:rowOff>
    </xdr:from>
    <xdr:to>
      <xdr:col>2</xdr:col>
      <xdr:colOff>2026920</xdr:colOff>
      <xdr:row>126</xdr:row>
      <xdr:rowOff>173551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unifimf.com/wp-content/uploads/fund-sheets/Scheme_Performance_Flexicap_Oc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M128"/>
  <sheetViews>
    <sheetView showGridLines="0" tabSelected="1" zoomScale="80" zoomScaleNormal="80" workbookViewId="0">
      <selection activeCell="A2" sqref="A2:I2"/>
    </sheetView>
  </sheetViews>
  <sheetFormatPr defaultRowHeight="14.5" x14ac:dyDescent="0.35"/>
  <cols>
    <col min="1" max="1" width="95.1796875" customWidth="1"/>
    <col min="2" max="2" width="22.1796875" customWidth="1"/>
    <col min="3" max="3" width="30.81640625" customWidth="1"/>
    <col min="4" max="4" width="15.453125" customWidth="1"/>
    <col min="5" max="5" width="12.81640625" customWidth="1"/>
    <col min="6" max="6" width="12.6328125" bestFit="1" customWidth="1"/>
    <col min="7" max="7" width="7.81640625" hidden="1" customWidth="1"/>
    <col min="8" max="8" width="8.54296875" hidden="1" customWidth="1"/>
    <col min="9" max="9" width="6" hidden="1" customWidth="1"/>
    <col min="10" max="13" width="0.81640625" customWidth="1"/>
  </cols>
  <sheetData>
    <row r="2" spans="1:9" ht="18" customHeight="1" x14ac:dyDescent="0.35">
      <c r="A2" s="62" t="s">
        <v>93</v>
      </c>
      <c r="B2" s="63"/>
      <c r="C2" s="63"/>
      <c r="D2" s="63"/>
      <c r="E2" s="63"/>
      <c r="F2" s="63"/>
      <c r="G2" s="63"/>
      <c r="H2" s="63"/>
      <c r="I2" s="64"/>
    </row>
    <row r="3" spans="1:9" ht="30" customHeight="1" x14ac:dyDescent="0.35">
      <c r="A3" s="62" t="s">
        <v>94</v>
      </c>
      <c r="B3" s="63"/>
      <c r="C3" s="63"/>
      <c r="D3" s="63"/>
      <c r="E3" s="63"/>
      <c r="F3" s="63"/>
      <c r="G3" s="63"/>
      <c r="H3" s="63"/>
      <c r="I3" s="64"/>
    </row>
    <row r="4" spans="1:9" x14ac:dyDescent="0.35">
      <c r="A4" s="70" t="s">
        <v>145</v>
      </c>
      <c r="B4" s="71"/>
      <c r="C4" s="71"/>
      <c r="D4" s="71"/>
      <c r="E4" s="71"/>
      <c r="F4" s="71"/>
      <c r="G4" s="71"/>
      <c r="H4" s="71"/>
      <c r="I4" s="72"/>
    </row>
    <row r="5" spans="1:9" ht="62.5" x14ac:dyDescent="0.35">
      <c r="A5" s="58" t="s">
        <v>0</v>
      </c>
      <c r="B5" s="58" t="s">
        <v>1</v>
      </c>
      <c r="C5" s="58" t="s">
        <v>2</v>
      </c>
      <c r="D5" s="60" t="s">
        <v>3</v>
      </c>
      <c r="E5" s="60" t="s">
        <v>4</v>
      </c>
      <c r="F5" s="60" t="s">
        <v>5</v>
      </c>
      <c r="G5" s="2" t="s">
        <v>6</v>
      </c>
      <c r="H5" s="60" t="s">
        <v>7</v>
      </c>
      <c r="I5" s="54"/>
    </row>
    <row r="6" spans="1:9" x14ac:dyDescent="0.35">
      <c r="A6" s="59"/>
      <c r="B6" s="59"/>
      <c r="C6" s="59"/>
      <c r="D6" s="61"/>
      <c r="E6" s="61"/>
      <c r="F6" s="61"/>
      <c r="G6" s="3"/>
      <c r="H6" s="61"/>
      <c r="I6" s="55"/>
    </row>
    <row r="7" spans="1:9" ht="18.5" customHeight="1" x14ac:dyDescent="0.35">
      <c r="A7" s="4" t="s">
        <v>8</v>
      </c>
      <c r="B7" s="5"/>
      <c r="C7" s="5"/>
      <c r="D7" s="5"/>
      <c r="E7" s="5"/>
      <c r="F7" s="5"/>
      <c r="G7" s="5"/>
      <c r="H7" s="5"/>
      <c r="I7" s="6"/>
    </row>
    <row r="8" spans="1:9" ht="16.649999999999999" customHeight="1" x14ac:dyDescent="0.35">
      <c r="A8" s="4" t="s">
        <v>9</v>
      </c>
      <c r="B8" s="5"/>
      <c r="C8" s="5"/>
      <c r="D8" s="5"/>
      <c r="E8" s="5"/>
      <c r="F8" s="5"/>
      <c r="G8" s="5"/>
      <c r="H8" s="5"/>
      <c r="I8" s="5"/>
    </row>
    <row r="9" spans="1:9" x14ac:dyDescent="0.35">
      <c r="A9" s="19" t="s">
        <v>16</v>
      </c>
      <c r="B9" s="19" t="s">
        <v>17</v>
      </c>
      <c r="C9" s="19" t="s">
        <v>147</v>
      </c>
      <c r="D9" s="20">
        <v>44052</v>
      </c>
      <c r="E9" s="21">
        <v>905.04834000000005</v>
      </c>
      <c r="F9" s="22">
        <v>5.8145337409724704E-2</v>
      </c>
      <c r="G9" s="5"/>
      <c r="H9" s="5"/>
      <c r="I9" s="6"/>
    </row>
    <row r="10" spans="1:9" x14ac:dyDescent="0.35">
      <c r="A10" s="19" t="s">
        <v>10</v>
      </c>
      <c r="B10" s="19" t="s">
        <v>11</v>
      </c>
      <c r="C10" s="19" t="s">
        <v>148</v>
      </c>
      <c r="D10" s="20">
        <v>60102</v>
      </c>
      <c r="E10" s="21">
        <v>808.55220599999996</v>
      </c>
      <c r="F10" s="22">
        <v>5.1945889245260904E-2</v>
      </c>
      <c r="G10" s="5"/>
      <c r="H10" s="5"/>
      <c r="I10" s="6"/>
    </row>
    <row r="11" spans="1:9" x14ac:dyDescent="0.35">
      <c r="A11" s="19" t="s">
        <v>14</v>
      </c>
      <c r="B11" s="19" t="s">
        <v>15</v>
      </c>
      <c r="C11" s="19" t="s">
        <v>148</v>
      </c>
      <c r="D11" s="20">
        <v>35803</v>
      </c>
      <c r="E11" s="21">
        <v>752.650666</v>
      </c>
      <c r="F11" s="22">
        <v>4.835446350437371E-2</v>
      </c>
      <c r="G11" s="5"/>
      <c r="H11" s="5"/>
      <c r="I11" s="6"/>
    </row>
    <row r="12" spans="1:9" x14ac:dyDescent="0.35">
      <c r="A12" s="19" t="s">
        <v>12</v>
      </c>
      <c r="B12" s="19" t="s">
        <v>13</v>
      </c>
      <c r="C12" s="19" t="s">
        <v>148</v>
      </c>
      <c r="D12" s="20">
        <v>74400</v>
      </c>
      <c r="E12" s="21">
        <v>734.55119999999999</v>
      </c>
      <c r="F12" s="22">
        <v>4.7191653175915629E-2</v>
      </c>
      <c r="G12" s="5"/>
      <c r="H12" s="5"/>
      <c r="I12" s="6"/>
    </row>
    <row r="13" spans="1:9" x14ac:dyDescent="0.35">
      <c r="A13" s="19" t="s">
        <v>18</v>
      </c>
      <c r="B13" s="19" t="s">
        <v>19</v>
      </c>
      <c r="C13" s="19" t="s">
        <v>149</v>
      </c>
      <c r="D13" s="20">
        <v>146400</v>
      </c>
      <c r="E13" s="21">
        <v>615.39239999999995</v>
      </c>
      <c r="F13" s="22">
        <v>3.9536229343705848E-2</v>
      </c>
      <c r="G13" s="5"/>
      <c r="H13" s="5"/>
      <c r="I13" s="6"/>
    </row>
    <row r="14" spans="1:9" x14ac:dyDescent="0.35">
      <c r="A14" s="19" t="s">
        <v>20</v>
      </c>
      <c r="B14" s="19" t="s">
        <v>21</v>
      </c>
      <c r="C14" s="19" t="s">
        <v>120</v>
      </c>
      <c r="D14" s="20">
        <v>14000</v>
      </c>
      <c r="E14" s="21">
        <v>564.32600000000002</v>
      </c>
      <c r="F14" s="22">
        <v>3.6255439879686761E-2</v>
      </c>
      <c r="G14" s="5"/>
      <c r="H14" s="5"/>
      <c r="I14" s="6"/>
    </row>
    <row r="15" spans="1:9" x14ac:dyDescent="0.35">
      <c r="A15" s="19" t="s">
        <v>24</v>
      </c>
      <c r="B15" s="19" t="s">
        <v>25</v>
      </c>
      <c r="C15" s="19" t="s">
        <v>148</v>
      </c>
      <c r="D15" s="20">
        <v>39601</v>
      </c>
      <c r="E15" s="21">
        <v>488.20112799999998</v>
      </c>
      <c r="F15" s="22">
        <v>3.136475484985498E-2</v>
      </c>
      <c r="G15" s="5"/>
      <c r="H15" s="5"/>
      <c r="I15" s="6"/>
    </row>
    <row r="16" spans="1:9" x14ac:dyDescent="0.35">
      <c r="A16" s="19" t="s">
        <v>105</v>
      </c>
      <c r="B16" s="19" t="s">
        <v>26</v>
      </c>
      <c r="C16" s="19" t="s">
        <v>148</v>
      </c>
      <c r="D16" s="20">
        <v>48002</v>
      </c>
      <c r="E16" s="21">
        <v>449.77874000000003</v>
      </c>
      <c r="F16" s="22">
        <v>2.8896287017134179E-2</v>
      </c>
      <c r="G16" s="5"/>
      <c r="H16" s="5"/>
      <c r="I16" s="6"/>
    </row>
    <row r="17" spans="1:9" x14ac:dyDescent="0.35">
      <c r="A17" s="19" t="s">
        <v>22</v>
      </c>
      <c r="B17" s="19" t="s">
        <v>23</v>
      </c>
      <c r="C17" s="19" t="s">
        <v>150</v>
      </c>
      <c r="D17" s="20">
        <v>12500</v>
      </c>
      <c r="E17" s="21">
        <v>435.9</v>
      </c>
      <c r="F17" s="22">
        <v>2.8004639594056375E-2</v>
      </c>
      <c r="G17" s="5"/>
      <c r="H17" s="5"/>
      <c r="I17" s="6"/>
    </row>
    <row r="18" spans="1:9" x14ac:dyDescent="0.35">
      <c r="A18" s="19" t="s">
        <v>31</v>
      </c>
      <c r="B18" s="19" t="s">
        <v>32</v>
      </c>
      <c r="C18" s="19" t="s">
        <v>121</v>
      </c>
      <c r="D18" s="20">
        <v>5402</v>
      </c>
      <c r="E18" s="21">
        <v>414.92761999999999</v>
      </c>
      <c r="F18" s="22">
        <v>2.6657257296901993E-2</v>
      </c>
      <c r="G18" s="5"/>
      <c r="H18" s="5"/>
      <c r="I18" s="6"/>
    </row>
    <row r="19" spans="1:9" x14ac:dyDescent="0.35">
      <c r="A19" s="19" t="s">
        <v>115</v>
      </c>
      <c r="B19" s="19" t="s">
        <v>116</v>
      </c>
      <c r="C19" s="19" t="s">
        <v>151</v>
      </c>
      <c r="D19" s="20">
        <v>27000</v>
      </c>
      <c r="E19" s="21">
        <v>401.32799999999997</v>
      </c>
      <c r="F19" s="22">
        <v>2.5783542094525023E-2</v>
      </c>
      <c r="G19" s="5"/>
      <c r="H19" s="5"/>
      <c r="I19" s="6"/>
    </row>
    <row r="20" spans="1:9" x14ac:dyDescent="0.35">
      <c r="A20" s="19" t="s">
        <v>122</v>
      </c>
      <c r="B20" s="19" t="s">
        <v>49</v>
      </c>
      <c r="C20" s="19" t="s">
        <v>152</v>
      </c>
      <c r="D20" s="20">
        <v>42502</v>
      </c>
      <c r="E20" s="21">
        <v>362.09578900000002</v>
      </c>
      <c r="F20" s="22">
        <v>2.3263046729686817E-2</v>
      </c>
      <c r="G20" s="5"/>
      <c r="H20" s="5"/>
      <c r="I20" s="6"/>
    </row>
    <row r="21" spans="1:9" x14ac:dyDescent="0.35">
      <c r="A21" s="19" t="s">
        <v>106</v>
      </c>
      <c r="B21" s="19" t="s">
        <v>28</v>
      </c>
      <c r="C21" s="19" t="s">
        <v>153</v>
      </c>
      <c r="D21" s="20">
        <v>6213</v>
      </c>
      <c r="E21" s="21">
        <v>349.48124999999999</v>
      </c>
      <c r="F21" s="22">
        <v>2.2452618607777735E-2</v>
      </c>
      <c r="G21" s="5"/>
      <c r="H21" s="5"/>
      <c r="I21" s="6"/>
    </row>
    <row r="22" spans="1:9" x14ac:dyDescent="0.35">
      <c r="A22" s="19" t="s">
        <v>123</v>
      </c>
      <c r="B22" s="19" t="s">
        <v>55</v>
      </c>
      <c r="C22" s="19" t="s">
        <v>154</v>
      </c>
      <c r="D22" s="20">
        <v>83546</v>
      </c>
      <c r="E22" s="21">
        <v>310.206298</v>
      </c>
      <c r="F22" s="22">
        <v>1.9929377323460545E-2</v>
      </c>
      <c r="G22" s="5"/>
      <c r="H22" s="5"/>
      <c r="I22" s="6"/>
    </row>
    <row r="23" spans="1:9" x14ac:dyDescent="0.35">
      <c r="A23" s="19" t="s">
        <v>35</v>
      </c>
      <c r="B23" s="19" t="s">
        <v>36</v>
      </c>
      <c r="C23" s="19" t="s">
        <v>124</v>
      </c>
      <c r="D23" s="20">
        <v>90502</v>
      </c>
      <c r="E23" s="21">
        <v>304.94648899999999</v>
      </c>
      <c r="F23" s="22">
        <v>1.959145794888249E-2</v>
      </c>
      <c r="G23" s="5"/>
      <c r="H23" s="5"/>
      <c r="I23" s="6"/>
    </row>
    <row r="24" spans="1:9" x14ac:dyDescent="0.35">
      <c r="A24" s="19" t="s">
        <v>146</v>
      </c>
      <c r="B24" s="19" t="s">
        <v>136</v>
      </c>
      <c r="C24" s="19" t="s">
        <v>155</v>
      </c>
      <c r="D24" s="20">
        <v>173382</v>
      </c>
      <c r="E24" s="21">
        <v>288.50764800000002</v>
      </c>
      <c r="F24" s="22">
        <v>1.8535335403461528E-2</v>
      </c>
      <c r="G24" s="5"/>
      <c r="H24" s="5"/>
      <c r="I24" s="6"/>
    </row>
    <row r="25" spans="1:9" x14ac:dyDescent="0.35">
      <c r="A25" s="19" t="s">
        <v>180</v>
      </c>
      <c r="B25" s="19" t="s">
        <v>48</v>
      </c>
      <c r="C25" s="19" t="s">
        <v>156</v>
      </c>
      <c r="D25" s="20">
        <v>32504</v>
      </c>
      <c r="E25" s="21">
        <v>284.34499199999999</v>
      </c>
      <c r="F25" s="22">
        <v>1.8267903237749124E-2</v>
      </c>
      <c r="G25" s="5"/>
      <c r="H25" s="5"/>
      <c r="I25" s="6"/>
    </row>
    <row r="26" spans="1:9" x14ac:dyDescent="0.35">
      <c r="A26" s="19" t="s">
        <v>125</v>
      </c>
      <c r="B26" s="19" t="s">
        <v>27</v>
      </c>
      <c r="C26" s="19" t="s">
        <v>121</v>
      </c>
      <c r="D26" s="20">
        <v>16001</v>
      </c>
      <c r="E26" s="21">
        <v>281.20157399999999</v>
      </c>
      <c r="F26" s="22">
        <v>1.8065952588096752E-2</v>
      </c>
      <c r="G26" s="5"/>
      <c r="H26" s="5"/>
      <c r="I26" s="6"/>
    </row>
    <row r="27" spans="1:9" x14ac:dyDescent="0.35">
      <c r="A27" s="19" t="s">
        <v>29</v>
      </c>
      <c r="B27" s="19" t="s">
        <v>30</v>
      </c>
      <c r="C27" s="19" t="s">
        <v>152</v>
      </c>
      <c r="D27" s="20">
        <v>7000</v>
      </c>
      <c r="E27" s="21">
        <v>249.20699999999999</v>
      </c>
      <c r="F27" s="22">
        <v>1.6010443265235163E-2</v>
      </c>
      <c r="G27" s="5"/>
      <c r="H27" s="5"/>
      <c r="I27" s="6"/>
    </row>
    <row r="28" spans="1:9" x14ac:dyDescent="0.35">
      <c r="A28" s="19" t="s">
        <v>57</v>
      </c>
      <c r="B28" s="19" t="s">
        <v>58</v>
      </c>
      <c r="C28" s="19" t="s">
        <v>157</v>
      </c>
      <c r="D28" s="20">
        <v>47501</v>
      </c>
      <c r="E28" s="21">
        <v>242.18384850000001</v>
      </c>
      <c r="F28" s="22">
        <v>1.5559236964313033E-2</v>
      </c>
      <c r="G28" s="5"/>
      <c r="H28" s="5"/>
      <c r="I28" s="6"/>
    </row>
    <row r="29" spans="1:9" x14ac:dyDescent="0.35">
      <c r="A29" s="19" t="s">
        <v>42</v>
      </c>
      <c r="B29" s="19" t="s">
        <v>43</v>
      </c>
      <c r="C29" s="19" t="s">
        <v>155</v>
      </c>
      <c r="D29" s="20">
        <v>11302</v>
      </c>
      <c r="E29" s="21">
        <v>240.12229199999999</v>
      </c>
      <c r="F29" s="22">
        <v>1.5426791112545921E-2</v>
      </c>
      <c r="G29" s="5"/>
      <c r="H29" s="5"/>
      <c r="I29" s="6"/>
    </row>
    <row r="30" spans="1:9" x14ac:dyDescent="0.35">
      <c r="A30" s="19" t="s">
        <v>70</v>
      </c>
      <c r="B30" s="19" t="s">
        <v>71</v>
      </c>
      <c r="C30" s="19" t="s">
        <v>156</v>
      </c>
      <c r="D30" s="20">
        <v>4400</v>
      </c>
      <c r="E30" s="21">
        <v>236.67599999999999</v>
      </c>
      <c r="F30" s="22">
        <v>1.5205382153161017E-2</v>
      </c>
      <c r="G30" s="5"/>
      <c r="H30" s="5"/>
      <c r="I30" s="6"/>
    </row>
    <row r="31" spans="1:9" x14ac:dyDescent="0.35">
      <c r="A31" s="19" t="s">
        <v>33</v>
      </c>
      <c r="B31" s="19" t="s">
        <v>34</v>
      </c>
      <c r="C31" s="19" t="s">
        <v>158</v>
      </c>
      <c r="D31" s="20">
        <v>15001</v>
      </c>
      <c r="E31" s="21">
        <v>231.24041500000001</v>
      </c>
      <c r="F31" s="22">
        <v>1.4856169951032411E-2</v>
      </c>
      <c r="G31" s="5"/>
      <c r="H31" s="5"/>
      <c r="I31" s="6"/>
    </row>
    <row r="32" spans="1:9" x14ac:dyDescent="0.35">
      <c r="A32" s="19" t="s">
        <v>46</v>
      </c>
      <c r="B32" s="19" t="s">
        <v>47</v>
      </c>
      <c r="C32" s="19" t="s">
        <v>150</v>
      </c>
      <c r="D32" s="20">
        <v>6400</v>
      </c>
      <c r="E32" s="21">
        <v>224.55680000000001</v>
      </c>
      <c r="F32" s="22">
        <v>1.4426777362685475E-2</v>
      </c>
      <c r="G32" s="5"/>
      <c r="H32" s="5"/>
      <c r="I32" s="6"/>
    </row>
    <row r="33" spans="1:9" x14ac:dyDescent="0.35">
      <c r="A33" s="19" t="s">
        <v>74</v>
      </c>
      <c r="B33" s="19" t="s">
        <v>75</v>
      </c>
      <c r="C33" s="19" t="s">
        <v>152</v>
      </c>
      <c r="D33" s="20">
        <v>120127</v>
      </c>
      <c r="E33" s="21">
        <v>218.72724160000001</v>
      </c>
      <c r="F33" s="22">
        <v>1.4052254118857754E-2</v>
      </c>
      <c r="G33" s="5"/>
      <c r="H33" s="5"/>
      <c r="I33" s="6"/>
    </row>
    <row r="34" spans="1:9" x14ac:dyDescent="0.35">
      <c r="A34" s="19" t="s">
        <v>37</v>
      </c>
      <c r="B34" s="19" t="s">
        <v>38</v>
      </c>
      <c r="C34" s="19" t="s">
        <v>158</v>
      </c>
      <c r="D34" s="20">
        <v>2455</v>
      </c>
      <c r="E34" s="21">
        <v>209.04325</v>
      </c>
      <c r="F34" s="22">
        <v>1.3430100655701367E-2</v>
      </c>
      <c r="G34" s="5"/>
      <c r="H34" s="5"/>
      <c r="I34" s="6"/>
    </row>
    <row r="35" spans="1:9" x14ac:dyDescent="0.35">
      <c r="A35" s="19" t="s">
        <v>112</v>
      </c>
      <c r="B35" s="19" t="s">
        <v>56</v>
      </c>
      <c r="C35" s="19" t="s">
        <v>148</v>
      </c>
      <c r="D35" s="20">
        <v>72001</v>
      </c>
      <c r="E35" s="21">
        <v>200.450784</v>
      </c>
      <c r="F35" s="22">
        <v>1.2878072865946416E-2</v>
      </c>
      <c r="G35" s="5"/>
      <c r="H35" s="5"/>
      <c r="I35" s="6"/>
    </row>
    <row r="36" spans="1:9" x14ac:dyDescent="0.35">
      <c r="A36" s="19" t="s">
        <v>181</v>
      </c>
      <c r="B36" s="19" t="s">
        <v>118</v>
      </c>
      <c r="C36" s="19" t="s">
        <v>159</v>
      </c>
      <c r="D36" s="20">
        <v>25000</v>
      </c>
      <c r="E36" s="21">
        <v>193.72499999999999</v>
      </c>
      <c r="F36" s="22">
        <v>1.2445971106580802E-2</v>
      </c>
      <c r="G36" s="5"/>
      <c r="H36" s="5"/>
      <c r="I36" s="6"/>
    </row>
    <row r="37" spans="1:9" x14ac:dyDescent="0.35">
      <c r="A37" s="19" t="s">
        <v>182</v>
      </c>
      <c r="B37" s="19" t="s">
        <v>117</v>
      </c>
      <c r="C37" s="19" t="s">
        <v>160</v>
      </c>
      <c r="D37" s="20">
        <v>4000</v>
      </c>
      <c r="E37" s="21">
        <v>187.19200000000001</v>
      </c>
      <c r="F37" s="22">
        <v>1.2026254863249831E-2</v>
      </c>
      <c r="G37" s="5"/>
      <c r="H37" s="5"/>
      <c r="I37" s="6"/>
    </row>
    <row r="38" spans="1:9" x14ac:dyDescent="0.35">
      <c r="A38" s="19" t="s">
        <v>50</v>
      </c>
      <c r="B38" s="19" t="s">
        <v>51</v>
      </c>
      <c r="C38" s="19" t="s">
        <v>156</v>
      </c>
      <c r="D38" s="20">
        <v>24000</v>
      </c>
      <c r="E38" s="21">
        <v>182.88</v>
      </c>
      <c r="F38" s="22">
        <v>1.1749228008628194E-2</v>
      </c>
      <c r="G38" s="5"/>
      <c r="H38" s="5"/>
      <c r="I38" s="6"/>
    </row>
    <row r="39" spans="1:9" x14ac:dyDescent="0.35">
      <c r="A39" s="19" t="s">
        <v>137</v>
      </c>
      <c r="B39" s="19" t="s">
        <v>138</v>
      </c>
      <c r="C39" s="19" t="s">
        <v>161</v>
      </c>
      <c r="D39" s="20">
        <v>9000</v>
      </c>
      <c r="E39" s="21">
        <v>168.90299999999999</v>
      </c>
      <c r="F39" s="22">
        <v>1.0851267816827034E-2</v>
      </c>
      <c r="G39" s="5"/>
      <c r="H39" s="5"/>
      <c r="I39" s="6"/>
    </row>
    <row r="40" spans="1:9" x14ac:dyDescent="0.35">
      <c r="A40" s="19" t="s">
        <v>68</v>
      </c>
      <c r="B40" s="19" t="s">
        <v>69</v>
      </c>
      <c r="C40" s="19" t="s">
        <v>155</v>
      </c>
      <c r="D40" s="20">
        <v>3420</v>
      </c>
      <c r="E40" s="21">
        <v>167.05332000000001</v>
      </c>
      <c r="F40" s="22">
        <v>1.0732434089448429E-2</v>
      </c>
      <c r="G40" s="5"/>
      <c r="H40" s="5"/>
      <c r="I40" s="6"/>
    </row>
    <row r="41" spans="1:9" x14ac:dyDescent="0.35">
      <c r="A41" s="19" t="s">
        <v>107</v>
      </c>
      <c r="B41" s="19" t="s">
        <v>108</v>
      </c>
      <c r="C41" s="19" t="s">
        <v>158</v>
      </c>
      <c r="D41" s="20">
        <v>11000</v>
      </c>
      <c r="E41" s="21">
        <v>163.053</v>
      </c>
      <c r="F41" s="22">
        <v>1.0475431290960482E-2</v>
      </c>
      <c r="G41" s="5"/>
      <c r="H41" s="5"/>
      <c r="I41" s="6"/>
    </row>
    <row r="42" spans="1:9" x14ac:dyDescent="0.35">
      <c r="A42" s="19" t="s">
        <v>110</v>
      </c>
      <c r="B42" s="19" t="s">
        <v>111</v>
      </c>
      <c r="C42" s="19" t="s">
        <v>152</v>
      </c>
      <c r="D42" s="20">
        <v>6565</v>
      </c>
      <c r="E42" s="21">
        <v>157.816035</v>
      </c>
      <c r="F42" s="22">
        <v>1.0138979541954547E-2</v>
      </c>
      <c r="G42" s="5"/>
      <c r="H42" s="5"/>
      <c r="I42" s="6"/>
    </row>
    <row r="43" spans="1:9" x14ac:dyDescent="0.35">
      <c r="A43" s="19" t="s">
        <v>126</v>
      </c>
      <c r="B43" s="19" t="s">
        <v>59</v>
      </c>
      <c r="C43" s="19" t="s">
        <v>162</v>
      </c>
      <c r="D43" s="20">
        <v>20002</v>
      </c>
      <c r="E43" s="21">
        <v>152.58525700000001</v>
      </c>
      <c r="F43" s="22">
        <v>9.8029252802281901E-3</v>
      </c>
      <c r="G43" s="5"/>
      <c r="H43" s="5"/>
      <c r="I43" s="6"/>
    </row>
    <row r="44" spans="1:9" x14ac:dyDescent="0.35">
      <c r="A44" s="19" t="s">
        <v>183</v>
      </c>
      <c r="B44" s="19" t="s">
        <v>39</v>
      </c>
      <c r="C44" s="19" t="s">
        <v>163</v>
      </c>
      <c r="D44" s="20">
        <v>11900</v>
      </c>
      <c r="E44" s="21">
        <v>152.46279999999999</v>
      </c>
      <c r="F44" s="22">
        <v>9.7950579616900638E-3</v>
      </c>
      <c r="G44" s="5"/>
      <c r="H44" s="5"/>
      <c r="I44" s="6"/>
    </row>
    <row r="45" spans="1:9" x14ac:dyDescent="0.35">
      <c r="A45" s="19" t="s">
        <v>127</v>
      </c>
      <c r="B45" s="19" t="s">
        <v>128</v>
      </c>
      <c r="C45" s="19" t="s">
        <v>164</v>
      </c>
      <c r="D45" s="20">
        <v>11500</v>
      </c>
      <c r="E45" s="21">
        <v>151.35149999999999</v>
      </c>
      <c r="F45" s="22">
        <v>9.723661870887414E-3</v>
      </c>
      <c r="G45" s="5"/>
      <c r="H45" s="5"/>
      <c r="I45" s="6"/>
    </row>
    <row r="46" spans="1:9" x14ac:dyDescent="0.35">
      <c r="A46" s="19" t="s">
        <v>109</v>
      </c>
      <c r="B46" s="19" t="s">
        <v>54</v>
      </c>
      <c r="C46" s="19" t="s">
        <v>124</v>
      </c>
      <c r="D46" s="20">
        <v>52001</v>
      </c>
      <c r="E46" s="21">
        <v>149.84088149999999</v>
      </c>
      <c r="F46" s="22">
        <v>9.6266113394430138E-3</v>
      </c>
      <c r="G46" s="5"/>
      <c r="H46" s="5"/>
      <c r="I46" s="6"/>
    </row>
    <row r="47" spans="1:9" x14ac:dyDescent="0.35">
      <c r="A47" s="19" t="s">
        <v>44</v>
      </c>
      <c r="B47" s="19" t="s">
        <v>45</v>
      </c>
      <c r="C47" s="19" t="s">
        <v>158</v>
      </c>
      <c r="D47" s="20">
        <v>10001</v>
      </c>
      <c r="E47" s="21">
        <v>142.45424399999999</v>
      </c>
      <c r="F47" s="22">
        <v>9.1520526769070156E-3</v>
      </c>
      <c r="G47" s="5"/>
      <c r="H47" s="5"/>
      <c r="I47" s="6"/>
    </row>
    <row r="48" spans="1:9" x14ac:dyDescent="0.35">
      <c r="A48" s="19" t="s">
        <v>66</v>
      </c>
      <c r="B48" s="19" t="s">
        <v>67</v>
      </c>
      <c r="C48" s="19" t="s">
        <v>120</v>
      </c>
      <c r="D48" s="20">
        <v>66000</v>
      </c>
      <c r="E48" s="21">
        <v>140.16419999999999</v>
      </c>
      <c r="F48" s="22">
        <v>9.0049275177546146E-3</v>
      </c>
      <c r="G48" s="5"/>
      <c r="H48" s="5"/>
      <c r="I48" s="6"/>
    </row>
    <row r="49" spans="1:9" x14ac:dyDescent="0.35">
      <c r="A49" s="19" t="s">
        <v>52</v>
      </c>
      <c r="B49" s="19" t="s">
        <v>53</v>
      </c>
      <c r="C49" s="19" t="s">
        <v>157</v>
      </c>
      <c r="D49" s="20">
        <v>16000</v>
      </c>
      <c r="E49" s="21">
        <v>138.864</v>
      </c>
      <c r="F49" s="22">
        <v>8.9213954406722751E-3</v>
      </c>
      <c r="G49" s="5"/>
      <c r="H49" s="5"/>
      <c r="I49" s="6"/>
    </row>
    <row r="50" spans="1:9" x14ac:dyDescent="0.35">
      <c r="A50" s="19" t="s">
        <v>62</v>
      </c>
      <c r="B50" s="19" t="s">
        <v>63</v>
      </c>
      <c r="C50" s="19" t="s">
        <v>165</v>
      </c>
      <c r="D50" s="20">
        <v>20655</v>
      </c>
      <c r="E50" s="21">
        <v>136.99428750000001</v>
      </c>
      <c r="F50" s="22">
        <v>8.8012747141134259E-3</v>
      </c>
      <c r="G50" s="5"/>
      <c r="H50" s="5"/>
      <c r="I50" s="6"/>
    </row>
    <row r="51" spans="1:9" ht="18.899999999999999" customHeight="1" x14ac:dyDescent="0.35">
      <c r="A51" s="19" t="s">
        <v>129</v>
      </c>
      <c r="B51" s="19" t="s">
        <v>130</v>
      </c>
      <c r="C51" s="19" t="s">
        <v>150</v>
      </c>
      <c r="D51" s="20">
        <v>1500</v>
      </c>
      <c r="E51" s="21">
        <v>133.38749999999999</v>
      </c>
      <c r="F51" s="22">
        <v>8.5695546314572026E-3</v>
      </c>
      <c r="G51" s="5"/>
      <c r="H51" s="5"/>
      <c r="I51" s="5"/>
    </row>
    <row r="52" spans="1:9" ht="21.15" customHeight="1" x14ac:dyDescent="0.35">
      <c r="A52" s="19" t="s">
        <v>113</v>
      </c>
      <c r="B52" s="19" t="s">
        <v>114</v>
      </c>
      <c r="C52" s="19" t="s">
        <v>166</v>
      </c>
      <c r="D52" s="20">
        <v>3000</v>
      </c>
      <c r="E52" s="21">
        <v>130.32300000000001</v>
      </c>
      <c r="F52" s="22">
        <v>8.3726741129071091E-3</v>
      </c>
      <c r="G52" s="5"/>
      <c r="H52" s="5"/>
      <c r="I52" s="5"/>
    </row>
    <row r="53" spans="1:9" ht="17.5" customHeight="1" x14ac:dyDescent="0.35">
      <c r="A53" s="19" t="s">
        <v>184</v>
      </c>
      <c r="B53" s="19" t="s">
        <v>131</v>
      </c>
      <c r="C53" s="19" t="s">
        <v>167</v>
      </c>
      <c r="D53" s="20">
        <v>4100</v>
      </c>
      <c r="E53" s="21">
        <v>123.943</v>
      </c>
      <c r="F53" s="22">
        <v>7.9627874402526493E-3</v>
      </c>
      <c r="G53" s="5"/>
      <c r="H53" s="5"/>
      <c r="I53" s="5"/>
    </row>
    <row r="54" spans="1:9" x14ac:dyDescent="0.35">
      <c r="A54" s="19" t="s">
        <v>60</v>
      </c>
      <c r="B54" s="19" t="s">
        <v>61</v>
      </c>
      <c r="C54" s="19" t="s">
        <v>168</v>
      </c>
      <c r="D54" s="20">
        <v>30000</v>
      </c>
      <c r="E54" s="21">
        <v>116.595</v>
      </c>
      <c r="F54" s="22">
        <v>7.4907110655402691E-3</v>
      </c>
      <c r="G54" s="65"/>
      <c r="H54" s="65"/>
      <c r="I54" s="65"/>
    </row>
    <row r="55" spans="1:9" x14ac:dyDescent="0.35">
      <c r="A55" s="19" t="s">
        <v>40</v>
      </c>
      <c r="B55" s="19" t="s">
        <v>41</v>
      </c>
      <c r="C55" s="19" t="s">
        <v>154</v>
      </c>
      <c r="D55" s="20">
        <v>44000</v>
      </c>
      <c r="E55" s="21">
        <v>111.65</v>
      </c>
      <c r="F55" s="22">
        <v>7.1730167714530724E-3</v>
      </c>
      <c r="G55" s="66"/>
      <c r="H55" s="66"/>
      <c r="I55" s="66"/>
    </row>
    <row r="56" spans="1:9" ht="19.75" customHeight="1" x14ac:dyDescent="0.35">
      <c r="A56" s="19" t="s">
        <v>185</v>
      </c>
      <c r="B56" s="19" t="s">
        <v>132</v>
      </c>
      <c r="C56" s="19" t="s">
        <v>152</v>
      </c>
      <c r="D56" s="20">
        <v>4000</v>
      </c>
      <c r="E56" s="21">
        <v>104.744</v>
      </c>
      <c r="F56" s="22">
        <v>6.7293369342506107E-3</v>
      </c>
      <c r="G56" s="5"/>
      <c r="H56" s="5"/>
      <c r="I56" s="5"/>
    </row>
    <row r="57" spans="1:9" ht="14" customHeight="1" x14ac:dyDescent="0.35">
      <c r="A57" s="19" t="s">
        <v>64</v>
      </c>
      <c r="B57" s="19" t="s">
        <v>65</v>
      </c>
      <c r="C57" s="19" t="s">
        <v>166</v>
      </c>
      <c r="D57" s="20">
        <v>6000</v>
      </c>
      <c r="E57" s="21">
        <v>101.346</v>
      </c>
      <c r="F57" s="22">
        <v>6.5110305214481244E-3</v>
      </c>
      <c r="G57" s="7"/>
      <c r="H57" s="5"/>
      <c r="I57" s="5"/>
    </row>
    <row r="58" spans="1:9" x14ac:dyDescent="0.35">
      <c r="A58" s="19" t="s">
        <v>133</v>
      </c>
      <c r="B58" s="19" t="s">
        <v>134</v>
      </c>
      <c r="C58" s="19" t="s">
        <v>121</v>
      </c>
      <c r="D58" s="20">
        <v>18000</v>
      </c>
      <c r="E58" s="21">
        <v>97.091999999999999</v>
      </c>
      <c r="F58" s="22">
        <v>6.2377299093051659E-3</v>
      </c>
    </row>
    <row r="59" spans="1:9" x14ac:dyDescent="0.35">
      <c r="A59" s="19" t="s">
        <v>186</v>
      </c>
      <c r="B59" s="19" t="s">
        <v>119</v>
      </c>
      <c r="C59" s="19" t="s">
        <v>121</v>
      </c>
      <c r="D59" s="20">
        <v>1100</v>
      </c>
      <c r="E59" s="21">
        <v>70.395049999999998</v>
      </c>
      <c r="F59" s="22">
        <v>4.5225694068721685E-3</v>
      </c>
      <c r="G59" s="5"/>
      <c r="H59" s="5"/>
      <c r="I59" s="5"/>
    </row>
    <row r="60" spans="1:9" x14ac:dyDescent="0.35">
      <c r="A60" s="19" t="s">
        <v>72</v>
      </c>
      <c r="B60" s="19" t="s">
        <v>73</v>
      </c>
      <c r="C60" s="19" t="s">
        <v>169</v>
      </c>
      <c r="D60" s="20">
        <v>13500</v>
      </c>
      <c r="E60" s="21">
        <v>54.033749999999998</v>
      </c>
      <c r="F60" s="22">
        <v>3.4714285264173979E-3</v>
      </c>
      <c r="G60" s="5"/>
      <c r="H60" s="5"/>
      <c r="I60" s="5"/>
    </row>
    <row r="61" spans="1:9" x14ac:dyDescent="0.35">
      <c r="A61" s="19" t="s">
        <v>139</v>
      </c>
      <c r="B61" s="19" t="s">
        <v>140</v>
      </c>
      <c r="C61" s="19" t="s">
        <v>152</v>
      </c>
      <c r="D61" s="20">
        <v>3286</v>
      </c>
      <c r="E61" s="21">
        <v>29.720227000000001</v>
      </c>
      <c r="F61" s="22">
        <v>1.9093926262641508E-3</v>
      </c>
      <c r="G61" s="5"/>
      <c r="H61" s="5"/>
      <c r="I61" s="6"/>
    </row>
    <row r="62" spans="1:9" x14ac:dyDescent="0.35">
      <c r="A62" s="4" t="s">
        <v>76</v>
      </c>
      <c r="B62" s="5"/>
      <c r="C62" s="5"/>
      <c r="D62" s="5"/>
      <c r="E62" s="23">
        <v>14262.2170231</v>
      </c>
      <c r="F62" s="24">
        <v>0.91628411916524699</v>
      </c>
      <c r="G62" s="5"/>
      <c r="H62" s="5"/>
      <c r="I62" s="5"/>
    </row>
    <row r="63" spans="1:9" x14ac:dyDescent="0.35">
      <c r="A63" s="30" t="s">
        <v>78</v>
      </c>
      <c r="B63" s="28"/>
      <c r="C63" s="28"/>
      <c r="D63" s="28"/>
      <c r="E63" s="37">
        <f>SUM(E62)</f>
        <v>14262.2170231</v>
      </c>
      <c r="F63" s="38">
        <f>SUM(F62)</f>
        <v>0.91628411916524699</v>
      </c>
      <c r="G63" s="5"/>
      <c r="H63" s="5"/>
      <c r="I63" s="5"/>
    </row>
    <row r="64" spans="1:9" x14ac:dyDescent="0.35">
      <c r="A64" s="39"/>
      <c r="B64" s="40"/>
      <c r="C64" s="40"/>
      <c r="D64" s="40"/>
      <c r="E64" s="40"/>
      <c r="F64" s="40"/>
      <c r="G64" s="7"/>
      <c r="H64" s="5"/>
      <c r="I64" s="5"/>
    </row>
    <row r="65" spans="1:9" x14ac:dyDescent="0.35">
      <c r="A65" s="31" t="s">
        <v>79</v>
      </c>
      <c r="B65" s="29"/>
      <c r="C65" s="29"/>
      <c r="D65" s="29"/>
      <c r="E65" s="29"/>
      <c r="F65" s="29"/>
      <c r="G65" s="6"/>
      <c r="H65" s="6"/>
      <c r="I65" s="6"/>
    </row>
    <row r="66" spans="1:9" x14ac:dyDescent="0.35">
      <c r="A66" s="4" t="s">
        <v>177</v>
      </c>
      <c r="B66" s="5"/>
      <c r="C66" s="5"/>
      <c r="D66" s="5"/>
      <c r="E66" s="5"/>
      <c r="F66" s="5"/>
      <c r="G66" s="6"/>
      <c r="H66" s="6"/>
      <c r="I66" s="6"/>
    </row>
    <row r="67" spans="1:9" x14ac:dyDescent="0.35">
      <c r="A67" s="4" t="s">
        <v>170</v>
      </c>
      <c r="B67" s="5"/>
      <c r="C67" s="5"/>
      <c r="D67" s="5"/>
      <c r="E67" s="28"/>
      <c r="F67" s="28"/>
      <c r="G67" s="5"/>
      <c r="H67" s="5"/>
      <c r="I67" s="6"/>
    </row>
    <row r="68" spans="1:9" x14ac:dyDescent="0.35">
      <c r="A68" s="19" t="s">
        <v>178</v>
      </c>
      <c r="B68" s="5"/>
      <c r="C68" s="5"/>
      <c r="D68" s="32"/>
      <c r="E68" s="36">
        <v>2.7049257</v>
      </c>
      <c r="F68" s="47">
        <v>1.7378000000000001E-4</v>
      </c>
      <c r="G68" s="7"/>
      <c r="H68" s="5"/>
      <c r="I68" s="6"/>
    </row>
    <row r="69" spans="1:9" x14ac:dyDescent="0.35">
      <c r="A69" s="4" t="s">
        <v>76</v>
      </c>
      <c r="B69" s="5"/>
      <c r="C69" s="5"/>
      <c r="D69" s="5"/>
      <c r="E69" s="35">
        <f>E68</f>
        <v>2.7049257</v>
      </c>
      <c r="F69" s="48">
        <f>F68</f>
        <v>1.7378000000000001E-4</v>
      </c>
      <c r="G69" s="5"/>
      <c r="H69" s="5"/>
      <c r="I69" s="5"/>
    </row>
    <row r="70" spans="1:9" x14ac:dyDescent="0.35">
      <c r="A70" s="4"/>
      <c r="B70" s="5"/>
      <c r="C70" s="5"/>
      <c r="D70" s="5"/>
      <c r="E70" s="33"/>
      <c r="F70" s="34"/>
      <c r="G70" s="5"/>
      <c r="H70" s="5"/>
      <c r="I70" s="5"/>
    </row>
    <row r="71" spans="1:9" x14ac:dyDescent="0.35">
      <c r="A71" s="4" t="s">
        <v>80</v>
      </c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4" t="s">
        <v>76</v>
      </c>
      <c r="B72" s="5"/>
      <c r="C72" s="5"/>
      <c r="D72" s="5"/>
      <c r="E72" s="25" t="s">
        <v>77</v>
      </c>
      <c r="F72" s="25" t="s">
        <v>77</v>
      </c>
      <c r="G72" s="7"/>
      <c r="H72" s="5"/>
      <c r="I72" s="5"/>
    </row>
    <row r="73" spans="1:9" x14ac:dyDescent="0.35">
      <c r="A73" s="4"/>
      <c r="B73" s="5"/>
      <c r="C73" s="5"/>
      <c r="D73" s="5"/>
      <c r="E73" s="25"/>
      <c r="F73" s="25"/>
      <c r="G73" s="7"/>
      <c r="H73" s="5"/>
      <c r="I73" s="5"/>
    </row>
    <row r="74" spans="1:9" x14ac:dyDescent="0.35">
      <c r="A74" s="4" t="s">
        <v>81</v>
      </c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4" t="s">
        <v>76</v>
      </c>
      <c r="B75" s="5"/>
      <c r="C75" s="5"/>
      <c r="D75" s="5"/>
      <c r="E75" s="25" t="s">
        <v>77</v>
      </c>
      <c r="F75" s="25" t="s">
        <v>77</v>
      </c>
      <c r="G75" s="5"/>
      <c r="H75" s="5"/>
      <c r="I75" s="5"/>
    </row>
    <row r="76" spans="1:9" x14ac:dyDescent="0.35">
      <c r="A76" s="30" t="s">
        <v>78</v>
      </c>
      <c r="B76" s="28"/>
      <c r="C76" s="28"/>
      <c r="D76" s="28"/>
      <c r="E76" s="41">
        <f>E68</f>
        <v>2.7049257</v>
      </c>
      <c r="F76" s="38">
        <f>F69</f>
        <v>1.7378000000000001E-4</v>
      </c>
      <c r="G76" s="5"/>
      <c r="H76" s="5"/>
      <c r="I76" s="5"/>
    </row>
    <row r="77" spans="1:9" x14ac:dyDescent="0.35">
      <c r="A77" s="39"/>
      <c r="B77" s="40"/>
      <c r="C77" s="40"/>
      <c r="D77" s="40"/>
      <c r="E77" s="40"/>
      <c r="F77" s="40"/>
      <c r="G77" s="7"/>
      <c r="H77" s="5"/>
      <c r="I77" s="5"/>
    </row>
    <row r="78" spans="1:9" x14ac:dyDescent="0.35">
      <c r="A78" s="31" t="s">
        <v>82</v>
      </c>
      <c r="B78" s="29"/>
      <c r="C78" s="29"/>
      <c r="D78" s="29"/>
      <c r="E78" s="29"/>
      <c r="F78" s="29"/>
      <c r="G78" s="5"/>
      <c r="H78" s="5"/>
      <c r="I78" s="5"/>
    </row>
    <row r="79" spans="1:9" x14ac:dyDescent="0.35">
      <c r="A79" s="4" t="s">
        <v>83</v>
      </c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19" t="s">
        <v>84</v>
      </c>
      <c r="B80" s="19"/>
      <c r="C80" s="6"/>
      <c r="D80" s="20">
        <v>1300000</v>
      </c>
      <c r="E80" s="21">
        <v>1299.604124</v>
      </c>
      <c r="F80" s="22">
        <v>8.3493794695043255E-2</v>
      </c>
      <c r="G80" s="16"/>
      <c r="H80" s="16"/>
      <c r="I80" s="16"/>
    </row>
    <row r="81" spans="1:13" x14ac:dyDescent="0.35">
      <c r="A81" s="4" t="s">
        <v>76</v>
      </c>
      <c r="B81" s="5"/>
      <c r="C81" s="5"/>
      <c r="D81" s="5"/>
      <c r="E81" s="23">
        <v>1299.604124</v>
      </c>
      <c r="F81" s="24">
        <v>8.3493794695043255E-2</v>
      </c>
      <c r="G81" s="16"/>
      <c r="H81" s="16"/>
      <c r="I81" s="16"/>
    </row>
    <row r="82" spans="1:13" x14ac:dyDescent="0.35">
      <c r="A82" s="4" t="s">
        <v>78</v>
      </c>
      <c r="B82" s="5"/>
      <c r="C82" s="5"/>
      <c r="D82" s="5"/>
      <c r="E82" s="23">
        <v>1299.604124</v>
      </c>
      <c r="F82" s="24">
        <v>8.3493794695043255E-2</v>
      </c>
      <c r="G82" s="16"/>
      <c r="H82" s="16"/>
      <c r="I82" s="16"/>
    </row>
    <row r="83" spans="1:13" x14ac:dyDescent="0.35">
      <c r="A83" s="5"/>
      <c r="B83" s="5"/>
      <c r="C83" s="5"/>
      <c r="D83" s="5"/>
      <c r="E83" s="5"/>
      <c r="F83" s="5"/>
      <c r="G83" s="16"/>
      <c r="H83" s="16"/>
      <c r="I83" s="16"/>
    </row>
    <row r="84" spans="1:13" x14ac:dyDescent="0.35">
      <c r="A84" s="4" t="s">
        <v>85</v>
      </c>
      <c r="B84" s="5"/>
      <c r="C84" s="5"/>
      <c r="D84" s="5"/>
      <c r="E84" s="28"/>
      <c r="F84" s="5"/>
      <c r="G84" s="16"/>
      <c r="H84" s="16"/>
      <c r="I84" s="16"/>
    </row>
    <row r="85" spans="1:13" x14ac:dyDescent="0.35">
      <c r="A85" s="19" t="s">
        <v>171</v>
      </c>
      <c r="B85" s="5"/>
      <c r="C85" s="5"/>
      <c r="D85" s="32"/>
      <c r="E85" s="45">
        <v>0.13</v>
      </c>
      <c r="F85" s="43">
        <f>E85/$E$89</f>
        <v>8.3519227970344785E-6</v>
      </c>
      <c r="G85" s="16"/>
      <c r="H85" s="16"/>
      <c r="I85" s="16"/>
    </row>
    <row r="86" spans="1:13" x14ac:dyDescent="0.35">
      <c r="A86" s="19" t="s">
        <v>86</v>
      </c>
      <c r="B86" s="5"/>
      <c r="C86" s="5"/>
      <c r="D86" s="32"/>
      <c r="E86" s="45">
        <f>E87-E85</f>
        <v>-0.122480932</v>
      </c>
      <c r="F86" s="43">
        <f>E86/$E$89</f>
        <v>-7.8688560628679219E-6</v>
      </c>
      <c r="G86" s="16"/>
      <c r="H86" s="16"/>
      <c r="I86" s="16"/>
    </row>
    <row r="87" spans="1:13" x14ac:dyDescent="0.35">
      <c r="A87" s="4" t="s">
        <v>78</v>
      </c>
      <c r="B87" s="5"/>
      <c r="C87" s="5"/>
      <c r="D87" s="5"/>
      <c r="E87" s="44">
        <v>7.5190679999999994E-3</v>
      </c>
      <c r="F87" s="24">
        <f>SUM(F85:F86)</f>
        <v>4.8306673416655665E-7</v>
      </c>
      <c r="G87" s="16"/>
      <c r="H87" s="16"/>
      <c r="I87" s="16"/>
    </row>
    <row r="88" spans="1:13" x14ac:dyDescent="0.35">
      <c r="A88" s="4"/>
      <c r="B88" s="5"/>
      <c r="C88" s="5"/>
      <c r="D88" s="5"/>
      <c r="E88" s="21"/>
      <c r="F88" s="22"/>
      <c r="G88" s="16"/>
      <c r="H88" s="16"/>
      <c r="I88" s="16"/>
    </row>
    <row r="89" spans="1:13" x14ac:dyDescent="0.35">
      <c r="A89" s="4" t="s">
        <v>87</v>
      </c>
      <c r="B89" s="5"/>
      <c r="C89" s="5"/>
      <c r="D89" s="5"/>
      <c r="E89" s="23">
        <v>15565.2779796</v>
      </c>
      <c r="F89" s="24">
        <v>0.99995217692702443</v>
      </c>
      <c r="G89" s="16"/>
      <c r="H89" s="16"/>
      <c r="I89" s="16"/>
    </row>
    <row r="90" spans="1:13" x14ac:dyDescent="0.35">
      <c r="A90" s="15"/>
      <c r="B90" s="16"/>
      <c r="C90" s="16"/>
      <c r="D90" s="16"/>
      <c r="E90" s="17"/>
      <c r="F90" s="46"/>
      <c r="G90" s="16"/>
      <c r="H90" s="16"/>
      <c r="I90" s="16"/>
    </row>
    <row r="91" spans="1:13" x14ac:dyDescent="0.35">
      <c r="A91" s="15" t="s">
        <v>179</v>
      </c>
      <c r="B91" s="16"/>
      <c r="C91" s="16"/>
      <c r="D91" s="16"/>
      <c r="E91" s="17"/>
      <c r="F91" s="18"/>
      <c r="G91" s="16"/>
      <c r="H91" s="16"/>
      <c r="I91" s="16"/>
    </row>
    <row r="92" spans="1:13" x14ac:dyDescent="0.35">
      <c r="A92" s="1"/>
      <c r="G92" s="8"/>
      <c r="H92" s="8"/>
      <c r="I92" s="8"/>
      <c r="J92" s="8"/>
      <c r="K92" s="8"/>
      <c r="L92" s="8"/>
      <c r="M92" s="8"/>
    </row>
    <row r="93" spans="1:13" x14ac:dyDescent="0.35">
      <c r="A93" s="9" t="s">
        <v>88</v>
      </c>
      <c r="B93" s="9"/>
      <c r="C93" s="9"/>
      <c r="D93" s="9"/>
      <c r="E93" s="9"/>
      <c r="F93" s="9"/>
    </row>
    <row r="94" spans="1:13" x14ac:dyDescent="0.35">
      <c r="A94" s="56" t="s">
        <v>142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</row>
    <row r="95" spans="1:13" x14ac:dyDescent="0.35">
      <c r="A95" s="56" t="s">
        <v>89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</row>
    <row r="96" spans="1:13" ht="25" x14ac:dyDescent="0.35">
      <c r="A96" s="4" t="s">
        <v>90</v>
      </c>
      <c r="B96" s="26" t="s">
        <v>141</v>
      </c>
      <c r="C96" s="26" t="s">
        <v>135</v>
      </c>
      <c r="G96" s="8"/>
      <c r="H96" s="8"/>
      <c r="I96" s="8"/>
      <c r="J96" s="8"/>
      <c r="K96" s="8"/>
      <c r="L96" s="8"/>
      <c r="M96" s="8"/>
    </row>
    <row r="97" spans="1:4" x14ac:dyDescent="0.35">
      <c r="A97" s="6" t="s">
        <v>92</v>
      </c>
      <c r="B97" s="27">
        <v>10.3261</v>
      </c>
      <c r="C97" s="27">
        <v>9.9391999999999996</v>
      </c>
    </row>
    <row r="98" spans="1:4" x14ac:dyDescent="0.35">
      <c r="A98" s="6" t="s">
        <v>91</v>
      </c>
      <c r="B98" s="27">
        <v>10.271699999999999</v>
      </c>
      <c r="C98" s="27">
        <v>9.8978000000000002</v>
      </c>
    </row>
    <row r="99" spans="1:4" x14ac:dyDescent="0.35">
      <c r="A99" s="67"/>
      <c r="B99" s="68"/>
      <c r="C99" s="69"/>
    </row>
    <row r="100" spans="1:4" x14ac:dyDescent="0.35">
      <c r="A100" s="50" t="s">
        <v>172</v>
      </c>
      <c r="B100" s="51"/>
      <c r="C100" s="52"/>
    </row>
    <row r="101" spans="1:4" x14ac:dyDescent="0.35">
      <c r="A101" s="50" t="s">
        <v>173</v>
      </c>
      <c r="B101" s="51"/>
      <c r="C101" s="52"/>
    </row>
    <row r="102" spans="1:4" x14ac:dyDescent="0.35">
      <c r="A102" s="50" t="s">
        <v>143</v>
      </c>
      <c r="B102" s="51"/>
      <c r="C102" s="52"/>
    </row>
    <row r="103" spans="1:4" ht="14.5" customHeight="1" x14ac:dyDescent="0.35">
      <c r="A103" s="50" t="s">
        <v>144</v>
      </c>
      <c r="B103" s="51"/>
      <c r="C103" s="52"/>
    </row>
    <row r="104" spans="1:4" x14ac:dyDescent="0.35">
      <c r="A104" s="42" t="s">
        <v>176</v>
      </c>
      <c r="B104" s="10"/>
      <c r="C104" s="11"/>
    </row>
    <row r="105" spans="1:4" x14ac:dyDescent="0.35">
      <c r="A105" s="50" t="s">
        <v>174</v>
      </c>
      <c r="B105" s="51"/>
      <c r="C105" s="52"/>
    </row>
    <row r="106" spans="1:4" x14ac:dyDescent="0.35">
      <c r="A106" s="50" t="s">
        <v>175</v>
      </c>
      <c r="B106" s="51"/>
      <c r="C106" s="52"/>
    </row>
    <row r="107" spans="1:4" x14ac:dyDescent="0.35">
      <c r="A107" s="50" t="s">
        <v>99</v>
      </c>
      <c r="B107" s="51"/>
      <c r="C107" s="52"/>
    </row>
    <row r="108" spans="1:4" x14ac:dyDescent="0.35">
      <c r="A108" s="50" t="s">
        <v>100</v>
      </c>
      <c r="B108" s="51"/>
      <c r="C108" s="52"/>
    </row>
    <row r="109" spans="1:4" x14ac:dyDescent="0.35">
      <c r="A109" s="50" t="s">
        <v>101</v>
      </c>
      <c r="B109" s="51"/>
      <c r="C109" s="52"/>
    </row>
    <row r="110" spans="1:4" ht="15" customHeight="1" x14ac:dyDescent="0.35">
      <c r="A110" s="57" t="s">
        <v>187</v>
      </c>
      <c r="B110" s="51"/>
      <c r="C110" s="52"/>
    </row>
    <row r="111" spans="1:4" x14ac:dyDescent="0.35">
      <c r="A111" s="1"/>
    </row>
    <row r="112" spans="1:4" x14ac:dyDescent="0.35">
      <c r="A112" s="12" t="s">
        <v>95</v>
      </c>
      <c r="B112" s="12"/>
      <c r="C112" s="12"/>
      <c r="D112" s="12"/>
    </row>
    <row r="113" spans="1:4" x14ac:dyDescent="0.35">
      <c r="A113" s="53" t="s">
        <v>96</v>
      </c>
      <c r="B113" s="53"/>
      <c r="C113" s="53"/>
      <c r="D113" s="53"/>
    </row>
    <row r="114" spans="1:4" x14ac:dyDescent="0.35">
      <c r="A114" s="53" t="s">
        <v>97</v>
      </c>
      <c r="B114" s="53"/>
      <c r="C114" s="53"/>
      <c r="D114" s="53"/>
    </row>
    <row r="115" spans="1:4" x14ac:dyDescent="0.35">
      <c r="A115" s="53" t="s">
        <v>98</v>
      </c>
      <c r="B115" s="53"/>
      <c r="C115" s="53"/>
      <c r="D115" s="53"/>
    </row>
    <row r="117" spans="1:4" ht="28.75" customHeight="1" x14ac:dyDescent="0.35">
      <c r="A117" s="13" t="s">
        <v>102</v>
      </c>
      <c r="B117" s="49" t="s">
        <v>104</v>
      </c>
      <c r="C117" s="49"/>
      <c r="D117" s="14"/>
    </row>
    <row r="128" spans="1:4" x14ac:dyDescent="0.35">
      <c r="A128" t="s">
        <v>188</v>
      </c>
      <c r="B128" t="s">
        <v>103</v>
      </c>
    </row>
  </sheetData>
  <mergeCells count="31">
    <mergeCell ref="A2:I2"/>
    <mergeCell ref="A102:C102"/>
    <mergeCell ref="A105:C105"/>
    <mergeCell ref="A106:C106"/>
    <mergeCell ref="A107:C107"/>
    <mergeCell ref="A103:C103"/>
    <mergeCell ref="H54:H55"/>
    <mergeCell ref="I54:I55"/>
    <mergeCell ref="A101:C101"/>
    <mergeCell ref="G54:G55"/>
    <mergeCell ref="A99:C99"/>
    <mergeCell ref="A100:C100"/>
    <mergeCell ref="A3:I3"/>
    <mergeCell ref="A4:I4"/>
    <mergeCell ref="A5:A6"/>
    <mergeCell ref="B5:B6"/>
    <mergeCell ref="I5:I6"/>
    <mergeCell ref="A94:M94"/>
    <mergeCell ref="A95:M95"/>
    <mergeCell ref="A114:D114"/>
    <mergeCell ref="A110:C110"/>
    <mergeCell ref="C5:C6"/>
    <mergeCell ref="D5:D6"/>
    <mergeCell ref="E5:E6"/>
    <mergeCell ref="F5:F6"/>
    <mergeCell ref="H5:H6"/>
    <mergeCell ref="B117:C117"/>
    <mergeCell ref="A108:C108"/>
    <mergeCell ref="A109:C109"/>
    <mergeCell ref="A113:D113"/>
    <mergeCell ref="A115:D115"/>
  </mergeCells>
  <hyperlinks>
    <hyperlink ref="A110" r:id="rId1" display="https://unifimf.com/wp-content/uploads/fund-sheets/Scheme_Performance_Flexicap_Oct.xlsx" xr:uid="{1361219D-8D2A-4348-9A5E-5F3404B34C9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2025-07-03T14:14:01Z</dcterms:created>
  <dcterms:modified xsi:type="dcterms:W3CDTF">2025-11-09T10:09:45Z</dcterms:modified>
</cp:coreProperties>
</file>