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defaultThemeVersion="166925"/>
  <xr:revisionPtr revIDLastSave="0" documentId="13_ncr:1_{9FA2C877-A1AD-4C4B-98AF-43F160EE7947}" xr6:coauthVersionLast="47" xr6:coauthVersionMax="47" xr10:uidLastSave="{00000000-0000-0000-0000-000000000000}"/>
  <bookViews>
    <workbookView xWindow="-120" yWindow="-120" windowWidth="20730" windowHeight="11160" firstSheet="3" activeTab="6"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<sst xmlns="http://schemas.openxmlformats.org/spreadsheetml/2006/main" count="1572" uniqueCount="684">
  <si>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</si>
  <si>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</si>
  <si>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</si>
  <si>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</si>
  <si>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</si>
  <si>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</si>
  <si>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</si>
  <si>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</si>
  <si>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</si>
  <si>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</si>
  <si>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</si>
  <si>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</si>
  <si>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</si>
  <si>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</si>
  <si>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</si>
  <si>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</si>
  <si>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</si>
  <si>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</si>
  <si>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</si>
  <si>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</si>
  <si>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</si>
  <si>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</si>
  <si>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</si>
  <si>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</si>
  <si>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</si>
  <si>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</si>
  <si>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GOI3734</t>
  </si>
  <si>
    <t>6.54% Government of India (17/01/2032)</t>
  </si>
  <si>
    <t>IN0020210244</t>
  </si>
  <si>
    <t>GOI5196</t>
  </si>
  <si>
    <t>7.18% Government of India (24/07/2037)</t>
  </si>
  <si>
    <t>IN0020230077</t>
  </si>
  <si>
    <t>GOI4900</t>
  </si>
  <si>
    <t>7.41% Government of India (19/12/2036)</t>
  </si>
  <si>
    <t>IN0020220102</t>
  </si>
  <si>
    <t>GOI5721</t>
  </si>
  <si>
    <t>GOI5228</t>
  </si>
  <si>
    <t>7.18% Government of India (14/08/2033)</t>
  </si>
  <si>
    <t>IN0020230085</t>
  </si>
  <si>
    <t>GOI4366</t>
  </si>
  <si>
    <t>7.1% Government of India (18/04/2029)</t>
  </si>
  <si>
    <t>IN0020220011</t>
  </si>
  <si>
    <t>RUPL36</t>
  </si>
  <si>
    <t>6.4% Jamnagar Utilities &amp; Power Private Limited (29/09/2026) **</t>
  </si>
  <si>
    <t>INE936D07174</t>
  </si>
  <si>
    <t>CRISIL AAA</t>
  </si>
  <si>
    <t>GOI4978</t>
  </si>
  <si>
    <t>7.6% State Government Securities (08/02/2035)</t>
  </si>
  <si>
    <t>IN1520220220</t>
  </si>
  <si>
    <t>GOI4979</t>
  </si>
  <si>
    <t>7.64% State Government Securities (08/02/2033)</t>
  </si>
  <si>
    <t>IN2120220065</t>
  </si>
  <si>
    <t>LICH647</t>
  </si>
  <si>
    <t>8.025% LIC Housing Finance Limited (23/03/2033) **</t>
  </si>
  <si>
    <t>INE115A07QH6</t>
  </si>
  <si>
    <t>HDFB903</t>
  </si>
  <si>
    <t>7.8% HDFC Bank Limited (06/09/2032) **</t>
  </si>
  <si>
    <t>INE040A08773</t>
  </si>
  <si>
    <t>RUPL50</t>
  </si>
  <si>
    <t>7.9% Jamnagar Utilities &amp; Power Private Limited (10/08/2028) **</t>
  </si>
  <si>
    <t>INE936D07182</t>
  </si>
  <si>
    <t>NBAR787</t>
  </si>
  <si>
    <t>7.64% National Bank For Agriculture and Rural Development (06/12/2029) **</t>
  </si>
  <si>
    <t>INE261F08EJ7</t>
  </si>
  <si>
    <t>ICRA AAA</t>
  </si>
  <si>
    <t>LICH637</t>
  </si>
  <si>
    <t>7.8% LIC Housing Finance Limited (22/12/2027) **</t>
  </si>
  <si>
    <t>INE115A07QC7</t>
  </si>
  <si>
    <t>MUFL410</t>
  </si>
  <si>
    <t>8.4% Muthoot Finance Limited (27/07/2028) **</t>
  </si>
  <si>
    <t>INE414G07IH7</t>
  </si>
  <si>
    <t>CRISIL AA+</t>
  </si>
  <si>
    <t>SUFI741</t>
  </si>
  <si>
    <t>GOI5002</t>
  </si>
  <si>
    <t>7.71% State Government Securities (01/03/2033)</t>
  </si>
  <si>
    <t>IN1520220253</t>
  </si>
  <si>
    <t>GOI5018</t>
  </si>
  <si>
    <t>7.71% State Government Securities (08/03/2034)</t>
  </si>
  <si>
    <t>IN1520220279</t>
  </si>
  <si>
    <t>CHOL1057</t>
  </si>
  <si>
    <t>INE121A07SD9</t>
  </si>
  <si>
    <t>ICRA AA+</t>
  </si>
  <si>
    <t>LICH674</t>
  </si>
  <si>
    <t>7.87% LIC Housing Finance Limited (14/05/2029) **</t>
  </si>
  <si>
    <t>INE115A07QQ7</t>
  </si>
  <si>
    <t>SIDB573</t>
  </si>
  <si>
    <t>INE556F08KS8</t>
  </si>
  <si>
    <t>SHTR501</t>
  </si>
  <si>
    <t>8.9% Shriram Finance Limited (22/11/2028) **</t>
  </si>
  <si>
    <t>INE721A07RS6</t>
  </si>
  <si>
    <t>RPAT30</t>
  </si>
  <si>
    <t>6.75% Sikka Ports and Terminals Limited (22/04/2026) **</t>
  </si>
  <si>
    <t>INE941D07208</t>
  </si>
  <si>
    <t>GOI5045</t>
  </si>
  <si>
    <t>7.74% State Government Securities (23/03/2043)</t>
  </si>
  <si>
    <t>IN2120220131</t>
  </si>
  <si>
    <t>GOI5006</t>
  </si>
  <si>
    <t>7.74% State Government Securities (01/03/2033)</t>
  </si>
  <si>
    <t>IN2220220189</t>
  </si>
  <si>
    <t>GOI4995</t>
  </si>
  <si>
    <t>7.66% State Government Securities (22/02/2030)</t>
  </si>
  <si>
    <t>IN1520220246</t>
  </si>
  <si>
    <t>GOI4976</t>
  </si>
  <si>
    <t>GOI1984</t>
  </si>
  <si>
    <t>7.69% State Government Securities (20/12/2027)</t>
  </si>
  <si>
    <t>IN1520170144</t>
  </si>
  <si>
    <t>CHOL1031</t>
  </si>
  <si>
    <t>8.6% Cholamandalam Investment and Finance Company Ltd (07/12/2028) **</t>
  </si>
  <si>
    <t>INE121A07RM2</t>
  </si>
  <si>
    <t>(b) Privately placed / Unlisted</t>
  </si>
  <si>
    <t>Money Market Instruments</t>
  </si>
  <si>
    <t>Certificate of Deposit</t>
  </si>
  <si>
    <t>PUBA1038</t>
  </si>
  <si>
    <t>CRISIL A1+</t>
  </si>
  <si>
    <t>Others</t>
  </si>
  <si>
    <t>Corporate Debt Market Development Fund</t>
  </si>
  <si>
    <t>CDMD50ME</t>
  </si>
  <si>
    <t>Corporate Debt Market Development Fund #</t>
  </si>
  <si>
    <t>INF0RQ622028</t>
  </si>
  <si>
    <t>TREPS / Reverse Repo</t>
  </si>
  <si>
    <t>TRP_011024</t>
  </si>
  <si>
    <t xml:space="preserve"> </t>
  </si>
  <si>
    <t>Net Receivables / (Payables)</t>
  </si>
  <si>
    <t>GRAND TOTAL</t>
  </si>
  <si>
    <t>**  Thinly Traded / Non Traded Security</t>
  </si>
  <si>
    <t>#  Unlisted Security</t>
  </si>
  <si>
    <t>Rating</t>
  </si>
  <si>
    <t>POWF448</t>
  </si>
  <si>
    <t>GOI2349</t>
  </si>
  <si>
    <t>INBK441</t>
  </si>
  <si>
    <t>PUBA1046</t>
  </si>
  <si>
    <t>UTIB1298</t>
  </si>
  <si>
    <t>RTBK458</t>
  </si>
  <si>
    <t>ICRA A1+</t>
  </si>
  <si>
    <t>CANB992</t>
  </si>
  <si>
    <t>PUBA1050</t>
  </si>
  <si>
    <t>UTIB1332</t>
  </si>
  <si>
    <t>BKBA419</t>
  </si>
  <si>
    <t>FITCH A1+</t>
  </si>
  <si>
    <t>Commercial Paper</t>
  </si>
  <si>
    <t>GOSL389</t>
  </si>
  <si>
    <t>CHOL1055</t>
  </si>
  <si>
    <t>NBAR793</t>
  </si>
  <si>
    <t>HDBF332</t>
  </si>
  <si>
    <t>EXIM777</t>
  </si>
  <si>
    <t>EXIM786</t>
  </si>
  <si>
    <t>BGFL1116</t>
  </si>
  <si>
    <t>LICH682</t>
  </si>
  <si>
    <t>BAFL938</t>
  </si>
  <si>
    <t>Treasury Bill</t>
  </si>
  <si>
    <t>TBIL2392</t>
  </si>
  <si>
    <t>TBIL2398</t>
  </si>
  <si>
    <t>TBIL2266</t>
  </si>
  <si>
    <t>TBIL2264</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</si>
  <si>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</si>
  <si>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</si>
  <si>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</si>
  <si>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</si>
  <si>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</si>
  <si>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</si>
  <si>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</si>
  <si>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</si>
  <si>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</si>
  <si>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</si>
  <si>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</si>
  <si>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</si>
  <si>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</si>
  <si>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TELC03</t>
  </si>
  <si>
    <t>Tata Motors Limited</t>
  </si>
  <si>
    <t>INE155A01022</t>
  </si>
  <si>
    <t>Automobiles</t>
  </si>
  <si>
    <t>NTPC01</t>
  </si>
  <si>
    <t>NTPC Limited</t>
  </si>
  <si>
    <t>INE733E01010</t>
  </si>
  <si>
    <t>Power</t>
  </si>
  <si>
    <t>CHOL02</t>
  </si>
  <si>
    <t>Cholamandalam Investment and Finance Company Ltd</t>
  </si>
  <si>
    <t>INE121A01024</t>
  </si>
  <si>
    <t>Finance</t>
  </si>
  <si>
    <t>BTVL02</t>
  </si>
  <si>
    <t>Bharti Airtel Limited</t>
  </si>
  <si>
    <t>INE397D01024</t>
  </si>
  <si>
    <t>Telecom - Services</t>
  </si>
  <si>
    <t>LARS02</t>
  </si>
  <si>
    <t>Larsen &amp; Toubro Limited</t>
  </si>
  <si>
    <t>INE018A01030</t>
  </si>
  <si>
    <t>Construction</t>
  </si>
  <si>
    <t>BINL01</t>
  </si>
  <si>
    <t>Indus Towers Limited</t>
  </si>
  <si>
    <t>INE121J01017</t>
  </si>
  <si>
    <t>MSUW01</t>
  </si>
  <si>
    <t>Motherson Sumi Wiring India Limited</t>
  </si>
  <si>
    <t>INE0FS801015</t>
  </si>
  <si>
    <t>Auto Components</t>
  </si>
  <si>
    <t>SONB01</t>
  </si>
  <si>
    <t>Sona BLW Precision Forgings Limited</t>
  </si>
  <si>
    <t>INE073K01018</t>
  </si>
  <si>
    <t>BTUL02</t>
  </si>
  <si>
    <t>APL Apollo Tubes Limited</t>
  </si>
  <si>
    <t>INE702C01027</t>
  </si>
  <si>
    <t>Industrial Products</t>
  </si>
  <si>
    <t>DIVI02</t>
  </si>
  <si>
    <t>Divi's Laboratories Limited</t>
  </si>
  <si>
    <t>INE361B01024</t>
  </si>
  <si>
    <t>Pharmaceuticals &amp; Biotechnology</t>
  </si>
  <si>
    <t>COAL01</t>
  </si>
  <si>
    <t>Coal India Limited</t>
  </si>
  <si>
    <t>INE522F01014</t>
  </si>
  <si>
    <t>Consumable Fuels</t>
  </si>
  <si>
    <t>BAFL02</t>
  </si>
  <si>
    <t>Bajaj Finance Limited</t>
  </si>
  <si>
    <t>INE296A01024</t>
  </si>
  <si>
    <t>RELC01</t>
  </si>
  <si>
    <t>REC Limited</t>
  </si>
  <si>
    <t>INE020B01018</t>
  </si>
  <si>
    <t>SUMI01</t>
  </si>
  <si>
    <t>Sumitomo Chemical India Limited</t>
  </si>
  <si>
    <t>INE258G01013</t>
  </si>
  <si>
    <t>Fertilizers &amp; Agrochemicals</t>
  </si>
  <si>
    <t>AUHF01</t>
  </si>
  <si>
    <t>Aavas Financiers Limited</t>
  </si>
  <si>
    <t>INE216P01012</t>
  </si>
  <si>
    <t>CGCE01</t>
  </si>
  <si>
    <t>Crompton Greaves Consumer Electricals Limited</t>
  </si>
  <si>
    <t>INE299U01018</t>
  </si>
  <si>
    <t>Consumer Durables</t>
  </si>
  <si>
    <t>IEIN01</t>
  </si>
  <si>
    <t>Retailing</t>
  </si>
  <si>
    <t>CMSI01</t>
  </si>
  <si>
    <t>CMS Info System Limited</t>
  </si>
  <si>
    <t>INE925R01014</t>
  </si>
  <si>
    <t>Commercial Services &amp; Supplies</t>
  </si>
  <si>
    <t>KCUL02</t>
  </si>
  <si>
    <t>Cummins India Limited</t>
  </si>
  <si>
    <t>INE298A01020</t>
  </si>
  <si>
    <t>SUVP01</t>
  </si>
  <si>
    <t>Suven Pharmaceuticals Limited</t>
  </si>
  <si>
    <t>INE03QK01018</t>
  </si>
  <si>
    <t>SBAI02</t>
  </si>
  <si>
    <t>State Bank of India</t>
  </si>
  <si>
    <t>INE062A01020</t>
  </si>
  <si>
    <t>SEIS02</t>
  </si>
  <si>
    <t>SIS Limited</t>
  </si>
  <si>
    <t>INE285J01028</t>
  </si>
  <si>
    <t>TTEC01</t>
  </si>
  <si>
    <t>Tata Technologies Limited</t>
  </si>
  <si>
    <t>INE142M01025</t>
  </si>
  <si>
    <t>IT - Services</t>
  </si>
  <si>
    <t>BLDA01</t>
  </si>
  <si>
    <t>Blue Dart Express Limited</t>
  </si>
  <si>
    <t>INE233B01017</t>
  </si>
  <si>
    <t>Transport Services</t>
  </si>
  <si>
    <t>BTAT01</t>
  </si>
  <si>
    <t>Vodafone Idea Limited</t>
  </si>
  <si>
    <t>INE669E01016</t>
  </si>
  <si>
    <t>BTVL03</t>
  </si>
  <si>
    <t>IN9397D01014</t>
  </si>
  <si>
    <t>DIXO02</t>
  </si>
  <si>
    <t>Dixon Technologies (India) Limited</t>
  </si>
  <si>
    <t>INE935N01020</t>
  </si>
  <si>
    <t>IFEL01</t>
  </si>
  <si>
    <t>Oracle Financial Services Software Limited</t>
  </si>
  <si>
    <t>INE881D01027</t>
  </si>
  <si>
    <t>BALN01</t>
  </si>
  <si>
    <t>Bajaj Auto Limited</t>
  </si>
  <si>
    <t>INE917I01010</t>
  </si>
  <si>
    <t>SAEL02</t>
  </si>
  <si>
    <t>TVS Motor Company Limited</t>
  </si>
  <si>
    <t>INE494B01023</t>
  </si>
  <si>
    <t>COLG02</t>
  </si>
  <si>
    <t>Colgate Palmolive (India) Limited</t>
  </si>
  <si>
    <t>INE259A01022</t>
  </si>
  <si>
    <t>Personal Products</t>
  </si>
  <si>
    <t>HPEC01</t>
  </si>
  <si>
    <t>Hindustan Petroleum Corporation Limited</t>
  </si>
  <si>
    <t>INE094A01015</t>
  </si>
  <si>
    <t>Petroleum Products</t>
  </si>
  <si>
    <t>SOEL02</t>
  </si>
  <si>
    <t>Solar Industries India Limited</t>
  </si>
  <si>
    <t>INE343H01029</t>
  </si>
  <si>
    <t>Chemicals &amp; Petrochemicals</t>
  </si>
  <si>
    <t>TOPH02</t>
  </si>
  <si>
    <t>Torrent Pharmaceuticals Limited</t>
  </si>
  <si>
    <t>INE685A01028</t>
  </si>
  <si>
    <t>SLIF01</t>
  </si>
  <si>
    <t>SBI Life Insurance Company Limited</t>
  </si>
  <si>
    <t>INE123W01016</t>
  </si>
  <si>
    <t>Insurance</t>
  </si>
  <si>
    <t>ILOM01</t>
  </si>
  <si>
    <t>ICICI Lombard General Insurance Company Limited</t>
  </si>
  <si>
    <t>INE765G01017</t>
  </si>
  <si>
    <t>AUPH03</t>
  </si>
  <si>
    <t>HERO02</t>
  </si>
  <si>
    <t>Hero MotoCorp Limited</t>
  </si>
  <si>
    <t>INE158A01026</t>
  </si>
  <si>
    <t>BFSL02</t>
  </si>
  <si>
    <t>Bajaj Finserv Limited</t>
  </si>
  <si>
    <t>INE918I01026</t>
  </si>
  <si>
    <t>BPCL01</t>
  </si>
  <si>
    <t>Bharat Petroleum Corporation Limited</t>
  </si>
  <si>
    <t>INE029A01011</t>
  </si>
  <si>
    <t>INAV01</t>
  </si>
  <si>
    <t>MUFL01</t>
  </si>
  <si>
    <t>Muthoot Finance Limited</t>
  </si>
  <si>
    <t>INE414G01012</t>
  </si>
  <si>
    <t>PGCI01</t>
  </si>
  <si>
    <t>Power Grid Corporation of India Limited</t>
  </si>
  <si>
    <t>INE752E01010</t>
  </si>
  <si>
    <t>HALT02</t>
  </si>
  <si>
    <t>Hindustan Aeronautics Limited</t>
  </si>
  <si>
    <t>INE066F01020</t>
  </si>
  <si>
    <t>Aerospace &amp; Defense</t>
  </si>
  <si>
    <t>CHEL02</t>
  </si>
  <si>
    <t>BHEL02</t>
  </si>
  <si>
    <t>Bharat Electronics Limited</t>
  </si>
  <si>
    <t>INE263A01024</t>
  </si>
  <si>
    <t>PFCL01</t>
  </si>
  <si>
    <t>Power Finance Corporation Limited</t>
  </si>
  <si>
    <t>INE134E01011</t>
  </si>
  <si>
    <t>HDAM01</t>
  </si>
  <si>
    <t>HDFC Asset Management Company Limited</t>
  </si>
  <si>
    <t>INE127D01025</t>
  </si>
  <si>
    <t>Capital Markets</t>
  </si>
  <si>
    <t>IOIC01</t>
  </si>
  <si>
    <t>TWAT02</t>
  </si>
  <si>
    <t>Titan Company Limited</t>
  </si>
  <si>
    <t>INE280A01028</t>
  </si>
  <si>
    <t>MACR01</t>
  </si>
  <si>
    <t>LICH02</t>
  </si>
  <si>
    <t>NMDC01</t>
  </si>
  <si>
    <t>MUND02</t>
  </si>
  <si>
    <t>Adani Ports and Special Economic Zone Limited</t>
  </si>
  <si>
    <t>INE742F01042</t>
  </si>
  <si>
    <t>Transport Infrastructure</t>
  </si>
  <si>
    <t>HCLT02</t>
  </si>
  <si>
    <t>HCL Technologies Limited</t>
  </si>
  <si>
    <t>INE860A01027</t>
  </si>
  <si>
    <t>MOSU03</t>
  </si>
  <si>
    <t>IPLI01</t>
  </si>
  <si>
    <t>ALKE01</t>
  </si>
  <si>
    <t>Alkem Laboratories Limited</t>
  </si>
  <si>
    <t>INE540L01014</t>
  </si>
  <si>
    <t>AVSP01</t>
  </si>
  <si>
    <t>RIND01</t>
  </si>
  <si>
    <t>Reliance Industries Limited</t>
  </si>
  <si>
    <t>INE002A01018</t>
  </si>
  <si>
    <t>ITCL02</t>
  </si>
  <si>
    <t>ITC Limited</t>
  </si>
  <si>
    <t>INE154A01025</t>
  </si>
  <si>
    <t>Diversified FMCG</t>
  </si>
  <si>
    <t>TCSL01</t>
  </si>
  <si>
    <t>Tata Consultancy Services Limited</t>
  </si>
  <si>
    <t>INE467B01029</t>
  </si>
  <si>
    <t>UTIB02</t>
  </si>
  <si>
    <t>Axis Bank Limited</t>
  </si>
  <si>
    <t>INE238A01034</t>
  </si>
  <si>
    <t>MAHI02</t>
  </si>
  <si>
    <t>Mahindra &amp; Mahindra Limited</t>
  </si>
  <si>
    <t>INE101A01026</t>
  </si>
  <si>
    <t>KOMA02</t>
  </si>
  <si>
    <t>Kotak Mahindra Bank Limited</t>
  </si>
  <si>
    <t>INE237A01028</t>
  </si>
  <si>
    <t>HLEL02</t>
  </si>
  <si>
    <t>Hindustan Unilever Limited</t>
  </si>
  <si>
    <t>INE030A01027</t>
  </si>
  <si>
    <t>SPIL03</t>
  </si>
  <si>
    <t>Sun Pharmaceutical Industries Limited</t>
  </si>
  <si>
    <t>INE044A01036</t>
  </si>
  <si>
    <t>MAUD01</t>
  </si>
  <si>
    <t>Maruti Suzuki India Limited</t>
  </si>
  <si>
    <t>INE585B01010</t>
  </si>
  <si>
    <t>ASPA02</t>
  </si>
  <si>
    <t>Asian Paints Limited</t>
  </si>
  <si>
    <t>INE021A01026</t>
  </si>
  <si>
    <t>TISC03</t>
  </si>
  <si>
    <t>Tata Steel Limited</t>
  </si>
  <si>
    <t>INE081A01020</t>
  </si>
  <si>
    <t>Ferrous Metals</t>
  </si>
  <si>
    <t>ULCC01</t>
  </si>
  <si>
    <t>UltraTech Cement Limited</t>
  </si>
  <si>
    <t>INE481G01011</t>
  </si>
  <si>
    <t>Cement &amp; Cement Products</t>
  </si>
  <si>
    <t>ONGC02</t>
  </si>
  <si>
    <t>Oil &amp; Natural Gas Corporation Limited</t>
  </si>
  <si>
    <t>INE213A01029</t>
  </si>
  <si>
    <t>Oil</t>
  </si>
  <si>
    <t>HINI02</t>
  </si>
  <si>
    <t>Hindalco Industries Limited</t>
  </si>
  <si>
    <t>INE038A01020</t>
  </si>
  <si>
    <t>Non - Ferrous Metals</t>
  </si>
  <si>
    <t>GRAS02</t>
  </si>
  <si>
    <t>Grasim Industries Limited</t>
  </si>
  <si>
    <t>INE047A01021</t>
  </si>
  <si>
    <t>TEMA02</t>
  </si>
  <si>
    <t>Tech Mahindra Limited</t>
  </si>
  <si>
    <t>INE669C01036</t>
  </si>
  <si>
    <t>SHTR01</t>
  </si>
  <si>
    <t>Shriram Finance Limited</t>
  </si>
  <si>
    <t>INE721A01013</t>
  </si>
  <si>
    <t>JVSL04</t>
  </si>
  <si>
    <t>JSW Steel Limited</t>
  </si>
  <si>
    <t>INE019A01038</t>
  </si>
  <si>
    <t>NEST02</t>
  </si>
  <si>
    <t>Nestle India Limited</t>
  </si>
  <si>
    <t>INE239A01024</t>
  </si>
  <si>
    <t>Food Products</t>
  </si>
  <si>
    <t>IIBL01</t>
  </si>
  <si>
    <t>IndusInd Bank Limited</t>
  </si>
  <si>
    <t>INE095A01012</t>
  </si>
  <si>
    <t>CIPL03</t>
  </si>
  <si>
    <t>Cipla Limited</t>
  </si>
  <si>
    <t>INE059A01026</t>
  </si>
  <si>
    <t>ADAN02</t>
  </si>
  <si>
    <t>Adani Enterprises Limited</t>
  </si>
  <si>
    <t>INE423A01024</t>
  </si>
  <si>
    <t>Metals &amp; Minerals Trading</t>
  </si>
  <si>
    <t>DRRL02</t>
  </si>
  <si>
    <t>Dr. Reddy's Laboratories Limited</t>
  </si>
  <si>
    <t>TTEA02</t>
  </si>
  <si>
    <t>Tata Consumer Products Limited</t>
  </si>
  <si>
    <t>INE192A01025</t>
  </si>
  <si>
    <t>Agricultural Food &amp; other Products</t>
  </si>
  <si>
    <t>WIPR02</t>
  </si>
  <si>
    <t>Wipro Limited</t>
  </si>
  <si>
    <t>INE075A01022</t>
  </si>
  <si>
    <t>HDLI01</t>
  </si>
  <si>
    <t>HDFC Life Insurance Company Limited</t>
  </si>
  <si>
    <t>INE795G01014</t>
  </si>
  <si>
    <t>BRIT03</t>
  </si>
  <si>
    <t>Britannia Industries Limited</t>
  </si>
  <si>
    <t>INE216A01030</t>
  </si>
  <si>
    <t>APOL02</t>
  </si>
  <si>
    <t>Apollo Hospitals Enterprise Limited</t>
  </si>
  <si>
    <t>INE437A01024</t>
  </si>
  <si>
    <t>Healthcare Services</t>
  </si>
  <si>
    <t>EIML02</t>
  </si>
  <si>
    <t>Eicher Motors Limited</t>
  </si>
  <si>
    <t>INE066A01021</t>
  </si>
  <si>
    <t>LAKM02</t>
  </si>
  <si>
    <t>Trent Limited</t>
  </si>
  <si>
    <t>INE849A01020</t>
  </si>
  <si>
    <t>BBEE01</t>
  </si>
  <si>
    <t>Brainbees Solutions Ltd</t>
  </si>
  <si>
    <t>INE02RE01045</t>
  </si>
  <si>
    <t>TIIN01</t>
  </si>
  <si>
    <t>Timken India Limited</t>
  </si>
  <si>
    <t>INE325A01013</t>
  </si>
  <si>
    <t>BHFL01</t>
  </si>
  <si>
    <t>ESCO01</t>
  </si>
  <si>
    <t>Escorts Kubota Limited</t>
  </si>
  <si>
    <t>INE042A01014</t>
  </si>
  <si>
    <t>Agricultural, Commercial &amp; Construction Vehicles</t>
  </si>
  <si>
    <t>GRCO02</t>
  </si>
  <si>
    <t>Saregama India Limited</t>
  </si>
  <si>
    <t>INE979A01025</t>
  </si>
  <si>
    <t>Entertainment</t>
  </si>
  <si>
    <t>VEDF01</t>
  </si>
  <si>
    <t>Vedant Fashions Limited</t>
  </si>
  <si>
    <t>INE825V01034</t>
  </si>
  <si>
    <t>WABT01</t>
  </si>
  <si>
    <t>ZF Commercial Vehicle Control Systems India Limited</t>
  </si>
  <si>
    <t>INE342J01019</t>
  </si>
  <si>
    <t>BAND01</t>
  </si>
  <si>
    <t>Bandhan Bank Limited</t>
  </si>
  <si>
    <t>INE545U01014</t>
  </si>
  <si>
    <t>NITL01</t>
  </si>
  <si>
    <t>Coforge Limited</t>
  </si>
  <si>
    <t>INE591G01017</t>
  </si>
  <si>
    <t>CSFL01</t>
  </si>
  <si>
    <t>Capital Small Finance Bank Limited</t>
  </si>
  <si>
    <t>INE646H01017</t>
  </si>
  <si>
    <t>NETW01</t>
  </si>
  <si>
    <t>Netweb Technologies India Limited</t>
  </si>
  <si>
    <t>INE0NT901020</t>
  </si>
  <si>
    <t>PAGE01</t>
  </si>
  <si>
    <t>Page Industries Limited</t>
  </si>
  <si>
    <t>INE761H01022</t>
  </si>
  <si>
    <t>Textiles &amp; Apparels</t>
  </si>
  <si>
    <t>CROM02</t>
  </si>
  <si>
    <t>CG Power and Industrial Solutions Limited</t>
  </si>
  <si>
    <t>INE067A01029</t>
  </si>
  <si>
    <t>Electrical Equipment</t>
  </si>
  <si>
    <t>ABBP01</t>
  </si>
  <si>
    <t>Hitachi Energy India Limited</t>
  </si>
  <si>
    <t>INE07Y701011</t>
  </si>
  <si>
    <t>KENI01</t>
  </si>
  <si>
    <t>Kirloskar Oil Engines Limited</t>
  </si>
  <si>
    <t>INE146L01010</t>
  </si>
  <si>
    <t>BALC02</t>
  </si>
  <si>
    <t>Balrampur Chini Mills Limited</t>
  </si>
  <si>
    <t>INE119A01028</t>
  </si>
  <si>
    <t>SBCP01</t>
  </si>
  <si>
    <t>SBI Cards and Payment Services Limited</t>
  </si>
  <si>
    <t>INE018E01016</t>
  </si>
  <si>
    <t>DLPL01</t>
  </si>
  <si>
    <t>Dr. Lal Path Labs Limited</t>
  </si>
  <si>
    <t>INE600L01024</t>
  </si>
  <si>
    <t>360 ONE Balanced Hybrid Fund</t>
  </si>
  <si>
    <t>KIFE02</t>
  </si>
  <si>
    <t>Kirloskar Ferrous Industries Limited</t>
  </si>
  <si>
    <t>INE884B01025</t>
  </si>
  <si>
    <t>RECL437</t>
  </si>
  <si>
    <t>7.46% REC Limited (30/06/2028) **</t>
  </si>
  <si>
    <t>INE020B08EK4</t>
  </si>
  <si>
    <t>GOI5379</t>
  </si>
  <si>
    <t>7.32% Government of India (13/11/2030)</t>
  </si>
  <si>
    <t>IN0020230135</t>
  </si>
  <si>
    <t>GOI5336</t>
  </si>
  <si>
    <t>7.37% Government of India (23/10/2028)</t>
  </si>
  <si>
    <t>IN0020230101</t>
  </si>
  <si>
    <t>MEBP31</t>
  </si>
  <si>
    <t>7.96% Mindspace Business Parks REIT (11/05/2029) **</t>
  </si>
  <si>
    <t>INE0CCU07116</t>
  </si>
  <si>
    <t>GOI5077</t>
  </si>
  <si>
    <t>7.06% Government of India (10/04/2028)</t>
  </si>
  <si>
    <t>IN0020230010</t>
  </si>
  <si>
    <t>SIDB519</t>
  </si>
  <si>
    <t>POWF483</t>
  </si>
  <si>
    <t>INE134E08LK2</t>
  </si>
  <si>
    <t>NBAR695</t>
  </si>
  <si>
    <t>7.62% National Bank For Agriculture and Rural Development (31/01/2028) **</t>
  </si>
  <si>
    <t>INE261F08DV4</t>
  </si>
  <si>
    <t>LICH622</t>
  </si>
  <si>
    <t>7.9% LIC Housing Finance Limited (23/06/2027) **</t>
  </si>
  <si>
    <t>INE115A07PV9</t>
  </si>
  <si>
    <t>HDFB901</t>
  </si>
  <si>
    <t>7.77% HDFC Bank Limited (28/06/2027) **</t>
  </si>
  <si>
    <t>INE040A08823</t>
  </si>
  <si>
    <t>BAFL842</t>
  </si>
  <si>
    <t>8% Bajaj Finance Limited (27/02/2026) **</t>
  </si>
  <si>
    <t>INE296A07SJ6</t>
  </si>
  <si>
    <t>NBAR772</t>
  </si>
  <si>
    <t>7.62% National Bank For Agriculture and Rural Development (10/05/2029) **</t>
  </si>
  <si>
    <t>INE261F08EH1</t>
  </si>
  <si>
    <t>EOPR30</t>
  </si>
  <si>
    <t>7.35% Embassy Office Parks REIT (05/04/2027) **</t>
  </si>
  <si>
    <t>INE041007092</t>
  </si>
  <si>
    <t>GOI3103</t>
  </si>
  <si>
    <t>5.63% Government of India (12/04/2026)</t>
  </si>
  <si>
    <t>IN0020210012</t>
  </si>
  <si>
    <t>TREPS</t>
  </si>
  <si>
    <t>8.65% Cholamandalam Investment and Finance Company Ltd (28/05/2029) **</t>
  </si>
  <si>
    <t>7.34% Small Industries Dev Bank of India (26/02/2029) **</t>
  </si>
  <si>
    <t>National Bank For Agriculture and Rural Development (07/02/2025) ** #</t>
  </si>
  <si>
    <t>INE261F16785</t>
  </si>
  <si>
    <t>6.89% Government of India (16/01/2025)</t>
  </si>
  <si>
    <t>IN0020220128</t>
  </si>
  <si>
    <t>Small Industries Dev Bank of India (07/02/2025) ** #</t>
  </si>
  <si>
    <t>INE556F16AQ6</t>
  </si>
  <si>
    <t>INE237A160W3</t>
  </si>
  <si>
    <t>Kotak Mahindra Bank Limited (29/01/2025) ** #</t>
  </si>
  <si>
    <t>INE237A168V8</t>
  </si>
  <si>
    <t>ICICI Bank Limited (31/01/2025) ** #</t>
  </si>
  <si>
    <t>INE090AD6113</t>
  </si>
  <si>
    <t>INE238AD6694</t>
  </si>
  <si>
    <t>Canara Bank (03/02/2025) ** #</t>
  </si>
  <si>
    <t>INE476A16YV8</t>
  </si>
  <si>
    <t>L&amp;T Finance Limited (14/01/2025) **</t>
  </si>
  <si>
    <t>INE498L14CQ0</t>
  </si>
  <si>
    <t>Aditya Birla Finance Limited (25/02/2025) **</t>
  </si>
  <si>
    <t>INE860H143M7</t>
  </si>
  <si>
    <t>182 Days Tbill (MD 09/01/2025)</t>
  </si>
  <si>
    <t>IN002024Y159</t>
  </si>
  <si>
    <t>182 Days Tbill (MD 23/01/2025)</t>
  </si>
  <si>
    <t>IN002024Y175</t>
  </si>
  <si>
    <t>364 Days Tbill (MD 30/01/2025)</t>
  </si>
  <si>
    <t>IN002023Z463</t>
  </si>
  <si>
    <t>182 Days Tbill (MD 14/02/2025)</t>
  </si>
  <si>
    <t>IN002024Y209</t>
  </si>
  <si>
    <t>182 Days Tbill (MD 30/01/2025)</t>
  </si>
  <si>
    <t>IN002024Y183</t>
  </si>
  <si>
    <t>Zomato Limited</t>
  </si>
  <si>
    <t>INE758T01015</t>
  </si>
  <si>
    <t>Premier Energies Limited</t>
  </si>
  <si>
    <t>INE0BS701011</t>
  </si>
  <si>
    <t>Hyundai Motor India Ltd</t>
  </si>
  <si>
    <t>INE0V6F01027</t>
  </si>
  <si>
    <t>United Spirits Limited</t>
  </si>
  <si>
    <t>INE854D01024</t>
  </si>
  <si>
    <t>Beverages</t>
  </si>
  <si>
    <t>Mazagon Dock Shipbuilders Limited</t>
  </si>
  <si>
    <t>Industrial Manufacturing</t>
  </si>
  <si>
    <t>UNO Minda Limited</t>
  </si>
  <si>
    <t>INE405E01023</t>
  </si>
  <si>
    <t>Coromandel International Limited</t>
  </si>
  <si>
    <t>INE169A01031</t>
  </si>
  <si>
    <t>Vedanta Limited</t>
  </si>
  <si>
    <t>INE205A01025</t>
  </si>
  <si>
    <t>Diversified Metals</t>
  </si>
  <si>
    <t>Rail Vikas Nigam Limited</t>
  </si>
  <si>
    <t>INE415G01027</t>
  </si>
  <si>
    <t>Havells India Limited</t>
  </si>
  <si>
    <t>INE176B01034</t>
  </si>
  <si>
    <t>Hindustan Zinc Limited</t>
  </si>
  <si>
    <t>INE267A01025</t>
  </si>
  <si>
    <t>GlaxoSmithKline Pharmaceuticals Limited</t>
  </si>
  <si>
    <t>INE159A01016</t>
  </si>
  <si>
    <t>INE089A01031</t>
  </si>
  <si>
    <t>Swiggy Limited</t>
  </si>
  <si>
    <t>INE00H001014</t>
  </si>
  <si>
    <t>Multi Commodity Exchange of India Limited</t>
  </si>
  <si>
    <t>INE745G01035</t>
  </si>
  <si>
    <t>Angel One Limited</t>
  </si>
  <si>
    <t>INE732I01013</t>
  </si>
  <si>
    <t>7.04% Government of India (03/06/2029)</t>
  </si>
  <si>
    <t>IN0020240050</t>
  </si>
  <si>
    <t>6.09% Power Finance Corporation Limited (27/08/2026)</t>
  </si>
  <si>
    <t>Monthly Portfolio Statement as on December 31,2024</t>
  </si>
  <si>
    <t>Brookfield India Real Estate Trust</t>
  </si>
  <si>
    <t>INE0FDU25010</t>
  </si>
  <si>
    <t>7.73% Embassy Office Parks REIT (14/12/2029) **</t>
  </si>
  <si>
    <t>INE041007159</t>
  </si>
  <si>
    <t>Punjab National Bank (27/03/2025) ** #</t>
  </si>
  <si>
    <t>INE160A16QQ4</t>
  </si>
  <si>
    <t>HDFC Bank Limited (12/03/2025) ** #</t>
  </si>
  <si>
    <t>INE040A16EU6</t>
  </si>
  <si>
    <t>CARE A1+</t>
  </si>
  <si>
    <t>Indian Bank (13/03/2025) ** #</t>
  </si>
  <si>
    <t>INE562A16MR8</t>
  </si>
  <si>
    <t>Kotak Mahindra Bank Limited (05/02/2025) ** #</t>
  </si>
  <si>
    <t>Axis Bank Limited (21/02/2025) #</t>
  </si>
  <si>
    <t>Punjab National Bank (25/02/2025) ** #</t>
  </si>
  <si>
    <t>INE160A16OM8</t>
  </si>
  <si>
    <t>Bank of Baroda (03/03/2025) ** #</t>
  </si>
  <si>
    <t>INE028A16GG5</t>
  </si>
  <si>
    <t>Export Import Bank of India (24/01/2025) **</t>
  </si>
  <si>
    <t>INE514E14RY1</t>
  </si>
  <si>
    <t>L&amp;T Finance Limited (24/02/2025) **</t>
  </si>
  <si>
    <t>INE498L14BD0</t>
  </si>
  <si>
    <t>Indian Railway Finance Corporation Limited (18/03/2025) **</t>
  </si>
  <si>
    <t>INE053F14237</t>
  </si>
  <si>
    <t>LIC Housing Finance Limited (21/03/2025) **</t>
  </si>
  <si>
    <t>INE115A14EX5</t>
  </si>
  <si>
    <t>91 Days Tbill (MD 20/03/2025)</t>
  </si>
  <si>
    <t>IN002024X375</t>
  </si>
  <si>
    <t>INE249Z01020</t>
  </si>
  <si>
    <t>Inventurus Knowledge Solutions Limited</t>
  </si>
  <si>
    <t>INE115Q01022</t>
  </si>
  <si>
    <t>7.78% Sundaram Home Finance Limited (02/02/2028)</t>
  </si>
  <si>
    <t>INE667F07IY7</t>
  </si>
  <si>
    <t>Tier 1 &amp; 2 Bonds Disclosure as on 31 December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</si>
  <si>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</si>
  <si>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</si>
  <si>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</si>
  <si>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</si>
  <si>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</si>
  <si>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</si>
  <si>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</si>
  <si>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</si>
  <si>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</si>
  <si>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</si>
  <si>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</si>
  <si>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</si>
  <si>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</si>
  <si>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</si>
  <si>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 An Open Ended Dynamic Debt Scheme investing across duration. A relatively high interest rate risk and relatively high credit risk</t>
  </si>
  <si>
    <t xml:space="preserve">360 ONE Dynamic Bond Fund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</si>
  <si>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</si>
  <si>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</si>
  <si>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</si>
  <si>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</si>
  <si>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</si>
  <si>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</si>
  <si>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 xml:space="preserve">360 ONE Liquid Fund </t>
  </si>
  <si>
    <t>Income over short term horizon</t>
  </si>
  <si>
    <t>Investments in money market and short term debt instruments, with maturity not exceeding 91 days.</t>
  </si>
  <si>
    <t>360 ONE Focused Equity Fund (Formerly known as IIFL Focused Equity Fund) -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</si>
  <si>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</si>
  <si>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</si>
  <si>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</si>
  <si>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</si>
  <si>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BSE 200 TRI</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</si>
  <si>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</si>
  <si>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</si>
  <si>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</si>
  <si>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</si>
  <si>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</si>
  <si>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</si>
  <si>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</si>
  <si>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BSE 500 TRI</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</si>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</sst>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
    <numFmt numFmtId="167" formatCode="0.0000"/>
  </numFmts>
  <fonts count="23">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
      <b/>
      <sz val="13"/>
      <color theme="1"/>
      <name val="Calibri"/>
      <family val="2"/>
      <scheme val="minor"/>
    </font>
  </fonts>
  <fills count="9">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1">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rgb="FF000000"/>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rgb="FF000000"/>
      </left>
      <right/>
      <top/>
      <bottom style="medium">
        <color indexed="64"/>
      </bottom>
      <diagonal/>
    </border>
    <border>
      <left/>
      <right style="medium">
        <color rgb="FF000000"/>
      </right>
      <top style="medium">
        <color indexed="64"/>
      </top>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7" borderId="9" applyNumberFormat="0" applyFont="0" applyFill="0" applyBorder="0" applyAlignment="0" applyProtection="0"/>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xf numFmtId="0" fontId="6" fillId="7" borderId="9"/>
  </cellStyleXfs>
  <cellXfs count="136">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1" fillId="4"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5" fillId="6" borderId="9" xfId="0" applyFont="1" applyFill="1" applyBorder="1" applyAlignment="1">
      <alignment horizontal="left" vertical="top" wrapText="1"/>
    </xf>
    <xf numFmtId="0" fontId="1" fillId="7" borderId="9" xfId="0" applyFont="1" applyFill="1" applyBorder="1" applyAlignment="1">
      <alignment horizontal="left" vertical="top" wrapText="1"/>
    </xf>
    <xf numFmtId="4" fontId="0" fillId="2" borderId="0" xfId="0" applyNumberFormat="1" applyFill="1" applyAlignment="1" applyProtection="1">
      <alignment wrapText="1"/>
      <protection locked="0"/>
    </xf>
    <xf numFmtId="4" fontId="0" fillId="0" borderId="0" xfId="0" applyNumberFormat="1"/>
    <xf numFmtId="0" fontId="3" fillId="7" borderId="9" xfId="0" applyFont="1" applyFill="1" applyBorder="1" applyAlignment="1">
      <alignment horizontal="left" vertical="top" wrapText="1"/>
    </xf>
    <xf numFmtId="0" fontId="0" fillId="7" borderId="9" xfId="0" applyFill="1" applyBorder="1" applyAlignment="1" applyProtection="1">
      <alignment wrapText="1"/>
      <protection locked="0"/>
    </xf>
    <xf numFmtId="0" fontId="1" fillId="7" borderId="2"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 fillId="7" borderId="3"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7" borderId="5" xfId="0" applyFont="1" applyFill="1" applyBorder="1" applyAlignment="1">
      <alignment horizontal="left" vertical="top" wrapText="1"/>
    </xf>
    <xf numFmtId="0" fontId="2" fillId="7" borderId="6" xfId="0" applyFont="1" applyFill="1" applyBorder="1" applyAlignment="1">
      <alignment horizontal="left" vertical="top" wrapText="1"/>
    </xf>
    <xf numFmtId="0" fontId="2" fillId="7" borderId="7" xfId="0" applyFont="1" applyFill="1" applyBorder="1" applyAlignment="1">
      <alignment horizontal="left" vertical="top" wrapText="1"/>
    </xf>
    <xf numFmtId="0" fontId="4" fillId="7" borderId="8" xfId="0" applyFont="1" applyFill="1" applyBorder="1" applyAlignment="1">
      <alignment horizontal="right" vertical="top" wrapText="1"/>
    </xf>
    <xf numFmtId="0" fontId="2" fillId="7" borderId="5" xfId="0" applyFont="1" applyFill="1" applyBorder="1" applyAlignment="1">
      <alignment horizontal="left" vertical="top" wrapText="1"/>
    </xf>
    <xf numFmtId="3" fontId="2" fillId="7" borderId="6" xfId="0" applyNumberFormat="1" applyFont="1" applyFill="1" applyBorder="1" applyAlignment="1">
      <alignment horizontal="right" vertical="top" wrapText="1"/>
    </xf>
    <xf numFmtId="0" fontId="2" fillId="7" borderId="6" xfId="0" applyFont="1" applyFill="1" applyBorder="1" applyAlignment="1">
      <alignment horizontal="right" vertical="top" wrapText="1"/>
    </xf>
    <xf numFmtId="164" fontId="2" fillId="7" borderId="6" xfId="0" applyNumberFormat="1" applyFont="1" applyFill="1" applyBorder="1" applyAlignment="1">
      <alignment horizontal="right" vertical="top" wrapText="1"/>
    </xf>
    <xf numFmtId="0" fontId="1" fillId="7" borderId="10" xfId="0" applyFont="1" applyFill="1" applyBorder="1" applyAlignment="1">
      <alignment horizontal="right" vertical="top" wrapText="1"/>
    </xf>
    <xf numFmtId="164" fontId="1" fillId="7" borderId="11" xfId="0" applyNumberFormat="1" applyFont="1" applyFill="1" applyBorder="1" applyAlignment="1">
      <alignment horizontal="right" vertical="top" wrapText="1"/>
    </xf>
    <xf numFmtId="0" fontId="1" fillId="7" borderId="12" xfId="0" applyFont="1" applyFill="1" applyBorder="1" applyAlignment="1">
      <alignment horizontal="right" vertical="top" wrapText="1"/>
    </xf>
    <xf numFmtId="0" fontId="1" fillId="7" borderId="13" xfId="0" applyFont="1" applyFill="1" applyBorder="1" applyAlignment="1">
      <alignment horizontal="left" vertical="top" wrapText="1"/>
    </xf>
    <xf numFmtId="0" fontId="2" fillId="7" borderId="11" xfId="0" applyFont="1" applyFill="1" applyBorder="1" applyAlignment="1">
      <alignment horizontal="left" vertical="top" wrapText="1"/>
    </xf>
    <xf numFmtId="0" fontId="1" fillId="7" borderId="11" xfId="0" applyFont="1" applyFill="1" applyBorder="1" applyAlignment="1">
      <alignment horizontal="right" vertical="top" wrapText="1"/>
    </xf>
    <xf numFmtId="0" fontId="2" fillId="7" borderId="10" xfId="0" applyFont="1" applyFill="1" applyBorder="1" applyAlignment="1">
      <alignment horizontal="left" vertical="top" wrapText="1"/>
    </xf>
    <xf numFmtId="165" fontId="4" fillId="7" borderId="8" xfId="0" applyNumberFormat="1" applyFont="1" applyFill="1" applyBorder="1" applyAlignment="1">
      <alignment horizontal="right" vertical="top" wrapText="1"/>
    </xf>
    <xf numFmtId="0" fontId="1" fillId="7" borderId="14" xfId="0" applyFont="1" applyFill="1" applyBorder="1" applyAlignment="1">
      <alignment horizontal="left" vertical="top" wrapText="1"/>
    </xf>
    <xf numFmtId="0" fontId="2" fillId="7" borderId="15" xfId="0" applyFont="1" applyFill="1" applyBorder="1" applyAlignment="1">
      <alignment horizontal="left" vertical="top" wrapText="1"/>
    </xf>
    <xf numFmtId="0" fontId="1" fillId="7" borderId="15" xfId="0" applyFont="1" applyFill="1" applyBorder="1" applyAlignment="1">
      <alignment horizontal="right" vertical="top" wrapText="1"/>
    </xf>
    <xf numFmtId="164" fontId="1" fillId="7" borderId="16" xfId="0" applyNumberFormat="1" applyFont="1" applyFill="1" applyBorder="1" applyAlignment="1">
      <alignment horizontal="right" vertical="top" wrapText="1"/>
    </xf>
    <xf numFmtId="0" fontId="1" fillId="7" borderId="17" xfId="0" applyFont="1" applyFill="1" applyBorder="1" applyAlignment="1">
      <alignment horizontal="right" vertical="top" wrapText="1"/>
    </xf>
    <xf numFmtId="0" fontId="2" fillId="7" borderId="9" xfId="0" applyFont="1" applyFill="1" applyBorder="1" applyAlignment="1">
      <alignment horizontal="left" vertical="top" wrapText="1"/>
    </xf>
    <xf numFmtId="0" fontId="1" fillId="7" borderId="9" xfId="0" applyFont="1" applyFill="1" applyBorder="1" applyAlignment="1">
      <alignment horizontal="left" vertical="top"/>
    </xf>
    <xf numFmtId="0" fontId="7" fillId="7" borderId="18" xfId="0" applyFont="1" applyFill="1" applyBorder="1" applyAlignment="1">
      <alignment vertical="center"/>
    </xf>
    <xf numFmtId="0" fontId="8" fillId="7" borderId="18" xfId="0" applyFont="1" applyFill="1" applyBorder="1"/>
    <xf numFmtId="0" fontId="9" fillId="7" borderId="18" xfId="0" applyFont="1" applyFill="1" applyBorder="1" applyAlignment="1">
      <alignment horizontal="center" vertical="center" wrapText="1"/>
    </xf>
    <xf numFmtId="0" fontId="9" fillId="7" borderId="19" xfId="0" applyFont="1" applyFill="1" applyBorder="1" applyAlignment="1">
      <alignment horizontal="center" vertical="center" wrapText="1"/>
    </xf>
    <xf numFmtId="0" fontId="10" fillId="7" borderId="19" xfId="0" applyFont="1" applyFill="1" applyBorder="1" applyAlignment="1">
      <alignment vertical="center" wrapText="1"/>
    </xf>
    <xf numFmtId="0" fontId="11" fillId="7" borderId="20" xfId="0" applyFont="1" applyFill="1" applyBorder="1" applyAlignment="1">
      <alignment vertical="center"/>
    </xf>
    <xf numFmtId="0" fontId="11" fillId="7" borderId="21" xfId="0" applyFont="1" applyFill="1" applyBorder="1" applyAlignment="1">
      <alignment vertical="center"/>
    </xf>
    <xf numFmtId="2" fontId="11" fillId="7" borderId="21" xfId="0" applyNumberFormat="1" applyFont="1" applyFill="1" applyBorder="1" applyAlignment="1">
      <alignment horizontal="right" vertical="center"/>
    </xf>
    <xf numFmtId="14" fontId="11" fillId="7" borderId="21" xfId="0" quotePrefix="1" applyNumberFormat="1" applyFont="1" applyFill="1" applyBorder="1" applyAlignment="1">
      <alignment horizontal="right" vertical="center"/>
    </xf>
    <xf numFmtId="15" fontId="11" fillId="7" borderId="21" xfId="0" applyNumberFormat="1" applyFont="1" applyFill="1" applyBorder="1" applyAlignment="1">
      <alignment horizontal="right" vertical="center"/>
    </xf>
    <xf numFmtId="0" fontId="7" fillId="7" borderId="20" xfId="0" applyFont="1" applyFill="1" applyBorder="1" applyAlignment="1">
      <alignment vertical="center"/>
    </xf>
    <xf numFmtId="0" fontId="7" fillId="7" borderId="21" xfId="0" applyFont="1" applyFill="1" applyBorder="1" applyAlignment="1">
      <alignment vertical="center"/>
    </xf>
    <xf numFmtId="0" fontId="11" fillId="7" borderId="20" xfId="0" applyFont="1" applyFill="1" applyBorder="1" applyAlignment="1">
      <alignment vertical="center" wrapText="1"/>
    </xf>
    <xf numFmtId="0" fontId="11" fillId="7"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 fillId="0" borderId="0" xfId="0" applyFont="1" applyAlignment="1">
      <alignment horizontal="left" vertical="top"/>
    </xf>
    <xf numFmtId="0" fontId="17" fillId="7" borderId="9" xfId="2" applyNumberFormat="1" applyFont="1" applyFill="1" applyBorder="1" applyAlignment="1"/>
    <xf numFmtId="0" fontId="6" fillId="7" borderId="9" xfId="3"/>
    <xf numFmtId="0" fontId="18" fillId="7" borderId="9" xfId="4" applyFont="1" applyAlignment="1">
      <alignment vertical="center" wrapText="1"/>
    </xf>
    <xf numFmtId="0" fontId="18" fillId="7" borderId="24" xfId="4" applyFont="1" applyBorder="1" applyAlignment="1">
      <alignment vertical="center" wrapText="1"/>
    </xf>
    <xf numFmtId="0" fontId="6" fillId="7" borderId="25" xfId="3" applyBorder="1" applyAlignment="1">
      <alignment horizontal="center"/>
    </xf>
    <xf numFmtId="0" fontId="6" fillId="7" borderId="26" xfId="3" applyBorder="1" applyAlignment="1">
      <alignment horizontal="center"/>
    </xf>
    <xf numFmtId="0" fontId="6" fillId="7" borderId="27" xfId="3" applyBorder="1" applyAlignment="1">
      <alignment horizontal="center"/>
    </xf>
    <xf numFmtId="0" fontId="6" fillId="7" borderId="28" xfId="3" applyBorder="1" applyAlignment="1">
      <alignment horizontal="center"/>
    </xf>
    <xf numFmtId="0" fontId="18" fillId="7" borderId="29" xfId="4" applyFont="1" applyBorder="1" applyAlignment="1">
      <alignment vertical="top" wrapText="1"/>
    </xf>
    <xf numFmtId="0" fontId="6" fillId="7" borderId="30" xfId="3" applyBorder="1" applyAlignment="1">
      <alignment horizontal="center"/>
    </xf>
    <xf numFmtId="0" fontId="6" fillId="7" borderId="31" xfId="3" applyBorder="1" applyAlignment="1">
      <alignment horizontal="center"/>
    </xf>
    <xf numFmtId="0" fontId="6" fillId="7" borderId="32" xfId="3" applyBorder="1" applyAlignment="1">
      <alignment horizontal="center"/>
    </xf>
    <xf numFmtId="0" fontId="6" fillId="7" borderId="33" xfId="3" applyBorder="1" applyAlignment="1">
      <alignment horizontal="center"/>
    </xf>
    <xf numFmtId="0" fontId="6" fillId="7" borderId="21" xfId="3" applyBorder="1" applyAlignment="1">
      <alignment horizontal="center"/>
    </xf>
    <xf numFmtId="0" fontId="18" fillId="8" borderId="34" xfId="4" applyFont="1" applyFill="1" applyBorder="1" applyAlignment="1">
      <alignment vertical="center" wrapText="1"/>
    </xf>
    <xf numFmtId="0" fontId="6" fillId="7" borderId="9" xfId="5"/>
    <xf numFmtId="0" fontId="6" fillId="7" borderId="9" xfId="6"/>
    <xf numFmtId="2" fontId="6" fillId="7" borderId="9" xfId="6" applyNumberFormat="1"/>
    <xf numFmtId="0" fontId="6" fillId="7" borderId="25" xfId="5" applyBorder="1" applyAlignment="1">
      <alignment horizontal="center"/>
    </xf>
    <xf numFmtId="0" fontId="6" fillId="7" borderId="26" xfId="5" applyBorder="1" applyAlignment="1">
      <alignment horizontal="center"/>
    </xf>
    <xf numFmtId="0" fontId="6" fillId="7" borderId="27" xfId="5" applyBorder="1" applyAlignment="1">
      <alignment horizontal="center"/>
    </xf>
    <xf numFmtId="0" fontId="6" fillId="7" borderId="28" xfId="5" applyBorder="1" applyAlignment="1">
      <alignment horizontal="center"/>
    </xf>
    <xf numFmtId="0" fontId="18" fillId="7" borderId="35" xfId="7" applyFont="1" applyBorder="1" applyAlignment="1">
      <alignment vertical="top" wrapText="1"/>
    </xf>
    <xf numFmtId="0" fontId="6" fillId="7" borderId="30" xfId="5" applyBorder="1" applyAlignment="1">
      <alignment horizontal="center"/>
    </xf>
    <xf numFmtId="0" fontId="6" fillId="7" borderId="31" xfId="5" applyBorder="1" applyAlignment="1">
      <alignment horizontal="center"/>
    </xf>
    <xf numFmtId="0" fontId="6" fillId="7" borderId="32" xfId="5" applyBorder="1" applyAlignment="1">
      <alignment horizontal="center"/>
    </xf>
    <xf numFmtId="0" fontId="6" fillId="7" borderId="33" xfId="5" applyBorder="1" applyAlignment="1">
      <alignment horizontal="center"/>
    </xf>
    <xf numFmtId="0" fontId="6" fillId="7" borderId="21" xfId="5" applyBorder="1" applyAlignment="1">
      <alignment horizontal="center"/>
    </xf>
    <xf numFmtId="0" fontId="6" fillId="7" borderId="9" xfId="8"/>
    <xf numFmtId="0" fontId="6" fillId="7" borderId="36" xfId="9" applyBorder="1"/>
    <xf numFmtId="0" fontId="6" fillId="7" borderId="25" xfId="8" applyBorder="1" applyAlignment="1">
      <alignment horizontal="center"/>
    </xf>
    <xf numFmtId="0" fontId="6" fillId="7" borderId="28" xfId="8" applyBorder="1" applyAlignment="1">
      <alignment horizontal="center"/>
    </xf>
    <xf numFmtId="0" fontId="19" fillId="7" borderId="27" xfId="8" applyFont="1" applyBorder="1" applyAlignment="1">
      <alignment horizontal="center"/>
    </xf>
    <xf numFmtId="0" fontId="6" fillId="7" borderId="26" xfId="8" applyBorder="1" applyAlignment="1">
      <alignment horizontal="center"/>
    </xf>
    <xf numFmtId="0" fontId="18" fillId="7" borderId="37" xfId="10" applyFont="1" applyBorder="1" applyAlignment="1">
      <alignment vertical="top" wrapText="1"/>
    </xf>
    <xf numFmtId="0" fontId="6" fillId="7" borderId="38" xfId="8" applyBorder="1" applyAlignment="1">
      <alignment horizontal="center"/>
    </xf>
    <xf numFmtId="0" fontId="6" fillId="7" borderId="33" xfId="8" applyBorder="1" applyAlignment="1">
      <alignment horizontal="center"/>
    </xf>
    <xf numFmtId="0" fontId="6" fillId="7" borderId="32" xfId="8" applyBorder="1" applyAlignment="1">
      <alignment horizontal="center"/>
    </xf>
    <xf numFmtId="0" fontId="6" fillId="7" borderId="21" xfId="8" applyBorder="1" applyAlignment="1">
      <alignment horizontal="center"/>
    </xf>
    <xf numFmtId="0" fontId="18" fillId="8" borderId="9" xfId="10" applyFont="1" applyFill="1" applyAlignment="1">
      <alignment vertical="center"/>
    </xf>
    <xf numFmtId="0" fontId="6" fillId="7" borderId="9" xfId="11"/>
    <xf numFmtId="0" fontId="6" fillId="7" borderId="25" xfId="11" applyBorder="1" applyAlignment="1">
      <alignment horizontal="center"/>
    </xf>
    <xf numFmtId="0" fontId="6" fillId="7" borderId="28" xfId="11" applyBorder="1" applyAlignment="1">
      <alignment horizontal="center"/>
    </xf>
    <xf numFmtId="0" fontId="19" fillId="7" borderId="27" xfId="11" applyFont="1" applyBorder="1" applyAlignment="1">
      <alignment horizontal="center"/>
    </xf>
    <xf numFmtId="0" fontId="6" fillId="7" borderId="26" xfId="11" applyBorder="1" applyAlignment="1">
      <alignment horizontal="center"/>
    </xf>
    <xf numFmtId="0" fontId="18" fillId="7" borderId="35" xfId="10" applyFont="1" applyBorder="1" applyAlignment="1">
      <alignment vertical="top" wrapText="1"/>
    </xf>
    <xf numFmtId="0" fontId="6" fillId="7" borderId="38" xfId="11" applyBorder="1" applyAlignment="1">
      <alignment horizontal="center"/>
    </xf>
    <xf numFmtId="0" fontId="6" fillId="7" borderId="33" xfId="11" applyBorder="1" applyAlignment="1">
      <alignment horizontal="center"/>
    </xf>
    <xf numFmtId="0" fontId="6" fillId="7" borderId="32" xfId="11" applyBorder="1" applyAlignment="1">
      <alignment horizontal="center"/>
    </xf>
    <xf numFmtId="0" fontId="6" fillId="7" borderId="21" xfId="11" applyBorder="1" applyAlignment="1">
      <alignment horizontal="center"/>
    </xf>
    <xf numFmtId="0" fontId="18" fillId="8" borderId="9" xfId="10" applyFont="1" applyFill="1" applyAlignment="1">
      <alignment vertical="center" wrapText="1"/>
    </xf>
    <xf numFmtId="0" fontId="20" fillId="7" borderId="9" xfId="10" applyFont="1" applyAlignment="1">
      <alignment vertical="center"/>
    </xf>
    <xf numFmtId="0" fontId="20" fillId="7" borderId="9" xfId="10" applyFont="1" applyAlignment="1">
      <alignment vertical="center" wrapText="1"/>
    </xf>
    <xf numFmtId="0" fontId="18" fillId="7" borderId="9" xfId="10" applyFont="1" applyAlignment="1">
      <alignment vertical="center" wrapText="1"/>
    </xf>
    <xf numFmtId="0" fontId="6" fillId="7" borderId="9" xfId="10"/>
    <xf numFmtId="0" fontId="20" fillId="7" borderId="33" xfId="10" applyFont="1" applyBorder="1" applyAlignment="1">
      <alignment vertical="center" wrapText="1"/>
    </xf>
    <xf numFmtId="0" fontId="18" fillId="7" borderId="24" xfId="10" applyFont="1" applyBorder="1" applyAlignment="1">
      <alignment vertical="center" wrapText="1"/>
    </xf>
    <xf numFmtId="0" fontId="21" fillId="7" borderId="25" xfId="10" applyFont="1" applyBorder="1" applyAlignment="1">
      <alignment vertical="center" wrapText="1"/>
    </xf>
    <xf numFmtId="0" fontId="21" fillId="7" borderId="39" xfId="10" applyFont="1" applyBorder="1" applyAlignment="1">
      <alignment vertical="center" wrapText="1"/>
    </xf>
    <xf numFmtId="0" fontId="22" fillId="7" borderId="27" xfId="11" applyFont="1" applyBorder="1" applyAlignment="1">
      <alignment horizontal="center"/>
    </xf>
    <xf numFmtId="0" fontId="21" fillId="7" borderId="30" xfId="10" applyFont="1" applyBorder="1" applyAlignment="1">
      <alignment vertical="center" wrapText="1"/>
    </xf>
    <xf numFmtId="0" fontId="21" fillId="7" borderId="40" xfId="10" applyFont="1" applyBorder="1" applyAlignment="1">
      <alignment vertical="center" wrapText="1"/>
    </xf>
    <xf numFmtId="0" fontId="18" fillId="8" borderId="34" xfId="10" applyFont="1" applyFill="1" applyBorder="1" applyAlignment="1">
      <alignment vertical="center" wrapText="1"/>
    </xf>
    <xf numFmtId="0" fontId="6" fillId="7" borderId="9" xfId="12"/>
    <xf numFmtId="0" fontId="6" fillId="7" borderId="25" xfId="12" applyBorder="1" applyAlignment="1">
      <alignment horizontal="center"/>
    </xf>
    <xf numFmtId="0" fontId="6" fillId="7" borderId="28" xfId="12" applyBorder="1" applyAlignment="1">
      <alignment horizontal="center"/>
    </xf>
    <xf numFmtId="0" fontId="6" fillId="7" borderId="38" xfId="12" applyBorder="1" applyAlignment="1">
      <alignment horizontal="center"/>
    </xf>
    <xf numFmtId="0" fontId="6" fillId="7" borderId="33" xfId="12" applyBorder="1" applyAlignment="1">
      <alignment horizontal="center"/>
    </xf>
    <xf numFmtId="0" fontId="1" fillId="7" borderId="9" xfId="0" applyFont="1" applyFill="1" applyBorder="1" applyAlignment="1">
      <alignment horizontal="left" vertical="top" wrapText="1"/>
    </xf>
    <xf numFmtId="0" fontId="6" fillId="7" borderId="26" xfId="12" applyBorder="1" applyAlignment="1">
      <alignment horizontal="center"/>
    </xf>
    <xf numFmtId="0" fontId="6" fillId="7" borderId="27" xfId="12" applyBorder="1" applyAlignment="1">
      <alignment horizontal="center"/>
    </xf>
    <xf numFmtId="0" fontId="6" fillId="7" borderId="21" xfId="12" applyBorder="1" applyAlignment="1">
      <alignment horizontal="center"/>
    </xf>
    <xf numFmtId="0" fontId="6" fillId="7" borderId="32" xfId="12" applyBorder="1" applyAlignment="1">
      <alignment horizontal="center"/>
    </xf>
  </cellXfs>
  <cellStyles count="13">
    <cellStyle name="Normal" xfId="0" builtinId="0"/>
    <cellStyle name="Normal 10" xfId="6" xr:uid="{5E2E4984-53D2-4C6D-BF19-996A2DCBA9B9}"/>
    <cellStyle name="Normal 14" xfId="8" xr:uid="{8923CFAF-01FC-4779-BBD5-AF8622191EE3}"/>
    <cellStyle name="Normal 16" xfId="11" xr:uid="{CD839EFF-B426-4187-8996-EBCD9A91067E}"/>
    <cellStyle name="Normal 18" xfId="12" xr:uid="{4EB83C3B-B73D-40F1-B90B-6681533778C8}"/>
    <cellStyle name="Normal 19" xfId="5" xr:uid="{F1DEF099-884C-4598-89B6-3E7B144E56B2}"/>
    <cellStyle name="Normal 20" xfId="3" xr:uid="{2041099D-2457-433D-9789-8471DE37473C}"/>
    <cellStyle name="Normal 3 2" xfId="2" xr:uid="{E8965192-19F0-4997-956C-8F3E56E5E948}"/>
    <cellStyle name="Normal 5" xfId="4" xr:uid="{99804C18-622F-4576-8028-3F14B5F9E54B}"/>
    <cellStyle name="Normal 6" xfId="7" xr:uid="{46397C16-C2A7-4032-9886-C570942F9A39}"/>
    <cellStyle name="Normal 7" xfId="10" xr:uid="{0A971116-E66A-4F66-B3C9-0437FB004818}"/>
    <cellStyle name="Normal 9" xfId="9" xr:uid="{520A2696-2B05-4284-BBF3-5BE126A5D8E0}"/>
    <cellStyle name="Percent" xfId="1" builtinId="5"/>
  </cellStyles>
  <dxfs count="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4</xdr:col>
      <xdr:colOff>485775</xdr:colOff>
      <xdr:row>92</xdr:row>
      <xdr:rowOff>1851025</xdr:rowOff>
    </xdr:from>
    <xdr:to>
      <xdr:col>6</xdr:col>
      <xdr:colOff>885825</xdr:colOff>
      <xdr:row>92</xdr:row>
      <xdr:rowOff>2212865</xdr:rowOff>
    </xdr:to>
    <xdr:sp macro="" textlink="">
      <xdr:nvSpPr>
        <xdr:cNvPr id="2" name="TextBox 4">
          <a:extLst>
            <a:ext uri="{FF2B5EF4-FFF2-40B4-BE49-F238E27FC236}">
              <a16:creationId xmlns:a16="http://schemas.microsoft.com/office/drawing/2014/main" id="{F28DE5F8-0B85-42CD-9617-606E82396CF9}"/>
            </a:ext>
          </a:extLst>
        </xdr:cNvPr>
        <xdr:cNvSpPr txBox="1"/>
      </xdr:nvSpPr>
      <xdr:spPr>
        <a:xfrm>
          <a:off x="7753350" y="18843625"/>
          <a:ext cx="2609850" cy="361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i="0">
              <a:solidFill>
                <a:schemeClr val="dk1"/>
              </a:solidFill>
              <a:effectLst/>
              <a:latin typeface="+mn-lt"/>
              <a:ea typeface="+mn-ea"/>
              <a:cs typeface="+mn-cs"/>
            </a:rPr>
            <a:t>CRISIL Dynamic Bond A-III Index</a:t>
          </a:r>
          <a:endParaRPr lang="en-US" sz="1100" b="1"/>
        </a:p>
      </xdr:txBody>
    </xdr:sp>
    <xdr:clientData/>
  </xdr:twoCellAnchor>
  <xdr:twoCellAnchor editAs="oneCell">
    <xdr:from>
      <xdr:col>3</xdr:col>
      <xdr:colOff>2420631</xdr:colOff>
      <xdr:row>90</xdr:row>
      <xdr:rowOff>123825</xdr:rowOff>
    </xdr:from>
    <xdr:to>
      <xdr:col>7</xdr:col>
      <xdr:colOff>152402</xdr:colOff>
      <xdr:row>92</xdr:row>
      <xdr:rowOff>1981200</xdr:rowOff>
    </xdr:to>
    <xdr:pic>
      <xdr:nvPicPr>
        <xdr:cNvPr id="3" name="Picture 2">
          <a:extLst>
            <a:ext uri="{FF2B5EF4-FFF2-40B4-BE49-F238E27FC236}">
              <a16:creationId xmlns:a16="http://schemas.microsoft.com/office/drawing/2014/main" id="{B1A8F11C-4688-4274-8742-C60364CC7B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87881" y="16716375"/>
          <a:ext cx="3980171" cy="2257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3211784</xdr:colOff>
      <xdr:row>90</xdr:row>
      <xdr:rowOff>171451</xdr:rowOff>
    </xdr:from>
    <xdr:to>
      <xdr:col>4</xdr:col>
      <xdr:colOff>59444</xdr:colOff>
      <xdr:row>92</xdr:row>
      <xdr:rowOff>1914525</xdr:rowOff>
    </xdr:to>
    <xdr:pic>
      <xdr:nvPicPr>
        <xdr:cNvPr id="4" name="Picture 3">
          <a:extLst>
            <a:ext uri="{FF2B5EF4-FFF2-40B4-BE49-F238E27FC236}">
              <a16:creationId xmlns:a16="http://schemas.microsoft.com/office/drawing/2014/main" id="{FC8F0B70-A421-4B13-9DC6-ACE52D348D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40384" y="16764001"/>
          <a:ext cx="3886635" cy="21431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19050</xdr:colOff>
      <xdr:row>77</xdr:row>
      <xdr:rowOff>1879600</xdr:rowOff>
    </xdr:from>
    <xdr:to>
      <xdr:col>6</xdr:col>
      <xdr:colOff>936621</xdr:colOff>
      <xdr:row>77</xdr:row>
      <xdr:rowOff>2139950</xdr:rowOff>
    </xdr:to>
    <xdr:sp macro="" textlink="">
      <xdr:nvSpPr>
        <xdr:cNvPr id="2" name="TextBox 1">
          <a:extLst>
            <a:ext uri="{FF2B5EF4-FFF2-40B4-BE49-F238E27FC236}">
              <a16:creationId xmlns:a16="http://schemas.microsoft.com/office/drawing/2014/main" id="{0224FAAA-8C53-4E6E-96CA-38E59F2A61E2}"/>
            </a:ext>
          </a:extLst>
        </xdr:cNvPr>
        <xdr:cNvSpPr txBox="1"/>
      </xdr:nvSpPr>
      <xdr:spPr>
        <a:xfrm>
          <a:off x="8334375" y="15538450"/>
          <a:ext cx="2022471"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i="0">
              <a:solidFill>
                <a:schemeClr val="dk1"/>
              </a:solidFill>
              <a:effectLst/>
              <a:latin typeface="+mn-lt"/>
              <a:ea typeface="+mn-ea"/>
              <a:cs typeface="+mn-cs"/>
            </a:rPr>
            <a:t>CRISIL Liquid Debt A-I Index</a:t>
          </a:r>
          <a:endParaRPr lang="en-US" sz="1100" b="1"/>
        </a:p>
      </xdr:txBody>
    </xdr:sp>
    <xdr:clientData/>
  </xdr:twoCellAnchor>
  <xdr:twoCellAnchor editAs="oneCell">
    <xdr:from>
      <xdr:col>1</xdr:col>
      <xdr:colOff>3096683</xdr:colOff>
      <xdr:row>75</xdr:row>
      <xdr:rowOff>123825</xdr:rowOff>
    </xdr:from>
    <xdr:to>
      <xdr:col>4</xdr:col>
      <xdr:colOff>95250</xdr:colOff>
      <xdr:row>77</xdr:row>
      <xdr:rowOff>2000250</xdr:rowOff>
    </xdr:to>
    <xdr:pic>
      <xdr:nvPicPr>
        <xdr:cNvPr id="3" name="Picture 2">
          <a:extLst>
            <a:ext uri="{FF2B5EF4-FFF2-40B4-BE49-F238E27FC236}">
              <a16:creationId xmlns:a16="http://schemas.microsoft.com/office/drawing/2014/main" id="{9CC4D2BE-6561-4F25-8A8B-37661F2D0B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5283" y="13382625"/>
          <a:ext cx="3980392" cy="2276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2518286</xdr:colOff>
      <xdr:row>75</xdr:row>
      <xdr:rowOff>114302</xdr:rowOff>
    </xdr:from>
    <xdr:to>
      <xdr:col>7</xdr:col>
      <xdr:colOff>12041</xdr:colOff>
      <xdr:row>77</xdr:row>
      <xdr:rowOff>1981199</xdr:rowOff>
    </xdr:to>
    <xdr:pic>
      <xdr:nvPicPr>
        <xdr:cNvPr id="4" name="Picture 3">
          <a:extLst>
            <a:ext uri="{FF2B5EF4-FFF2-40B4-BE49-F238E27FC236}">
              <a16:creationId xmlns:a16="http://schemas.microsoft.com/office/drawing/2014/main" id="{AD1FF7DD-9FB7-424D-80DD-F51E2714B54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85536" y="13373102"/>
          <a:ext cx="3923130" cy="2266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581025</xdr:colOff>
      <xdr:row>54</xdr:row>
      <xdr:rowOff>1752600</xdr:rowOff>
    </xdr:from>
    <xdr:to>
      <xdr:col>6</xdr:col>
      <xdr:colOff>1143000</xdr:colOff>
      <xdr:row>54</xdr:row>
      <xdr:rowOff>2200275</xdr:rowOff>
    </xdr:to>
    <xdr:sp macro="" textlink="">
      <xdr:nvSpPr>
        <xdr:cNvPr id="2" name="TextBox 1">
          <a:extLst>
            <a:ext uri="{FF2B5EF4-FFF2-40B4-BE49-F238E27FC236}">
              <a16:creationId xmlns:a16="http://schemas.microsoft.com/office/drawing/2014/main" id="{4BD28E3F-8768-4908-A427-057A2C68E3ED}"/>
            </a:ext>
          </a:extLst>
        </xdr:cNvPr>
        <xdr:cNvSpPr txBox="1"/>
      </xdr:nvSpPr>
      <xdr:spPr>
        <a:xfrm>
          <a:off x="7591425" y="10868025"/>
          <a:ext cx="2771775"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BSE 500 TRI</a:t>
          </a:r>
        </a:p>
      </xdr:txBody>
    </xdr:sp>
    <xdr:clientData/>
  </xdr:twoCellAnchor>
  <xdr:twoCellAnchor editAs="oneCell">
    <xdr:from>
      <xdr:col>3</xdr:col>
      <xdr:colOff>2326069</xdr:colOff>
      <xdr:row>52</xdr:row>
      <xdr:rowOff>142876</xdr:rowOff>
    </xdr:from>
    <xdr:to>
      <xdr:col>7</xdr:col>
      <xdr:colOff>57149</xdr:colOff>
      <xdr:row>54</xdr:row>
      <xdr:rowOff>1969581</xdr:rowOff>
    </xdr:to>
    <xdr:pic>
      <xdr:nvPicPr>
        <xdr:cNvPr id="3" name="Picture 2">
          <a:extLst>
            <a:ext uri="{FF2B5EF4-FFF2-40B4-BE49-F238E27FC236}">
              <a16:creationId xmlns:a16="http://schemas.microsoft.com/office/drawing/2014/main" id="{DE17C1EB-FCF2-47D0-B4A0-93A75B3D25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17119" y="8867776"/>
          <a:ext cx="3893755" cy="2217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3048000</xdr:colOff>
      <xdr:row>52</xdr:row>
      <xdr:rowOff>171450</xdr:rowOff>
    </xdr:from>
    <xdr:to>
      <xdr:col>4</xdr:col>
      <xdr:colOff>190500</xdr:colOff>
      <xdr:row>54</xdr:row>
      <xdr:rowOff>2047874</xdr:rowOff>
    </xdr:to>
    <xdr:pic>
      <xdr:nvPicPr>
        <xdr:cNvPr id="4" name="Picture 3">
          <a:extLst>
            <a:ext uri="{FF2B5EF4-FFF2-40B4-BE49-F238E27FC236}">
              <a16:creationId xmlns:a16="http://schemas.microsoft.com/office/drawing/2014/main" id="{9EC1CE14-6697-40B2-BA04-F52793BBEE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76600" y="8896350"/>
          <a:ext cx="3924300" cy="2266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2110098</xdr:colOff>
      <xdr:row>55</xdr:row>
      <xdr:rowOff>114301</xdr:rowOff>
    </xdr:from>
    <xdr:to>
      <xdr:col>7</xdr:col>
      <xdr:colOff>135757</xdr:colOff>
      <xdr:row>57</xdr:row>
      <xdr:rowOff>1943100</xdr:rowOff>
    </xdr:to>
    <xdr:pic>
      <xdr:nvPicPr>
        <xdr:cNvPr id="2" name="Picture 1">
          <a:extLst>
            <a:ext uri="{FF2B5EF4-FFF2-40B4-BE49-F238E27FC236}">
              <a16:creationId xmlns:a16="http://schemas.microsoft.com/office/drawing/2014/main" id="{4FF6CBA0-975B-47E1-A99A-79A397FC33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01148" y="9239251"/>
          <a:ext cx="3740659" cy="2152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3095626</xdr:colOff>
      <xdr:row>55</xdr:row>
      <xdr:rowOff>142876</xdr:rowOff>
    </xdr:from>
    <xdr:to>
      <xdr:col>4</xdr:col>
      <xdr:colOff>153422</xdr:colOff>
      <xdr:row>57</xdr:row>
      <xdr:rowOff>1923879</xdr:rowOff>
    </xdr:to>
    <xdr:pic>
      <xdr:nvPicPr>
        <xdr:cNvPr id="3" name="Picture 2">
          <a:extLst>
            <a:ext uri="{FF2B5EF4-FFF2-40B4-BE49-F238E27FC236}">
              <a16:creationId xmlns:a16="http://schemas.microsoft.com/office/drawing/2014/main" id="{3A5DD485-37BF-4C44-8B76-57AB5E20F4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24226" y="9267826"/>
          <a:ext cx="3649096" cy="2104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3124199</xdr:colOff>
      <xdr:row>70</xdr:row>
      <xdr:rowOff>123825</xdr:rowOff>
    </xdr:from>
    <xdr:to>
      <xdr:col>4</xdr:col>
      <xdr:colOff>85724</xdr:colOff>
      <xdr:row>72</xdr:row>
      <xdr:rowOff>2057400</xdr:rowOff>
    </xdr:to>
    <xdr:pic>
      <xdr:nvPicPr>
        <xdr:cNvPr id="2" name="Picture 1">
          <a:extLst>
            <a:ext uri="{FF2B5EF4-FFF2-40B4-BE49-F238E27FC236}">
              <a16:creationId xmlns:a16="http://schemas.microsoft.com/office/drawing/2014/main" id="{45A5E39F-5D24-460C-A7BC-48ACFCA9CD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52799" y="11791950"/>
          <a:ext cx="4048125" cy="2333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70</xdr:row>
      <xdr:rowOff>142876</xdr:rowOff>
    </xdr:from>
    <xdr:to>
      <xdr:col>6</xdr:col>
      <xdr:colOff>1530859</xdr:colOff>
      <xdr:row>72</xdr:row>
      <xdr:rowOff>1971676</xdr:rowOff>
    </xdr:to>
    <xdr:pic>
      <xdr:nvPicPr>
        <xdr:cNvPr id="3" name="Picture 2">
          <a:extLst>
            <a:ext uri="{FF2B5EF4-FFF2-40B4-BE49-F238E27FC236}">
              <a16:creationId xmlns:a16="http://schemas.microsoft.com/office/drawing/2014/main" id="{D8A4DC56-CA70-49DE-91BF-9A23C9E0DC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15200" y="11811001"/>
          <a:ext cx="3740659" cy="2228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3143250</xdr:colOff>
      <xdr:row>73</xdr:row>
      <xdr:rowOff>123824</xdr:rowOff>
    </xdr:from>
    <xdr:to>
      <xdr:col>4</xdr:col>
      <xdr:colOff>161925</xdr:colOff>
      <xdr:row>75</xdr:row>
      <xdr:rowOff>1962149</xdr:rowOff>
    </xdr:to>
    <xdr:pic>
      <xdr:nvPicPr>
        <xdr:cNvPr id="2" name="Picture 1">
          <a:extLst>
            <a:ext uri="{FF2B5EF4-FFF2-40B4-BE49-F238E27FC236}">
              <a16:creationId xmlns:a16="http://schemas.microsoft.com/office/drawing/2014/main" id="{2EC5FFD3-9844-44E0-AFBF-3F213B579F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71850" y="12325349"/>
          <a:ext cx="3895725"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2295526</xdr:colOff>
      <xdr:row>73</xdr:row>
      <xdr:rowOff>133350</xdr:rowOff>
    </xdr:from>
    <xdr:to>
      <xdr:col>7</xdr:col>
      <xdr:colOff>44960</xdr:colOff>
      <xdr:row>75</xdr:row>
      <xdr:rowOff>1905000</xdr:rowOff>
    </xdr:to>
    <xdr:pic>
      <xdr:nvPicPr>
        <xdr:cNvPr id="3" name="Picture 2">
          <a:extLst>
            <a:ext uri="{FF2B5EF4-FFF2-40B4-BE49-F238E27FC236}">
              <a16:creationId xmlns:a16="http://schemas.microsoft.com/office/drawing/2014/main" id="{EC9C3B97-2063-4996-9466-55C3254D0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62776" y="12334875"/>
          <a:ext cx="3845434"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441325</xdr:colOff>
      <xdr:row>129</xdr:row>
      <xdr:rowOff>1797050</xdr:rowOff>
    </xdr:from>
    <xdr:to>
      <xdr:col>6</xdr:col>
      <xdr:colOff>987595</xdr:colOff>
      <xdr:row>130</xdr:row>
      <xdr:rowOff>47727</xdr:rowOff>
    </xdr:to>
    <xdr:sp macro="" textlink="">
      <xdr:nvSpPr>
        <xdr:cNvPr id="2" name="TextBox 1">
          <a:extLst>
            <a:ext uri="{FF2B5EF4-FFF2-40B4-BE49-F238E27FC236}">
              <a16:creationId xmlns:a16="http://schemas.microsoft.com/office/drawing/2014/main" id="{93701E61-FDC4-415F-BD36-862221AF740F}"/>
            </a:ext>
          </a:extLst>
        </xdr:cNvPr>
        <xdr:cNvSpPr txBox="1"/>
      </xdr:nvSpPr>
      <xdr:spPr>
        <a:xfrm>
          <a:off x="7661275" y="24209375"/>
          <a:ext cx="2756070" cy="308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twoCellAnchor editAs="oneCell">
    <xdr:from>
      <xdr:col>3</xdr:col>
      <xdr:colOff>2474347</xdr:colOff>
      <xdr:row>127</xdr:row>
      <xdr:rowOff>161926</xdr:rowOff>
    </xdr:from>
    <xdr:to>
      <xdr:col>7</xdr:col>
      <xdr:colOff>89630</xdr:colOff>
      <xdr:row>129</xdr:row>
      <xdr:rowOff>1933576</xdr:rowOff>
    </xdr:to>
    <xdr:pic>
      <xdr:nvPicPr>
        <xdr:cNvPr id="3" name="Picture 2">
          <a:extLst>
            <a:ext uri="{FF2B5EF4-FFF2-40B4-BE49-F238E27FC236}">
              <a16:creationId xmlns:a16="http://schemas.microsoft.com/office/drawing/2014/main" id="{7784A6CD-BB35-45BB-916A-C72FD65E32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1597" y="22174201"/>
          <a:ext cx="3758908" cy="217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3149125</xdr:colOff>
      <xdr:row>127</xdr:row>
      <xdr:rowOff>133350</xdr:rowOff>
    </xdr:from>
    <xdr:to>
      <xdr:col>4</xdr:col>
      <xdr:colOff>44412</xdr:colOff>
      <xdr:row>129</xdr:row>
      <xdr:rowOff>1971675</xdr:rowOff>
    </xdr:to>
    <xdr:pic>
      <xdr:nvPicPr>
        <xdr:cNvPr id="4" name="Picture 3">
          <a:extLst>
            <a:ext uri="{FF2B5EF4-FFF2-40B4-BE49-F238E27FC236}">
              <a16:creationId xmlns:a16="http://schemas.microsoft.com/office/drawing/2014/main" id="{B7F1EFD4-332A-4AFA-8BAA-E03CFB0486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77725" y="22145625"/>
          <a:ext cx="3886637"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94"/>
  <sheetViews>
    <sheetView topLeftCell="A91" workbookViewId="0">
      <selection activeCell="D89" sqref="D89"/>
    </sheetView>
  </sheetViews>
  <sheetFormatPr defaultRowHeight="15"/>
  <cols>
    <col min="1" max="1" width="3.42578125" customWidth="1"/>
    <col min="2" max="2" width="50" customWidth="1"/>
    <col min="3" max="3" width="16.5703125" customWidth="1"/>
    <col min="4" max="4" width="39" customWidth="1"/>
    <col min="5" max="5" width="16.5703125" customWidth="1"/>
    <col min="6" max="6" width="16.5703125" style="8" customWidth="1"/>
    <col min="7" max="7" width="21.5703125" customWidth="1"/>
    <col min="8" max="8" width="16.5703125" customWidth="1"/>
  </cols>
  <sheetData>
    <row r="1" spans="1:8">
      <c r="A1" s="1"/>
      <c r="B1" s="62" t="s">
        <v>655</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2</v>
      </c>
      <c r="E4" s="13" t="s">
        <v>3</v>
      </c>
      <c r="F4" s="13" t="s">
        <v>4</v>
      </c>
      <c r="G4" s="13" t="s">
        <v>5</v>
      </c>
      <c r="H4" s="14" t="s">
        <v>6</v>
      </c>
    </row>
    <row r="5" spans="1:8" ht="12.95" customHeight="1">
      <c r="A5" s="1"/>
      <c r="B5" s="15" t="s">
        <v>7</v>
      </c>
      <c r="C5" s="16"/>
      <c r="D5" s="16"/>
      <c r="E5" s="16"/>
      <c r="F5" s="16"/>
      <c r="G5" s="17"/>
      <c r="H5" s="18"/>
    </row>
    <row r="6" spans="1:8" ht="12.95" customHeight="1">
      <c r="A6" s="1"/>
      <c r="B6" s="15" t="s">
        <v>8</v>
      </c>
      <c r="C6" s="16"/>
      <c r="D6" s="16"/>
      <c r="E6" s="16"/>
      <c r="F6" s="16"/>
      <c r="G6" s="17"/>
      <c r="H6" s="18"/>
    </row>
    <row r="7" spans="1:8" ht="12.95" customHeight="1">
      <c r="A7" s="5" t="s">
        <v>9</v>
      </c>
      <c r="B7" s="19" t="s">
        <v>10</v>
      </c>
      <c r="C7" s="16" t="s">
        <v>11</v>
      </c>
      <c r="D7" s="16" t="s">
        <v>12</v>
      </c>
      <c r="E7" s="20">
        <v>855507</v>
      </c>
      <c r="F7" s="21">
        <v>3161.1839156999999</v>
      </c>
      <c r="G7" s="22">
        <v>4.288761928893256E-2</v>
      </c>
      <c r="H7" s="18"/>
    </row>
    <row r="8" spans="1:8" ht="12.95" customHeight="1">
      <c r="A8" s="5" t="s">
        <v>13</v>
      </c>
      <c r="B8" s="19" t="s">
        <v>14</v>
      </c>
      <c r="C8" s="16" t="s">
        <v>15</v>
      </c>
      <c r="D8" s="16" t="s">
        <v>12</v>
      </c>
      <c r="E8" s="20">
        <v>188466</v>
      </c>
      <c r="F8" s="21">
        <v>680.98419779999995</v>
      </c>
      <c r="G8" s="22">
        <v>9.2388775205312062E-3</v>
      </c>
      <c r="H8" s="18"/>
    </row>
    <row r="9" spans="1:8" ht="12.95" customHeight="1">
      <c r="A9" s="1"/>
      <c r="B9" s="19" t="s">
        <v>608</v>
      </c>
      <c r="C9" s="16" t="s">
        <v>609</v>
      </c>
      <c r="D9" s="16" t="s">
        <v>12</v>
      </c>
      <c r="E9" s="20">
        <v>182789</v>
      </c>
      <c r="F9" s="21">
        <v>502.13966190000002</v>
      </c>
      <c r="G9" s="22">
        <v>6.8125029178100699E-3</v>
      </c>
      <c r="H9" s="18"/>
    </row>
    <row r="10" spans="1:8" ht="12.95" customHeight="1">
      <c r="A10" s="1"/>
      <c r="B10" s="15" t="s">
        <v>16</v>
      </c>
      <c r="C10" s="16"/>
      <c r="D10" s="16"/>
      <c r="E10" s="16"/>
      <c r="F10" s="23">
        <v>4344.3077753999996</v>
      </c>
      <c r="G10" s="24">
        <v>5.8938999727273837E-2</v>
      </c>
      <c r="H10" s="25"/>
    </row>
    <row r="11" spans="1:8" ht="12.95" customHeight="1">
      <c r="A11" s="1"/>
      <c r="B11" s="26" t="s">
        <v>17</v>
      </c>
      <c r="C11" s="27"/>
      <c r="D11" s="27"/>
      <c r="E11" s="27"/>
      <c r="F11" s="28" t="s">
        <v>18</v>
      </c>
      <c r="G11" s="28" t="s">
        <v>18</v>
      </c>
      <c r="H11" s="25"/>
    </row>
    <row r="12" spans="1:8" ht="12.95" customHeight="1">
      <c r="A12" s="1"/>
      <c r="B12" s="26" t="s">
        <v>16</v>
      </c>
      <c r="C12" s="27"/>
      <c r="D12" s="27"/>
      <c r="E12" s="27"/>
      <c r="F12" s="28" t="s">
        <v>18</v>
      </c>
      <c r="G12" s="28" t="s">
        <v>18</v>
      </c>
      <c r="H12" s="25"/>
    </row>
    <row r="13" spans="1:8" ht="12.95" customHeight="1">
      <c r="A13" s="1"/>
      <c r="B13" s="26" t="s">
        <v>19</v>
      </c>
      <c r="C13" s="29"/>
      <c r="D13" s="27"/>
      <c r="E13" s="29"/>
      <c r="F13" s="23">
        <v>4344.3077753999996</v>
      </c>
      <c r="G13" s="24">
        <v>5.8938999727273837E-2</v>
      </c>
      <c r="H13" s="25"/>
    </row>
    <row r="14" spans="1:8" ht="12.95" customHeight="1">
      <c r="A14" s="1"/>
      <c r="B14" s="15" t="s">
        <v>20</v>
      </c>
      <c r="C14" s="16"/>
      <c r="D14" s="16"/>
      <c r="E14" s="16"/>
      <c r="F14" s="16"/>
      <c r="G14" s="17"/>
      <c r="H14" s="18"/>
    </row>
    <row r="15" spans="1:8" ht="12.95" customHeight="1">
      <c r="A15" s="5" t="s">
        <v>22</v>
      </c>
      <c r="B15" s="15" t="s">
        <v>21</v>
      </c>
      <c r="C15" s="16"/>
      <c r="D15" s="16"/>
      <c r="E15" s="16"/>
      <c r="F15" s="16"/>
      <c r="G15" s="17"/>
      <c r="H15" s="18"/>
    </row>
    <row r="16" spans="1:8" ht="12.95" customHeight="1">
      <c r="A16" s="5" t="s">
        <v>26</v>
      </c>
      <c r="B16" s="19" t="s">
        <v>23</v>
      </c>
      <c r="C16" s="16" t="s">
        <v>24</v>
      </c>
      <c r="D16" s="16" t="s">
        <v>25</v>
      </c>
      <c r="E16" s="20">
        <v>9000000</v>
      </c>
      <c r="F16" s="21">
        <v>9235.8089999999993</v>
      </c>
      <c r="G16" s="22">
        <v>0.12530174478304143</v>
      </c>
      <c r="H16" s="30">
        <v>6.9283999999999998E-2</v>
      </c>
    </row>
    <row r="17" spans="1:8" ht="12.95" customHeight="1">
      <c r="A17" s="5" t="s">
        <v>29</v>
      </c>
      <c r="B17" s="19" t="s">
        <v>27</v>
      </c>
      <c r="C17" s="16" t="s">
        <v>28</v>
      </c>
      <c r="D17" s="16" t="s">
        <v>25</v>
      </c>
      <c r="E17" s="20">
        <v>5000000</v>
      </c>
      <c r="F17" s="21">
        <v>4926.84</v>
      </c>
      <c r="G17" s="22">
        <v>6.6842184400617177E-2</v>
      </c>
      <c r="H17" s="30">
        <v>6.9197999999999996E-2</v>
      </c>
    </row>
    <row r="18" spans="1:8" ht="12.95" customHeight="1">
      <c r="A18" s="5" t="s">
        <v>32</v>
      </c>
      <c r="B18" s="19" t="s">
        <v>30</v>
      </c>
      <c r="C18" s="16" t="s">
        <v>31</v>
      </c>
      <c r="D18" s="16" t="s">
        <v>25</v>
      </c>
      <c r="E18" s="20">
        <v>4000000</v>
      </c>
      <c r="F18" s="21">
        <v>4098.4040000000005</v>
      </c>
      <c r="G18" s="22">
        <v>5.5602835877809523E-2</v>
      </c>
      <c r="H18" s="30">
        <v>7.0019999999999999E-2</v>
      </c>
    </row>
    <row r="19" spans="1:8" ht="12.95" customHeight="1">
      <c r="A19" s="5" t="s">
        <v>35</v>
      </c>
      <c r="B19" s="19" t="s">
        <v>33</v>
      </c>
      <c r="C19" s="16" t="s">
        <v>34</v>
      </c>
      <c r="D19" s="16" t="s">
        <v>25</v>
      </c>
      <c r="E19" s="20">
        <v>3000000</v>
      </c>
      <c r="F19" s="21">
        <v>3126.4349999999999</v>
      </c>
      <c r="G19" s="22">
        <v>4.241618254023747E-2</v>
      </c>
      <c r="H19" s="30">
        <v>7.0054000000000005E-2</v>
      </c>
    </row>
    <row r="20" spans="1:8" ht="12.95" customHeight="1">
      <c r="A20" s="5" t="s">
        <v>36</v>
      </c>
      <c r="B20" s="19" t="s">
        <v>40</v>
      </c>
      <c r="C20" s="16" t="s">
        <v>41</v>
      </c>
      <c r="D20" s="16" t="s">
        <v>25</v>
      </c>
      <c r="E20" s="20">
        <v>3000000</v>
      </c>
      <c r="F20" s="21">
        <v>3040.5030000000002</v>
      </c>
      <c r="G20" s="22">
        <v>4.1250347524301532E-2</v>
      </c>
      <c r="H20" s="30">
        <v>6.8423999999999999E-2</v>
      </c>
    </row>
    <row r="21" spans="1:8" ht="12.95" customHeight="1">
      <c r="A21" s="5" t="s">
        <v>39</v>
      </c>
      <c r="B21" s="19" t="s">
        <v>43</v>
      </c>
      <c r="C21" s="16" t="s">
        <v>44</v>
      </c>
      <c r="D21" s="16" t="s">
        <v>45</v>
      </c>
      <c r="E21" s="20">
        <v>3000000</v>
      </c>
      <c r="F21" s="21">
        <v>2936.7689999999998</v>
      </c>
      <c r="G21" s="22">
        <v>3.9842993691700183E-2</v>
      </c>
      <c r="H21" s="30">
        <v>7.7100000000000002E-2</v>
      </c>
    </row>
    <row r="22" spans="1:8" ht="12.95" customHeight="1">
      <c r="A22" s="5" t="s">
        <v>42</v>
      </c>
      <c r="B22" s="19" t="s">
        <v>53</v>
      </c>
      <c r="C22" s="16" t="s">
        <v>54</v>
      </c>
      <c r="D22" s="16" t="s">
        <v>45</v>
      </c>
      <c r="E22" s="20">
        <v>2500000</v>
      </c>
      <c r="F22" s="21">
        <v>2583.3024999999998</v>
      </c>
      <c r="G22" s="22">
        <v>3.5047531900279968E-2</v>
      </c>
      <c r="H22" s="30">
        <v>7.46E-2</v>
      </c>
    </row>
    <row r="23" spans="1:8" ht="12.95" customHeight="1">
      <c r="A23" s="5" t="s">
        <v>46</v>
      </c>
      <c r="B23" s="19" t="s">
        <v>47</v>
      </c>
      <c r="C23" s="16" t="s">
        <v>48</v>
      </c>
      <c r="D23" s="16" t="s">
        <v>25</v>
      </c>
      <c r="E23" s="20">
        <v>2500000</v>
      </c>
      <c r="F23" s="21">
        <v>2580.04</v>
      </c>
      <c r="G23" s="22">
        <v>3.5003269730896146E-2</v>
      </c>
      <c r="H23" s="30">
        <v>7.2759000000000004E-2</v>
      </c>
    </row>
    <row r="24" spans="1:8" ht="12.95" customHeight="1">
      <c r="A24" s="5" t="s">
        <v>49</v>
      </c>
      <c r="B24" s="19" t="s">
        <v>50</v>
      </c>
      <c r="C24" s="16" t="s">
        <v>51</v>
      </c>
      <c r="D24" s="16" t="s">
        <v>25</v>
      </c>
      <c r="E24" s="20">
        <v>2500000</v>
      </c>
      <c r="F24" s="21">
        <v>2576.4050000000002</v>
      </c>
      <c r="G24" s="22">
        <v>3.495395387320719E-2</v>
      </c>
      <c r="H24" s="30">
        <v>7.2622999999999993E-2</v>
      </c>
    </row>
    <row r="25" spans="1:8" ht="12.95" customHeight="1">
      <c r="A25" s="5" t="s">
        <v>52</v>
      </c>
      <c r="B25" s="19" t="s">
        <v>56</v>
      </c>
      <c r="C25" s="16" t="s">
        <v>57</v>
      </c>
      <c r="D25" s="16" t="s">
        <v>45</v>
      </c>
      <c r="E25" s="20">
        <v>2500000</v>
      </c>
      <c r="F25" s="21">
        <v>2539.2925</v>
      </c>
      <c r="G25" s="22">
        <v>3.4450450498109172E-2</v>
      </c>
      <c r="H25" s="30">
        <v>7.5124999999999997E-2</v>
      </c>
    </row>
    <row r="26" spans="1:8" ht="12.95" customHeight="1">
      <c r="A26" s="5" t="s">
        <v>55</v>
      </c>
      <c r="B26" s="19" t="s">
        <v>59</v>
      </c>
      <c r="C26" s="16" t="s">
        <v>60</v>
      </c>
      <c r="D26" s="16" t="s">
        <v>45</v>
      </c>
      <c r="E26" s="20">
        <v>2500000</v>
      </c>
      <c r="F26" s="21">
        <v>2524.2649999999999</v>
      </c>
      <c r="G26" s="22">
        <v>3.424657317997417E-2</v>
      </c>
      <c r="H26" s="30">
        <v>7.5600000000000001E-2</v>
      </c>
    </row>
    <row r="27" spans="1:8" ht="12.95" customHeight="1">
      <c r="A27" s="5" t="s">
        <v>58</v>
      </c>
      <c r="B27" s="19" t="s">
        <v>62</v>
      </c>
      <c r="C27" s="16" t="s">
        <v>63</v>
      </c>
      <c r="D27" s="16" t="s">
        <v>64</v>
      </c>
      <c r="E27" s="20">
        <v>2500000</v>
      </c>
      <c r="F27" s="21">
        <v>2514.0450000000001</v>
      </c>
      <c r="G27" s="22">
        <v>3.4107918966609356E-2</v>
      </c>
      <c r="H27" s="30">
        <v>7.4950000000000003E-2</v>
      </c>
    </row>
    <row r="28" spans="1:8" ht="12.95" customHeight="1">
      <c r="A28" s="5" t="s">
        <v>61</v>
      </c>
      <c r="B28" s="19" t="s">
        <v>66</v>
      </c>
      <c r="C28" s="16" t="s">
        <v>67</v>
      </c>
      <c r="D28" s="16" t="s">
        <v>45</v>
      </c>
      <c r="E28" s="20">
        <v>2500000</v>
      </c>
      <c r="F28" s="21">
        <v>2503.02</v>
      </c>
      <c r="G28" s="22">
        <v>3.3958343359726077E-2</v>
      </c>
      <c r="H28" s="30">
        <v>7.7499999999999999E-2</v>
      </c>
    </row>
    <row r="29" spans="1:8" ht="12.95" customHeight="1">
      <c r="A29" s="5" t="s">
        <v>65</v>
      </c>
      <c r="B29" s="19" t="s">
        <v>610</v>
      </c>
      <c r="C29" s="16" t="s">
        <v>611</v>
      </c>
      <c r="D29" s="16" t="s">
        <v>45</v>
      </c>
      <c r="E29" s="20">
        <v>2500000</v>
      </c>
      <c r="F29" s="21">
        <v>2499.5025000000001</v>
      </c>
      <c r="G29" s="22">
        <v>3.3910621618482364E-2</v>
      </c>
      <c r="H29" s="30">
        <v>7.9611000000000001E-2</v>
      </c>
    </row>
    <row r="30" spans="1:8" ht="12.95" customHeight="1">
      <c r="A30" s="5" t="s">
        <v>68</v>
      </c>
      <c r="B30" s="19" t="s">
        <v>69</v>
      </c>
      <c r="C30" s="16" t="s">
        <v>70</v>
      </c>
      <c r="D30" s="16" t="s">
        <v>71</v>
      </c>
      <c r="E30" s="20">
        <v>2500000</v>
      </c>
      <c r="F30" s="21">
        <v>2494.62</v>
      </c>
      <c r="G30" s="22">
        <v>3.384438099257691E-2</v>
      </c>
      <c r="H30" s="30">
        <v>8.5150000000000003E-2</v>
      </c>
    </row>
    <row r="31" spans="1:8" ht="12.95" customHeight="1">
      <c r="A31" s="5" t="s">
        <v>72</v>
      </c>
      <c r="B31" s="19" t="s">
        <v>77</v>
      </c>
      <c r="C31" s="16" t="s">
        <v>78</v>
      </c>
      <c r="D31" s="16" t="s">
        <v>25</v>
      </c>
      <c r="E31" s="20">
        <v>1500000</v>
      </c>
      <c r="F31" s="21">
        <v>1557.1755000000001</v>
      </c>
      <c r="G31" s="22">
        <v>2.1126119767462159E-2</v>
      </c>
      <c r="H31" s="30">
        <v>7.2621000000000005E-2</v>
      </c>
    </row>
    <row r="32" spans="1:8" ht="12.95" customHeight="1">
      <c r="A32" s="5" t="s">
        <v>73</v>
      </c>
      <c r="B32" s="19" t="s">
        <v>74</v>
      </c>
      <c r="C32" s="16" t="s">
        <v>75</v>
      </c>
      <c r="D32" s="16" t="s">
        <v>25</v>
      </c>
      <c r="E32" s="20">
        <v>1500000</v>
      </c>
      <c r="F32" s="21">
        <v>1552.971</v>
      </c>
      <c r="G32" s="22">
        <v>2.1069077532619461E-2</v>
      </c>
      <c r="H32" s="30">
        <v>7.2567000000000006E-2</v>
      </c>
    </row>
    <row r="33" spans="1:8" ht="12.95" customHeight="1">
      <c r="A33" s="5" t="s">
        <v>76</v>
      </c>
      <c r="B33" s="19" t="s">
        <v>541</v>
      </c>
      <c r="C33" s="16" t="s">
        <v>80</v>
      </c>
      <c r="D33" s="16" t="s">
        <v>81</v>
      </c>
      <c r="E33" s="20">
        <v>1500000</v>
      </c>
      <c r="F33" s="21">
        <v>1520.4585</v>
      </c>
      <c r="G33" s="22">
        <v>2.0627982120484084E-2</v>
      </c>
      <c r="H33" s="30">
        <v>8.2449999999999996E-2</v>
      </c>
    </row>
    <row r="34" spans="1:8" ht="12.95" customHeight="1">
      <c r="A34" s="5" t="s">
        <v>79</v>
      </c>
      <c r="B34" s="19" t="s">
        <v>83</v>
      </c>
      <c r="C34" s="16" t="s">
        <v>84</v>
      </c>
      <c r="D34" s="16" t="s">
        <v>45</v>
      </c>
      <c r="E34" s="20">
        <v>1500000</v>
      </c>
      <c r="F34" s="21">
        <v>1510.3154999999999</v>
      </c>
      <c r="G34" s="22">
        <v>2.0490372562151467E-2</v>
      </c>
      <c r="H34" s="30">
        <v>7.6600000000000001E-2</v>
      </c>
    </row>
    <row r="35" spans="1:8" ht="12.95" customHeight="1">
      <c r="A35" s="5" t="s">
        <v>82</v>
      </c>
      <c r="B35" s="19" t="s">
        <v>88</v>
      </c>
      <c r="C35" s="16" t="s">
        <v>89</v>
      </c>
      <c r="D35" s="16" t="s">
        <v>71</v>
      </c>
      <c r="E35" s="20">
        <v>1500000</v>
      </c>
      <c r="F35" s="21">
        <v>1503.9780000000001</v>
      </c>
      <c r="G35" s="22">
        <v>2.0404392026221966E-2</v>
      </c>
      <c r="H35" s="30">
        <v>8.8175000000000003E-2</v>
      </c>
    </row>
    <row r="36" spans="1:8" ht="12.95" customHeight="1">
      <c r="A36" s="5" t="s">
        <v>85</v>
      </c>
      <c r="B36" s="19" t="s">
        <v>542</v>
      </c>
      <c r="C36" s="16" t="s">
        <v>86</v>
      </c>
      <c r="D36" s="16" t="s">
        <v>45</v>
      </c>
      <c r="E36" s="20">
        <v>1500000</v>
      </c>
      <c r="F36" s="21">
        <v>1492.1895</v>
      </c>
      <c r="G36" s="22">
        <v>2.0244458054181739E-2</v>
      </c>
      <c r="H36" s="30">
        <v>7.4894000000000002E-2</v>
      </c>
    </row>
    <row r="37" spans="1:8" ht="12.95" customHeight="1">
      <c r="A37" s="5" t="s">
        <v>87</v>
      </c>
      <c r="B37" s="19" t="s">
        <v>91</v>
      </c>
      <c r="C37" s="16" t="s">
        <v>92</v>
      </c>
      <c r="D37" s="16" t="s">
        <v>45</v>
      </c>
      <c r="E37" s="20">
        <v>1500000</v>
      </c>
      <c r="F37" s="21">
        <v>1481.3340000000001</v>
      </c>
      <c r="G37" s="22">
        <v>2.0097182045064148E-2</v>
      </c>
      <c r="H37" s="30">
        <v>7.7450000000000005E-2</v>
      </c>
    </row>
    <row r="38" spans="1:8" ht="12.95" customHeight="1">
      <c r="A38" s="5" t="s">
        <v>90</v>
      </c>
      <c r="B38" s="19" t="s">
        <v>94</v>
      </c>
      <c r="C38" s="16" t="s">
        <v>95</v>
      </c>
      <c r="D38" s="16" t="s">
        <v>25</v>
      </c>
      <c r="E38" s="20">
        <v>1000000</v>
      </c>
      <c r="F38" s="21">
        <v>1057.924</v>
      </c>
      <c r="G38" s="22">
        <v>1.4352800393322806E-2</v>
      </c>
      <c r="H38" s="30">
        <v>7.2925000000000004E-2</v>
      </c>
    </row>
    <row r="39" spans="1:8" ht="12.95" customHeight="1">
      <c r="A39" s="5" t="s">
        <v>93</v>
      </c>
      <c r="B39" s="19" t="s">
        <v>97</v>
      </c>
      <c r="C39" s="16" t="s">
        <v>98</v>
      </c>
      <c r="D39" s="16" t="s">
        <v>25</v>
      </c>
      <c r="E39" s="20">
        <v>1000000</v>
      </c>
      <c r="F39" s="21">
        <v>1036.527</v>
      </c>
      <c r="G39" s="22">
        <v>1.4062508396907251E-2</v>
      </c>
      <c r="H39" s="30">
        <v>7.2669999999999998E-2</v>
      </c>
    </row>
    <row r="40" spans="1:8" ht="12.95" customHeight="1">
      <c r="A40" s="5" t="s">
        <v>96</v>
      </c>
      <c r="B40" s="19" t="s">
        <v>100</v>
      </c>
      <c r="C40" s="16" t="s">
        <v>101</v>
      </c>
      <c r="D40" s="16" t="s">
        <v>25</v>
      </c>
      <c r="E40" s="20">
        <v>661400</v>
      </c>
      <c r="F40" s="21">
        <v>677.47995679999997</v>
      </c>
      <c r="G40" s="22">
        <v>9.1913356634572597E-3</v>
      </c>
      <c r="H40" s="30">
        <v>7.2098999999999996E-2</v>
      </c>
    </row>
    <row r="41" spans="1:8" ht="12.95" customHeight="1">
      <c r="A41" s="5" t="s">
        <v>99</v>
      </c>
      <c r="B41" s="19" t="s">
        <v>37</v>
      </c>
      <c r="C41" s="16" t="s">
        <v>38</v>
      </c>
      <c r="D41" s="16" t="s">
        <v>25</v>
      </c>
      <c r="E41" s="20">
        <v>500000</v>
      </c>
      <c r="F41" s="21">
        <v>511.62349999999998</v>
      </c>
      <c r="G41" s="22">
        <v>6.9411696606119068E-3</v>
      </c>
      <c r="H41" s="30">
        <v>6.9334000000000007E-2</v>
      </c>
    </row>
    <row r="42" spans="1:8" ht="12.95" customHeight="1">
      <c r="A42" s="5" t="s">
        <v>102</v>
      </c>
      <c r="B42" s="19" t="s">
        <v>104</v>
      </c>
      <c r="C42" s="16" t="s">
        <v>105</v>
      </c>
      <c r="D42" s="16" t="s">
        <v>25</v>
      </c>
      <c r="E42" s="20">
        <v>500000</v>
      </c>
      <c r="F42" s="21">
        <v>509.1515</v>
      </c>
      <c r="G42" s="22">
        <v>6.9076321639937243E-3</v>
      </c>
      <c r="H42" s="30">
        <v>7.1176000000000003E-2</v>
      </c>
    </row>
    <row r="43" spans="1:8" ht="12.95" customHeight="1">
      <c r="A43" s="5" t="s">
        <v>103</v>
      </c>
      <c r="B43" s="19" t="s">
        <v>107</v>
      </c>
      <c r="C43" s="16" t="s">
        <v>108</v>
      </c>
      <c r="D43" s="16" t="s">
        <v>81</v>
      </c>
      <c r="E43" s="20">
        <v>100000</v>
      </c>
      <c r="F43" s="21">
        <v>101.16370000000001</v>
      </c>
      <c r="G43" s="22">
        <v>1.3724827049485504E-3</v>
      </c>
      <c r="H43" s="30">
        <v>8.2350000000000007E-2</v>
      </c>
    </row>
    <row r="44" spans="1:8" ht="12.95" customHeight="1">
      <c r="A44" s="5" t="s">
        <v>106</v>
      </c>
      <c r="B44" s="15" t="s">
        <v>16</v>
      </c>
      <c r="C44" s="16"/>
      <c r="D44" s="16"/>
      <c r="E44" s="16"/>
      <c r="F44" s="23">
        <v>64691.544156800002</v>
      </c>
      <c r="G44" s="24">
        <v>0.87766684602899514</v>
      </c>
      <c r="H44" s="25"/>
    </row>
    <row r="45" spans="1:8" ht="12.95" customHeight="1">
      <c r="A45" s="1"/>
      <c r="B45" s="26" t="s">
        <v>109</v>
      </c>
      <c r="C45" s="27"/>
      <c r="D45" s="27"/>
      <c r="E45" s="27"/>
      <c r="F45" s="28" t="s">
        <v>18</v>
      </c>
      <c r="G45" s="28" t="s">
        <v>18</v>
      </c>
      <c r="H45" s="25"/>
    </row>
    <row r="46" spans="1:8" ht="12.95" customHeight="1">
      <c r="A46" s="1"/>
      <c r="B46" s="26" t="s">
        <v>16</v>
      </c>
      <c r="C46" s="27"/>
      <c r="D46" s="27"/>
      <c r="E46" s="27"/>
      <c r="F46" s="28" t="s">
        <v>18</v>
      </c>
      <c r="G46" s="28" t="s">
        <v>18</v>
      </c>
      <c r="H46" s="25"/>
    </row>
    <row r="47" spans="1:8" ht="12.95" customHeight="1">
      <c r="A47" s="1"/>
      <c r="B47" s="26" t="s">
        <v>19</v>
      </c>
      <c r="C47" s="29"/>
      <c r="D47" s="27"/>
      <c r="E47" s="29"/>
      <c r="F47" s="23">
        <v>64691.544156800002</v>
      </c>
      <c r="G47" s="24">
        <v>0.87766684602899514</v>
      </c>
      <c r="H47" s="25"/>
    </row>
    <row r="48" spans="1:8" ht="12.95" customHeight="1">
      <c r="A48" s="1"/>
      <c r="B48" s="15" t="s">
        <v>110</v>
      </c>
      <c r="C48" s="16"/>
      <c r="D48" s="16"/>
      <c r="E48" s="16"/>
      <c r="F48" s="16"/>
      <c r="G48" s="17"/>
      <c r="H48" s="18"/>
    </row>
    <row r="49" spans="1:8" ht="12.95" customHeight="1">
      <c r="A49" s="1"/>
      <c r="B49" s="15" t="s">
        <v>111</v>
      </c>
      <c r="C49" s="16"/>
      <c r="D49" s="16"/>
      <c r="E49" s="16"/>
      <c r="F49" s="16"/>
      <c r="G49" s="17"/>
      <c r="H49" s="18"/>
    </row>
    <row r="50" spans="1:8" ht="12.95" customHeight="1">
      <c r="A50" s="1"/>
      <c r="B50" s="19" t="s">
        <v>543</v>
      </c>
      <c r="C50" s="16" t="s">
        <v>544</v>
      </c>
      <c r="D50" s="16" t="s">
        <v>113</v>
      </c>
      <c r="E50" s="20">
        <v>500000</v>
      </c>
      <c r="F50" s="21">
        <v>496.33949999999999</v>
      </c>
      <c r="G50" s="22">
        <v>6.7338124201943095E-3</v>
      </c>
      <c r="H50" s="30">
        <v>7.2749999999999995E-2</v>
      </c>
    </row>
    <row r="51" spans="1:8" ht="12.95" customHeight="1">
      <c r="A51" s="5" t="s">
        <v>112</v>
      </c>
      <c r="B51" s="19" t="s">
        <v>612</v>
      </c>
      <c r="C51" s="16" t="s">
        <v>613</v>
      </c>
      <c r="D51" s="16" t="s">
        <v>113</v>
      </c>
      <c r="E51" s="20">
        <v>500000</v>
      </c>
      <c r="F51" s="21">
        <v>491.642</v>
      </c>
      <c r="G51" s="22">
        <v>6.6700816797558337E-3</v>
      </c>
      <c r="H51" s="30">
        <v>7.2999999999999995E-2</v>
      </c>
    </row>
    <row r="52" spans="1:8" ht="12.95" customHeight="1">
      <c r="A52" s="1"/>
      <c r="B52" s="15" t="s">
        <v>16</v>
      </c>
      <c r="C52" s="16"/>
      <c r="D52" s="16"/>
      <c r="E52" s="16"/>
      <c r="F52" s="23">
        <v>987.98149999999998</v>
      </c>
      <c r="G52" s="24">
        <v>1.3403894099950143E-2</v>
      </c>
      <c r="H52" s="25"/>
    </row>
    <row r="53" spans="1:8" ht="12.95" customHeight="1">
      <c r="A53" s="1"/>
      <c r="B53" s="26" t="s">
        <v>19</v>
      </c>
      <c r="C53" s="29"/>
      <c r="D53" s="27"/>
      <c r="E53" s="29"/>
      <c r="F53" s="23">
        <v>987.98149999999998</v>
      </c>
      <c r="G53" s="24">
        <v>1.3403894099950143E-2</v>
      </c>
      <c r="H53" s="25"/>
    </row>
    <row r="54" spans="1:8" ht="12.95" customHeight="1">
      <c r="A54" s="1"/>
      <c r="B54" s="15" t="s">
        <v>114</v>
      </c>
      <c r="C54" s="16"/>
      <c r="D54" s="16"/>
      <c r="E54" s="16"/>
      <c r="F54" s="16"/>
      <c r="G54" s="17"/>
      <c r="H54" s="18"/>
    </row>
    <row r="55" spans="1:8" ht="12.95" customHeight="1">
      <c r="A55" s="1"/>
      <c r="B55" s="15" t="s">
        <v>115</v>
      </c>
      <c r="C55" s="16"/>
      <c r="D55" s="16"/>
      <c r="E55" s="16"/>
      <c r="F55" s="16"/>
      <c r="G55" s="17"/>
      <c r="H55" s="18"/>
    </row>
    <row r="56" spans="1:8" ht="12.95" customHeight="1">
      <c r="A56" s="5" t="s">
        <v>116</v>
      </c>
      <c r="B56" s="19" t="s">
        <v>117</v>
      </c>
      <c r="C56" s="16" t="s">
        <v>118</v>
      </c>
      <c r="D56" s="16"/>
      <c r="E56" s="20">
        <v>1942.5820000000001</v>
      </c>
      <c r="F56" s="21">
        <v>210.68796409999999</v>
      </c>
      <c r="G56" s="22">
        <v>2.8583927522230911E-3</v>
      </c>
      <c r="H56" s="30"/>
    </row>
    <row r="57" spans="1:8" ht="12.95" customHeight="1">
      <c r="A57" s="1"/>
      <c r="B57" s="15" t="s">
        <v>16</v>
      </c>
      <c r="C57" s="16"/>
      <c r="D57" s="16"/>
      <c r="E57" s="16"/>
      <c r="F57" s="23">
        <v>210.68796409999999</v>
      </c>
      <c r="G57" s="24">
        <v>2.8583927522230911E-3</v>
      </c>
      <c r="H57" s="25"/>
    </row>
    <row r="58" spans="1:8" ht="12.95" customHeight="1">
      <c r="A58" s="1"/>
      <c r="B58" s="26" t="s">
        <v>19</v>
      </c>
      <c r="C58" s="29"/>
      <c r="D58" s="27"/>
      <c r="E58" s="29"/>
      <c r="F58" s="23">
        <v>210.68796409999999</v>
      </c>
      <c r="G58" s="24">
        <v>2.8583927522230911E-3</v>
      </c>
      <c r="H58" s="25"/>
    </row>
    <row r="59" spans="1:8" ht="12.95" customHeight="1">
      <c r="A59" s="1"/>
      <c r="B59" s="15" t="s">
        <v>119</v>
      </c>
      <c r="C59" s="16"/>
      <c r="D59" s="16"/>
      <c r="E59" s="16"/>
      <c r="F59" s="16"/>
      <c r="G59" s="17"/>
      <c r="H59" s="18"/>
    </row>
    <row r="60" spans="1:8" ht="12.95" customHeight="1">
      <c r="A60" s="5" t="s">
        <v>120</v>
      </c>
      <c r="B60" s="19" t="s">
        <v>540</v>
      </c>
      <c r="C60" s="16"/>
      <c r="D60" s="16" t="s">
        <v>121</v>
      </c>
      <c r="E60" s="20"/>
      <c r="F60" s="21">
        <v>1881</v>
      </c>
      <c r="G60" s="22">
        <v>2.5519430072330526E-2</v>
      </c>
      <c r="H60" s="30">
        <f>(627.25/100)%</f>
        <v>6.2725000000000003E-2</v>
      </c>
    </row>
    <row r="61" spans="1:8" ht="12.95" customHeight="1">
      <c r="A61" s="1"/>
      <c r="B61" s="15" t="s">
        <v>16</v>
      </c>
      <c r="C61" s="16"/>
      <c r="D61" s="16"/>
      <c r="E61" s="16"/>
      <c r="F61" s="23">
        <v>1881</v>
      </c>
      <c r="G61" s="24">
        <v>2.5519430072330526E-2</v>
      </c>
      <c r="H61" s="25"/>
    </row>
    <row r="62" spans="1:8" ht="12.95" customHeight="1">
      <c r="A62" s="1"/>
      <c r="B62" s="26" t="s">
        <v>109</v>
      </c>
      <c r="C62" s="27"/>
      <c r="D62" s="27"/>
      <c r="E62" s="27"/>
      <c r="F62" s="28" t="s">
        <v>18</v>
      </c>
      <c r="G62" s="28" t="s">
        <v>18</v>
      </c>
      <c r="H62" s="25"/>
    </row>
    <row r="63" spans="1:8" ht="12.95" customHeight="1">
      <c r="A63" s="1"/>
      <c r="B63" s="26" t="s">
        <v>16</v>
      </c>
      <c r="C63" s="27"/>
      <c r="D63" s="27"/>
      <c r="E63" s="27"/>
      <c r="F63" s="28" t="s">
        <v>18</v>
      </c>
      <c r="G63" s="28" t="s">
        <v>18</v>
      </c>
      <c r="H63" s="25"/>
    </row>
    <row r="64" spans="1:8" ht="12.95" customHeight="1">
      <c r="A64" s="1"/>
      <c r="B64" s="26" t="s">
        <v>19</v>
      </c>
      <c r="C64" s="29"/>
      <c r="D64" s="27"/>
      <c r="E64" s="29"/>
      <c r="F64" s="23">
        <v>1881</v>
      </c>
      <c r="G64" s="24">
        <v>2.5519430072330526E-2</v>
      </c>
      <c r="H64" s="25"/>
    </row>
    <row r="65" spans="1:8" ht="12.95" customHeight="1">
      <c r="A65" s="1"/>
      <c r="B65" s="26" t="s">
        <v>122</v>
      </c>
      <c r="C65" s="16"/>
      <c r="D65" s="27"/>
      <c r="E65" s="16"/>
      <c r="F65" s="23">
        <v>1593.0212580078137</v>
      </c>
      <c r="G65" s="24">
        <v>2.1612437319227223E-2</v>
      </c>
      <c r="H65" s="25"/>
    </row>
    <row r="66" spans="1:8" ht="12.95" customHeight="1" thickBot="1">
      <c r="A66" s="1"/>
      <c r="B66" s="31" t="s">
        <v>123</v>
      </c>
      <c r="C66" s="32"/>
      <c r="D66" s="32"/>
      <c r="E66" s="32"/>
      <c r="F66" s="33">
        <v>73708.542654307807</v>
      </c>
      <c r="G66" s="34">
        <v>1</v>
      </c>
      <c r="H66" s="35"/>
    </row>
    <row r="67" spans="1:8" ht="12.95" customHeight="1">
      <c r="A67" s="1"/>
      <c r="B67" s="36"/>
      <c r="C67" s="10"/>
      <c r="D67" s="10"/>
      <c r="E67" s="10"/>
      <c r="F67" s="10"/>
      <c r="G67" s="10"/>
      <c r="H67" s="10"/>
    </row>
    <row r="68" spans="1:8" ht="12.95" customHeight="1">
      <c r="A68" s="1"/>
      <c r="B68" s="6" t="s">
        <v>121</v>
      </c>
      <c r="C68" s="10"/>
      <c r="D68" s="10"/>
      <c r="E68" s="10"/>
      <c r="F68" s="10"/>
      <c r="G68" s="10"/>
      <c r="H68" s="10"/>
    </row>
    <row r="69" spans="1:8" ht="12.95" customHeight="1">
      <c r="A69" s="1"/>
      <c r="B69" s="6" t="s">
        <v>124</v>
      </c>
      <c r="C69" s="10"/>
      <c r="D69" s="10"/>
      <c r="E69" s="10"/>
      <c r="F69" s="10"/>
      <c r="G69" s="10"/>
      <c r="H69" s="10"/>
    </row>
    <row r="70" spans="1:8" ht="12.95" customHeight="1">
      <c r="A70" s="1"/>
      <c r="B70" s="6" t="s">
        <v>125</v>
      </c>
      <c r="C70" s="10"/>
      <c r="D70" s="10"/>
      <c r="E70" s="10"/>
      <c r="F70" s="10"/>
      <c r="G70" s="10"/>
      <c r="H70" s="10"/>
    </row>
    <row r="71" spans="1:8" ht="12.95" customHeight="1" thickBot="1">
      <c r="A71" s="1"/>
      <c r="B71" s="6"/>
      <c r="C71" s="10"/>
      <c r="D71" s="10"/>
      <c r="E71" s="10"/>
      <c r="F71" s="10"/>
      <c r="G71" s="10"/>
      <c r="H71" s="10"/>
    </row>
    <row r="72" spans="1:8" ht="12.95" customHeight="1" thickBot="1">
      <c r="A72" s="1"/>
      <c r="B72" s="38" t="s">
        <v>640</v>
      </c>
      <c r="C72" s="38"/>
      <c r="D72" s="39"/>
      <c r="E72" s="39"/>
      <c r="F72" s="39"/>
      <c r="G72" s="39"/>
      <c r="H72" s="1"/>
    </row>
    <row r="73" spans="1:8" ht="30.75" thickBot="1">
      <c r="B73" s="40" t="s">
        <v>641</v>
      </c>
      <c r="C73" s="41" t="s">
        <v>1</v>
      </c>
      <c r="D73" s="42" t="s">
        <v>642</v>
      </c>
      <c r="E73" s="41" t="s">
        <v>643</v>
      </c>
      <c r="F73" s="42" t="s">
        <v>644</v>
      </c>
      <c r="G73" s="41" t="s">
        <v>645</v>
      </c>
    </row>
    <row r="74" spans="1:8" ht="15.75" thickBot="1">
      <c r="B74" s="43" t="s">
        <v>646</v>
      </c>
      <c r="C74" s="44" t="s">
        <v>646</v>
      </c>
      <c r="D74" s="45" t="s">
        <v>646</v>
      </c>
      <c r="E74" s="46" t="s">
        <v>646</v>
      </c>
      <c r="F74" s="45" t="s">
        <v>646</v>
      </c>
      <c r="G74" s="47" t="s">
        <v>646</v>
      </c>
    </row>
    <row r="75" spans="1:8" ht="15.75" thickBot="1">
      <c r="B75" s="48"/>
      <c r="C75" s="49"/>
      <c r="D75" s="49"/>
      <c r="E75" s="49"/>
      <c r="F75" s="49"/>
      <c r="G75" s="49"/>
    </row>
    <row r="76" spans="1:8" ht="45.75" thickBot="1">
      <c r="B76" s="50" t="s">
        <v>647</v>
      </c>
      <c r="C76" s="51"/>
      <c r="D76" s="49"/>
      <c r="E76" s="49"/>
      <c r="F76" s="49"/>
      <c r="G76" s="49"/>
    </row>
    <row r="77" spans="1:8" ht="15.75" thickBot="1"/>
    <row r="78" spans="1:8" ht="15.75" thickBot="1">
      <c r="B78" s="60" t="s">
        <v>648</v>
      </c>
      <c r="C78" s="61"/>
    </row>
    <row r="79" spans="1:8" ht="50.25" thickBot="1">
      <c r="B79" s="52" t="s">
        <v>649</v>
      </c>
      <c r="C79" s="53" t="s">
        <v>656</v>
      </c>
    </row>
    <row r="80" spans="1:8" ht="17.25" thickBot="1">
      <c r="B80" s="52" t="s">
        <v>650</v>
      </c>
      <c r="C80" s="54" t="s">
        <v>121</v>
      </c>
    </row>
    <row r="81" spans="2:7" ht="15.75" thickBot="1">
      <c r="B81" s="55" t="s">
        <v>121</v>
      </c>
      <c r="C81" s="54" t="s">
        <v>121</v>
      </c>
    </row>
    <row r="82" spans="2:7" ht="17.25" thickBot="1">
      <c r="B82" s="52" t="s">
        <v>651</v>
      </c>
      <c r="C82" s="56">
        <v>7.3438000000000003E-2</v>
      </c>
    </row>
    <row r="83" spans="2:7" ht="17.25" thickBot="1">
      <c r="B83" s="55" t="s">
        <v>121</v>
      </c>
      <c r="C83" s="53"/>
    </row>
    <row r="84" spans="2:7" ht="17.25" thickBot="1">
      <c r="B84" s="52" t="s">
        <v>652</v>
      </c>
      <c r="C84" s="57">
        <v>4.7666000000000004</v>
      </c>
    </row>
    <row r="85" spans="2:7" ht="17.25" thickBot="1">
      <c r="B85" s="52" t="s">
        <v>653</v>
      </c>
      <c r="C85" s="58">
        <v>6.3373999999999997</v>
      </c>
    </row>
    <row r="86" spans="2:7" ht="17.25" thickBot="1">
      <c r="B86" s="55" t="s">
        <v>121</v>
      </c>
      <c r="C86" s="53" t="s">
        <v>121</v>
      </c>
    </row>
    <row r="87" spans="2:7" ht="17.25" thickBot="1">
      <c r="B87" s="52" t="s">
        <v>654</v>
      </c>
      <c r="C87" s="59">
        <v>45657</v>
      </c>
    </row>
    <row r="89" spans="2:7">
      <c r="B89" s="63" t="s">
        <v>657</v>
      </c>
      <c r="C89" s="64"/>
      <c r="D89" s="64"/>
      <c r="E89" s="64"/>
      <c r="F89" s="64"/>
      <c r="G89" s="64"/>
    </row>
    <row r="90" spans="2:7">
      <c r="F90"/>
    </row>
    <row r="91" spans="2:7" ht="15.75" thickBot="1">
      <c r="B91" s="65" t="s">
        <v>658</v>
      </c>
      <c r="C91" s="64"/>
      <c r="D91" s="64"/>
      <c r="E91" s="64"/>
      <c r="F91" s="64"/>
      <c r="G91" s="64"/>
    </row>
    <row r="92" spans="2:7" ht="15.75" thickBot="1">
      <c r="B92" s="66" t="s">
        <v>659</v>
      </c>
      <c r="C92" s="67"/>
      <c r="D92" s="68"/>
      <c r="E92" s="69"/>
      <c r="F92" s="70"/>
      <c r="G92" s="68"/>
    </row>
    <row r="93" spans="2:7" ht="178.5" customHeight="1" thickBot="1">
      <c r="B93" s="71" t="s">
        <v>660</v>
      </c>
      <c r="C93" s="72"/>
      <c r="D93" s="73"/>
      <c r="E93" s="74"/>
      <c r="F93" s="75"/>
      <c r="G93" s="76"/>
    </row>
    <row r="94" spans="2:7">
      <c r="B94" s="77" t="s">
        <v>661</v>
      </c>
      <c r="C94" s="77"/>
      <c r="D94" s="77"/>
      <c r="E94" s="64"/>
      <c r="F94" s="64"/>
      <c r="G94" s="64"/>
    </row>
  </sheetData>
  <mergeCells count="4">
    <mergeCell ref="B78:C78"/>
    <mergeCell ref="C92:D93"/>
    <mergeCell ref="E92:G93"/>
    <mergeCell ref="B94:D94"/>
  </mergeCells>
  <conditionalFormatting sqref="F59">
    <cfRule type="cellIs" dxfId="6" priority="2" operator="equal">
      <formula>TRUE</formula>
    </cfRule>
  </conditionalFormatting>
  <conditionalFormatting sqref="F62">
    <cfRule type="cellIs" dxfId="5"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9"/>
  <sheetViews>
    <sheetView topLeftCell="A78" workbookViewId="0">
      <selection activeCell="D84" sqref="D84"/>
    </sheetView>
  </sheetViews>
  <sheetFormatPr defaultRowHeight="15"/>
  <cols>
    <col min="1" max="1" width="3.42578125" customWidth="1"/>
    <col min="2" max="2" width="50" customWidth="1"/>
    <col min="3" max="3" width="16.5703125" customWidth="1"/>
    <col min="4" max="4" width="38.140625" customWidth="1"/>
    <col min="5" max="5" width="16.5703125" customWidth="1"/>
    <col min="6" max="6" width="16.5703125" style="8" customWidth="1"/>
    <col min="7" max="7" width="25.140625" customWidth="1"/>
    <col min="8" max="8" width="16.5703125" customWidth="1"/>
  </cols>
  <sheetData>
    <row r="1" spans="1:8">
      <c r="A1" s="1"/>
      <c r="B1" s="37" t="s">
        <v>662</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126</v>
      </c>
      <c r="E4" s="13" t="s">
        <v>3</v>
      </c>
      <c r="F4" s="13" t="s">
        <v>4</v>
      </c>
      <c r="G4" s="13" t="s">
        <v>5</v>
      </c>
      <c r="H4" s="14" t="s">
        <v>6</v>
      </c>
    </row>
    <row r="5" spans="1:8" ht="12.95" customHeight="1">
      <c r="A5" s="1"/>
      <c r="B5" s="15" t="s">
        <v>20</v>
      </c>
      <c r="C5" s="16"/>
      <c r="D5" s="16"/>
      <c r="E5" s="16"/>
      <c r="F5" s="16"/>
      <c r="G5" s="17"/>
      <c r="H5" s="18"/>
    </row>
    <row r="6" spans="1:8" ht="12.95" customHeight="1">
      <c r="A6" s="1"/>
      <c r="B6" s="15" t="s">
        <v>21</v>
      </c>
      <c r="C6" s="16"/>
      <c r="D6" s="16"/>
      <c r="E6" s="16"/>
      <c r="F6" s="16"/>
      <c r="G6" s="17"/>
      <c r="H6" s="18"/>
    </row>
    <row r="7" spans="1:8" ht="12.95" customHeight="1">
      <c r="A7" s="5" t="s">
        <v>127</v>
      </c>
      <c r="B7" s="19" t="s">
        <v>545</v>
      </c>
      <c r="C7" s="16" t="s">
        <v>546</v>
      </c>
      <c r="D7" s="16" t="s">
        <v>25</v>
      </c>
      <c r="E7" s="20">
        <v>5000000</v>
      </c>
      <c r="F7" s="21">
        <v>5000.4250000000002</v>
      </c>
      <c r="G7" s="22">
        <v>5.9078723273280148E-2</v>
      </c>
      <c r="H7" s="30">
        <v>6.5725000000000006E-2</v>
      </c>
    </row>
    <row r="8" spans="1:8" ht="12.95" customHeight="1">
      <c r="A8" s="5" t="s">
        <v>128</v>
      </c>
      <c r="B8" s="15" t="s">
        <v>16</v>
      </c>
      <c r="C8" s="16"/>
      <c r="D8" s="16"/>
      <c r="E8" s="16"/>
      <c r="F8" s="23">
        <v>5000.4250000000002</v>
      </c>
      <c r="G8" s="24">
        <v>5.9078723273280148E-2</v>
      </c>
      <c r="H8" s="25"/>
    </row>
    <row r="9" spans="1:8" ht="12.95" customHeight="1">
      <c r="A9" s="1"/>
      <c r="B9" s="26" t="s">
        <v>109</v>
      </c>
      <c r="C9" s="27"/>
      <c r="D9" s="27"/>
      <c r="E9" s="27"/>
      <c r="F9" s="28" t="s">
        <v>18</v>
      </c>
      <c r="G9" s="28" t="s">
        <v>18</v>
      </c>
      <c r="H9" s="25"/>
    </row>
    <row r="10" spans="1:8" ht="12.95" customHeight="1">
      <c r="A10" s="1"/>
      <c r="B10" s="26" t="s">
        <v>16</v>
      </c>
      <c r="C10" s="27"/>
      <c r="D10" s="27"/>
      <c r="E10" s="27"/>
      <c r="F10" s="28" t="s">
        <v>18</v>
      </c>
      <c r="G10" s="28" t="s">
        <v>18</v>
      </c>
      <c r="H10" s="25"/>
    </row>
    <row r="11" spans="1:8" ht="12.95" customHeight="1">
      <c r="A11" s="1"/>
      <c r="B11" s="26" t="s">
        <v>19</v>
      </c>
      <c r="C11" s="29"/>
      <c r="D11" s="27"/>
      <c r="E11" s="29"/>
      <c r="F11" s="23">
        <v>5000.4250000000002</v>
      </c>
      <c r="G11" s="24">
        <v>5.9078723273280148E-2</v>
      </c>
      <c r="H11" s="25"/>
    </row>
    <row r="12" spans="1:8" ht="12.95" customHeight="1">
      <c r="A12" s="1"/>
      <c r="B12" s="15" t="s">
        <v>110</v>
      </c>
      <c r="C12" s="16"/>
      <c r="D12" s="16"/>
      <c r="E12" s="16"/>
      <c r="F12" s="16"/>
      <c r="G12" s="17"/>
      <c r="H12" s="18"/>
    </row>
    <row r="13" spans="1:8" ht="12.95" customHeight="1">
      <c r="A13" s="1"/>
      <c r="B13" s="15" t="s">
        <v>111</v>
      </c>
      <c r="C13" s="16"/>
      <c r="D13" s="16"/>
      <c r="E13" s="16"/>
      <c r="F13" s="16"/>
      <c r="G13" s="17"/>
      <c r="H13" s="18"/>
    </row>
    <row r="14" spans="1:8" ht="12.95" customHeight="1">
      <c r="A14" s="1"/>
      <c r="B14" s="19" t="s">
        <v>547</v>
      </c>
      <c r="C14" s="16" t="s">
        <v>548</v>
      </c>
      <c r="D14" s="16" t="s">
        <v>113</v>
      </c>
      <c r="E14" s="20">
        <v>5000000</v>
      </c>
      <c r="F14" s="21">
        <v>4963.2700000000004</v>
      </c>
      <c r="G14" s="22">
        <v>5.8639746593654174E-2</v>
      </c>
      <c r="H14" s="30">
        <v>7.2999999999999995E-2</v>
      </c>
    </row>
    <row r="15" spans="1:8" ht="12.95" customHeight="1">
      <c r="A15" s="5" t="s">
        <v>129</v>
      </c>
      <c r="B15" s="19" t="s">
        <v>614</v>
      </c>
      <c r="C15" s="16" t="s">
        <v>615</v>
      </c>
      <c r="D15" s="16" t="s">
        <v>616</v>
      </c>
      <c r="E15" s="20">
        <v>5000000</v>
      </c>
      <c r="F15" s="21">
        <v>4931.4350000000004</v>
      </c>
      <c r="G15" s="22">
        <v>5.8263624332965357E-2</v>
      </c>
      <c r="H15" s="30">
        <v>7.2499999999999995E-2</v>
      </c>
    </row>
    <row r="16" spans="1:8" ht="12.95" customHeight="1">
      <c r="A16" s="5" t="s">
        <v>130</v>
      </c>
      <c r="B16" s="19" t="s">
        <v>617</v>
      </c>
      <c r="C16" s="16" t="s">
        <v>618</v>
      </c>
      <c r="D16" s="16" t="s">
        <v>113</v>
      </c>
      <c r="E16" s="20">
        <v>5000000</v>
      </c>
      <c r="F16" s="21">
        <v>4930.4650000000001</v>
      </c>
      <c r="G16" s="22">
        <v>5.8252164034775684E-2</v>
      </c>
      <c r="H16" s="30">
        <v>7.2499999999999995E-2</v>
      </c>
    </row>
    <row r="17" spans="1:8" ht="12.95" customHeight="1">
      <c r="A17" s="5" t="s">
        <v>131</v>
      </c>
      <c r="B17" s="19" t="s">
        <v>619</v>
      </c>
      <c r="C17" s="16" t="s">
        <v>549</v>
      </c>
      <c r="D17" s="16" t="s">
        <v>113</v>
      </c>
      <c r="E17" s="20">
        <v>4500000</v>
      </c>
      <c r="F17" s="21">
        <v>4468.8464999999997</v>
      </c>
      <c r="G17" s="22">
        <v>5.2798261292643436E-2</v>
      </c>
      <c r="H17" s="30">
        <v>7.2700000000000001E-2</v>
      </c>
    </row>
    <row r="18" spans="1:8" ht="12.95" customHeight="1">
      <c r="A18" s="5" t="s">
        <v>132</v>
      </c>
      <c r="B18" s="19" t="s">
        <v>543</v>
      </c>
      <c r="C18" s="16" t="s">
        <v>544</v>
      </c>
      <c r="D18" s="16" t="s">
        <v>113</v>
      </c>
      <c r="E18" s="20">
        <v>4500000</v>
      </c>
      <c r="F18" s="21">
        <v>4467.0555000000004</v>
      </c>
      <c r="G18" s="22">
        <v>5.2777101092583947E-2</v>
      </c>
      <c r="H18" s="30">
        <v>7.2749999999999995E-2</v>
      </c>
    </row>
    <row r="19" spans="1:8" ht="12.95" customHeight="1">
      <c r="A19" s="5" t="s">
        <v>134</v>
      </c>
      <c r="B19" s="19" t="s">
        <v>612</v>
      </c>
      <c r="C19" s="16" t="s">
        <v>613</v>
      </c>
      <c r="D19" s="16" t="s">
        <v>113</v>
      </c>
      <c r="E19" s="20">
        <v>4500000</v>
      </c>
      <c r="F19" s="21">
        <v>4424.7780000000002</v>
      </c>
      <c r="G19" s="22">
        <v>5.2277603405250152E-2</v>
      </c>
      <c r="H19" s="30">
        <v>7.2999999999999995E-2</v>
      </c>
    </row>
    <row r="20" spans="1:8" ht="12.95" customHeight="1">
      <c r="A20" s="5" t="s">
        <v>135</v>
      </c>
      <c r="B20" s="19" t="s">
        <v>550</v>
      </c>
      <c r="C20" s="16" t="s">
        <v>551</v>
      </c>
      <c r="D20" s="16" t="s">
        <v>113</v>
      </c>
      <c r="E20" s="20">
        <v>2500000</v>
      </c>
      <c r="F20" s="21">
        <v>2486.1824999999999</v>
      </c>
      <c r="G20" s="22">
        <v>2.9373600828803918E-2</v>
      </c>
      <c r="H20" s="30">
        <v>7.2449E-2</v>
      </c>
    </row>
    <row r="21" spans="1:8" ht="12.95" customHeight="1">
      <c r="A21" s="5" t="s">
        <v>136</v>
      </c>
      <c r="B21" s="19" t="s">
        <v>552</v>
      </c>
      <c r="C21" s="16" t="s">
        <v>553</v>
      </c>
      <c r="D21" s="16" t="s">
        <v>133</v>
      </c>
      <c r="E21" s="20">
        <v>2500000</v>
      </c>
      <c r="F21" s="21">
        <v>2485.2624999999998</v>
      </c>
      <c r="G21" s="22">
        <v>2.9362731267634334E-2</v>
      </c>
      <c r="H21" s="30">
        <v>7.2150500000000006E-2</v>
      </c>
    </row>
    <row r="22" spans="1:8" ht="12.95" customHeight="1">
      <c r="A22" s="5" t="s">
        <v>112</v>
      </c>
      <c r="B22" s="19" t="s">
        <v>620</v>
      </c>
      <c r="C22" s="16" t="s">
        <v>554</v>
      </c>
      <c r="D22" s="16" t="s">
        <v>113</v>
      </c>
      <c r="E22" s="20">
        <v>2500000</v>
      </c>
      <c r="F22" s="21">
        <v>2474.9299999999998</v>
      </c>
      <c r="G22" s="22">
        <v>2.924065546243354E-2</v>
      </c>
      <c r="H22" s="30">
        <v>7.2498999999999994E-2</v>
      </c>
    </row>
    <row r="23" spans="1:8" ht="12.95" customHeight="1">
      <c r="A23" s="5" t="s">
        <v>137</v>
      </c>
      <c r="B23" s="19" t="s">
        <v>621</v>
      </c>
      <c r="C23" s="16" t="s">
        <v>622</v>
      </c>
      <c r="D23" s="16" t="s">
        <v>113</v>
      </c>
      <c r="E23" s="20">
        <v>2500000</v>
      </c>
      <c r="F23" s="21">
        <v>2472.8000000000002</v>
      </c>
      <c r="G23" s="22">
        <v>2.9215490065377873E-2</v>
      </c>
      <c r="H23" s="30">
        <v>7.2999999999999995E-2</v>
      </c>
    </row>
    <row r="24" spans="1:8" ht="12.95" customHeight="1">
      <c r="A24" s="1"/>
      <c r="B24" s="19" t="s">
        <v>623</v>
      </c>
      <c r="C24" s="16" t="s">
        <v>624</v>
      </c>
      <c r="D24" s="16" t="s">
        <v>138</v>
      </c>
      <c r="E24" s="20">
        <v>2500000</v>
      </c>
      <c r="F24" s="21">
        <v>2470.0725000000002</v>
      </c>
      <c r="G24" s="22">
        <v>2.9183265360932176E-2</v>
      </c>
      <c r="H24" s="30">
        <v>7.2499499999999995E-2</v>
      </c>
    </row>
    <row r="25" spans="1:8" ht="12.95" customHeight="1">
      <c r="A25" s="1"/>
      <c r="B25" s="19" t="s">
        <v>555</v>
      </c>
      <c r="C25" s="16" t="s">
        <v>556</v>
      </c>
      <c r="D25" s="16" t="s">
        <v>113</v>
      </c>
      <c r="E25" s="20">
        <v>2000000</v>
      </c>
      <c r="F25" s="21">
        <v>1986.9760000000001</v>
      </c>
      <c r="G25" s="22">
        <v>2.347560562445174E-2</v>
      </c>
      <c r="H25" s="30">
        <v>7.2499999999999995E-2</v>
      </c>
    </row>
    <row r="26" spans="1:8" ht="12.95" customHeight="1">
      <c r="A26" s="5" t="s">
        <v>140</v>
      </c>
      <c r="B26" s="15" t="s">
        <v>16</v>
      </c>
      <c r="C26" s="16"/>
      <c r="D26" s="16"/>
      <c r="E26" s="16"/>
      <c r="F26" s="23">
        <v>42562.073499999999</v>
      </c>
      <c r="G26" s="24">
        <v>0.50285984936150629</v>
      </c>
      <c r="H26" s="25"/>
    </row>
    <row r="27" spans="1:8" ht="12.95" customHeight="1">
      <c r="A27" s="5" t="s">
        <v>141</v>
      </c>
      <c r="B27" s="15" t="s">
        <v>139</v>
      </c>
      <c r="C27" s="16"/>
      <c r="D27" s="16"/>
      <c r="E27" s="16"/>
      <c r="F27" s="16"/>
      <c r="G27" s="17"/>
      <c r="H27" s="18"/>
    </row>
    <row r="28" spans="1:8" ht="12.95" customHeight="1">
      <c r="A28" s="5" t="s">
        <v>142</v>
      </c>
      <c r="B28" s="19" t="s">
        <v>625</v>
      </c>
      <c r="C28" s="16" t="s">
        <v>626</v>
      </c>
      <c r="D28" s="16" t="s">
        <v>113</v>
      </c>
      <c r="E28" s="20">
        <v>5000000</v>
      </c>
      <c r="F28" s="21">
        <v>4977.3450000000003</v>
      </c>
      <c r="G28" s="22">
        <v>5.8806039064808413E-2</v>
      </c>
      <c r="H28" s="30">
        <v>7.2248000000000007E-2</v>
      </c>
    </row>
    <row r="29" spans="1:8" ht="12.95" customHeight="1">
      <c r="A29" s="5" t="s">
        <v>143</v>
      </c>
      <c r="B29" s="19" t="s">
        <v>557</v>
      </c>
      <c r="C29" s="16" t="s">
        <v>558</v>
      </c>
      <c r="D29" s="16" t="s">
        <v>113</v>
      </c>
      <c r="E29" s="20">
        <v>2500000</v>
      </c>
      <c r="F29" s="21">
        <v>2493.3274999999999</v>
      </c>
      <c r="G29" s="22">
        <v>2.9458017148974221E-2</v>
      </c>
      <c r="H29" s="30">
        <v>7.5137499999999996E-2</v>
      </c>
    </row>
    <row r="30" spans="1:8" ht="12.95" customHeight="1">
      <c r="A30" s="5" t="s">
        <v>144</v>
      </c>
      <c r="B30" s="19" t="s">
        <v>627</v>
      </c>
      <c r="C30" s="16" t="s">
        <v>628</v>
      </c>
      <c r="D30" s="16" t="s">
        <v>133</v>
      </c>
      <c r="E30" s="20">
        <v>2500000</v>
      </c>
      <c r="F30" s="21">
        <v>2472.5974999999999</v>
      </c>
      <c r="G30" s="22">
        <v>2.9213097580446525E-2</v>
      </c>
      <c r="H30" s="30">
        <v>7.4912500000000007E-2</v>
      </c>
    </row>
    <row r="31" spans="1:8" ht="12.95" customHeight="1">
      <c r="A31" s="5" t="s">
        <v>145</v>
      </c>
      <c r="B31" s="19" t="s">
        <v>559</v>
      </c>
      <c r="C31" s="16" t="s">
        <v>560</v>
      </c>
      <c r="D31" s="16" t="s">
        <v>133</v>
      </c>
      <c r="E31" s="20">
        <v>2500000</v>
      </c>
      <c r="F31" s="21">
        <v>2472.0025000000001</v>
      </c>
      <c r="G31" s="22">
        <v>2.9206067809907501E-2</v>
      </c>
      <c r="H31" s="30">
        <v>7.5162000000000007E-2</v>
      </c>
    </row>
    <row r="32" spans="1:8" ht="12.95" customHeight="1">
      <c r="A32" s="5" t="s">
        <v>146</v>
      </c>
      <c r="B32" s="19" t="s">
        <v>629</v>
      </c>
      <c r="C32" s="16" t="s">
        <v>630</v>
      </c>
      <c r="D32" s="16" t="s">
        <v>113</v>
      </c>
      <c r="E32" s="20">
        <v>2500000</v>
      </c>
      <c r="F32" s="21">
        <v>2462.7725</v>
      </c>
      <c r="G32" s="22">
        <v>2.9097017755999609E-2</v>
      </c>
      <c r="H32" s="30">
        <v>7.2599499999999997E-2</v>
      </c>
    </row>
    <row r="33" spans="1:8" ht="12.95" customHeight="1">
      <c r="A33" s="5" t="s">
        <v>147</v>
      </c>
      <c r="B33" s="19" t="s">
        <v>631</v>
      </c>
      <c r="C33" s="16" t="s">
        <v>632</v>
      </c>
      <c r="D33" s="16" t="s">
        <v>133</v>
      </c>
      <c r="E33" s="20">
        <v>2500000</v>
      </c>
      <c r="F33" s="21">
        <v>2460.9175</v>
      </c>
      <c r="G33" s="22">
        <v>2.9075101412554413E-2</v>
      </c>
      <c r="H33" s="30">
        <v>7.3374999999999996E-2</v>
      </c>
    </row>
    <row r="34" spans="1:8" ht="12.95" customHeight="1">
      <c r="A34" s="5" t="s">
        <v>148</v>
      </c>
      <c r="B34" s="15" t="s">
        <v>16</v>
      </c>
      <c r="C34" s="16"/>
      <c r="D34" s="16"/>
      <c r="E34" s="16"/>
      <c r="F34" s="23">
        <v>17338.962500000001</v>
      </c>
      <c r="G34" s="24">
        <v>0.20485534077269069</v>
      </c>
      <c r="H34" s="25"/>
    </row>
    <row r="35" spans="1:8" ht="12.95" customHeight="1">
      <c r="A35" s="1"/>
      <c r="B35" s="15" t="s">
        <v>149</v>
      </c>
      <c r="C35" s="16"/>
      <c r="D35" s="16"/>
      <c r="E35" s="16"/>
      <c r="F35" s="16"/>
      <c r="G35" s="17"/>
      <c r="H35" s="18"/>
    </row>
    <row r="36" spans="1:8" ht="12.95" customHeight="1">
      <c r="A36" s="1"/>
      <c r="B36" s="19" t="s">
        <v>633</v>
      </c>
      <c r="C36" s="16" t="s">
        <v>634</v>
      </c>
      <c r="D36" s="16" t="s">
        <v>25</v>
      </c>
      <c r="E36" s="20">
        <v>5000000</v>
      </c>
      <c r="F36" s="21">
        <v>4932.0200000000004</v>
      </c>
      <c r="G36" s="22">
        <v>5.8270535956100364E-2</v>
      </c>
      <c r="H36" s="30">
        <v>6.4500000000000002E-2</v>
      </c>
    </row>
    <row r="37" spans="1:8" ht="12.95" customHeight="1">
      <c r="A37" s="5" t="s">
        <v>150</v>
      </c>
      <c r="B37" s="19" t="s">
        <v>561</v>
      </c>
      <c r="C37" s="16" t="s">
        <v>562</v>
      </c>
      <c r="D37" s="16" t="s">
        <v>25</v>
      </c>
      <c r="E37" s="20">
        <v>2500000</v>
      </c>
      <c r="F37" s="21">
        <v>2496.4974999999999</v>
      </c>
      <c r="G37" s="22">
        <v>2.9495469876047679E-2</v>
      </c>
      <c r="H37" s="30">
        <v>6.4000000000000001E-2</v>
      </c>
    </row>
    <row r="38" spans="1:8" ht="12.95" customHeight="1">
      <c r="A38" s="5" t="s">
        <v>151</v>
      </c>
      <c r="B38" s="19" t="s">
        <v>563</v>
      </c>
      <c r="C38" s="16" t="s">
        <v>564</v>
      </c>
      <c r="D38" s="16" t="s">
        <v>25</v>
      </c>
      <c r="E38" s="20">
        <v>2500000</v>
      </c>
      <c r="F38" s="21">
        <v>2490.3850000000002</v>
      </c>
      <c r="G38" s="22">
        <v>2.9423252275342152E-2</v>
      </c>
      <c r="H38" s="30">
        <v>6.4059000000000005E-2</v>
      </c>
    </row>
    <row r="39" spans="1:8" ht="12.95" customHeight="1">
      <c r="A39" s="5" t="s">
        <v>152</v>
      </c>
      <c r="B39" s="19" t="s">
        <v>565</v>
      </c>
      <c r="C39" s="16" t="s">
        <v>566</v>
      </c>
      <c r="D39" s="16" t="s">
        <v>25</v>
      </c>
      <c r="E39" s="20">
        <v>2000000</v>
      </c>
      <c r="F39" s="21">
        <v>1989.8820000000001</v>
      </c>
      <c r="G39" s="22">
        <v>2.3509939260059145E-2</v>
      </c>
      <c r="H39" s="30">
        <v>6.4000000000000001E-2</v>
      </c>
    </row>
    <row r="40" spans="1:8" ht="12.95" customHeight="1">
      <c r="A40" s="5" t="s">
        <v>153</v>
      </c>
      <c r="B40" s="19" t="s">
        <v>567</v>
      </c>
      <c r="C40" s="16" t="s">
        <v>568</v>
      </c>
      <c r="D40" s="16" t="s">
        <v>25</v>
      </c>
      <c r="E40" s="20">
        <v>2000000</v>
      </c>
      <c r="F40" s="21">
        <v>1984.5940000000001</v>
      </c>
      <c r="G40" s="22">
        <v>2.344746291281484E-2</v>
      </c>
      <c r="H40" s="30">
        <v>6.4399999999999999E-2</v>
      </c>
    </row>
    <row r="41" spans="1:8" ht="12.95" customHeight="1">
      <c r="A41" s="1"/>
      <c r="B41" s="19" t="s">
        <v>569</v>
      </c>
      <c r="C41" s="16" t="s">
        <v>570</v>
      </c>
      <c r="D41" s="16" t="s">
        <v>25</v>
      </c>
      <c r="E41" s="20">
        <v>1500000</v>
      </c>
      <c r="F41" s="21">
        <v>1492.4114999999999</v>
      </c>
      <c r="G41" s="22">
        <v>1.7632454445044358E-2</v>
      </c>
      <c r="H41" s="30">
        <v>6.4000000000000001E-2</v>
      </c>
    </row>
    <row r="42" spans="1:8" ht="12.95" customHeight="1">
      <c r="A42" s="1"/>
      <c r="B42" s="15" t="s">
        <v>16</v>
      </c>
      <c r="C42" s="16"/>
      <c r="D42" s="16"/>
      <c r="E42" s="16"/>
      <c r="F42" s="23">
        <v>15385.79</v>
      </c>
      <c r="G42" s="24">
        <v>0.18177911472540853</v>
      </c>
      <c r="H42" s="25"/>
    </row>
    <row r="43" spans="1:8" ht="12.95" customHeight="1">
      <c r="A43" s="1"/>
      <c r="B43" s="26" t="s">
        <v>19</v>
      </c>
      <c r="C43" s="29"/>
      <c r="D43" s="27"/>
      <c r="E43" s="29"/>
      <c r="F43" s="23">
        <v>75286.826000000001</v>
      </c>
      <c r="G43" s="24">
        <v>0.88949430485960557</v>
      </c>
      <c r="H43" s="25"/>
    </row>
    <row r="44" spans="1:8" ht="12.95" customHeight="1">
      <c r="A44" s="1"/>
      <c r="B44" s="15" t="s">
        <v>114</v>
      </c>
      <c r="C44" s="16"/>
      <c r="D44" s="16"/>
      <c r="E44" s="16"/>
      <c r="F44" s="16"/>
      <c r="G44" s="17"/>
      <c r="H44" s="18"/>
    </row>
    <row r="45" spans="1:8" ht="12.95" customHeight="1">
      <c r="A45" s="5" t="s">
        <v>116</v>
      </c>
      <c r="B45" s="15" t="s">
        <v>115</v>
      </c>
      <c r="C45" s="16"/>
      <c r="D45" s="16"/>
      <c r="E45" s="16"/>
      <c r="F45" s="16"/>
      <c r="G45" s="17"/>
      <c r="H45" s="18"/>
    </row>
    <row r="46" spans="1:8" ht="12.95" customHeight="1">
      <c r="A46" s="1"/>
      <c r="B46" s="19" t="s">
        <v>117</v>
      </c>
      <c r="C46" s="16" t="s">
        <v>118</v>
      </c>
      <c r="D46" s="16"/>
      <c r="E46" s="20">
        <v>2387.5329999999999</v>
      </c>
      <c r="F46" s="21">
        <v>258.94632350000001</v>
      </c>
      <c r="G46" s="22">
        <v>3.0593835901327948E-3</v>
      </c>
      <c r="H46" s="30"/>
    </row>
    <row r="47" spans="1:8" ht="12.95" customHeight="1">
      <c r="A47" s="1"/>
      <c r="B47" s="15" t="s">
        <v>16</v>
      </c>
      <c r="C47" s="16"/>
      <c r="D47" s="16"/>
      <c r="E47" s="16"/>
      <c r="F47" s="23">
        <v>258.94632350000001</v>
      </c>
      <c r="G47" s="24">
        <v>3.0593835901327948E-3</v>
      </c>
      <c r="H47" s="25"/>
    </row>
    <row r="48" spans="1:8" ht="12.95" customHeight="1">
      <c r="A48" s="1"/>
      <c r="B48" s="26" t="s">
        <v>19</v>
      </c>
      <c r="C48" s="29"/>
      <c r="D48" s="27"/>
      <c r="E48" s="29"/>
      <c r="F48" s="23">
        <v>258.94632350000001</v>
      </c>
      <c r="G48" s="24">
        <v>3.0593835901327948E-3</v>
      </c>
      <c r="H48" s="25"/>
    </row>
    <row r="49" spans="1:8" ht="12.95" customHeight="1">
      <c r="A49" s="5" t="s">
        <v>120</v>
      </c>
      <c r="B49" s="15" t="s">
        <v>119</v>
      </c>
      <c r="C49" s="16"/>
      <c r="D49" s="16"/>
      <c r="E49" s="16"/>
      <c r="F49" s="16"/>
      <c r="G49" s="17"/>
      <c r="H49" s="18"/>
    </row>
    <row r="50" spans="1:8" ht="12.95" customHeight="1">
      <c r="A50" s="1"/>
      <c r="B50" s="19" t="s">
        <v>540</v>
      </c>
      <c r="C50" s="16"/>
      <c r="D50" s="16" t="s">
        <v>121</v>
      </c>
      <c r="E50" s="20"/>
      <c r="F50" s="21">
        <v>3913</v>
      </c>
      <c r="G50" s="22">
        <v>4.6231079191937731E-2</v>
      </c>
      <c r="H50" s="30">
        <v>6.2725000000000003E-2</v>
      </c>
    </row>
    <row r="51" spans="1:8" ht="12.95" customHeight="1">
      <c r="A51" s="1"/>
      <c r="B51" s="15" t="s">
        <v>16</v>
      </c>
      <c r="C51" s="16"/>
      <c r="D51" s="16"/>
      <c r="E51" s="16"/>
      <c r="F51" s="23">
        <v>3913</v>
      </c>
      <c r="G51" s="24">
        <v>4.6231079191937731E-2</v>
      </c>
      <c r="H51" s="25"/>
    </row>
    <row r="52" spans="1:8" ht="12.95" customHeight="1">
      <c r="A52" s="1"/>
      <c r="B52" s="26" t="s">
        <v>109</v>
      </c>
      <c r="C52" s="27"/>
      <c r="D52" s="27"/>
      <c r="E52" s="27"/>
      <c r="F52" s="28" t="s">
        <v>18</v>
      </c>
      <c r="G52" s="28" t="s">
        <v>18</v>
      </c>
      <c r="H52" s="25"/>
    </row>
    <row r="53" spans="1:8" ht="12.95" customHeight="1">
      <c r="A53" s="1"/>
      <c r="B53" s="26" t="s">
        <v>16</v>
      </c>
      <c r="C53" s="27"/>
      <c r="D53" s="27"/>
      <c r="E53" s="27"/>
      <c r="F53" s="28" t="s">
        <v>18</v>
      </c>
      <c r="G53" s="28" t="s">
        <v>18</v>
      </c>
      <c r="H53" s="25"/>
    </row>
    <row r="54" spans="1:8" ht="12.95" customHeight="1">
      <c r="A54" s="1"/>
      <c r="B54" s="26" t="s">
        <v>19</v>
      </c>
      <c r="C54" s="29"/>
      <c r="D54" s="27"/>
      <c r="E54" s="29"/>
      <c r="F54" s="23">
        <v>3913</v>
      </c>
      <c r="G54" s="24">
        <v>4.6231079191937731E-2</v>
      </c>
      <c r="H54" s="25"/>
    </row>
    <row r="55" spans="1:8" ht="12.95" customHeight="1">
      <c r="A55" s="1"/>
      <c r="B55" s="26" t="s">
        <v>122</v>
      </c>
      <c r="C55" s="16"/>
      <c r="D55" s="27"/>
      <c r="E55" s="16"/>
      <c r="F55" s="23">
        <v>180.83419630044364</v>
      </c>
      <c r="G55" s="24">
        <v>2.1365090850437576E-3</v>
      </c>
      <c r="H55" s="25"/>
    </row>
    <row r="56" spans="1:8" ht="12.95" customHeight="1" thickBot="1">
      <c r="A56" s="1"/>
      <c r="B56" s="31" t="s">
        <v>123</v>
      </c>
      <c r="C56" s="32"/>
      <c r="D56" s="32"/>
      <c r="E56" s="32"/>
      <c r="F56" s="33">
        <v>84640.031519800439</v>
      </c>
      <c r="G56" s="34">
        <v>1</v>
      </c>
      <c r="H56" s="35"/>
    </row>
    <row r="57" spans="1:8" ht="12.95" customHeight="1">
      <c r="A57" s="1"/>
      <c r="B57" s="36"/>
      <c r="C57" s="10"/>
      <c r="D57" s="10"/>
      <c r="E57" s="10"/>
      <c r="F57" s="10"/>
      <c r="G57" s="10"/>
      <c r="H57" s="10"/>
    </row>
    <row r="58" spans="1:8" ht="12.95" customHeight="1">
      <c r="A58" s="1"/>
      <c r="B58" s="6" t="s">
        <v>121</v>
      </c>
      <c r="C58" s="10"/>
      <c r="D58" s="10"/>
      <c r="E58" s="10"/>
      <c r="F58" s="10"/>
      <c r="G58" s="10"/>
      <c r="H58" s="10"/>
    </row>
    <row r="59" spans="1:8" ht="12.95" customHeight="1">
      <c r="A59" s="1"/>
      <c r="B59" s="6" t="s">
        <v>124</v>
      </c>
      <c r="C59" s="10"/>
      <c r="D59" s="10"/>
      <c r="E59" s="10"/>
      <c r="F59" s="10"/>
      <c r="G59" s="10"/>
      <c r="H59" s="10"/>
    </row>
    <row r="60" spans="1:8" ht="12.95" customHeight="1">
      <c r="A60" s="1"/>
      <c r="B60" s="6" t="s">
        <v>125</v>
      </c>
      <c r="C60" s="10"/>
      <c r="D60" s="10"/>
      <c r="E60" s="10"/>
      <c r="F60" s="10"/>
      <c r="G60" s="10"/>
      <c r="H60" s="10"/>
    </row>
    <row r="61" spans="1:8" ht="15.75" thickBot="1">
      <c r="B61" s="6"/>
      <c r="C61" s="10"/>
      <c r="D61" s="10"/>
      <c r="E61" s="10"/>
      <c r="F61" s="10"/>
      <c r="G61" s="10"/>
      <c r="H61" s="10"/>
    </row>
    <row r="62" spans="1:8" ht="15.75" thickBot="1">
      <c r="B62" s="60" t="s">
        <v>648</v>
      </c>
      <c r="C62" s="61"/>
      <c r="D62" s="10"/>
      <c r="E62" s="10"/>
      <c r="F62" s="10"/>
      <c r="G62" s="10"/>
      <c r="H62" s="10"/>
    </row>
    <row r="63" spans="1:8" ht="33.75" thickBot="1">
      <c r="B63" s="52" t="s">
        <v>649</v>
      </c>
      <c r="C63" s="53" t="s">
        <v>663</v>
      </c>
    </row>
    <row r="64" spans="1:8" ht="17.25" thickBot="1">
      <c r="B64" s="52" t="s">
        <v>650</v>
      </c>
      <c r="C64" s="54" t="s">
        <v>121</v>
      </c>
    </row>
    <row r="65" spans="2:7" ht="15.75" thickBot="1">
      <c r="B65" s="55" t="s">
        <v>121</v>
      </c>
      <c r="C65" s="54" t="s">
        <v>121</v>
      </c>
    </row>
    <row r="66" spans="2:7" ht="17.25" thickBot="1">
      <c r="B66" s="52" t="s">
        <v>651</v>
      </c>
      <c r="C66" s="56">
        <v>7.0454000000000003E-2</v>
      </c>
    </row>
    <row r="67" spans="2:7" ht="17.25" thickBot="1">
      <c r="B67" s="55" t="s">
        <v>121</v>
      </c>
      <c r="C67" s="53"/>
    </row>
    <row r="68" spans="2:7" ht="17.25" thickBot="1">
      <c r="B68" s="52" t="s">
        <v>652</v>
      </c>
      <c r="C68" s="57">
        <v>0.12330000000000001</v>
      </c>
    </row>
    <row r="69" spans="2:7" ht="17.25" thickBot="1">
      <c r="B69" s="52" t="s">
        <v>653</v>
      </c>
      <c r="C69" s="58">
        <v>0.1235</v>
      </c>
    </row>
    <row r="70" spans="2:7" ht="17.25" thickBot="1">
      <c r="B70" s="52" t="s">
        <v>121</v>
      </c>
      <c r="C70" s="53" t="s">
        <v>121</v>
      </c>
    </row>
    <row r="71" spans="2:7" ht="17.25" thickBot="1">
      <c r="B71" s="52" t="s">
        <v>654</v>
      </c>
      <c r="C71" s="59">
        <v>45657</v>
      </c>
    </row>
    <row r="74" spans="2:7">
      <c r="B74" s="63" t="s">
        <v>657</v>
      </c>
      <c r="C74" s="78"/>
      <c r="D74" s="78"/>
      <c r="E74" s="78"/>
      <c r="F74" s="78"/>
      <c r="G74" s="78"/>
    </row>
    <row r="75" spans="2:7">
      <c r="B75" s="79"/>
      <c r="C75" s="79"/>
      <c r="D75" s="79"/>
      <c r="E75" s="79"/>
      <c r="F75" s="80"/>
      <c r="G75" s="79"/>
    </row>
    <row r="76" spans="2:7" ht="15.75" thickBot="1">
      <c r="B76" s="65" t="s">
        <v>658</v>
      </c>
      <c r="C76" s="78"/>
      <c r="D76" s="78"/>
      <c r="E76" s="78"/>
      <c r="F76" s="78"/>
      <c r="G76" s="78"/>
    </row>
    <row r="77" spans="2:7" ht="15.75" thickBot="1">
      <c r="B77" s="66" t="s">
        <v>664</v>
      </c>
      <c r="C77" s="81"/>
      <c r="D77" s="82"/>
      <c r="E77" s="83"/>
      <c r="F77" s="84"/>
      <c r="G77" s="82"/>
    </row>
    <row r="78" spans="2:7" ht="174" customHeight="1" thickBot="1">
      <c r="B78" s="85" t="s">
        <v>665</v>
      </c>
      <c r="C78" s="86"/>
      <c r="D78" s="87"/>
      <c r="E78" s="88"/>
      <c r="F78" s="89"/>
      <c r="G78" s="90"/>
    </row>
    <row r="79" spans="2:7">
      <c r="B79" s="77" t="s">
        <v>661</v>
      </c>
      <c r="C79" s="77"/>
      <c r="D79" s="77"/>
      <c r="E79" s="78"/>
      <c r="F79" s="78"/>
      <c r="G79" s="78"/>
    </row>
  </sheetData>
  <mergeCells count="4">
    <mergeCell ref="B62:C62"/>
    <mergeCell ref="C77:D78"/>
    <mergeCell ref="E77:G78"/>
    <mergeCell ref="B79:D79"/>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6"/>
  <sheetViews>
    <sheetView topLeftCell="A52" workbookViewId="0">
      <selection activeCell="H55" sqref="H55"/>
    </sheetView>
  </sheetViews>
  <sheetFormatPr defaultRowHeight="15"/>
  <cols>
    <col min="1" max="1" width="3.42578125" customWidth="1"/>
    <col min="2" max="2" width="48.85546875" bestFit="1" customWidth="1"/>
    <col min="3" max="3" width="16.5703125" customWidth="1"/>
    <col min="4" max="4" width="36.28515625" customWidth="1"/>
    <col min="5" max="5" width="16.5703125" customWidth="1"/>
    <col min="6" max="6" width="16.5703125" style="8" customWidth="1"/>
    <col min="7" max="7" width="23" customWidth="1"/>
    <col min="8" max="8" width="16.5703125" customWidth="1"/>
  </cols>
  <sheetData>
    <row r="1" spans="1:8">
      <c r="A1" s="1"/>
      <c r="B1" s="37" t="s">
        <v>666</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154</v>
      </c>
      <c r="E4" s="13" t="s">
        <v>3</v>
      </c>
      <c r="F4" s="13" t="s">
        <v>4</v>
      </c>
      <c r="G4" s="13" t="s">
        <v>5</v>
      </c>
      <c r="H4" s="14" t="s">
        <v>6</v>
      </c>
    </row>
    <row r="5" spans="1:8" ht="12.95" customHeight="1">
      <c r="A5" s="1"/>
      <c r="B5" s="15" t="s">
        <v>155</v>
      </c>
      <c r="C5" s="16"/>
      <c r="D5" s="16"/>
      <c r="E5" s="16"/>
      <c r="F5" s="16"/>
      <c r="G5" s="17"/>
      <c r="H5" s="18"/>
    </row>
    <row r="6" spans="1:8" ht="12.95" customHeight="1">
      <c r="A6" s="1"/>
      <c r="B6" s="15" t="s">
        <v>8</v>
      </c>
      <c r="C6" s="16"/>
      <c r="D6" s="16"/>
      <c r="E6" s="16"/>
      <c r="F6" s="16"/>
      <c r="G6" s="17"/>
      <c r="H6" s="18"/>
    </row>
    <row r="7" spans="1:8" ht="12.95" customHeight="1">
      <c r="A7" s="5" t="s">
        <v>156</v>
      </c>
      <c r="B7" s="19" t="s">
        <v>157</v>
      </c>
      <c r="C7" s="16" t="s">
        <v>158</v>
      </c>
      <c r="D7" s="16" t="s">
        <v>159</v>
      </c>
      <c r="E7" s="20">
        <v>3759451</v>
      </c>
      <c r="F7" s="21">
        <v>66649.427053499996</v>
      </c>
      <c r="G7" s="22">
        <v>9.3717144711012668E-2</v>
      </c>
      <c r="H7" s="30"/>
    </row>
    <row r="8" spans="1:8" ht="12.95" customHeight="1">
      <c r="A8" s="5" t="s">
        <v>160</v>
      </c>
      <c r="B8" s="19" t="s">
        <v>164</v>
      </c>
      <c r="C8" s="16" t="s">
        <v>165</v>
      </c>
      <c r="D8" s="16" t="s">
        <v>166</v>
      </c>
      <c r="E8" s="20">
        <v>2822584</v>
      </c>
      <c r="F8" s="21">
        <v>53064.5792</v>
      </c>
      <c r="G8" s="22">
        <v>7.4615207778507664E-2</v>
      </c>
      <c r="H8" s="30"/>
    </row>
    <row r="9" spans="1:8" ht="12.95" customHeight="1">
      <c r="A9" s="5" t="s">
        <v>163</v>
      </c>
      <c r="B9" s="19" t="s">
        <v>161</v>
      </c>
      <c r="C9" s="16" t="s">
        <v>162</v>
      </c>
      <c r="D9" s="16" t="s">
        <v>159</v>
      </c>
      <c r="E9" s="20">
        <v>3979195</v>
      </c>
      <c r="F9" s="21">
        <v>50999.352717499998</v>
      </c>
      <c r="G9" s="22">
        <v>7.1711249895027196E-2</v>
      </c>
      <c r="H9" s="30"/>
    </row>
    <row r="10" spans="1:8" ht="12.95" customHeight="1">
      <c r="A10" s="5" t="s">
        <v>167</v>
      </c>
      <c r="B10" s="19" t="s">
        <v>184</v>
      </c>
      <c r="C10" s="16" t="s">
        <v>185</v>
      </c>
      <c r="D10" s="16" t="s">
        <v>186</v>
      </c>
      <c r="E10" s="20">
        <v>964270</v>
      </c>
      <c r="F10" s="21">
        <v>34787.486655000001</v>
      </c>
      <c r="G10" s="22">
        <v>4.8915408055377321E-2</v>
      </c>
      <c r="H10" s="30"/>
    </row>
    <row r="11" spans="1:8" ht="12.95" customHeight="1">
      <c r="A11" s="5" t="s">
        <v>171</v>
      </c>
      <c r="B11" s="19" t="s">
        <v>180</v>
      </c>
      <c r="C11" s="16" t="s">
        <v>181</v>
      </c>
      <c r="D11" s="16" t="s">
        <v>182</v>
      </c>
      <c r="E11" s="20">
        <v>2149201</v>
      </c>
      <c r="F11" s="21">
        <v>34123.938877499997</v>
      </c>
      <c r="G11" s="22">
        <v>4.7982379733367567E-2</v>
      </c>
      <c r="H11" s="30"/>
    </row>
    <row r="12" spans="1:8" ht="12.95" customHeight="1">
      <c r="A12" s="5" t="s">
        <v>175</v>
      </c>
      <c r="B12" s="19" t="s">
        <v>168</v>
      </c>
      <c r="C12" s="16" t="s">
        <v>169</v>
      </c>
      <c r="D12" s="16" t="s">
        <v>170</v>
      </c>
      <c r="E12" s="20">
        <v>4566408</v>
      </c>
      <c r="F12" s="21">
        <v>33798.268812000002</v>
      </c>
      <c r="G12" s="22">
        <v>4.7524448285104569E-2</v>
      </c>
      <c r="H12" s="30"/>
    </row>
    <row r="13" spans="1:8" ht="12.95" customHeight="1">
      <c r="A13" s="5" t="s">
        <v>179</v>
      </c>
      <c r="B13" s="19" t="s">
        <v>176</v>
      </c>
      <c r="C13" s="16" t="s">
        <v>177</v>
      </c>
      <c r="D13" s="16" t="s">
        <v>178</v>
      </c>
      <c r="E13" s="20">
        <v>2587020</v>
      </c>
      <c r="F13" s="21">
        <v>30680.76369</v>
      </c>
      <c r="G13" s="22">
        <v>4.3140859534652513E-2</v>
      </c>
      <c r="H13" s="30"/>
    </row>
    <row r="14" spans="1:8" ht="12.95" customHeight="1">
      <c r="A14" s="5" t="s">
        <v>183</v>
      </c>
      <c r="B14" s="19" t="s">
        <v>202</v>
      </c>
      <c r="C14" s="16" t="s">
        <v>203</v>
      </c>
      <c r="D14" s="16" t="s">
        <v>204</v>
      </c>
      <c r="E14" s="20">
        <v>496387</v>
      </c>
      <c r="F14" s="21">
        <v>30273.650355999998</v>
      </c>
      <c r="G14" s="22">
        <v>4.2568409013725536E-2</v>
      </c>
      <c r="H14" s="30"/>
    </row>
    <row r="15" spans="1:8" ht="12.95" customHeight="1">
      <c r="A15" s="5" t="s">
        <v>187</v>
      </c>
      <c r="B15" s="19" t="s">
        <v>188</v>
      </c>
      <c r="C15" s="16" t="s">
        <v>189</v>
      </c>
      <c r="D15" s="16" t="s">
        <v>182</v>
      </c>
      <c r="E15" s="20">
        <v>7775699</v>
      </c>
      <c r="F15" s="21">
        <v>26577.339182</v>
      </c>
      <c r="G15" s="22">
        <v>3.7370949042874968E-2</v>
      </c>
      <c r="H15" s="30"/>
    </row>
    <row r="16" spans="1:8" ht="12.95" customHeight="1">
      <c r="A16" s="5" t="s">
        <v>190</v>
      </c>
      <c r="B16" s="19" t="s">
        <v>210</v>
      </c>
      <c r="C16" s="16" t="s">
        <v>211</v>
      </c>
      <c r="D16" s="16" t="s">
        <v>178</v>
      </c>
      <c r="E16" s="20">
        <v>360712</v>
      </c>
      <c r="F16" s="21">
        <v>24611.37976</v>
      </c>
      <c r="G16" s="22">
        <v>3.4606572636463273E-2</v>
      </c>
      <c r="H16" s="30"/>
    </row>
    <row r="17" spans="1:8" ht="12.95" customHeight="1">
      <c r="A17" s="5" t="s">
        <v>194</v>
      </c>
      <c r="B17" s="19" t="s">
        <v>198</v>
      </c>
      <c r="C17" s="16" t="s">
        <v>199</v>
      </c>
      <c r="D17" s="16" t="s">
        <v>200</v>
      </c>
      <c r="E17" s="20">
        <v>1540025</v>
      </c>
      <c r="F17" s="21">
        <v>24151.442062499998</v>
      </c>
      <c r="G17" s="22">
        <v>3.3959844680046522E-2</v>
      </c>
      <c r="H17" s="30"/>
    </row>
    <row r="18" spans="1:8" ht="12.95" customHeight="1">
      <c r="A18" s="5" t="s">
        <v>197</v>
      </c>
      <c r="B18" s="19" t="s">
        <v>191</v>
      </c>
      <c r="C18" s="16" t="s">
        <v>192</v>
      </c>
      <c r="D18" s="16" t="s">
        <v>193</v>
      </c>
      <c r="E18" s="20">
        <v>39170337</v>
      </c>
      <c r="F18" s="21">
        <v>22812.804268799999</v>
      </c>
      <c r="G18" s="22">
        <v>3.2077558254281581E-2</v>
      </c>
      <c r="H18" s="30"/>
    </row>
    <row r="19" spans="1:8" ht="12.95" customHeight="1">
      <c r="A19" s="5" t="s">
        <v>201</v>
      </c>
      <c r="B19" s="19" t="s">
        <v>571</v>
      </c>
      <c r="C19" s="16" t="s">
        <v>572</v>
      </c>
      <c r="D19" s="16" t="s">
        <v>227</v>
      </c>
      <c r="E19" s="20">
        <v>8077954</v>
      </c>
      <c r="F19" s="21">
        <v>22460.751097</v>
      </c>
      <c r="G19" s="22">
        <v>3.1582528971868279E-2</v>
      </c>
      <c r="H19" s="30"/>
    </row>
    <row r="20" spans="1:8" ht="12.95" customHeight="1">
      <c r="A20" s="5" t="s">
        <v>205</v>
      </c>
      <c r="B20" s="19" t="s">
        <v>195</v>
      </c>
      <c r="C20" s="16" t="s">
        <v>196</v>
      </c>
      <c r="D20" s="16" t="s">
        <v>193</v>
      </c>
      <c r="E20" s="20">
        <v>3694851</v>
      </c>
      <c r="F20" s="21">
        <v>21976.973748</v>
      </c>
      <c r="G20" s="22">
        <v>3.0902279585962089E-2</v>
      </c>
      <c r="H20" s="30"/>
    </row>
    <row r="21" spans="1:8" ht="12.95" customHeight="1">
      <c r="A21" s="5" t="s">
        <v>209</v>
      </c>
      <c r="B21" s="19" t="s">
        <v>213</v>
      </c>
      <c r="C21" s="16" t="s">
        <v>214</v>
      </c>
      <c r="D21" s="16" t="s">
        <v>178</v>
      </c>
      <c r="E21" s="20">
        <v>4275697</v>
      </c>
      <c r="F21" s="21">
        <v>21408.414879</v>
      </c>
      <c r="G21" s="22">
        <v>3.0102817142571067E-2</v>
      </c>
      <c r="H21" s="30"/>
    </row>
    <row r="22" spans="1:8" ht="12.95" customHeight="1">
      <c r="A22" s="5" t="s">
        <v>212</v>
      </c>
      <c r="B22" s="19" t="s">
        <v>216</v>
      </c>
      <c r="C22" s="16" t="s">
        <v>217</v>
      </c>
      <c r="D22" s="16" t="s">
        <v>218</v>
      </c>
      <c r="E22" s="20">
        <v>3912446</v>
      </c>
      <c r="F22" s="21">
        <v>20841.599842</v>
      </c>
      <c r="G22" s="22">
        <v>2.930580673760139E-2</v>
      </c>
      <c r="H22" s="30"/>
    </row>
    <row r="23" spans="1:8" ht="12.95" customHeight="1">
      <c r="A23" s="5" t="s">
        <v>215</v>
      </c>
      <c r="B23" s="19" t="s">
        <v>233</v>
      </c>
      <c r="C23" s="16" t="s">
        <v>234</v>
      </c>
      <c r="D23" s="16" t="s">
        <v>200</v>
      </c>
      <c r="E23" s="20">
        <v>588923</v>
      </c>
      <c r="F23" s="21">
        <v>19281.339019999999</v>
      </c>
      <c r="G23" s="22">
        <v>2.7111891565233547E-2</v>
      </c>
      <c r="H23" s="30"/>
    </row>
    <row r="24" spans="1:8" ht="12.95" customHeight="1">
      <c r="A24" s="5" t="s">
        <v>219</v>
      </c>
      <c r="B24" s="19" t="s">
        <v>223</v>
      </c>
      <c r="C24" s="16" t="s">
        <v>224</v>
      </c>
      <c r="D24" s="16" t="s">
        <v>225</v>
      </c>
      <c r="E24" s="20">
        <v>4370155</v>
      </c>
      <c r="F24" s="21">
        <v>17297.073489999999</v>
      </c>
      <c r="G24" s="22">
        <v>2.4321774559864347E-2</v>
      </c>
      <c r="H24" s="30"/>
    </row>
    <row r="25" spans="1:8" ht="12.95" customHeight="1">
      <c r="A25" s="5" t="s">
        <v>222</v>
      </c>
      <c r="B25" s="19" t="s">
        <v>220</v>
      </c>
      <c r="C25" s="16" t="s">
        <v>221</v>
      </c>
      <c r="D25" s="16" t="s">
        <v>178</v>
      </c>
      <c r="E25" s="20">
        <v>992196</v>
      </c>
      <c r="F25" s="21">
        <v>16664.427918000001</v>
      </c>
      <c r="G25" s="22">
        <v>2.3432198471321036E-2</v>
      </c>
      <c r="H25" s="30"/>
    </row>
    <row r="26" spans="1:8" ht="12.95" customHeight="1">
      <c r="A26" s="5" t="s">
        <v>226</v>
      </c>
      <c r="B26" s="19" t="s">
        <v>573</v>
      </c>
      <c r="C26" s="16" t="s">
        <v>574</v>
      </c>
      <c r="D26" s="16" t="s">
        <v>481</v>
      </c>
      <c r="E26" s="20">
        <v>1150265</v>
      </c>
      <c r="F26" s="21">
        <v>15564.235715000001</v>
      </c>
      <c r="G26" s="22">
        <v>2.1885195346812339E-2</v>
      </c>
      <c r="H26" s="30"/>
    </row>
    <row r="27" spans="1:8" ht="12.95" customHeight="1">
      <c r="A27" s="5" t="s">
        <v>228</v>
      </c>
      <c r="B27" s="19" t="s">
        <v>236</v>
      </c>
      <c r="C27" s="16" t="s">
        <v>237</v>
      </c>
      <c r="D27" s="16" t="s">
        <v>204</v>
      </c>
      <c r="E27" s="20">
        <v>1307869</v>
      </c>
      <c r="F27" s="21">
        <v>14893.358237500001</v>
      </c>
      <c r="G27" s="22">
        <v>2.0941860581282272E-2</v>
      </c>
      <c r="H27" s="30"/>
    </row>
    <row r="28" spans="1:8" ht="12.95" customHeight="1">
      <c r="A28" s="5" t="s">
        <v>232</v>
      </c>
      <c r="B28" s="19" t="s">
        <v>239</v>
      </c>
      <c r="C28" s="16" t="s">
        <v>240</v>
      </c>
      <c r="D28" s="16" t="s">
        <v>159</v>
      </c>
      <c r="E28" s="20">
        <v>1658889</v>
      </c>
      <c r="F28" s="21">
        <v>13187.338105500001</v>
      </c>
      <c r="G28" s="22">
        <v>1.8542990213466427E-2</v>
      </c>
      <c r="H28" s="30"/>
    </row>
    <row r="29" spans="1:8" ht="12.95" customHeight="1">
      <c r="A29" s="5" t="s">
        <v>235</v>
      </c>
      <c r="B29" s="19" t="s">
        <v>172</v>
      </c>
      <c r="C29" s="16" t="s">
        <v>173</v>
      </c>
      <c r="D29" s="16" t="s">
        <v>174</v>
      </c>
      <c r="E29" s="20">
        <v>3340857</v>
      </c>
      <c r="F29" s="21">
        <v>11136.7468095</v>
      </c>
      <c r="G29" s="22">
        <v>1.5659611169920949E-2</v>
      </c>
      <c r="H29" s="30"/>
    </row>
    <row r="30" spans="1:8" ht="12.95" customHeight="1">
      <c r="A30" s="5" t="s">
        <v>238</v>
      </c>
      <c r="B30" s="19" t="s">
        <v>229</v>
      </c>
      <c r="C30" s="16" t="s">
        <v>230</v>
      </c>
      <c r="D30" s="16" t="s">
        <v>231</v>
      </c>
      <c r="E30" s="20">
        <v>2269143</v>
      </c>
      <c r="F30" s="21">
        <v>11129.0118435</v>
      </c>
      <c r="G30" s="22">
        <v>1.5648734873454442E-2</v>
      </c>
      <c r="H30" s="30"/>
    </row>
    <row r="31" spans="1:8" ht="12.95" customHeight="1">
      <c r="A31" s="5" t="s">
        <v>241</v>
      </c>
      <c r="B31" s="19" t="s">
        <v>242</v>
      </c>
      <c r="C31" s="16" t="s">
        <v>243</v>
      </c>
      <c r="D31" s="16" t="s">
        <v>231</v>
      </c>
      <c r="E31" s="20">
        <v>2984055</v>
      </c>
      <c r="F31" s="21">
        <v>10769.454495</v>
      </c>
      <c r="G31" s="22">
        <v>1.5143153812206399E-2</v>
      </c>
      <c r="H31" s="30"/>
    </row>
    <row r="32" spans="1:8" ht="12.95" customHeight="1">
      <c r="A32" s="5" t="s">
        <v>244</v>
      </c>
      <c r="B32" s="19" t="s">
        <v>249</v>
      </c>
      <c r="C32" s="16" t="s">
        <v>250</v>
      </c>
      <c r="D32" s="16" t="s">
        <v>251</v>
      </c>
      <c r="E32" s="20">
        <v>145534</v>
      </c>
      <c r="F32" s="21">
        <v>10140.008683</v>
      </c>
      <c r="G32" s="22">
        <v>1.4258076972707189E-2</v>
      </c>
      <c r="H32" s="30"/>
    </row>
    <row r="33" spans="1:8" ht="12.95" customHeight="1">
      <c r="A33" s="5" t="s">
        <v>248</v>
      </c>
      <c r="B33" s="19" t="s">
        <v>245</v>
      </c>
      <c r="C33" s="16" t="s">
        <v>246</v>
      </c>
      <c r="D33" s="16" t="s">
        <v>247</v>
      </c>
      <c r="E33" s="20">
        <v>1118296</v>
      </c>
      <c r="F33" s="21">
        <v>9967.9313959999999</v>
      </c>
      <c r="G33" s="22">
        <v>1.4016115522771355E-2</v>
      </c>
      <c r="H33" s="30"/>
    </row>
    <row r="34" spans="1:8" ht="12.95" customHeight="1">
      <c r="A34" s="5" t="s">
        <v>252</v>
      </c>
      <c r="B34" s="19" t="s">
        <v>270</v>
      </c>
      <c r="C34" s="16" t="s">
        <v>271</v>
      </c>
      <c r="D34" s="16" t="s">
        <v>272</v>
      </c>
      <c r="E34" s="20">
        <v>276660</v>
      </c>
      <c r="F34" s="21">
        <v>7416.28629</v>
      </c>
      <c r="G34" s="22">
        <v>1.0428194302410444E-2</v>
      </c>
      <c r="H34" s="30"/>
    </row>
    <row r="35" spans="1:8" ht="12.95" customHeight="1">
      <c r="A35" s="5" t="s">
        <v>255</v>
      </c>
      <c r="B35" s="19" t="s">
        <v>253</v>
      </c>
      <c r="C35" s="16" t="s">
        <v>254</v>
      </c>
      <c r="D35" s="16" t="s">
        <v>182</v>
      </c>
      <c r="E35" s="20">
        <v>91015030</v>
      </c>
      <c r="F35" s="21">
        <v>7226.593382</v>
      </c>
      <c r="G35" s="22">
        <v>1.0161463161639817E-2</v>
      </c>
      <c r="H35" s="30"/>
    </row>
    <row r="36" spans="1:8" ht="12.95" customHeight="1">
      <c r="A36" s="1"/>
      <c r="B36" s="19" t="s">
        <v>575</v>
      </c>
      <c r="C36" s="16" t="s">
        <v>576</v>
      </c>
      <c r="D36" s="16" t="s">
        <v>170</v>
      </c>
      <c r="E36" s="20">
        <v>318822</v>
      </c>
      <c r="F36" s="21">
        <v>5758.2441419999996</v>
      </c>
      <c r="G36" s="22">
        <v>8.0967867751357697E-3</v>
      </c>
      <c r="H36" s="30"/>
    </row>
    <row r="37" spans="1:8" ht="12.95" customHeight="1">
      <c r="A37" s="1"/>
      <c r="B37" s="19" t="s">
        <v>180</v>
      </c>
      <c r="C37" s="16" t="s">
        <v>256</v>
      </c>
      <c r="D37" s="16" t="s">
        <v>182</v>
      </c>
      <c r="E37" s="20">
        <v>101549</v>
      </c>
      <c r="F37" s="21">
        <v>1195.6379260000001</v>
      </c>
      <c r="G37" s="22">
        <v>1.6812113394909193E-3</v>
      </c>
      <c r="H37" s="30"/>
    </row>
    <row r="38" spans="1:8" ht="12.95" customHeight="1">
      <c r="A38" s="1"/>
      <c r="B38" s="15" t="s">
        <v>16</v>
      </c>
      <c r="C38" s="16"/>
      <c r="D38" s="16"/>
      <c r="E38" s="16"/>
      <c r="F38" s="23">
        <v>690845.85965380003</v>
      </c>
      <c r="G38" s="24">
        <v>0.97141272272616142</v>
      </c>
      <c r="H38" s="25"/>
    </row>
    <row r="39" spans="1:8" ht="12.95" customHeight="1">
      <c r="A39" s="1"/>
      <c r="B39" s="26" t="s">
        <v>17</v>
      </c>
      <c r="C39" s="27"/>
      <c r="D39" s="27"/>
      <c r="E39" s="27"/>
      <c r="F39" s="28" t="s">
        <v>18</v>
      </c>
      <c r="G39" s="28" t="s">
        <v>18</v>
      </c>
      <c r="H39" s="25"/>
    </row>
    <row r="40" spans="1:8" ht="12.95" customHeight="1">
      <c r="A40" s="1"/>
      <c r="B40" s="26" t="s">
        <v>16</v>
      </c>
      <c r="C40" s="27"/>
      <c r="D40" s="27"/>
      <c r="E40" s="27"/>
      <c r="F40" s="28" t="s">
        <v>18</v>
      </c>
      <c r="G40" s="28" t="s">
        <v>18</v>
      </c>
      <c r="H40" s="25"/>
    </row>
    <row r="41" spans="1:8" ht="12.95" customHeight="1">
      <c r="A41" s="5" t="s">
        <v>120</v>
      </c>
      <c r="B41" s="26" t="s">
        <v>19</v>
      </c>
      <c r="C41" s="29"/>
      <c r="D41" s="27"/>
      <c r="E41" s="29"/>
      <c r="F41" s="23">
        <v>690845.85965380003</v>
      </c>
      <c r="G41" s="24">
        <v>0.97141272272616142</v>
      </c>
      <c r="H41" s="25"/>
    </row>
    <row r="42" spans="1:8" ht="12.95" customHeight="1">
      <c r="A42" s="1"/>
      <c r="B42" s="15" t="s">
        <v>119</v>
      </c>
      <c r="C42" s="16"/>
      <c r="D42" s="16"/>
      <c r="E42" s="16"/>
      <c r="F42" s="16"/>
      <c r="G42" s="17"/>
      <c r="H42" s="18"/>
    </row>
    <row r="43" spans="1:8" ht="12.95" customHeight="1">
      <c r="A43" s="1"/>
      <c r="B43" s="19" t="s">
        <v>540</v>
      </c>
      <c r="C43" s="16"/>
      <c r="D43" s="16" t="s">
        <v>121</v>
      </c>
      <c r="E43" s="20"/>
      <c r="F43" s="21">
        <v>10213</v>
      </c>
      <c r="G43" s="22">
        <v>1.4360711580690322E-2</v>
      </c>
      <c r="H43" s="30">
        <v>6.2725000000000003E-2</v>
      </c>
    </row>
    <row r="44" spans="1:8" ht="12.95" customHeight="1">
      <c r="A44" s="1"/>
      <c r="B44" s="15" t="s">
        <v>16</v>
      </c>
      <c r="C44" s="16"/>
      <c r="D44" s="16"/>
      <c r="E44" s="16"/>
      <c r="F44" s="23">
        <v>10213</v>
      </c>
      <c r="G44" s="24">
        <v>1.4360711580690322E-2</v>
      </c>
      <c r="H44" s="25"/>
    </row>
    <row r="45" spans="1:8" ht="12.95" customHeight="1">
      <c r="A45" s="1"/>
      <c r="B45" s="26" t="s">
        <v>19</v>
      </c>
      <c r="C45" s="29"/>
      <c r="D45" s="27"/>
      <c r="E45" s="29"/>
      <c r="F45" s="23">
        <v>10213</v>
      </c>
      <c r="G45" s="24">
        <v>1.4360711580690322E-2</v>
      </c>
      <c r="H45" s="25"/>
    </row>
    <row r="46" spans="1:8" ht="12.95" customHeight="1">
      <c r="A46" s="1"/>
      <c r="B46" s="26" t="s">
        <v>122</v>
      </c>
      <c r="C46" s="16"/>
      <c r="D46" s="27"/>
      <c r="E46" s="16"/>
      <c r="F46" s="23">
        <v>10117.598602808124</v>
      </c>
      <c r="G46" s="24">
        <v>1.4226565693148228E-2</v>
      </c>
      <c r="H46" s="25"/>
    </row>
    <row r="47" spans="1:8" ht="12.95" customHeight="1" thickBot="1">
      <c r="A47" s="1"/>
      <c r="B47" s="31" t="s">
        <v>123</v>
      </c>
      <c r="C47" s="32"/>
      <c r="D47" s="32"/>
      <c r="E47" s="32"/>
      <c r="F47" s="33">
        <v>711176.45825660811</v>
      </c>
      <c r="G47" s="34">
        <v>1</v>
      </c>
      <c r="H47" s="35"/>
    </row>
    <row r="48" spans="1:8" ht="12.95" customHeight="1">
      <c r="A48" s="1"/>
      <c r="B48" s="2"/>
      <c r="C48" s="1"/>
      <c r="D48" s="1"/>
      <c r="E48" s="1"/>
      <c r="F48" s="7"/>
      <c r="G48" s="1"/>
      <c r="H48" s="1"/>
    </row>
    <row r="49" spans="1:8" ht="12.95" customHeight="1">
      <c r="A49" s="1"/>
      <c r="B49" s="2"/>
      <c r="C49" s="1"/>
      <c r="D49" s="1"/>
      <c r="E49" s="1"/>
      <c r="F49" s="7"/>
      <c r="G49" s="1"/>
      <c r="H49" s="1"/>
    </row>
    <row r="51" spans="1:8">
      <c r="B51" s="63" t="s">
        <v>657</v>
      </c>
      <c r="C51" s="91"/>
      <c r="D51" s="91"/>
      <c r="E51" s="91"/>
      <c r="F51" s="91"/>
    </row>
    <row r="52" spans="1:8">
      <c r="B52" s="91"/>
      <c r="C52" s="91"/>
      <c r="D52" s="91"/>
      <c r="E52" s="91"/>
      <c r="F52" s="91"/>
      <c r="G52" s="91"/>
    </row>
    <row r="53" spans="1:8" ht="15.75" thickBot="1">
      <c r="B53" s="65" t="s">
        <v>658</v>
      </c>
      <c r="C53" s="91"/>
      <c r="D53" s="91"/>
      <c r="E53" s="91"/>
      <c r="F53" s="91"/>
      <c r="G53" s="91"/>
    </row>
    <row r="54" spans="1:8">
      <c r="B54" s="92" t="s">
        <v>667</v>
      </c>
      <c r="C54" s="93"/>
      <c r="D54" s="94"/>
      <c r="E54" s="95"/>
      <c r="F54" s="94"/>
      <c r="G54" s="96"/>
    </row>
    <row r="55" spans="1:8" ht="177.75" customHeight="1" thickBot="1">
      <c r="B55" s="97" t="s">
        <v>668</v>
      </c>
      <c r="C55" s="98"/>
      <c r="D55" s="99"/>
      <c r="E55" s="100"/>
      <c r="F55" s="99"/>
      <c r="G55" s="101"/>
    </row>
    <row r="56" spans="1:8">
      <c r="B56" s="102" t="s">
        <v>661</v>
      </c>
      <c r="C56" s="102"/>
      <c r="D56" s="102"/>
      <c r="E56" s="91"/>
      <c r="F56" s="91"/>
      <c r="G56" s="91"/>
    </row>
  </sheetData>
  <mergeCells count="3">
    <mergeCell ref="C54:D55"/>
    <mergeCell ref="E54:G55"/>
    <mergeCell ref="B56:D56"/>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9"/>
  <sheetViews>
    <sheetView topLeftCell="A52" workbookViewId="0">
      <selection activeCell="H58" sqref="H58"/>
    </sheetView>
  </sheetViews>
  <sheetFormatPr defaultRowHeight="15"/>
  <cols>
    <col min="1" max="1" width="3.42578125" customWidth="1"/>
    <col min="2" max="2" width="48.85546875" bestFit="1" customWidth="1"/>
    <col min="3" max="3" width="16.5703125" customWidth="1"/>
    <col min="4" max="4" width="33.42578125" customWidth="1"/>
    <col min="5" max="5" width="16.5703125" customWidth="1"/>
    <col min="6" max="6" width="16.5703125" style="8" customWidth="1"/>
    <col min="7" max="7" width="19.140625" customWidth="1"/>
    <col min="8" max="8" width="16.5703125" customWidth="1"/>
  </cols>
  <sheetData>
    <row r="1" spans="1:8">
      <c r="A1" s="1"/>
      <c r="B1" s="37" t="s">
        <v>669</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154</v>
      </c>
      <c r="E4" s="13" t="s">
        <v>3</v>
      </c>
      <c r="F4" s="13" t="s">
        <v>4</v>
      </c>
      <c r="G4" s="13" t="s">
        <v>5</v>
      </c>
      <c r="H4" s="14" t="s">
        <v>6</v>
      </c>
    </row>
    <row r="5" spans="1:8" ht="12.95" customHeight="1">
      <c r="A5" s="1"/>
      <c r="B5" s="15" t="s">
        <v>155</v>
      </c>
      <c r="C5" s="16"/>
      <c r="D5" s="16"/>
      <c r="E5" s="16"/>
      <c r="F5" s="16"/>
      <c r="G5" s="17"/>
      <c r="H5" s="18"/>
    </row>
    <row r="6" spans="1:8" ht="12.95" customHeight="1">
      <c r="A6" s="1"/>
      <c r="B6" s="15" t="s">
        <v>8</v>
      </c>
      <c r="C6" s="16"/>
      <c r="D6" s="16"/>
      <c r="E6" s="16"/>
      <c r="F6" s="16"/>
      <c r="G6" s="17"/>
      <c r="H6" s="18"/>
    </row>
    <row r="7" spans="1:8" ht="12.95" customHeight="1">
      <c r="A7" s="5" t="s">
        <v>257</v>
      </c>
      <c r="B7" s="19" t="s">
        <v>258</v>
      </c>
      <c r="C7" s="16" t="s">
        <v>259</v>
      </c>
      <c r="D7" s="16" t="s">
        <v>225</v>
      </c>
      <c r="E7" s="20">
        <v>13406</v>
      </c>
      <c r="F7" s="21">
        <v>2404.5403780000001</v>
      </c>
      <c r="G7" s="22">
        <v>3.8485945591675647E-2</v>
      </c>
      <c r="H7" s="30"/>
    </row>
    <row r="8" spans="1:8" ht="12.95" customHeight="1">
      <c r="A8" s="5" t="s">
        <v>260</v>
      </c>
      <c r="B8" s="19" t="s">
        <v>577</v>
      </c>
      <c r="C8" s="16" t="s">
        <v>578</v>
      </c>
      <c r="D8" s="16" t="s">
        <v>579</v>
      </c>
      <c r="E8" s="20">
        <v>145592</v>
      </c>
      <c r="F8" s="21">
        <v>2366.5251640000001</v>
      </c>
      <c r="G8" s="22">
        <v>3.7877491905039362E-2</v>
      </c>
      <c r="H8" s="30"/>
    </row>
    <row r="9" spans="1:8" ht="12.95" customHeight="1">
      <c r="A9" s="5" t="s">
        <v>263</v>
      </c>
      <c r="B9" s="19" t="s">
        <v>584</v>
      </c>
      <c r="C9" s="16" t="s">
        <v>585</v>
      </c>
      <c r="D9" s="16" t="s">
        <v>218</v>
      </c>
      <c r="E9" s="20">
        <v>115473</v>
      </c>
      <c r="F9" s="21">
        <v>2170.8346634999998</v>
      </c>
      <c r="G9" s="22">
        <v>3.4745361530370819E-2</v>
      </c>
      <c r="H9" s="30"/>
    </row>
    <row r="10" spans="1:8" ht="12.95" customHeight="1">
      <c r="A10" s="5" t="s">
        <v>266</v>
      </c>
      <c r="B10" s="19" t="s">
        <v>261</v>
      </c>
      <c r="C10" s="16" t="s">
        <v>262</v>
      </c>
      <c r="D10" s="16" t="s">
        <v>166</v>
      </c>
      <c r="E10" s="20">
        <v>16865</v>
      </c>
      <c r="F10" s="21">
        <v>2156.9407424999999</v>
      </c>
      <c r="G10" s="22">
        <v>3.452298194691554E-2</v>
      </c>
      <c r="H10" s="30"/>
    </row>
    <row r="11" spans="1:8" ht="12.95" customHeight="1">
      <c r="A11" s="5" t="s">
        <v>269</v>
      </c>
      <c r="B11" s="19" t="s">
        <v>580</v>
      </c>
      <c r="C11" s="16" t="s">
        <v>635</v>
      </c>
      <c r="D11" s="16" t="s">
        <v>581</v>
      </c>
      <c r="E11" s="20">
        <v>93336</v>
      </c>
      <c r="F11" s="21">
        <v>2079.3394079999998</v>
      </c>
      <c r="G11" s="22">
        <v>3.3280931380938968E-2</v>
      </c>
      <c r="H11" s="30"/>
    </row>
    <row r="12" spans="1:8" ht="12.95" customHeight="1">
      <c r="A12" s="5" t="s">
        <v>273</v>
      </c>
      <c r="B12" s="19" t="s">
        <v>582</v>
      </c>
      <c r="C12" s="16" t="s">
        <v>583</v>
      </c>
      <c r="D12" s="16" t="s">
        <v>193</v>
      </c>
      <c r="E12" s="20">
        <v>196734</v>
      </c>
      <c r="F12" s="21">
        <v>2072.0024880000001</v>
      </c>
      <c r="G12" s="22">
        <v>3.316350008034033E-2</v>
      </c>
      <c r="H12" s="30"/>
    </row>
    <row r="13" spans="1:8" ht="12.95" customHeight="1">
      <c r="A13" s="5" t="s">
        <v>277</v>
      </c>
      <c r="B13" s="19" t="s">
        <v>303</v>
      </c>
      <c r="C13" s="16" t="s">
        <v>304</v>
      </c>
      <c r="D13" s="16" t="s">
        <v>178</v>
      </c>
      <c r="E13" s="20">
        <v>96555</v>
      </c>
      <c r="F13" s="21">
        <v>2062.5596325000001</v>
      </c>
      <c r="G13" s="22">
        <v>3.3012362163785433E-2</v>
      </c>
      <c r="H13" s="30"/>
    </row>
    <row r="14" spans="1:8" ht="12.95" customHeight="1">
      <c r="A14" s="5" t="s">
        <v>281</v>
      </c>
      <c r="B14" s="19" t="s">
        <v>274</v>
      </c>
      <c r="C14" s="16" t="s">
        <v>275</v>
      </c>
      <c r="D14" s="16" t="s">
        <v>276</v>
      </c>
      <c r="E14" s="20">
        <v>503291</v>
      </c>
      <c r="F14" s="21">
        <v>2057.2019624999998</v>
      </c>
      <c r="G14" s="22">
        <v>3.2926609810443937E-2</v>
      </c>
      <c r="H14" s="30"/>
    </row>
    <row r="15" spans="1:8" ht="12.95" customHeight="1">
      <c r="A15" s="5" t="s">
        <v>284</v>
      </c>
      <c r="B15" s="19" t="s">
        <v>282</v>
      </c>
      <c r="C15" s="16" t="s">
        <v>283</v>
      </c>
      <c r="D15" s="16" t="s">
        <v>204</v>
      </c>
      <c r="E15" s="20">
        <v>60568</v>
      </c>
      <c r="F15" s="21">
        <v>2035.115084</v>
      </c>
      <c r="G15" s="22">
        <v>3.2573097591635625E-2</v>
      </c>
      <c r="H15" s="30"/>
    </row>
    <row r="16" spans="1:8" ht="12.95" customHeight="1">
      <c r="A16" s="5" t="s">
        <v>288</v>
      </c>
      <c r="B16" s="19" t="s">
        <v>202</v>
      </c>
      <c r="C16" s="16" t="s">
        <v>203</v>
      </c>
      <c r="D16" s="16" t="s">
        <v>204</v>
      </c>
      <c r="E16" s="20">
        <v>32286</v>
      </c>
      <c r="F16" s="21">
        <v>1969.0585679999999</v>
      </c>
      <c r="G16" s="22">
        <v>3.1515827976198271E-2</v>
      </c>
      <c r="H16" s="30"/>
    </row>
    <row r="17" spans="1:8" ht="12.95" customHeight="1">
      <c r="A17" s="5" t="s">
        <v>291</v>
      </c>
      <c r="B17" s="19" t="s">
        <v>309</v>
      </c>
      <c r="C17" s="16" t="s">
        <v>310</v>
      </c>
      <c r="D17" s="16" t="s">
        <v>311</v>
      </c>
      <c r="E17" s="20">
        <v>44862</v>
      </c>
      <c r="F17" s="21">
        <v>1874.4913770000001</v>
      </c>
      <c r="G17" s="22">
        <v>3.0002229867851761E-2</v>
      </c>
      <c r="H17" s="30"/>
    </row>
    <row r="18" spans="1:8" ht="12.95" customHeight="1">
      <c r="A18" s="5" t="s">
        <v>292</v>
      </c>
      <c r="B18" s="19" t="s">
        <v>340</v>
      </c>
      <c r="C18" s="16" t="s">
        <v>341</v>
      </c>
      <c r="D18" s="16" t="s">
        <v>204</v>
      </c>
      <c r="E18" s="20">
        <v>32793</v>
      </c>
      <c r="F18" s="21">
        <v>1847.524827</v>
      </c>
      <c r="G18" s="22">
        <v>2.9570615915517792E-2</v>
      </c>
      <c r="H18" s="30"/>
    </row>
    <row r="19" spans="1:8" ht="12.95" customHeight="1">
      <c r="A19" s="5" t="s">
        <v>295</v>
      </c>
      <c r="B19" s="19" t="s">
        <v>306</v>
      </c>
      <c r="C19" s="16" t="s">
        <v>307</v>
      </c>
      <c r="D19" s="16" t="s">
        <v>174</v>
      </c>
      <c r="E19" s="20">
        <v>596853</v>
      </c>
      <c r="F19" s="21">
        <v>1842.4852109999999</v>
      </c>
      <c r="G19" s="22">
        <v>2.9489954185337047E-2</v>
      </c>
      <c r="H19" s="30"/>
    </row>
    <row r="20" spans="1:8" ht="12.95" customHeight="1">
      <c r="A20" s="5" t="s">
        <v>298</v>
      </c>
      <c r="B20" s="19" t="s">
        <v>317</v>
      </c>
      <c r="C20" s="16" t="s">
        <v>318</v>
      </c>
      <c r="D20" s="16" t="s">
        <v>178</v>
      </c>
      <c r="E20" s="20">
        <v>409933</v>
      </c>
      <c r="F20" s="21">
        <v>1838.549505</v>
      </c>
      <c r="G20" s="22">
        <v>2.9426961120896676E-2</v>
      </c>
      <c r="H20" s="30"/>
    </row>
    <row r="21" spans="1:8" ht="12.95" customHeight="1">
      <c r="A21" s="5" t="s">
        <v>301</v>
      </c>
      <c r="B21" s="19" t="s">
        <v>267</v>
      </c>
      <c r="C21" s="16" t="s">
        <v>268</v>
      </c>
      <c r="D21" s="16" t="s">
        <v>170</v>
      </c>
      <c r="E21" s="20">
        <v>77294</v>
      </c>
      <c r="F21" s="21">
        <v>1830.70839</v>
      </c>
      <c r="G21" s="22">
        <v>2.9301459911589025E-2</v>
      </c>
      <c r="H21" s="30"/>
    </row>
    <row r="22" spans="1:8" ht="12.95" customHeight="1">
      <c r="A22" s="5" t="s">
        <v>302</v>
      </c>
      <c r="B22" s="19" t="s">
        <v>320</v>
      </c>
      <c r="C22" s="16" t="s">
        <v>321</v>
      </c>
      <c r="D22" s="16" t="s">
        <v>322</v>
      </c>
      <c r="E22" s="20">
        <v>43348</v>
      </c>
      <c r="F22" s="21">
        <v>1820.2041939999999</v>
      </c>
      <c r="G22" s="22">
        <v>2.9133334676746205E-2</v>
      </c>
      <c r="H22" s="30"/>
    </row>
    <row r="23" spans="1:8" ht="12.95" customHeight="1">
      <c r="A23" s="5" t="s">
        <v>305</v>
      </c>
      <c r="B23" s="19" t="s">
        <v>586</v>
      </c>
      <c r="C23" s="16" t="s">
        <v>587</v>
      </c>
      <c r="D23" s="16" t="s">
        <v>588</v>
      </c>
      <c r="E23" s="20">
        <v>405696</v>
      </c>
      <c r="F23" s="21">
        <v>1803.1158720000001</v>
      </c>
      <c r="G23" s="22">
        <v>2.8859827009018017E-2</v>
      </c>
      <c r="H23" s="30"/>
    </row>
    <row r="24" spans="1:8" ht="12.95" customHeight="1">
      <c r="A24" s="5" t="s">
        <v>232</v>
      </c>
      <c r="B24" s="19" t="s">
        <v>299</v>
      </c>
      <c r="C24" s="16" t="s">
        <v>300</v>
      </c>
      <c r="D24" s="16" t="s">
        <v>276</v>
      </c>
      <c r="E24" s="20">
        <v>610564</v>
      </c>
      <c r="F24" s="21">
        <v>1785.5944179999999</v>
      </c>
      <c r="G24" s="22">
        <v>2.8579386833631183E-2</v>
      </c>
      <c r="H24" s="30"/>
    </row>
    <row r="25" spans="1:8" ht="12.95" customHeight="1">
      <c r="A25" s="5" t="s">
        <v>205</v>
      </c>
      <c r="B25" s="19" t="s">
        <v>213</v>
      </c>
      <c r="C25" s="16" t="s">
        <v>214</v>
      </c>
      <c r="D25" s="16" t="s">
        <v>178</v>
      </c>
      <c r="E25" s="20">
        <v>355764</v>
      </c>
      <c r="F25" s="21">
        <v>1781.310348</v>
      </c>
      <c r="G25" s="22">
        <v>2.8510818018385058E-2</v>
      </c>
      <c r="H25" s="30"/>
    </row>
    <row r="26" spans="1:8" ht="12.95" customHeight="1">
      <c r="A26" s="5" t="s">
        <v>308</v>
      </c>
      <c r="B26" s="19" t="s">
        <v>233</v>
      </c>
      <c r="C26" s="16" t="s">
        <v>234</v>
      </c>
      <c r="D26" s="16" t="s">
        <v>200</v>
      </c>
      <c r="E26" s="20">
        <v>54125</v>
      </c>
      <c r="F26" s="21">
        <v>1772.0525</v>
      </c>
      <c r="G26" s="22">
        <v>2.836264124510901E-2</v>
      </c>
      <c r="H26" s="30"/>
    </row>
    <row r="27" spans="1:8" ht="12.95" customHeight="1">
      <c r="A27" s="5" t="s">
        <v>312</v>
      </c>
      <c r="B27" s="19" t="s">
        <v>176</v>
      </c>
      <c r="C27" s="16" t="s">
        <v>177</v>
      </c>
      <c r="D27" s="16" t="s">
        <v>178</v>
      </c>
      <c r="E27" s="20">
        <v>149127</v>
      </c>
      <c r="F27" s="21">
        <v>1768.5716565</v>
      </c>
      <c r="G27" s="22">
        <v>2.830692849651896E-2</v>
      </c>
      <c r="H27" s="30"/>
    </row>
    <row r="28" spans="1:8" ht="12.95" customHeight="1">
      <c r="A28" s="5" t="s">
        <v>187</v>
      </c>
      <c r="B28" s="19" t="s">
        <v>278</v>
      </c>
      <c r="C28" s="16" t="s">
        <v>279</v>
      </c>
      <c r="D28" s="16" t="s">
        <v>280</v>
      </c>
      <c r="E28" s="20">
        <v>18018</v>
      </c>
      <c r="F28" s="21">
        <v>1762.7549939999999</v>
      </c>
      <c r="G28" s="22">
        <v>2.8213829724484059E-2</v>
      </c>
      <c r="H28" s="30"/>
    </row>
    <row r="29" spans="1:8" ht="12.95" customHeight="1">
      <c r="A29" s="5" t="s">
        <v>313</v>
      </c>
      <c r="B29" s="19" t="s">
        <v>289</v>
      </c>
      <c r="C29" s="16" t="s">
        <v>290</v>
      </c>
      <c r="D29" s="16" t="s">
        <v>287</v>
      </c>
      <c r="E29" s="20">
        <v>98582</v>
      </c>
      <c r="F29" s="21">
        <v>1762.399705</v>
      </c>
      <c r="G29" s="22">
        <v>2.8208143135376042E-2</v>
      </c>
      <c r="H29" s="30"/>
    </row>
    <row r="30" spans="1:8" ht="12.95" customHeight="1">
      <c r="A30" s="5" t="s">
        <v>316</v>
      </c>
      <c r="B30" s="19" t="s">
        <v>589</v>
      </c>
      <c r="C30" s="16" t="s">
        <v>590</v>
      </c>
      <c r="D30" s="16" t="s">
        <v>186</v>
      </c>
      <c r="E30" s="20">
        <v>408438</v>
      </c>
      <c r="F30" s="21">
        <v>1726.4674259999999</v>
      </c>
      <c r="G30" s="22">
        <v>2.7633027929479963E-2</v>
      </c>
      <c r="H30" s="30"/>
    </row>
    <row r="31" spans="1:8" ht="12.95" customHeight="1">
      <c r="A31" s="5" t="s">
        <v>319</v>
      </c>
      <c r="B31" s="19" t="s">
        <v>296</v>
      </c>
      <c r="C31" s="16" t="s">
        <v>297</v>
      </c>
      <c r="D31" s="16" t="s">
        <v>178</v>
      </c>
      <c r="E31" s="20">
        <v>108453</v>
      </c>
      <c r="F31" s="21">
        <v>1700.6514930000001</v>
      </c>
      <c r="G31" s="22">
        <v>2.7219830213223377E-2</v>
      </c>
      <c r="H31" s="30"/>
    </row>
    <row r="32" spans="1:8" ht="12.95" customHeight="1">
      <c r="A32" s="5" t="s">
        <v>212</v>
      </c>
      <c r="B32" s="19" t="s">
        <v>164</v>
      </c>
      <c r="C32" s="16" t="s">
        <v>165</v>
      </c>
      <c r="D32" s="16" t="s">
        <v>166</v>
      </c>
      <c r="E32" s="20">
        <v>90352</v>
      </c>
      <c r="F32" s="21">
        <v>1698.6176</v>
      </c>
      <c r="G32" s="22">
        <v>2.7187276675735103E-2</v>
      </c>
      <c r="H32" s="30"/>
    </row>
    <row r="33" spans="1:8" ht="12.95" customHeight="1">
      <c r="A33" s="5" t="s">
        <v>323</v>
      </c>
      <c r="B33" s="19" t="s">
        <v>264</v>
      </c>
      <c r="C33" s="16" t="s">
        <v>265</v>
      </c>
      <c r="D33" s="16" t="s">
        <v>170</v>
      </c>
      <c r="E33" s="20">
        <v>19114</v>
      </c>
      <c r="F33" s="21">
        <v>1681.764404</v>
      </c>
      <c r="G33" s="22">
        <v>2.6917532324491837E-2</v>
      </c>
      <c r="H33" s="30"/>
    </row>
    <row r="34" spans="1:8" ht="12.95" customHeight="1">
      <c r="A34" s="5" t="s">
        <v>324</v>
      </c>
      <c r="B34" s="19" t="s">
        <v>270</v>
      </c>
      <c r="C34" s="16" t="s">
        <v>271</v>
      </c>
      <c r="D34" s="16" t="s">
        <v>272</v>
      </c>
      <c r="E34" s="20">
        <v>61487</v>
      </c>
      <c r="F34" s="21">
        <v>1648.2512655</v>
      </c>
      <c r="G34" s="22">
        <v>2.6381136746892894E-2</v>
      </c>
      <c r="H34" s="30"/>
    </row>
    <row r="35" spans="1:8" ht="12.95" customHeight="1">
      <c r="A35" s="5" t="s">
        <v>327</v>
      </c>
      <c r="B35" s="19" t="s">
        <v>285</v>
      </c>
      <c r="C35" s="16" t="s">
        <v>286</v>
      </c>
      <c r="D35" s="16" t="s">
        <v>287</v>
      </c>
      <c r="E35" s="20">
        <v>117025</v>
      </c>
      <c r="F35" s="21">
        <v>1627.1156000000001</v>
      </c>
      <c r="G35" s="22">
        <v>2.6042849197255892E-2</v>
      </c>
      <c r="H35" s="30"/>
    </row>
    <row r="36" spans="1:8" ht="12.95" customHeight="1">
      <c r="A36" s="5" t="s">
        <v>328</v>
      </c>
      <c r="B36" s="19" t="s">
        <v>293</v>
      </c>
      <c r="C36" s="16" t="s">
        <v>294</v>
      </c>
      <c r="D36" s="16" t="s">
        <v>170</v>
      </c>
      <c r="E36" s="20">
        <v>38710</v>
      </c>
      <c r="F36" s="21">
        <v>1610.56826</v>
      </c>
      <c r="G36" s="22">
        <v>2.5778000233706085E-2</v>
      </c>
      <c r="H36" s="30"/>
    </row>
    <row r="37" spans="1:8" ht="12.95" customHeight="1">
      <c r="A37" s="5" t="s">
        <v>329</v>
      </c>
      <c r="B37" s="19" t="s">
        <v>429</v>
      </c>
      <c r="C37" s="16" t="s">
        <v>430</v>
      </c>
      <c r="D37" s="16" t="s">
        <v>405</v>
      </c>
      <c r="E37" s="20">
        <v>32869</v>
      </c>
      <c r="F37" s="21">
        <v>1565.4682975000001</v>
      </c>
      <c r="G37" s="22">
        <v>2.5056151385234964E-2</v>
      </c>
      <c r="H37" s="30"/>
    </row>
    <row r="38" spans="1:8" ht="12.95" customHeight="1">
      <c r="A38" s="5" t="s">
        <v>330</v>
      </c>
      <c r="B38" s="19" t="s">
        <v>591</v>
      </c>
      <c r="C38" s="16" t="s">
        <v>592</v>
      </c>
      <c r="D38" s="16" t="s">
        <v>225</v>
      </c>
      <c r="E38" s="20">
        <v>87267</v>
      </c>
      <c r="F38" s="21">
        <v>1461.8095169999999</v>
      </c>
      <c r="G38" s="22">
        <v>2.3397037559190308E-2</v>
      </c>
      <c r="H38" s="30"/>
    </row>
    <row r="39" spans="1:8" ht="12.95" customHeight="1">
      <c r="A39" s="5" t="s">
        <v>334</v>
      </c>
      <c r="B39" s="19" t="s">
        <v>593</v>
      </c>
      <c r="C39" s="16" t="s">
        <v>594</v>
      </c>
      <c r="D39" s="16" t="s">
        <v>389</v>
      </c>
      <c r="E39" s="20">
        <v>296203</v>
      </c>
      <c r="F39" s="21">
        <v>1315.14132</v>
      </c>
      <c r="G39" s="22">
        <v>2.1049535183511273E-2</v>
      </c>
      <c r="H39" s="30"/>
    </row>
    <row r="40" spans="1:8" ht="12.95" customHeight="1">
      <c r="A40" s="5" t="s">
        <v>337</v>
      </c>
      <c r="B40" s="19" t="s">
        <v>595</v>
      </c>
      <c r="C40" s="16" t="s">
        <v>596</v>
      </c>
      <c r="D40" s="16" t="s">
        <v>204</v>
      </c>
      <c r="E40" s="20">
        <v>36246</v>
      </c>
      <c r="F40" s="21">
        <v>816.20555100000001</v>
      </c>
      <c r="G40" s="22">
        <v>1.3063803259372692E-2</v>
      </c>
      <c r="H40" s="30"/>
    </row>
    <row r="41" spans="1:8" ht="12.95" customHeight="1">
      <c r="A41" s="5" t="s">
        <v>338</v>
      </c>
      <c r="B41" s="19" t="s">
        <v>157</v>
      </c>
      <c r="C41" s="16" t="s">
        <v>158</v>
      </c>
      <c r="D41" s="16" t="s">
        <v>159</v>
      </c>
      <c r="E41" s="20">
        <v>35789</v>
      </c>
      <c r="F41" s="21">
        <v>634.48528650000003</v>
      </c>
      <c r="G41" s="22">
        <v>1.0155273930258673E-2</v>
      </c>
      <c r="H41" s="30"/>
    </row>
    <row r="42" spans="1:8" ht="12.95" customHeight="1">
      <c r="A42" s="5" t="s">
        <v>339</v>
      </c>
      <c r="B42" s="15" t="s">
        <v>16</v>
      </c>
      <c r="C42" s="16"/>
      <c r="D42" s="16"/>
      <c r="E42" s="16"/>
      <c r="F42" s="23">
        <v>62350.427108999997</v>
      </c>
      <c r="G42" s="24">
        <v>0.99795169475615786</v>
      </c>
      <c r="H42" s="25"/>
    </row>
    <row r="43" spans="1:8" ht="12.95" customHeight="1">
      <c r="A43" s="5" t="s">
        <v>342</v>
      </c>
      <c r="B43" s="26" t="s">
        <v>17</v>
      </c>
      <c r="C43" s="27"/>
      <c r="D43" s="27"/>
      <c r="E43" s="27"/>
      <c r="F43" s="28" t="s">
        <v>18</v>
      </c>
      <c r="G43" s="28" t="s">
        <v>18</v>
      </c>
      <c r="H43" s="25"/>
    </row>
    <row r="44" spans="1:8" ht="12.95" customHeight="1">
      <c r="A44" s="1"/>
      <c r="B44" s="26" t="s">
        <v>16</v>
      </c>
      <c r="C44" s="27"/>
      <c r="D44" s="27"/>
      <c r="E44" s="27"/>
      <c r="F44" s="28" t="s">
        <v>18</v>
      </c>
      <c r="G44" s="28" t="s">
        <v>18</v>
      </c>
      <c r="H44" s="25"/>
    </row>
    <row r="45" spans="1:8" ht="12.95" customHeight="1">
      <c r="A45" s="1"/>
      <c r="B45" s="26" t="s">
        <v>19</v>
      </c>
      <c r="C45" s="29"/>
      <c r="D45" s="27"/>
      <c r="E45" s="29"/>
      <c r="F45" s="23">
        <v>62350.427108999997</v>
      </c>
      <c r="G45" s="24">
        <v>0.99795169475615786</v>
      </c>
      <c r="H45" s="25"/>
    </row>
    <row r="46" spans="1:8" ht="12.95" customHeight="1">
      <c r="A46" s="1"/>
      <c r="B46" s="15" t="s">
        <v>119</v>
      </c>
      <c r="C46" s="16"/>
      <c r="D46" s="16"/>
      <c r="E46" s="16"/>
      <c r="F46" s="16"/>
      <c r="G46" s="17"/>
      <c r="H46" s="18"/>
    </row>
    <row r="47" spans="1:8" ht="12.95" customHeight="1">
      <c r="A47" s="1"/>
      <c r="B47" s="19" t="s">
        <v>540</v>
      </c>
      <c r="C47" s="16"/>
      <c r="D47" s="16" t="s">
        <v>121</v>
      </c>
      <c r="E47" s="20"/>
      <c r="F47" s="21">
        <v>309</v>
      </c>
      <c r="G47" s="22">
        <v>4.9457090829637864E-3</v>
      </c>
      <c r="H47" s="30">
        <v>6.2725000000000003E-2</v>
      </c>
    </row>
    <row r="48" spans="1:8" ht="12.95" customHeight="1">
      <c r="A48" s="1"/>
      <c r="B48" s="15" t="s">
        <v>16</v>
      </c>
      <c r="C48" s="16"/>
      <c r="D48" s="16"/>
      <c r="E48" s="16"/>
      <c r="F48" s="23">
        <v>309</v>
      </c>
      <c r="G48" s="24">
        <v>4.9457090829637864E-3</v>
      </c>
      <c r="H48" s="25"/>
    </row>
    <row r="49" spans="1:8" ht="12.95" customHeight="1">
      <c r="A49" s="5" t="s">
        <v>120</v>
      </c>
      <c r="B49" s="26" t="s">
        <v>19</v>
      </c>
      <c r="C49" s="29"/>
      <c r="D49" s="27"/>
      <c r="E49" s="29"/>
      <c r="F49" s="23">
        <v>309</v>
      </c>
      <c r="G49" s="24">
        <v>4.9457090829637864E-3</v>
      </c>
      <c r="H49" s="25"/>
    </row>
    <row r="50" spans="1:8" ht="12.95" customHeight="1">
      <c r="A50" s="1"/>
      <c r="B50" s="26" t="s">
        <v>122</v>
      </c>
      <c r="C50" s="16"/>
      <c r="D50" s="27"/>
      <c r="E50" s="16"/>
      <c r="F50" s="23">
        <v>-181.02516166439437</v>
      </c>
      <c r="G50" s="24">
        <v>-2.8974038391216279E-3</v>
      </c>
      <c r="H50" s="25"/>
    </row>
    <row r="51" spans="1:8" ht="12.95" customHeight="1" thickBot="1">
      <c r="A51" s="1"/>
      <c r="B51" s="31" t="s">
        <v>123</v>
      </c>
      <c r="C51" s="32"/>
      <c r="D51" s="32"/>
      <c r="E51" s="32"/>
      <c r="F51" s="33">
        <v>62478.401947335602</v>
      </c>
      <c r="G51" s="34">
        <v>1</v>
      </c>
      <c r="H51" s="35"/>
    </row>
    <row r="52" spans="1:8" ht="12.95" customHeight="1">
      <c r="A52" s="1"/>
      <c r="B52" s="36"/>
      <c r="C52" s="10"/>
      <c r="D52" s="10"/>
      <c r="E52" s="10"/>
      <c r="F52" s="10"/>
      <c r="G52" s="10"/>
      <c r="H52" s="10"/>
    </row>
    <row r="53" spans="1:8" ht="12.95" customHeight="1">
      <c r="A53" s="1"/>
      <c r="B53" s="6" t="s">
        <v>121</v>
      </c>
      <c r="C53" s="10"/>
      <c r="D53" s="10"/>
      <c r="E53" s="10"/>
      <c r="F53" s="10"/>
      <c r="G53" s="10"/>
      <c r="H53" s="10"/>
    </row>
    <row r="54" spans="1:8" ht="12.95" customHeight="1">
      <c r="A54" s="1"/>
      <c r="B54" s="63" t="s">
        <v>657</v>
      </c>
      <c r="C54" s="103"/>
      <c r="E54" s="103"/>
      <c r="F54"/>
      <c r="G54" s="103"/>
      <c r="H54" s="10"/>
    </row>
    <row r="55" spans="1:8" ht="12.95" customHeight="1">
      <c r="A55" s="1"/>
      <c r="B55" s="103"/>
      <c r="C55" s="103"/>
      <c r="D55" s="103"/>
      <c r="E55" s="103"/>
      <c r="F55" s="103"/>
      <c r="G55" s="103"/>
      <c r="H55" s="10"/>
    </row>
    <row r="56" spans="1:8" ht="12.95" customHeight="1" thickBot="1">
      <c r="A56" s="1"/>
      <c r="B56" s="65" t="s">
        <v>658</v>
      </c>
      <c r="C56" s="103"/>
      <c r="D56" s="103"/>
      <c r="E56" s="103"/>
      <c r="F56" s="103"/>
      <c r="G56" s="103"/>
      <c r="H56" s="10"/>
    </row>
    <row r="57" spans="1:8" ht="12.95" customHeight="1" thickBot="1">
      <c r="A57" s="1"/>
      <c r="B57" s="66" t="s">
        <v>670</v>
      </c>
      <c r="C57" s="104"/>
      <c r="D57" s="105"/>
      <c r="E57" s="106" t="s">
        <v>671</v>
      </c>
      <c r="F57" s="105"/>
      <c r="G57" s="107"/>
      <c r="H57" s="10"/>
    </row>
    <row r="58" spans="1:8" ht="165" customHeight="1" thickBot="1">
      <c r="B58" s="108" t="s">
        <v>672</v>
      </c>
      <c r="C58" s="109"/>
      <c r="D58" s="110"/>
      <c r="E58" s="111"/>
      <c r="F58" s="110"/>
      <c r="G58" s="112"/>
    </row>
    <row r="59" spans="1:8">
      <c r="B59" s="113" t="s">
        <v>661</v>
      </c>
      <c r="C59" s="113"/>
      <c r="D59" s="113"/>
      <c r="E59" s="103"/>
      <c r="F59" s="103"/>
      <c r="G59" s="103"/>
    </row>
  </sheetData>
  <mergeCells count="3">
    <mergeCell ref="C57:D58"/>
    <mergeCell ref="E57:G58"/>
    <mergeCell ref="B59:D59"/>
  </mergeCells>
  <conditionalFormatting sqref="F57:F58">
    <cfRule type="cellIs" dxfId="0"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4"/>
  <sheetViews>
    <sheetView topLeftCell="A66" workbookViewId="0">
      <selection activeCell="F77" sqref="F77"/>
    </sheetView>
  </sheetViews>
  <sheetFormatPr defaultRowHeight="15"/>
  <cols>
    <col min="1" max="1" width="3.42578125" customWidth="1"/>
    <col min="2" max="2" width="50" customWidth="1"/>
    <col min="3" max="3" width="16.5703125" customWidth="1"/>
    <col min="4" max="4" width="39.7109375" customWidth="1"/>
    <col min="5" max="5" width="16.5703125" customWidth="1"/>
    <col min="6" max="6" width="16.5703125" style="8" customWidth="1"/>
    <col min="7" max="7" width="23.140625" customWidth="1"/>
    <col min="8" max="8" width="16.5703125" customWidth="1"/>
  </cols>
  <sheetData>
    <row r="1" spans="1:8">
      <c r="A1" s="1"/>
      <c r="B1" s="37" t="s">
        <v>673</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154</v>
      </c>
      <c r="E4" s="13" t="s">
        <v>3</v>
      </c>
      <c r="F4" s="13" t="s">
        <v>4</v>
      </c>
      <c r="G4" s="13" t="s">
        <v>5</v>
      </c>
      <c r="H4" s="14" t="s">
        <v>6</v>
      </c>
    </row>
    <row r="5" spans="1:8" ht="12.95" customHeight="1">
      <c r="A5" s="1"/>
      <c r="B5" s="15" t="s">
        <v>155</v>
      </c>
      <c r="C5" s="16"/>
      <c r="D5" s="16"/>
      <c r="E5" s="16"/>
      <c r="F5" s="16"/>
      <c r="G5" s="17"/>
      <c r="H5" s="18"/>
    </row>
    <row r="6" spans="1:8" ht="12.95" customHeight="1">
      <c r="A6" s="1"/>
      <c r="B6" s="15" t="s">
        <v>8</v>
      </c>
      <c r="C6" s="16"/>
      <c r="D6" s="16"/>
      <c r="E6" s="16"/>
      <c r="F6" s="16"/>
      <c r="G6" s="17"/>
      <c r="H6" s="18"/>
    </row>
    <row r="7" spans="1:8" ht="12.95" customHeight="1">
      <c r="A7" s="5" t="s">
        <v>156</v>
      </c>
      <c r="B7" s="19" t="s">
        <v>157</v>
      </c>
      <c r="C7" s="16" t="s">
        <v>158</v>
      </c>
      <c r="D7" s="16" t="s">
        <v>159</v>
      </c>
      <c r="E7" s="20">
        <v>53974</v>
      </c>
      <c r="F7" s="21">
        <v>956.87805900000001</v>
      </c>
      <c r="G7" s="22">
        <v>0.12674999657750363</v>
      </c>
      <c r="H7" s="30"/>
    </row>
    <row r="8" spans="1:8" ht="12.95" customHeight="1">
      <c r="A8" s="5" t="s">
        <v>343</v>
      </c>
      <c r="B8" s="19" t="s">
        <v>161</v>
      </c>
      <c r="C8" s="16" t="s">
        <v>162</v>
      </c>
      <c r="D8" s="16" t="s">
        <v>159</v>
      </c>
      <c r="E8" s="20">
        <v>50083</v>
      </c>
      <c r="F8" s="21">
        <v>641.88876949999997</v>
      </c>
      <c r="G8" s="22">
        <v>8.5025880332431178E-2</v>
      </c>
      <c r="H8" s="30"/>
    </row>
    <row r="9" spans="1:8" ht="12.95" customHeight="1">
      <c r="A9" s="5" t="s">
        <v>160</v>
      </c>
      <c r="B9" s="19" t="s">
        <v>344</v>
      </c>
      <c r="C9" s="16" t="s">
        <v>345</v>
      </c>
      <c r="D9" s="16" t="s">
        <v>276</v>
      </c>
      <c r="E9" s="20">
        <v>48184</v>
      </c>
      <c r="F9" s="21">
        <v>585.65242799999999</v>
      </c>
      <c r="G9" s="22">
        <v>7.7576701175678955E-2</v>
      </c>
      <c r="H9" s="30"/>
    </row>
    <row r="10" spans="1:8" ht="12.95" customHeight="1">
      <c r="A10" s="5" t="s">
        <v>163</v>
      </c>
      <c r="B10" s="19" t="s">
        <v>164</v>
      </c>
      <c r="C10" s="16" t="s">
        <v>165</v>
      </c>
      <c r="D10" s="16" t="s">
        <v>166</v>
      </c>
      <c r="E10" s="20">
        <v>25567</v>
      </c>
      <c r="F10" s="21">
        <v>480.65960000000001</v>
      </c>
      <c r="G10" s="22">
        <v>6.3669139533425401E-2</v>
      </c>
      <c r="H10" s="30"/>
    </row>
    <row r="11" spans="1:8" ht="12.95" customHeight="1">
      <c r="A11" s="5" t="s">
        <v>346</v>
      </c>
      <c r="B11" s="19" t="s">
        <v>347</v>
      </c>
      <c r="C11" s="16" t="s">
        <v>348</v>
      </c>
      <c r="D11" s="16" t="s">
        <v>349</v>
      </c>
      <c r="E11" s="20">
        <v>65992</v>
      </c>
      <c r="F11" s="21">
        <v>319.17030799999998</v>
      </c>
      <c r="G11" s="22">
        <v>4.2277942383712637E-2</v>
      </c>
      <c r="H11" s="30"/>
    </row>
    <row r="12" spans="1:8" ht="12.95" customHeight="1">
      <c r="A12" s="5" t="s">
        <v>179</v>
      </c>
      <c r="B12" s="19" t="s">
        <v>180</v>
      </c>
      <c r="C12" s="16" t="s">
        <v>181</v>
      </c>
      <c r="D12" s="16" t="s">
        <v>182</v>
      </c>
      <c r="E12" s="20">
        <v>19036</v>
      </c>
      <c r="F12" s="21">
        <v>302.24409000000003</v>
      </c>
      <c r="G12" s="22">
        <v>4.0035861427428446E-2</v>
      </c>
      <c r="H12" s="30"/>
    </row>
    <row r="13" spans="1:8" ht="12.95" customHeight="1">
      <c r="A13" s="5" t="s">
        <v>350</v>
      </c>
      <c r="B13" s="19" t="s">
        <v>184</v>
      </c>
      <c r="C13" s="16" t="s">
        <v>185</v>
      </c>
      <c r="D13" s="16" t="s">
        <v>186</v>
      </c>
      <c r="E13" s="20">
        <v>8355</v>
      </c>
      <c r="F13" s="21">
        <v>301.41915749999998</v>
      </c>
      <c r="G13" s="22">
        <v>3.9926589205572988E-2</v>
      </c>
      <c r="H13" s="30"/>
    </row>
    <row r="14" spans="1:8" ht="12.95" customHeight="1">
      <c r="A14" s="5" t="s">
        <v>183</v>
      </c>
      <c r="B14" s="19" t="s">
        <v>351</v>
      </c>
      <c r="C14" s="16" t="s">
        <v>352</v>
      </c>
      <c r="D14" s="16" t="s">
        <v>166</v>
      </c>
      <c r="E14" s="20">
        <v>7253</v>
      </c>
      <c r="F14" s="21">
        <v>296.99584399999998</v>
      </c>
      <c r="G14" s="22">
        <v>3.9340668182812628E-2</v>
      </c>
      <c r="H14" s="30"/>
    </row>
    <row r="15" spans="1:8" ht="12.95" customHeight="1">
      <c r="A15" s="5" t="s">
        <v>353</v>
      </c>
      <c r="B15" s="19" t="s">
        <v>239</v>
      </c>
      <c r="C15" s="16" t="s">
        <v>240</v>
      </c>
      <c r="D15" s="16" t="s">
        <v>159</v>
      </c>
      <c r="E15" s="20">
        <v>27315</v>
      </c>
      <c r="F15" s="21">
        <v>217.1405925</v>
      </c>
      <c r="G15" s="22">
        <v>2.8762880596274715E-2</v>
      </c>
      <c r="H15" s="30"/>
    </row>
    <row r="16" spans="1:8" ht="12.95" customHeight="1">
      <c r="A16" s="5" t="s">
        <v>238</v>
      </c>
      <c r="B16" s="19" t="s">
        <v>354</v>
      </c>
      <c r="C16" s="16" t="s">
        <v>355</v>
      </c>
      <c r="D16" s="16" t="s">
        <v>159</v>
      </c>
      <c r="E16" s="20">
        <v>20242</v>
      </c>
      <c r="F16" s="21">
        <v>215.51657399999999</v>
      </c>
      <c r="G16" s="22">
        <v>2.8547759832055371E-2</v>
      </c>
      <c r="H16" s="30"/>
    </row>
    <row r="17" spans="1:8" ht="12.95" customHeight="1">
      <c r="A17" s="5" t="s">
        <v>356</v>
      </c>
      <c r="B17" s="19" t="s">
        <v>357</v>
      </c>
      <c r="C17" s="16" t="s">
        <v>358</v>
      </c>
      <c r="D17" s="16" t="s">
        <v>170</v>
      </c>
      <c r="E17" s="20">
        <v>6284</v>
      </c>
      <c r="F17" s="21">
        <v>188.96616399999999</v>
      </c>
      <c r="G17" s="22">
        <v>2.5030839002928785E-2</v>
      </c>
      <c r="H17" s="30"/>
    </row>
    <row r="18" spans="1:8" ht="12.95" customHeight="1">
      <c r="A18" s="5" t="s">
        <v>359</v>
      </c>
      <c r="B18" s="19" t="s">
        <v>360</v>
      </c>
      <c r="C18" s="16" t="s">
        <v>361</v>
      </c>
      <c r="D18" s="16" t="s">
        <v>159</v>
      </c>
      <c r="E18" s="20">
        <v>10422</v>
      </c>
      <c r="F18" s="21">
        <v>186.14213100000001</v>
      </c>
      <c r="G18" s="22">
        <v>2.4656761899040716E-2</v>
      </c>
      <c r="H18" s="30"/>
    </row>
    <row r="19" spans="1:8" ht="12.95" customHeight="1">
      <c r="A19" s="5" t="s">
        <v>362</v>
      </c>
      <c r="B19" s="19" t="s">
        <v>363</v>
      </c>
      <c r="C19" s="16" t="s">
        <v>364</v>
      </c>
      <c r="D19" s="16" t="s">
        <v>349</v>
      </c>
      <c r="E19" s="20">
        <v>6301</v>
      </c>
      <c r="F19" s="21">
        <v>146.61481850000001</v>
      </c>
      <c r="G19" s="22">
        <v>1.9420894405821378E-2</v>
      </c>
      <c r="H19" s="30"/>
    </row>
    <row r="20" spans="1:8" ht="12.95" customHeight="1">
      <c r="A20" s="5" t="s">
        <v>209</v>
      </c>
      <c r="B20" s="19" t="s">
        <v>366</v>
      </c>
      <c r="C20" s="16" t="s">
        <v>367</v>
      </c>
      <c r="D20" s="16" t="s">
        <v>204</v>
      </c>
      <c r="E20" s="20">
        <v>7661</v>
      </c>
      <c r="F20" s="21">
        <v>144.5132735</v>
      </c>
      <c r="G20" s="22">
        <v>1.9142519518810335E-2</v>
      </c>
      <c r="H20" s="30"/>
    </row>
    <row r="21" spans="1:8" ht="12.95" customHeight="1">
      <c r="A21" s="5" t="s">
        <v>171</v>
      </c>
      <c r="B21" s="19" t="s">
        <v>335</v>
      </c>
      <c r="C21" s="16" t="s">
        <v>336</v>
      </c>
      <c r="D21" s="16" t="s">
        <v>166</v>
      </c>
      <c r="E21" s="20">
        <v>7513</v>
      </c>
      <c r="F21" s="21">
        <v>144.05426199999999</v>
      </c>
      <c r="G21" s="22">
        <v>1.908171793024132E-2</v>
      </c>
      <c r="H21" s="30"/>
    </row>
    <row r="22" spans="1:8" ht="12.95" customHeight="1">
      <c r="A22" s="5" t="s">
        <v>365</v>
      </c>
      <c r="B22" s="19" t="s">
        <v>210</v>
      </c>
      <c r="C22" s="16" t="s">
        <v>211</v>
      </c>
      <c r="D22" s="16" t="s">
        <v>178</v>
      </c>
      <c r="E22" s="20">
        <v>1986</v>
      </c>
      <c r="F22" s="21">
        <v>135.50478000000001</v>
      </c>
      <c r="G22" s="22">
        <v>1.7949236310407849E-2</v>
      </c>
      <c r="H22" s="30"/>
    </row>
    <row r="23" spans="1:8" ht="12.95" customHeight="1">
      <c r="A23" s="5" t="s">
        <v>167</v>
      </c>
      <c r="B23" s="19" t="s">
        <v>439</v>
      </c>
      <c r="C23" s="16" t="s">
        <v>440</v>
      </c>
      <c r="D23" s="16" t="s">
        <v>227</v>
      </c>
      <c r="E23" s="20">
        <v>1576</v>
      </c>
      <c r="F23" s="21">
        <v>112.26399600000001</v>
      </c>
      <c r="G23" s="22">
        <v>1.4870715212811544E-2</v>
      </c>
      <c r="H23" s="30"/>
    </row>
    <row r="24" spans="1:8" ht="12.95" customHeight="1">
      <c r="A24" s="5" t="s">
        <v>334</v>
      </c>
      <c r="B24" s="19" t="s">
        <v>172</v>
      </c>
      <c r="C24" s="16" t="s">
        <v>173</v>
      </c>
      <c r="D24" s="16" t="s">
        <v>174</v>
      </c>
      <c r="E24" s="20">
        <v>33609</v>
      </c>
      <c r="F24" s="21">
        <v>112.0356015</v>
      </c>
      <c r="G24" s="22">
        <v>1.4840461616942104E-2</v>
      </c>
      <c r="H24" s="30"/>
    </row>
    <row r="25" spans="1:8" ht="12.95" customHeight="1">
      <c r="A25" s="5" t="s">
        <v>368</v>
      </c>
      <c r="B25" s="19" t="s">
        <v>168</v>
      </c>
      <c r="C25" s="16" t="s">
        <v>169</v>
      </c>
      <c r="D25" s="16" t="s">
        <v>170</v>
      </c>
      <c r="E25" s="20">
        <v>14925</v>
      </c>
      <c r="F25" s="21">
        <v>110.4673875</v>
      </c>
      <c r="G25" s="22">
        <v>1.4632732829283913E-2</v>
      </c>
      <c r="H25" s="30"/>
    </row>
    <row r="26" spans="1:8" ht="12.95" customHeight="1">
      <c r="A26" s="5" t="s">
        <v>305</v>
      </c>
      <c r="B26" s="19" t="s">
        <v>369</v>
      </c>
      <c r="C26" s="16" t="s">
        <v>370</v>
      </c>
      <c r="D26" s="16" t="s">
        <v>170</v>
      </c>
      <c r="E26" s="20">
        <v>934</v>
      </c>
      <c r="F26" s="21">
        <v>101.417456</v>
      </c>
      <c r="G26" s="22">
        <v>1.3433960659870377E-2</v>
      </c>
      <c r="H26" s="30"/>
    </row>
    <row r="27" spans="1:8" ht="12.95" customHeight="1">
      <c r="A27" s="5" t="s">
        <v>324</v>
      </c>
      <c r="B27" s="19" t="s">
        <v>306</v>
      </c>
      <c r="C27" s="16" t="s">
        <v>307</v>
      </c>
      <c r="D27" s="16" t="s">
        <v>174</v>
      </c>
      <c r="E27" s="20">
        <v>32152</v>
      </c>
      <c r="F27" s="21">
        <v>99.253224000000003</v>
      </c>
      <c r="G27" s="22">
        <v>1.3147282126474385E-2</v>
      </c>
      <c r="H27" s="30"/>
    </row>
    <row r="28" spans="1:8" ht="12.95" customHeight="1">
      <c r="A28" s="5" t="s">
        <v>371</v>
      </c>
      <c r="B28" s="19" t="s">
        <v>325</v>
      </c>
      <c r="C28" s="16" t="s">
        <v>326</v>
      </c>
      <c r="D28" s="16" t="s">
        <v>225</v>
      </c>
      <c r="E28" s="20">
        <v>2936</v>
      </c>
      <c r="F28" s="21">
        <v>95.512484000000001</v>
      </c>
      <c r="G28" s="22">
        <v>1.2651776165461091E-2</v>
      </c>
      <c r="H28" s="30"/>
    </row>
    <row r="29" spans="1:8" ht="12.95" customHeight="1">
      <c r="A29" s="5" t="s">
        <v>374</v>
      </c>
      <c r="B29" s="19" t="s">
        <v>379</v>
      </c>
      <c r="C29" s="16" t="s">
        <v>380</v>
      </c>
      <c r="D29" s="16" t="s">
        <v>381</v>
      </c>
      <c r="E29" s="20">
        <v>809</v>
      </c>
      <c r="F29" s="21">
        <v>92.4391715</v>
      </c>
      <c r="G29" s="22">
        <v>1.2244678996503432E-2</v>
      </c>
      <c r="H29" s="30"/>
    </row>
    <row r="30" spans="1:8" ht="12.95" customHeight="1">
      <c r="A30" s="5" t="s">
        <v>263</v>
      </c>
      <c r="B30" s="19" t="s">
        <v>375</v>
      </c>
      <c r="C30" s="16" t="s">
        <v>376</v>
      </c>
      <c r="D30" s="16" t="s">
        <v>377</v>
      </c>
      <c r="E30" s="20">
        <v>58814</v>
      </c>
      <c r="F30" s="21">
        <v>81.192727000000005</v>
      </c>
      <c r="G30" s="22">
        <v>1.075495228736161E-2</v>
      </c>
      <c r="H30" s="30"/>
    </row>
    <row r="31" spans="1:8" ht="12.95" customHeight="1">
      <c r="A31" s="5" t="s">
        <v>378</v>
      </c>
      <c r="B31" s="19" t="s">
        <v>394</v>
      </c>
      <c r="C31" s="16" t="s">
        <v>395</v>
      </c>
      <c r="D31" s="16" t="s">
        <v>166</v>
      </c>
      <c r="E31" s="20">
        <v>4505</v>
      </c>
      <c r="F31" s="21">
        <v>76.864310000000003</v>
      </c>
      <c r="G31" s="22">
        <v>1.0181601446284367E-2</v>
      </c>
      <c r="H31" s="30"/>
    </row>
    <row r="32" spans="1:8" ht="12.95" customHeight="1">
      <c r="A32" s="5" t="s">
        <v>205</v>
      </c>
      <c r="B32" s="19" t="s">
        <v>314</v>
      </c>
      <c r="C32" s="16" t="s">
        <v>315</v>
      </c>
      <c r="D32" s="16" t="s">
        <v>311</v>
      </c>
      <c r="E32" s="20">
        <v>25385</v>
      </c>
      <c r="F32" s="21">
        <v>74.416127500000002</v>
      </c>
      <c r="G32" s="22">
        <v>9.8573102572687109E-3</v>
      </c>
      <c r="H32" s="30"/>
    </row>
    <row r="33" spans="1:8" ht="12.95" customHeight="1">
      <c r="A33" s="5" t="s">
        <v>382</v>
      </c>
      <c r="B33" s="19" t="s">
        <v>372</v>
      </c>
      <c r="C33" s="16" t="s">
        <v>373</v>
      </c>
      <c r="D33" s="16" t="s">
        <v>225</v>
      </c>
      <c r="E33" s="20">
        <v>3210</v>
      </c>
      <c r="F33" s="21">
        <v>73.231335000000001</v>
      </c>
      <c r="G33" s="22">
        <v>9.7003702544046135E-3</v>
      </c>
      <c r="H33" s="30"/>
    </row>
    <row r="34" spans="1:8" ht="12.95" customHeight="1">
      <c r="A34" s="5" t="s">
        <v>386</v>
      </c>
      <c r="B34" s="19" t="s">
        <v>264</v>
      </c>
      <c r="C34" s="16" t="s">
        <v>265</v>
      </c>
      <c r="D34" s="16" t="s">
        <v>170</v>
      </c>
      <c r="E34" s="20">
        <v>787</v>
      </c>
      <c r="F34" s="21">
        <v>69.244981999999993</v>
      </c>
      <c r="G34" s="22">
        <v>9.1723299003026899E-3</v>
      </c>
      <c r="H34" s="30"/>
    </row>
    <row r="35" spans="1:8" ht="12.95" customHeight="1">
      <c r="A35" s="5" t="s">
        <v>295</v>
      </c>
      <c r="B35" s="19" t="s">
        <v>383</v>
      </c>
      <c r="C35" s="16" t="s">
        <v>384</v>
      </c>
      <c r="D35" s="16" t="s">
        <v>385</v>
      </c>
      <c r="E35" s="20">
        <v>27531</v>
      </c>
      <c r="F35" s="21">
        <v>65.867917500000004</v>
      </c>
      <c r="G35" s="22">
        <v>8.7249971291193454E-3</v>
      </c>
      <c r="H35" s="30"/>
    </row>
    <row r="36" spans="1:8" ht="12.95" customHeight="1">
      <c r="A36" s="5" t="s">
        <v>330</v>
      </c>
      <c r="B36" s="19" t="s">
        <v>391</v>
      </c>
      <c r="C36" s="16" t="s">
        <v>392</v>
      </c>
      <c r="D36" s="16" t="s">
        <v>381</v>
      </c>
      <c r="E36" s="20">
        <v>2637</v>
      </c>
      <c r="F36" s="21">
        <v>64.413999000000004</v>
      </c>
      <c r="G36" s="22">
        <v>8.5324081537889278E-3</v>
      </c>
      <c r="H36" s="30"/>
    </row>
    <row r="37" spans="1:8" ht="12.95" customHeight="1">
      <c r="A37" s="5" t="s">
        <v>390</v>
      </c>
      <c r="B37" s="19" t="s">
        <v>331</v>
      </c>
      <c r="C37" s="16" t="s">
        <v>332</v>
      </c>
      <c r="D37" s="16" t="s">
        <v>333</v>
      </c>
      <c r="E37" s="20">
        <v>5231</v>
      </c>
      <c r="F37" s="21">
        <v>64.398841000000004</v>
      </c>
      <c r="G37" s="22">
        <v>8.530400294553311E-3</v>
      </c>
      <c r="H37" s="30"/>
    </row>
    <row r="38" spans="1:8" ht="12.95" customHeight="1">
      <c r="A38" s="5" t="s">
        <v>393</v>
      </c>
      <c r="B38" s="19" t="s">
        <v>387</v>
      </c>
      <c r="C38" s="16" t="s">
        <v>388</v>
      </c>
      <c r="D38" s="16" t="s">
        <v>389</v>
      </c>
      <c r="E38" s="20">
        <v>10318</v>
      </c>
      <c r="F38" s="21">
        <v>62.160791000000003</v>
      </c>
      <c r="G38" s="22">
        <v>8.2339436800744105E-3</v>
      </c>
      <c r="H38" s="30"/>
    </row>
    <row r="39" spans="1:8" ht="12.95" customHeight="1">
      <c r="A39" s="5" t="s">
        <v>396</v>
      </c>
      <c r="B39" s="19" t="s">
        <v>206</v>
      </c>
      <c r="C39" s="16" t="s">
        <v>207</v>
      </c>
      <c r="D39" s="16" t="s">
        <v>208</v>
      </c>
      <c r="E39" s="20">
        <v>16099</v>
      </c>
      <c r="F39" s="21">
        <v>61.844308499999997</v>
      </c>
      <c r="G39" s="22">
        <v>8.1920217701564827E-3</v>
      </c>
      <c r="H39" s="30"/>
    </row>
    <row r="40" spans="1:8" ht="12.95" customHeight="1">
      <c r="A40" s="5" t="s">
        <v>399</v>
      </c>
      <c r="B40" s="19" t="s">
        <v>400</v>
      </c>
      <c r="C40" s="16" t="s">
        <v>401</v>
      </c>
      <c r="D40" s="16" t="s">
        <v>377</v>
      </c>
      <c r="E40" s="20">
        <v>6811</v>
      </c>
      <c r="F40" s="21">
        <v>61.401164999999999</v>
      </c>
      <c r="G40" s="22">
        <v>8.1333220888543077E-3</v>
      </c>
      <c r="H40" s="30"/>
    </row>
    <row r="41" spans="1:8" ht="12.95" customHeight="1">
      <c r="A41" s="5" t="s">
        <v>402</v>
      </c>
      <c r="B41" s="19" t="s">
        <v>296</v>
      </c>
      <c r="C41" s="16" t="s">
        <v>297</v>
      </c>
      <c r="D41" s="16" t="s">
        <v>178</v>
      </c>
      <c r="E41" s="20">
        <v>3881</v>
      </c>
      <c r="F41" s="21">
        <v>60.857961000000003</v>
      </c>
      <c r="G41" s="22">
        <v>8.0613681920193858E-3</v>
      </c>
      <c r="H41" s="30"/>
    </row>
    <row r="42" spans="1:8" ht="12.95" customHeight="1">
      <c r="A42" s="5" t="s">
        <v>406</v>
      </c>
      <c r="B42" s="19" t="s">
        <v>423</v>
      </c>
      <c r="C42" s="16" t="s">
        <v>424</v>
      </c>
      <c r="D42" s="16" t="s">
        <v>166</v>
      </c>
      <c r="E42" s="20">
        <v>20098</v>
      </c>
      <c r="F42" s="21">
        <v>60.665813</v>
      </c>
      <c r="G42" s="22">
        <v>8.0359158806059278E-3</v>
      </c>
      <c r="H42" s="30"/>
    </row>
    <row r="43" spans="1:8" ht="12.95" customHeight="1">
      <c r="A43" s="5" t="s">
        <v>409</v>
      </c>
      <c r="B43" s="19" t="s">
        <v>417</v>
      </c>
      <c r="C43" s="16" t="s">
        <v>597</v>
      </c>
      <c r="D43" s="16" t="s">
        <v>204</v>
      </c>
      <c r="E43" s="20">
        <v>4329</v>
      </c>
      <c r="F43" s="21">
        <v>60.108165</v>
      </c>
      <c r="G43" s="22">
        <v>7.9620487024146761E-3</v>
      </c>
      <c r="H43" s="30"/>
    </row>
    <row r="44" spans="1:8" ht="12.95" customHeight="1">
      <c r="A44" s="5" t="s">
        <v>284</v>
      </c>
      <c r="B44" s="19" t="s">
        <v>410</v>
      </c>
      <c r="C44" s="16" t="s">
        <v>411</v>
      </c>
      <c r="D44" s="16" t="s">
        <v>204</v>
      </c>
      <c r="E44" s="20">
        <v>3901</v>
      </c>
      <c r="F44" s="21">
        <v>59.64629</v>
      </c>
      <c r="G44" s="22">
        <v>7.9008678088633971E-3</v>
      </c>
      <c r="H44" s="30"/>
    </row>
    <row r="45" spans="1:8" ht="12.95" customHeight="1">
      <c r="A45" s="5" t="s">
        <v>412</v>
      </c>
      <c r="B45" s="19" t="s">
        <v>397</v>
      </c>
      <c r="C45" s="16" t="s">
        <v>398</v>
      </c>
      <c r="D45" s="16" t="s">
        <v>178</v>
      </c>
      <c r="E45" s="20">
        <v>1984</v>
      </c>
      <c r="F45" s="21">
        <v>57.320735999999997</v>
      </c>
      <c r="G45" s="22">
        <v>7.5928202381532394E-3</v>
      </c>
      <c r="H45" s="30"/>
    </row>
    <row r="46" spans="1:8" ht="12.95" customHeight="1">
      <c r="A46" s="5" t="s">
        <v>416</v>
      </c>
      <c r="B46" s="19" t="s">
        <v>403</v>
      </c>
      <c r="C46" s="16" t="s">
        <v>404</v>
      </c>
      <c r="D46" s="16" t="s">
        <v>405</v>
      </c>
      <c r="E46" s="20">
        <v>2542</v>
      </c>
      <c r="F46" s="21">
        <v>55.162671000000003</v>
      </c>
      <c r="G46" s="22">
        <v>7.3069585980087351E-3</v>
      </c>
      <c r="H46" s="30"/>
    </row>
    <row r="47" spans="1:8" ht="12.95" customHeight="1">
      <c r="A47" s="5" t="s">
        <v>418</v>
      </c>
      <c r="B47" s="19" t="s">
        <v>432</v>
      </c>
      <c r="C47" s="16" t="s">
        <v>433</v>
      </c>
      <c r="D47" s="16" t="s">
        <v>434</v>
      </c>
      <c r="E47" s="20">
        <v>718</v>
      </c>
      <c r="F47" s="21">
        <v>52.387793000000002</v>
      </c>
      <c r="G47" s="22">
        <v>6.9393926645077032E-3</v>
      </c>
      <c r="H47" s="30"/>
    </row>
    <row r="48" spans="1:8" ht="12.95" customHeight="1">
      <c r="A48" s="5" t="s">
        <v>422</v>
      </c>
      <c r="B48" s="19" t="s">
        <v>436</v>
      </c>
      <c r="C48" s="16" t="s">
        <v>437</v>
      </c>
      <c r="D48" s="16" t="s">
        <v>170</v>
      </c>
      <c r="E48" s="20">
        <v>976</v>
      </c>
      <c r="F48" s="21">
        <v>47.061743999999997</v>
      </c>
      <c r="G48" s="22">
        <v>6.2338934776759811E-3</v>
      </c>
      <c r="H48" s="30"/>
    </row>
    <row r="49" spans="1:8" ht="12.95" customHeight="1">
      <c r="A49" s="5" t="s">
        <v>425</v>
      </c>
      <c r="B49" s="19" t="s">
        <v>426</v>
      </c>
      <c r="C49" s="16" t="s">
        <v>427</v>
      </c>
      <c r="D49" s="16" t="s">
        <v>287</v>
      </c>
      <c r="E49" s="20">
        <v>7586</v>
      </c>
      <c r="F49" s="21">
        <v>46.809412999999999</v>
      </c>
      <c r="G49" s="22">
        <v>6.2004692047651546E-3</v>
      </c>
      <c r="H49" s="30"/>
    </row>
    <row r="50" spans="1:8" ht="12.95" customHeight="1">
      <c r="A50" s="5" t="s">
        <v>428</v>
      </c>
      <c r="B50" s="19" t="s">
        <v>407</v>
      </c>
      <c r="C50" s="16" t="s">
        <v>408</v>
      </c>
      <c r="D50" s="16" t="s">
        <v>159</v>
      </c>
      <c r="E50" s="20">
        <v>4688</v>
      </c>
      <c r="F50" s="21">
        <v>45.011831999999998</v>
      </c>
      <c r="G50" s="22">
        <v>5.9623580019271495E-3</v>
      </c>
      <c r="H50" s="30"/>
    </row>
    <row r="51" spans="1:8" ht="12.95" customHeight="1">
      <c r="A51" s="5" t="s">
        <v>292</v>
      </c>
      <c r="B51" s="19" t="s">
        <v>413</v>
      </c>
      <c r="C51" s="16" t="s">
        <v>414</v>
      </c>
      <c r="D51" s="16" t="s">
        <v>415</v>
      </c>
      <c r="E51" s="20">
        <v>1767</v>
      </c>
      <c r="F51" s="21">
        <v>44.681245500000003</v>
      </c>
      <c r="G51" s="22">
        <v>5.9185678477382663E-3</v>
      </c>
      <c r="H51" s="30"/>
    </row>
    <row r="52" spans="1:8" ht="12.95" customHeight="1">
      <c r="A52" s="5" t="s">
        <v>431</v>
      </c>
      <c r="B52" s="19" t="s">
        <v>285</v>
      </c>
      <c r="C52" s="16" t="s">
        <v>286</v>
      </c>
      <c r="D52" s="16" t="s">
        <v>287</v>
      </c>
      <c r="E52" s="20">
        <v>3176</v>
      </c>
      <c r="F52" s="21">
        <v>44.159103999999999</v>
      </c>
      <c r="G52" s="22">
        <v>5.8494039321112992E-3</v>
      </c>
      <c r="H52" s="30"/>
    </row>
    <row r="53" spans="1:8" ht="12.95" customHeight="1">
      <c r="A53" s="5" t="s">
        <v>298</v>
      </c>
      <c r="B53" s="19" t="s">
        <v>419</v>
      </c>
      <c r="C53" s="16" t="s">
        <v>420</v>
      </c>
      <c r="D53" s="16" t="s">
        <v>421</v>
      </c>
      <c r="E53" s="20">
        <v>4616</v>
      </c>
      <c r="F53" s="21">
        <v>42.222552</v>
      </c>
      <c r="G53" s="22">
        <v>5.5928843504744518E-3</v>
      </c>
      <c r="H53" s="30"/>
    </row>
    <row r="54" spans="1:8" ht="12.95" customHeight="1">
      <c r="A54" s="5" t="s">
        <v>435</v>
      </c>
      <c r="B54" s="19" t="s">
        <v>299</v>
      </c>
      <c r="C54" s="16" t="s">
        <v>300</v>
      </c>
      <c r="D54" s="16" t="s">
        <v>276</v>
      </c>
      <c r="E54" s="20">
        <v>13737</v>
      </c>
      <c r="F54" s="21">
        <v>40.173856499999999</v>
      </c>
      <c r="G54" s="22">
        <v>5.3215100147678508E-3</v>
      </c>
      <c r="H54" s="30"/>
    </row>
    <row r="55" spans="1:8" ht="12.95" customHeight="1">
      <c r="A55" s="5" t="s">
        <v>438</v>
      </c>
      <c r="B55" s="19" t="s">
        <v>429</v>
      </c>
      <c r="C55" s="16" t="s">
        <v>430</v>
      </c>
      <c r="D55" s="16" t="s">
        <v>405</v>
      </c>
      <c r="E55" s="20">
        <v>836</v>
      </c>
      <c r="F55" s="21">
        <v>39.816589999999998</v>
      </c>
      <c r="G55" s="22">
        <v>5.2741857739972125E-3</v>
      </c>
      <c r="H55" s="30"/>
    </row>
    <row r="56" spans="1:8" ht="12.95" customHeight="1">
      <c r="A56" s="5" t="s">
        <v>313</v>
      </c>
      <c r="B56" s="19" t="s">
        <v>293</v>
      </c>
      <c r="C56" s="16" t="s">
        <v>294</v>
      </c>
      <c r="D56" s="16" t="s">
        <v>170</v>
      </c>
      <c r="E56" s="20">
        <v>920</v>
      </c>
      <c r="F56" s="21">
        <v>38.277520000000003</v>
      </c>
      <c r="G56" s="22">
        <v>5.0703174593277273E-3</v>
      </c>
      <c r="H56" s="30"/>
    </row>
    <row r="57" spans="1:8" ht="12.95" customHeight="1">
      <c r="A57" s="1"/>
      <c r="B57" s="15" t="s">
        <v>16</v>
      </c>
      <c r="C57" s="16"/>
      <c r="D57" s="16"/>
      <c r="E57" s="16"/>
      <c r="F57" s="23">
        <v>7536.1499615000002</v>
      </c>
      <c r="G57" s="24">
        <v>0.99825361533102008</v>
      </c>
      <c r="H57" s="25"/>
    </row>
    <row r="58" spans="1:8" ht="12.95" customHeight="1">
      <c r="A58" s="1"/>
      <c r="B58" s="26" t="s">
        <v>17</v>
      </c>
      <c r="C58" s="27"/>
      <c r="D58" s="27"/>
      <c r="E58" s="27"/>
      <c r="F58" s="28" t="s">
        <v>18</v>
      </c>
      <c r="G58" s="28" t="s">
        <v>18</v>
      </c>
      <c r="H58" s="25"/>
    </row>
    <row r="59" spans="1:8" ht="12.95" customHeight="1">
      <c r="A59" s="1"/>
      <c r="B59" s="26" t="s">
        <v>16</v>
      </c>
      <c r="C59" s="27"/>
      <c r="D59" s="27"/>
      <c r="E59" s="27"/>
      <c r="F59" s="28" t="s">
        <v>18</v>
      </c>
      <c r="G59" s="28" t="s">
        <v>18</v>
      </c>
      <c r="H59" s="25"/>
    </row>
    <row r="60" spans="1:8" ht="12.95" customHeight="1">
      <c r="A60" s="1"/>
      <c r="B60" s="26" t="s">
        <v>19</v>
      </c>
      <c r="C60" s="29"/>
      <c r="D60" s="27"/>
      <c r="E60" s="29"/>
      <c r="F60" s="23">
        <v>7536.1499615000002</v>
      </c>
      <c r="G60" s="24">
        <v>0.99825361533102008</v>
      </c>
      <c r="H60" s="25"/>
    </row>
    <row r="61" spans="1:8" ht="12.95" customHeight="1">
      <c r="A61" s="1"/>
      <c r="B61" s="15" t="s">
        <v>119</v>
      </c>
      <c r="C61" s="16"/>
      <c r="D61" s="16"/>
      <c r="E61" s="16"/>
      <c r="F61" s="16"/>
      <c r="G61" s="17"/>
      <c r="H61" s="18"/>
    </row>
    <row r="62" spans="1:8" ht="12.95" customHeight="1">
      <c r="A62" s="1"/>
      <c r="B62" s="19" t="s">
        <v>540</v>
      </c>
      <c r="C62" s="16"/>
      <c r="D62" s="16" t="s">
        <v>121</v>
      </c>
      <c r="E62" s="20"/>
      <c r="F62" s="21">
        <v>12</v>
      </c>
      <c r="G62" s="22">
        <v>1.5895441896949627E-3</v>
      </c>
      <c r="H62" s="30">
        <v>6.2725000000000003E-2</v>
      </c>
    </row>
    <row r="63" spans="1:8" ht="12.95" customHeight="1">
      <c r="A63" s="1"/>
      <c r="B63" s="15" t="s">
        <v>16</v>
      </c>
      <c r="C63" s="16"/>
      <c r="D63" s="16"/>
      <c r="E63" s="16"/>
      <c r="F63" s="23">
        <v>12</v>
      </c>
      <c r="G63" s="24">
        <v>1.5895441896949627E-3</v>
      </c>
      <c r="H63" s="25"/>
    </row>
    <row r="64" spans="1:8" ht="12.95" customHeight="1">
      <c r="A64" s="1"/>
      <c r="B64" s="26" t="s">
        <v>19</v>
      </c>
      <c r="C64" s="29"/>
      <c r="D64" s="27"/>
      <c r="E64" s="29"/>
      <c r="F64" s="23">
        <v>12</v>
      </c>
      <c r="G64" s="24">
        <v>1.5895441896949627E-3</v>
      </c>
      <c r="H64" s="25"/>
    </row>
    <row r="65" spans="1:8" ht="12.95" customHeight="1">
      <c r="A65" s="1"/>
      <c r="B65" s="26" t="s">
        <v>122</v>
      </c>
      <c r="C65" s="16"/>
      <c r="D65" s="27"/>
      <c r="E65" s="16"/>
      <c r="F65" s="23">
        <v>1.18404116325951</v>
      </c>
      <c r="G65" s="24">
        <v>1.5684047928490156E-4</v>
      </c>
      <c r="H65" s="25"/>
    </row>
    <row r="66" spans="1:8" ht="12.95" customHeight="1" thickBot="1">
      <c r="A66" s="1"/>
      <c r="B66" s="31" t="s">
        <v>123</v>
      </c>
      <c r="C66" s="32"/>
      <c r="D66" s="32"/>
      <c r="E66" s="32"/>
      <c r="F66" s="33">
        <v>7549.3340026632595</v>
      </c>
      <c r="G66" s="34">
        <v>1</v>
      </c>
      <c r="H66" s="35"/>
    </row>
    <row r="69" spans="1:8">
      <c r="B69" s="63" t="s">
        <v>657</v>
      </c>
      <c r="C69" s="79"/>
      <c r="D69" s="79"/>
      <c r="E69" s="79"/>
      <c r="F69" s="79"/>
      <c r="G69" s="79"/>
    </row>
    <row r="70" spans="1:8">
      <c r="B70" s="114"/>
      <c r="C70" s="114"/>
      <c r="D70" s="114"/>
      <c r="E70" s="115"/>
      <c r="F70" s="115"/>
      <c r="G70" s="115"/>
    </row>
    <row r="71" spans="1:8" ht="15.75" thickBot="1">
      <c r="B71" s="116" t="s">
        <v>658</v>
      </c>
      <c r="C71" s="117"/>
      <c r="D71" s="117"/>
      <c r="E71" s="118"/>
      <c r="F71" s="118"/>
      <c r="G71" s="118"/>
    </row>
    <row r="72" spans="1:8" ht="15.75" thickBot="1">
      <c r="B72" s="119" t="s">
        <v>670</v>
      </c>
      <c r="C72" s="120"/>
      <c r="D72" s="121"/>
      <c r="E72" s="122" t="s">
        <v>674</v>
      </c>
      <c r="F72" s="105"/>
      <c r="G72" s="107"/>
    </row>
    <row r="73" spans="1:8" ht="168.75" customHeight="1" thickBot="1">
      <c r="B73" s="108" t="s">
        <v>675</v>
      </c>
      <c r="C73" s="123"/>
      <c r="D73" s="124"/>
      <c r="E73" s="111"/>
      <c r="F73" s="110"/>
      <c r="G73" s="112"/>
    </row>
    <row r="74" spans="1:8">
      <c r="B74" s="125" t="s">
        <v>676</v>
      </c>
      <c r="C74" s="125"/>
      <c r="D74" s="125"/>
      <c r="E74" s="125"/>
      <c r="F74" s="125"/>
      <c r="G74" s="125"/>
    </row>
  </sheetData>
  <mergeCells count="6">
    <mergeCell ref="B70:D70"/>
    <mergeCell ref="E70:G71"/>
    <mergeCell ref="C72:D73"/>
    <mergeCell ref="E72:G73"/>
    <mergeCell ref="B74:D74"/>
    <mergeCell ref="E74:G74"/>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77"/>
  <sheetViews>
    <sheetView topLeftCell="A72" workbookViewId="0">
      <selection activeCell="H76" sqref="H76"/>
    </sheetView>
  </sheetViews>
  <sheetFormatPr defaultRowHeight="15"/>
  <cols>
    <col min="1" max="1" width="3.42578125" customWidth="1"/>
    <col min="2" max="2" width="50" customWidth="1"/>
    <col min="3" max="3" width="16.5703125" customWidth="1"/>
    <col min="4" max="4" width="36.5703125" customWidth="1"/>
    <col min="5" max="5" width="16.5703125" customWidth="1"/>
    <col min="6" max="6" width="16.5703125" style="8" customWidth="1"/>
    <col min="7" max="7" width="21.7109375" customWidth="1"/>
    <col min="8" max="8" width="16.5703125" customWidth="1"/>
  </cols>
  <sheetData>
    <row r="1" spans="1:8" ht="15.95" customHeight="1">
      <c r="A1" s="1"/>
      <c r="B1" s="37" t="s">
        <v>677</v>
      </c>
      <c r="C1" s="1"/>
      <c r="D1" s="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154</v>
      </c>
      <c r="E4" s="13" t="s">
        <v>3</v>
      </c>
      <c r="F4" s="13" t="s">
        <v>4</v>
      </c>
      <c r="G4" s="13" t="s">
        <v>5</v>
      </c>
      <c r="H4" s="14" t="s">
        <v>6</v>
      </c>
    </row>
    <row r="5" spans="1:8" ht="12.95" customHeight="1">
      <c r="A5" s="1"/>
      <c r="B5" s="15" t="s">
        <v>155</v>
      </c>
      <c r="C5" s="16"/>
      <c r="D5" s="16"/>
      <c r="E5" s="16"/>
      <c r="F5" s="16"/>
      <c r="G5" s="17"/>
      <c r="H5" s="18"/>
    </row>
    <row r="6" spans="1:8" ht="12.95" customHeight="1">
      <c r="A6" s="1"/>
      <c r="B6" s="15" t="s">
        <v>8</v>
      </c>
      <c r="C6" s="16"/>
      <c r="D6" s="16"/>
      <c r="E6" s="16"/>
      <c r="F6" s="16"/>
      <c r="G6" s="17"/>
      <c r="H6" s="18"/>
    </row>
    <row r="7" spans="1:8" ht="12.95" customHeight="1">
      <c r="A7" s="5" t="s">
        <v>156</v>
      </c>
      <c r="B7" s="19" t="s">
        <v>157</v>
      </c>
      <c r="C7" s="16" t="s">
        <v>158</v>
      </c>
      <c r="D7" s="16" t="s">
        <v>159</v>
      </c>
      <c r="E7" s="20">
        <v>397912</v>
      </c>
      <c r="F7" s="21">
        <v>7054.3828919999996</v>
      </c>
      <c r="G7" s="22">
        <v>5.2956486728724508E-2</v>
      </c>
      <c r="H7" s="30"/>
    </row>
    <row r="8" spans="1:8" ht="12.95" customHeight="1">
      <c r="A8" s="5" t="s">
        <v>167</v>
      </c>
      <c r="B8" s="19" t="s">
        <v>258</v>
      </c>
      <c r="C8" s="16" t="s">
        <v>259</v>
      </c>
      <c r="D8" s="16" t="s">
        <v>225</v>
      </c>
      <c r="E8" s="20">
        <v>28212</v>
      </c>
      <c r="F8" s="21">
        <v>5060.188956</v>
      </c>
      <c r="G8" s="22">
        <v>3.7986289289335659E-2</v>
      </c>
      <c r="H8" s="30"/>
    </row>
    <row r="9" spans="1:8" ht="12.95" customHeight="1">
      <c r="A9" s="5" t="s">
        <v>175</v>
      </c>
      <c r="B9" s="19" t="s">
        <v>176</v>
      </c>
      <c r="C9" s="16" t="s">
        <v>177</v>
      </c>
      <c r="D9" s="16" t="s">
        <v>178</v>
      </c>
      <c r="E9" s="20">
        <v>400079</v>
      </c>
      <c r="F9" s="21">
        <v>4744.7369005</v>
      </c>
      <c r="G9" s="22">
        <v>3.5618224946020932E-2</v>
      </c>
      <c r="H9" s="30"/>
    </row>
    <row r="10" spans="1:8" ht="12.95" customHeight="1">
      <c r="A10" s="5" t="s">
        <v>163</v>
      </c>
      <c r="B10" s="19" t="s">
        <v>202</v>
      </c>
      <c r="C10" s="16" t="s">
        <v>203</v>
      </c>
      <c r="D10" s="16" t="s">
        <v>204</v>
      </c>
      <c r="E10" s="20">
        <v>69627</v>
      </c>
      <c r="F10" s="21">
        <v>4246.4114760000002</v>
      </c>
      <c r="G10" s="22">
        <v>3.1877350069630647E-2</v>
      </c>
      <c r="H10" s="30"/>
    </row>
    <row r="11" spans="1:8" ht="12.95" customHeight="1">
      <c r="A11" s="5" t="s">
        <v>160</v>
      </c>
      <c r="B11" s="19" t="s">
        <v>210</v>
      </c>
      <c r="C11" s="16" t="s">
        <v>211</v>
      </c>
      <c r="D11" s="16" t="s">
        <v>178</v>
      </c>
      <c r="E11" s="20">
        <v>58942</v>
      </c>
      <c r="F11" s="21">
        <v>4021.6126599999998</v>
      </c>
      <c r="G11" s="22">
        <v>3.0189809756269247E-2</v>
      </c>
      <c r="H11" s="30"/>
    </row>
    <row r="12" spans="1:8" ht="12.95" customHeight="1">
      <c r="A12" s="5" t="s">
        <v>187</v>
      </c>
      <c r="B12" s="19" t="s">
        <v>168</v>
      </c>
      <c r="C12" s="16" t="s">
        <v>169</v>
      </c>
      <c r="D12" s="16" t="s">
        <v>170</v>
      </c>
      <c r="E12" s="20">
        <v>497682</v>
      </c>
      <c r="F12" s="21">
        <v>3683.5933230000001</v>
      </c>
      <c r="G12" s="22">
        <v>2.7652335280054955E-2</v>
      </c>
      <c r="H12" s="30"/>
    </row>
    <row r="13" spans="1:8" ht="12.95" customHeight="1">
      <c r="A13" s="5" t="s">
        <v>257</v>
      </c>
      <c r="B13" s="19" t="s">
        <v>573</v>
      </c>
      <c r="C13" s="16" t="s">
        <v>574</v>
      </c>
      <c r="D13" s="16" t="s">
        <v>481</v>
      </c>
      <c r="E13" s="20">
        <v>266305</v>
      </c>
      <c r="F13" s="21">
        <v>3603.3729549999998</v>
      </c>
      <c r="G13" s="22">
        <v>2.705012968412919E-2</v>
      </c>
      <c r="H13" s="30"/>
    </row>
    <row r="14" spans="1:8" ht="12.95" customHeight="1">
      <c r="A14" s="5" t="s">
        <v>183</v>
      </c>
      <c r="B14" s="19" t="s">
        <v>161</v>
      </c>
      <c r="C14" s="16" t="s">
        <v>162</v>
      </c>
      <c r="D14" s="16" t="s">
        <v>159</v>
      </c>
      <c r="E14" s="20">
        <v>265843</v>
      </c>
      <c r="F14" s="21">
        <v>3407.1768095000002</v>
      </c>
      <c r="G14" s="22">
        <v>2.5577306513844478E-2</v>
      </c>
      <c r="H14" s="30"/>
    </row>
    <row r="15" spans="1:8" ht="12.95" customHeight="1">
      <c r="A15" s="5" t="s">
        <v>171</v>
      </c>
      <c r="B15" s="19" t="s">
        <v>164</v>
      </c>
      <c r="C15" s="16" t="s">
        <v>165</v>
      </c>
      <c r="D15" s="16" t="s">
        <v>166</v>
      </c>
      <c r="E15" s="20">
        <v>180888</v>
      </c>
      <c r="F15" s="21">
        <v>3400.6943999999999</v>
      </c>
      <c r="G15" s="22">
        <v>2.5528643769290846E-2</v>
      </c>
      <c r="H15" s="30"/>
    </row>
    <row r="16" spans="1:8" ht="12.95" customHeight="1">
      <c r="A16" s="5" t="s">
        <v>179</v>
      </c>
      <c r="B16" s="19" t="s">
        <v>571</v>
      </c>
      <c r="C16" s="16" t="s">
        <v>572</v>
      </c>
      <c r="D16" s="16" t="s">
        <v>227</v>
      </c>
      <c r="E16" s="20">
        <v>1118106</v>
      </c>
      <c r="F16" s="21">
        <v>3108.8937329999999</v>
      </c>
      <c r="G16" s="22">
        <v>2.3338127832462044E-2</v>
      </c>
      <c r="H16" s="30"/>
    </row>
    <row r="17" spans="1:8" ht="12.95" customHeight="1">
      <c r="A17" s="5" t="s">
        <v>235</v>
      </c>
      <c r="B17" s="19" t="s">
        <v>233</v>
      </c>
      <c r="C17" s="16" t="s">
        <v>234</v>
      </c>
      <c r="D17" s="16" t="s">
        <v>200</v>
      </c>
      <c r="E17" s="20">
        <v>94186</v>
      </c>
      <c r="F17" s="21">
        <v>3083.6496400000001</v>
      </c>
      <c r="G17" s="22">
        <v>2.3148623166157466E-2</v>
      </c>
      <c r="H17" s="30"/>
    </row>
    <row r="18" spans="1:8" ht="12.95" customHeight="1">
      <c r="A18" s="5" t="s">
        <v>212</v>
      </c>
      <c r="B18" s="19" t="s">
        <v>236</v>
      </c>
      <c r="C18" s="16" t="s">
        <v>237</v>
      </c>
      <c r="D18" s="16" t="s">
        <v>204</v>
      </c>
      <c r="E18" s="20">
        <v>268694</v>
      </c>
      <c r="F18" s="21">
        <v>3059.7529249999998</v>
      </c>
      <c r="G18" s="22">
        <v>2.2969233120262347E-2</v>
      </c>
      <c r="H18" s="30"/>
    </row>
    <row r="19" spans="1:8" ht="12.95" customHeight="1">
      <c r="A19" s="5" t="s">
        <v>393</v>
      </c>
      <c r="B19" s="19" t="s">
        <v>188</v>
      </c>
      <c r="C19" s="16" t="s">
        <v>189</v>
      </c>
      <c r="D19" s="16" t="s">
        <v>182</v>
      </c>
      <c r="E19" s="20">
        <v>892052</v>
      </c>
      <c r="F19" s="21">
        <v>3049.0337359999999</v>
      </c>
      <c r="G19" s="22">
        <v>2.2888765331837521E-2</v>
      </c>
      <c r="H19" s="30"/>
    </row>
    <row r="20" spans="1:8" ht="12.95" customHeight="1">
      <c r="A20" s="5" t="s">
        <v>441</v>
      </c>
      <c r="B20" s="19" t="s">
        <v>394</v>
      </c>
      <c r="C20" s="16" t="s">
        <v>395</v>
      </c>
      <c r="D20" s="16" t="s">
        <v>166</v>
      </c>
      <c r="E20" s="20">
        <v>171964</v>
      </c>
      <c r="F20" s="21">
        <v>2934.0497679999999</v>
      </c>
      <c r="G20" s="22">
        <v>2.2025593163749867E-2</v>
      </c>
      <c r="H20" s="30"/>
    </row>
    <row r="21" spans="1:8" ht="12.95" customHeight="1">
      <c r="A21" s="5" t="s">
        <v>194</v>
      </c>
      <c r="B21" s="19" t="s">
        <v>191</v>
      </c>
      <c r="C21" s="16" t="s">
        <v>192</v>
      </c>
      <c r="D21" s="16" t="s">
        <v>193</v>
      </c>
      <c r="E21" s="20">
        <v>5025834</v>
      </c>
      <c r="F21" s="21">
        <v>2927.0457216</v>
      </c>
      <c r="G21" s="22">
        <v>2.1973014547603358E-2</v>
      </c>
      <c r="H21" s="30"/>
    </row>
    <row r="22" spans="1:8" ht="12.95" customHeight="1">
      <c r="A22" s="5" t="s">
        <v>209</v>
      </c>
      <c r="B22" s="19" t="s">
        <v>184</v>
      </c>
      <c r="C22" s="16" t="s">
        <v>185</v>
      </c>
      <c r="D22" s="16" t="s">
        <v>186</v>
      </c>
      <c r="E22" s="20">
        <v>80303</v>
      </c>
      <c r="F22" s="21">
        <v>2897.0511795000002</v>
      </c>
      <c r="G22" s="22">
        <v>2.1747848775491081E-2</v>
      </c>
      <c r="H22" s="30"/>
    </row>
    <row r="23" spans="1:8" ht="12.95" customHeight="1">
      <c r="A23" s="5" t="s">
        <v>201</v>
      </c>
      <c r="B23" s="19" t="s">
        <v>213</v>
      </c>
      <c r="C23" s="16" t="s">
        <v>214</v>
      </c>
      <c r="D23" s="16" t="s">
        <v>178</v>
      </c>
      <c r="E23" s="20">
        <v>575302</v>
      </c>
      <c r="F23" s="21">
        <v>2880.5371140000002</v>
      </c>
      <c r="G23" s="22">
        <v>2.1623879478122804E-2</v>
      </c>
      <c r="H23" s="30"/>
    </row>
    <row r="24" spans="1:8" ht="12.95" customHeight="1">
      <c r="A24" s="5" t="s">
        <v>197</v>
      </c>
      <c r="B24" s="19" t="s">
        <v>466</v>
      </c>
      <c r="C24" s="16" t="s">
        <v>467</v>
      </c>
      <c r="D24" s="16" t="s">
        <v>166</v>
      </c>
      <c r="E24" s="20">
        <v>29698</v>
      </c>
      <c r="F24" s="21">
        <v>2869.7028909999999</v>
      </c>
      <c r="G24" s="22">
        <v>2.1542548141945093E-2</v>
      </c>
      <c r="H24" s="30"/>
    </row>
    <row r="25" spans="1:8" ht="12.95" customHeight="1">
      <c r="A25" s="5" t="s">
        <v>444</v>
      </c>
      <c r="B25" s="19" t="s">
        <v>636</v>
      </c>
      <c r="C25" s="16" t="s">
        <v>637</v>
      </c>
      <c r="D25" s="16" t="s">
        <v>247</v>
      </c>
      <c r="E25" s="20">
        <v>141108</v>
      </c>
      <c r="F25" s="21">
        <v>2708.5680600000001</v>
      </c>
      <c r="G25" s="22">
        <v>2.0332926454261577E-2</v>
      </c>
      <c r="H25" s="30"/>
    </row>
    <row r="26" spans="1:8" ht="12.95" customHeight="1">
      <c r="A26" s="5" t="s">
        <v>447</v>
      </c>
      <c r="B26" s="19" t="s">
        <v>180</v>
      </c>
      <c r="C26" s="16" t="s">
        <v>181</v>
      </c>
      <c r="D26" s="16" t="s">
        <v>182</v>
      </c>
      <c r="E26" s="20">
        <v>169058</v>
      </c>
      <c r="F26" s="21">
        <v>2684.2183949999999</v>
      </c>
      <c r="G26" s="22">
        <v>2.0150136161877007E-2</v>
      </c>
      <c r="H26" s="30"/>
    </row>
    <row r="27" spans="1:8" ht="12.95" customHeight="1">
      <c r="A27" s="5" t="s">
        <v>190</v>
      </c>
      <c r="B27" s="19" t="s">
        <v>198</v>
      </c>
      <c r="C27" s="16" t="s">
        <v>199</v>
      </c>
      <c r="D27" s="16" t="s">
        <v>200</v>
      </c>
      <c r="E27" s="20">
        <v>169674</v>
      </c>
      <c r="F27" s="21">
        <v>2660.9125049999998</v>
      </c>
      <c r="G27" s="22">
        <v>1.9975181375132194E-2</v>
      </c>
      <c r="H27" s="30"/>
    </row>
    <row r="28" spans="1:8" ht="12.95" customHeight="1">
      <c r="A28" s="5" t="s">
        <v>222</v>
      </c>
      <c r="B28" s="19" t="s">
        <v>195</v>
      </c>
      <c r="C28" s="16" t="s">
        <v>196</v>
      </c>
      <c r="D28" s="16" t="s">
        <v>193</v>
      </c>
      <c r="E28" s="20">
        <v>435741</v>
      </c>
      <c r="F28" s="21">
        <v>2591.787468</v>
      </c>
      <c r="G28" s="22">
        <v>1.9456267224801E-2</v>
      </c>
      <c r="H28" s="30"/>
    </row>
    <row r="29" spans="1:8" ht="12.95" customHeight="1">
      <c r="A29" s="5" t="s">
        <v>248</v>
      </c>
      <c r="B29" s="19" t="s">
        <v>475</v>
      </c>
      <c r="C29" s="16" t="s">
        <v>476</v>
      </c>
      <c r="D29" s="16" t="s">
        <v>477</v>
      </c>
      <c r="E29" s="20">
        <v>5447</v>
      </c>
      <c r="F29" s="21">
        <v>2588.1093679999999</v>
      </c>
      <c r="G29" s="22">
        <v>1.9428656127300492E-2</v>
      </c>
      <c r="H29" s="30"/>
    </row>
    <row r="30" spans="1:8" ht="12.95" customHeight="1">
      <c r="A30" s="5" t="s">
        <v>448</v>
      </c>
      <c r="B30" s="19" t="s">
        <v>457</v>
      </c>
      <c r="C30" s="16" t="s">
        <v>458</v>
      </c>
      <c r="D30" s="16" t="s">
        <v>227</v>
      </c>
      <c r="E30" s="20">
        <v>197966</v>
      </c>
      <c r="F30" s="21">
        <v>2553.0685189999999</v>
      </c>
      <c r="G30" s="22">
        <v>1.9165608276986594E-2</v>
      </c>
      <c r="H30" s="30"/>
    </row>
    <row r="31" spans="1:8" ht="12.95" customHeight="1">
      <c r="A31" s="5" t="s">
        <v>452</v>
      </c>
      <c r="B31" s="19" t="s">
        <v>442</v>
      </c>
      <c r="C31" s="16" t="s">
        <v>443</v>
      </c>
      <c r="D31" s="16" t="s">
        <v>227</v>
      </c>
      <c r="E31" s="20">
        <v>385088</v>
      </c>
      <c r="F31" s="21">
        <v>2510.966304</v>
      </c>
      <c r="G31" s="22">
        <v>1.8849551518510123E-2</v>
      </c>
      <c r="H31" s="30"/>
    </row>
    <row r="32" spans="1:8" ht="12.95" customHeight="1">
      <c r="A32" s="5" t="s">
        <v>456</v>
      </c>
      <c r="B32" s="19" t="s">
        <v>598</v>
      </c>
      <c r="C32" s="16" t="s">
        <v>599</v>
      </c>
      <c r="D32" s="16" t="s">
        <v>227</v>
      </c>
      <c r="E32" s="20">
        <v>453085</v>
      </c>
      <c r="F32" s="21">
        <v>2450.7367650000001</v>
      </c>
      <c r="G32" s="22">
        <v>1.8397414906199526E-2</v>
      </c>
      <c r="H32" s="30"/>
    </row>
    <row r="33" spans="1:8" ht="12.95" customHeight="1">
      <c r="A33" s="5" t="s">
        <v>459</v>
      </c>
      <c r="B33" s="19" t="s">
        <v>492</v>
      </c>
      <c r="C33" s="16" t="s">
        <v>493</v>
      </c>
      <c r="D33" s="16" t="s">
        <v>178</v>
      </c>
      <c r="E33" s="20">
        <v>338241</v>
      </c>
      <c r="F33" s="21">
        <v>2245.4128784999998</v>
      </c>
      <c r="G33" s="22">
        <v>1.6856070774899517E-2</v>
      </c>
      <c r="H33" s="30"/>
    </row>
    <row r="34" spans="1:8" ht="12.95" customHeight="1">
      <c r="A34" s="5" t="s">
        <v>462</v>
      </c>
      <c r="B34" s="19" t="s">
        <v>600</v>
      </c>
      <c r="C34" s="16" t="s">
        <v>601</v>
      </c>
      <c r="D34" s="16" t="s">
        <v>322</v>
      </c>
      <c r="E34" s="20">
        <v>33369</v>
      </c>
      <c r="F34" s="21">
        <v>2080.2568289999999</v>
      </c>
      <c r="G34" s="22">
        <v>1.5616262236376072E-2</v>
      </c>
      <c r="H34" s="30"/>
    </row>
    <row r="35" spans="1:8" ht="12.95" customHeight="1">
      <c r="A35" s="5" t="s">
        <v>215</v>
      </c>
      <c r="B35" s="19" t="s">
        <v>223</v>
      </c>
      <c r="C35" s="16" t="s">
        <v>224</v>
      </c>
      <c r="D35" s="16" t="s">
        <v>225</v>
      </c>
      <c r="E35" s="20">
        <v>521295</v>
      </c>
      <c r="F35" s="21">
        <v>2063.2856099999999</v>
      </c>
      <c r="G35" s="22">
        <v>1.5488861137300067E-2</v>
      </c>
      <c r="H35" s="30"/>
    </row>
    <row r="36" spans="1:8" ht="12.95" customHeight="1">
      <c r="A36" s="5" t="s">
        <v>308</v>
      </c>
      <c r="B36" s="19" t="s">
        <v>445</v>
      </c>
      <c r="C36" s="16" t="s">
        <v>446</v>
      </c>
      <c r="D36" s="16" t="s">
        <v>200</v>
      </c>
      <c r="E36" s="20">
        <v>64654</v>
      </c>
      <c r="F36" s="21">
        <v>2018.3685720000001</v>
      </c>
      <c r="G36" s="22">
        <v>1.5151673808067043E-2</v>
      </c>
      <c r="H36" s="30"/>
    </row>
    <row r="37" spans="1:8" ht="12.95" customHeight="1">
      <c r="A37" s="5" t="s">
        <v>244</v>
      </c>
      <c r="B37" s="19" t="s">
        <v>249</v>
      </c>
      <c r="C37" s="16" t="s">
        <v>250</v>
      </c>
      <c r="D37" s="16" t="s">
        <v>251</v>
      </c>
      <c r="E37" s="20">
        <v>27682</v>
      </c>
      <c r="F37" s="21">
        <v>1928.729509</v>
      </c>
      <c r="G37" s="22">
        <v>1.4478763091026423E-2</v>
      </c>
      <c r="H37" s="30"/>
    </row>
    <row r="38" spans="1:8" ht="12.95" customHeight="1">
      <c r="A38" s="5" t="s">
        <v>465</v>
      </c>
      <c r="B38" s="19" t="s">
        <v>453</v>
      </c>
      <c r="C38" s="16" t="s">
        <v>454</v>
      </c>
      <c r="D38" s="16" t="s">
        <v>455</v>
      </c>
      <c r="E38" s="20">
        <v>400841</v>
      </c>
      <c r="F38" s="21">
        <v>1855.092148</v>
      </c>
      <c r="G38" s="22">
        <v>1.3925975414168523E-2</v>
      </c>
      <c r="H38" s="30"/>
    </row>
    <row r="39" spans="1:8" ht="12.95" customHeight="1">
      <c r="A39" s="5" t="s">
        <v>468</v>
      </c>
      <c r="B39" s="19" t="s">
        <v>216</v>
      </c>
      <c r="C39" s="16" t="s">
        <v>217</v>
      </c>
      <c r="D39" s="16" t="s">
        <v>218</v>
      </c>
      <c r="E39" s="20">
        <v>347179</v>
      </c>
      <c r="F39" s="21">
        <v>1849.4225329999999</v>
      </c>
      <c r="G39" s="22">
        <v>1.3883414229710423E-2</v>
      </c>
      <c r="H39" s="30"/>
    </row>
    <row r="40" spans="1:8" ht="12.95" customHeight="1">
      <c r="A40" s="5" t="s">
        <v>205</v>
      </c>
      <c r="B40" s="19" t="s">
        <v>489</v>
      </c>
      <c r="C40" s="16" t="s">
        <v>490</v>
      </c>
      <c r="D40" s="16" t="s">
        <v>421</v>
      </c>
      <c r="E40" s="20">
        <v>322087</v>
      </c>
      <c r="F40" s="21">
        <v>1706.4169260000001</v>
      </c>
      <c r="G40" s="22">
        <v>1.2809886658954812E-2</v>
      </c>
      <c r="H40" s="30"/>
    </row>
    <row r="41" spans="1:8" ht="12.95" customHeight="1">
      <c r="A41" s="5" t="s">
        <v>219</v>
      </c>
      <c r="B41" s="19" t="s">
        <v>309</v>
      </c>
      <c r="C41" s="16" t="s">
        <v>310</v>
      </c>
      <c r="D41" s="16" t="s">
        <v>311</v>
      </c>
      <c r="E41" s="20">
        <v>40735</v>
      </c>
      <c r="F41" s="21">
        <v>1702.0508725</v>
      </c>
      <c r="G41" s="22">
        <v>1.277711116919626E-2</v>
      </c>
      <c r="H41" s="30"/>
    </row>
    <row r="42" spans="1:8" ht="12.95" customHeight="1">
      <c r="A42" s="5" t="s">
        <v>471</v>
      </c>
      <c r="B42" s="19" t="s">
        <v>472</v>
      </c>
      <c r="C42" s="16" t="s">
        <v>473</v>
      </c>
      <c r="D42" s="16" t="s">
        <v>247</v>
      </c>
      <c r="E42" s="20">
        <v>61174</v>
      </c>
      <c r="F42" s="21">
        <v>1667.3891309999999</v>
      </c>
      <c r="G42" s="22">
        <v>1.2516909237738749E-2</v>
      </c>
      <c r="H42" s="30"/>
    </row>
    <row r="43" spans="1:8" ht="12.95" customHeight="1">
      <c r="A43" s="5" t="s">
        <v>474</v>
      </c>
      <c r="B43" s="19" t="s">
        <v>479</v>
      </c>
      <c r="C43" s="16" t="s">
        <v>480</v>
      </c>
      <c r="D43" s="16" t="s">
        <v>481</v>
      </c>
      <c r="E43" s="20">
        <v>228646</v>
      </c>
      <c r="F43" s="21">
        <v>1664.54288</v>
      </c>
      <c r="G43" s="22">
        <v>1.2495542740397209E-2</v>
      </c>
      <c r="H43" s="30"/>
    </row>
    <row r="44" spans="1:8" ht="12.95" customHeight="1">
      <c r="A44" s="5" t="s">
        <v>478</v>
      </c>
      <c r="B44" s="19" t="s">
        <v>449</v>
      </c>
      <c r="C44" s="16" t="s">
        <v>450</v>
      </c>
      <c r="D44" s="16" t="s">
        <v>451</v>
      </c>
      <c r="E44" s="20">
        <v>49551</v>
      </c>
      <c r="F44" s="21">
        <v>1651.3118505</v>
      </c>
      <c r="G44" s="22">
        <v>1.2396218837959378E-2</v>
      </c>
      <c r="H44" s="30"/>
    </row>
    <row r="45" spans="1:8" ht="12.95" customHeight="1">
      <c r="A45" s="5" t="s">
        <v>241</v>
      </c>
      <c r="B45" s="19" t="s">
        <v>469</v>
      </c>
      <c r="C45" s="16" t="s">
        <v>470</v>
      </c>
      <c r="D45" s="16" t="s">
        <v>159</v>
      </c>
      <c r="E45" s="20">
        <v>525897</v>
      </c>
      <c r="F45" s="21">
        <v>1541.6670555000001</v>
      </c>
      <c r="G45" s="22">
        <v>1.157312726210007E-2</v>
      </c>
      <c r="H45" s="30"/>
    </row>
    <row r="46" spans="1:8" ht="12.95" customHeight="1">
      <c r="A46" s="5" t="s">
        <v>232</v>
      </c>
      <c r="B46" s="19" t="s">
        <v>245</v>
      </c>
      <c r="C46" s="16" t="s">
        <v>246</v>
      </c>
      <c r="D46" s="16" t="s">
        <v>247</v>
      </c>
      <c r="E46" s="20">
        <v>171578</v>
      </c>
      <c r="F46" s="21">
        <v>1529.3605030000001</v>
      </c>
      <c r="G46" s="22">
        <v>1.1480743308163906E-2</v>
      </c>
      <c r="H46" s="30"/>
    </row>
    <row r="47" spans="1:8" ht="12.95" customHeight="1">
      <c r="A47" s="5" t="s">
        <v>482</v>
      </c>
      <c r="B47" s="19" t="s">
        <v>220</v>
      </c>
      <c r="C47" s="16" t="s">
        <v>221</v>
      </c>
      <c r="D47" s="16" t="s">
        <v>178</v>
      </c>
      <c r="E47" s="20">
        <v>86416</v>
      </c>
      <c r="F47" s="21">
        <v>1451.399928</v>
      </c>
      <c r="G47" s="22">
        <v>1.0895501733024403E-2</v>
      </c>
      <c r="H47" s="30"/>
    </row>
    <row r="48" spans="1:8" ht="12.95" customHeight="1">
      <c r="A48" s="5" t="s">
        <v>485</v>
      </c>
      <c r="B48" s="19" t="s">
        <v>460</v>
      </c>
      <c r="C48" s="16" t="s">
        <v>461</v>
      </c>
      <c r="D48" s="16" t="s">
        <v>193</v>
      </c>
      <c r="E48" s="20">
        <v>11632</v>
      </c>
      <c r="F48" s="21">
        <v>1400.952264</v>
      </c>
      <c r="G48" s="22">
        <v>1.0516796594671226E-2</v>
      </c>
      <c r="H48" s="30"/>
    </row>
    <row r="49" spans="1:8" ht="12.95" customHeight="1">
      <c r="A49" s="5" t="s">
        <v>488</v>
      </c>
      <c r="B49" s="19" t="s">
        <v>270</v>
      </c>
      <c r="C49" s="16" t="s">
        <v>271</v>
      </c>
      <c r="D49" s="16" t="s">
        <v>272</v>
      </c>
      <c r="E49" s="20">
        <v>50336</v>
      </c>
      <c r="F49" s="21">
        <v>1349.3319839999999</v>
      </c>
      <c r="G49" s="22">
        <v>1.012928875527494E-2</v>
      </c>
      <c r="H49" s="30"/>
    </row>
    <row r="50" spans="1:8" ht="12.95" customHeight="1">
      <c r="A50" s="5" t="s">
        <v>491</v>
      </c>
      <c r="B50" s="19" t="s">
        <v>483</v>
      </c>
      <c r="C50" s="16" t="s">
        <v>484</v>
      </c>
      <c r="D50" s="16" t="s">
        <v>481</v>
      </c>
      <c r="E50" s="20">
        <v>9272</v>
      </c>
      <c r="F50" s="21">
        <v>1336.299184</v>
      </c>
      <c r="G50" s="22">
        <v>1.0031452940178936E-2</v>
      </c>
      <c r="H50" s="30"/>
    </row>
    <row r="51" spans="1:8" ht="12.95" customHeight="1">
      <c r="A51" s="5" t="s">
        <v>494</v>
      </c>
      <c r="B51" s="19" t="s">
        <v>242</v>
      </c>
      <c r="C51" s="16" t="s">
        <v>243</v>
      </c>
      <c r="D51" s="16" t="s">
        <v>231</v>
      </c>
      <c r="E51" s="20">
        <v>335216</v>
      </c>
      <c r="F51" s="21">
        <v>1209.7945440000001</v>
      </c>
      <c r="G51" s="22">
        <v>9.0817963377737392E-3</v>
      </c>
      <c r="H51" s="30"/>
    </row>
    <row r="52" spans="1:8" ht="12.95" customHeight="1">
      <c r="A52" s="5" t="s">
        <v>252</v>
      </c>
      <c r="B52" s="19" t="s">
        <v>172</v>
      </c>
      <c r="C52" s="16" t="s">
        <v>173</v>
      </c>
      <c r="D52" s="16" t="s">
        <v>174</v>
      </c>
      <c r="E52" s="20">
        <v>357097</v>
      </c>
      <c r="F52" s="21">
        <v>1190.3828495</v>
      </c>
      <c r="G52" s="22">
        <v>8.93607485399419E-3</v>
      </c>
      <c r="H52" s="30"/>
    </row>
    <row r="53" spans="1:8" ht="12.95" customHeight="1">
      <c r="A53" s="5" t="s">
        <v>238</v>
      </c>
      <c r="B53" s="19" t="s">
        <v>486</v>
      </c>
      <c r="C53" s="16" t="s">
        <v>487</v>
      </c>
      <c r="D53" s="16" t="s">
        <v>200</v>
      </c>
      <c r="E53" s="20">
        <v>109289</v>
      </c>
      <c r="F53" s="21">
        <v>1122.5619635</v>
      </c>
      <c r="G53" s="22">
        <v>8.4269508236750629E-3</v>
      </c>
      <c r="H53" s="30"/>
    </row>
    <row r="54" spans="1:8" ht="12.95" customHeight="1">
      <c r="A54" s="5" t="s">
        <v>228</v>
      </c>
      <c r="B54" s="19" t="s">
        <v>463</v>
      </c>
      <c r="C54" s="16" t="s">
        <v>464</v>
      </c>
      <c r="D54" s="16" t="s">
        <v>159</v>
      </c>
      <c r="E54" s="20">
        <v>588070</v>
      </c>
      <c r="F54" s="21">
        <v>935.384142</v>
      </c>
      <c r="G54" s="22">
        <v>7.0218272328621371E-3</v>
      </c>
      <c r="H54" s="30"/>
    </row>
    <row r="55" spans="1:8" ht="12.95" customHeight="1">
      <c r="A55" s="1"/>
      <c r="B55" s="19" t="s">
        <v>239</v>
      </c>
      <c r="C55" s="16" t="s">
        <v>240</v>
      </c>
      <c r="D55" s="16" t="s">
        <v>159</v>
      </c>
      <c r="E55" s="20">
        <v>115919</v>
      </c>
      <c r="F55" s="21">
        <v>921.49809049999999</v>
      </c>
      <c r="G55" s="22">
        <v>6.9175861513625682E-3</v>
      </c>
      <c r="H55" s="30"/>
    </row>
    <row r="56" spans="1:8" ht="12.95" customHeight="1">
      <c r="A56" s="1"/>
      <c r="B56" s="19" t="s">
        <v>495</v>
      </c>
      <c r="C56" s="16" t="s">
        <v>496</v>
      </c>
      <c r="D56" s="16" t="s">
        <v>434</v>
      </c>
      <c r="E56" s="20">
        <v>30317</v>
      </c>
      <c r="F56" s="21">
        <v>909.63126799999998</v>
      </c>
      <c r="G56" s="22">
        <v>6.8285032028106768E-3</v>
      </c>
      <c r="H56" s="30"/>
    </row>
    <row r="57" spans="1:8" ht="12.95" customHeight="1">
      <c r="A57" s="1"/>
      <c r="B57" s="19" t="s">
        <v>253</v>
      </c>
      <c r="C57" s="16" t="s">
        <v>254</v>
      </c>
      <c r="D57" s="16" t="s">
        <v>182</v>
      </c>
      <c r="E57" s="20">
        <v>9117736</v>
      </c>
      <c r="F57" s="21">
        <v>723.94823840000004</v>
      </c>
      <c r="G57" s="22">
        <v>5.4346008525550677E-3</v>
      </c>
      <c r="H57" s="30"/>
    </row>
    <row r="58" spans="1:8" ht="12.95" customHeight="1">
      <c r="A58" s="1"/>
      <c r="B58" s="19" t="s">
        <v>229</v>
      </c>
      <c r="C58" s="16" t="s">
        <v>230</v>
      </c>
      <c r="D58" s="16" t="s">
        <v>231</v>
      </c>
      <c r="E58" s="20">
        <v>137024</v>
      </c>
      <c r="F58" s="21">
        <v>672.03420800000004</v>
      </c>
      <c r="G58" s="22">
        <v>5.0448878607879345E-3</v>
      </c>
      <c r="H58" s="30"/>
    </row>
    <row r="59" spans="1:8" ht="12.95" customHeight="1">
      <c r="A59" s="1"/>
      <c r="B59" s="19" t="s">
        <v>602</v>
      </c>
      <c r="C59" s="16" t="s">
        <v>603</v>
      </c>
      <c r="D59" s="16" t="s">
        <v>322</v>
      </c>
      <c r="E59" s="20">
        <v>14117</v>
      </c>
      <c r="F59" s="21">
        <v>413.86103050000003</v>
      </c>
      <c r="G59" s="22">
        <v>3.1068098379043157E-3</v>
      </c>
      <c r="H59" s="30"/>
    </row>
    <row r="60" spans="1:8" ht="12.95" customHeight="1">
      <c r="A60" s="5" t="s">
        <v>120</v>
      </c>
      <c r="B60" s="15" t="s">
        <v>16</v>
      </c>
      <c r="C60" s="16"/>
      <c r="D60" s="16"/>
      <c r="E60" s="16"/>
      <c r="F60" s="23">
        <v>125920.6414565</v>
      </c>
      <c r="G60" s="24">
        <v>0.94527258872293418</v>
      </c>
      <c r="H60" s="25"/>
    </row>
    <row r="61" spans="1:8" ht="12.95" customHeight="1">
      <c r="A61" s="1"/>
      <c r="B61" s="26" t="s">
        <v>17</v>
      </c>
      <c r="C61" s="27"/>
      <c r="D61" s="27"/>
      <c r="E61" s="27"/>
      <c r="F61" s="28" t="s">
        <v>18</v>
      </c>
      <c r="G61" s="28" t="s">
        <v>18</v>
      </c>
      <c r="H61" s="25"/>
    </row>
    <row r="62" spans="1:8" ht="12.95" customHeight="1">
      <c r="A62" s="1"/>
      <c r="B62" s="26" t="s">
        <v>16</v>
      </c>
      <c r="C62" s="27"/>
      <c r="D62" s="27"/>
      <c r="E62" s="27"/>
      <c r="F62" s="28" t="s">
        <v>18</v>
      </c>
      <c r="G62" s="28" t="s">
        <v>18</v>
      </c>
      <c r="H62" s="25"/>
    </row>
    <row r="63" spans="1:8" ht="12.95" customHeight="1">
      <c r="A63" s="1"/>
      <c r="B63" s="26" t="s">
        <v>19</v>
      </c>
      <c r="C63" s="29"/>
      <c r="D63" s="27"/>
      <c r="E63" s="29"/>
      <c r="F63" s="23">
        <v>125920.6414565</v>
      </c>
      <c r="G63" s="24">
        <v>0.94527258872293418</v>
      </c>
      <c r="H63" s="25"/>
    </row>
    <row r="64" spans="1:8" ht="12.95" customHeight="1">
      <c r="A64" s="1"/>
      <c r="B64" s="15" t="s">
        <v>119</v>
      </c>
      <c r="C64" s="16"/>
      <c r="D64" s="16"/>
      <c r="E64" s="16"/>
      <c r="F64" s="16"/>
      <c r="G64" s="17"/>
      <c r="H64" s="18"/>
    </row>
    <row r="65" spans="1:8" ht="12.95" customHeight="1">
      <c r="A65" s="1"/>
      <c r="B65" s="19" t="s">
        <v>540</v>
      </c>
      <c r="C65" s="16"/>
      <c r="D65" s="16" t="s">
        <v>121</v>
      </c>
      <c r="E65" s="20"/>
      <c r="F65" s="21">
        <v>5938</v>
      </c>
      <c r="G65" s="22">
        <v>4.4575921524159609E-2</v>
      </c>
      <c r="H65" s="30">
        <v>6.2725000000000003E-2</v>
      </c>
    </row>
    <row r="66" spans="1:8" ht="12.95" customHeight="1">
      <c r="A66" s="1"/>
      <c r="B66" s="15" t="s">
        <v>16</v>
      </c>
      <c r="C66" s="16"/>
      <c r="D66" s="16"/>
      <c r="E66" s="16"/>
      <c r="F66" s="23">
        <v>5938</v>
      </c>
      <c r="G66" s="24">
        <v>4.4575921524159609E-2</v>
      </c>
      <c r="H66" s="25"/>
    </row>
    <row r="67" spans="1:8" ht="12.95" customHeight="1">
      <c r="A67" s="1"/>
      <c r="B67" s="26" t="s">
        <v>19</v>
      </c>
      <c r="C67" s="29"/>
      <c r="D67" s="27"/>
      <c r="E67" s="29"/>
      <c r="F67" s="23">
        <v>5938</v>
      </c>
      <c r="G67" s="24">
        <v>4.4575921524159609E-2</v>
      </c>
      <c r="H67" s="25"/>
    </row>
    <row r="68" spans="1:8" ht="12.95" customHeight="1">
      <c r="A68" s="1"/>
      <c r="B68" s="26" t="s">
        <v>122</v>
      </c>
      <c r="C68" s="16"/>
      <c r="D68" s="27"/>
      <c r="E68" s="16"/>
      <c r="F68" s="23">
        <v>1352.2893995603904</v>
      </c>
      <c r="G68" s="24">
        <v>1.0151489752906178E-2</v>
      </c>
      <c r="H68" s="25"/>
    </row>
    <row r="69" spans="1:8" ht="15.75" thickBot="1">
      <c r="B69" s="31" t="s">
        <v>123</v>
      </c>
      <c r="C69" s="32"/>
      <c r="D69" s="32"/>
      <c r="E69" s="32"/>
      <c r="F69" s="33">
        <v>133210.93085606038</v>
      </c>
      <c r="G69" s="34">
        <v>1</v>
      </c>
      <c r="H69" s="35"/>
    </row>
    <row r="72" spans="1:8">
      <c r="B72" s="63" t="s">
        <v>657</v>
      </c>
      <c r="C72" s="126"/>
      <c r="D72" s="126"/>
      <c r="E72" s="126"/>
      <c r="F72" s="126"/>
      <c r="G72" s="126"/>
    </row>
    <row r="73" spans="1:8">
      <c r="B73" s="126"/>
      <c r="C73" s="126"/>
      <c r="D73" s="126"/>
      <c r="E73" s="126"/>
      <c r="F73" s="126"/>
      <c r="G73" s="126"/>
    </row>
    <row r="74" spans="1:8" ht="15.75" thickBot="1">
      <c r="B74" s="65" t="s">
        <v>658</v>
      </c>
      <c r="C74" s="126"/>
      <c r="D74" s="126"/>
      <c r="E74" s="126"/>
      <c r="F74" s="126"/>
      <c r="G74" s="126"/>
    </row>
    <row r="75" spans="1:8" ht="15.75" thickBot="1">
      <c r="B75" s="66" t="s">
        <v>678</v>
      </c>
      <c r="C75" s="127"/>
      <c r="D75" s="128"/>
      <c r="E75" s="95" t="s">
        <v>679</v>
      </c>
      <c r="F75" s="94"/>
      <c r="G75" s="96"/>
    </row>
    <row r="76" spans="1:8" ht="170.25" customHeight="1" thickBot="1">
      <c r="B76" s="97" t="s">
        <v>680</v>
      </c>
      <c r="C76" s="129"/>
      <c r="D76" s="130"/>
      <c r="E76" s="100"/>
      <c r="F76" s="99"/>
      <c r="G76" s="101"/>
    </row>
    <row r="77" spans="1:8">
      <c r="B77" s="113" t="s">
        <v>661</v>
      </c>
      <c r="C77" s="113"/>
      <c r="D77" s="113"/>
      <c r="E77" s="126"/>
      <c r="F77" s="126"/>
      <c r="G77" s="126"/>
    </row>
  </sheetData>
  <mergeCells count="3">
    <mergeCell ref="C75:D76"/>
    <mergeCell ref="E75:G76"/>
    <mergeCell ref="B77:D77"/>
  </mergeCells>
  <conditionalFormatting sqref="F63">
    <cfRule type="cellIs" dxfId="3"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31"/>
  <sheetViews>
    <sheetView tabSelected="1" topLeftCell="A129" workbookViewId="0">
      <selection activeCell="D135" sqref="D135"/>
    </sheetView>
  </sheetViews>
  <sheetFormatPr defaultRowHeight="15"/>
  <cols>
    <col min="1" max="1" width="3.42578125" customWidth="1"/>
    <col min="2" max="2" width="50" customWidth="1"/>
    <col min="3" max="3" width="16.5703125" customWidth="1"/>
    <col min="4" max="4" width="38.28515625" customWidth="1"/>
    <col min="5" max="5" width="16.5703125" customWidth="1"/>
    <col min="6" max="6" width="16.5703125" style="8" customWidth="1"/>
    <col min="7" max="7" width="20.7109375" customWidth="1"/>
    <col min="8" max="8" width="16.5703125" customWidth="1"/>
  </cols>
  <sheetData>
    <row r="1" spans="1:8" ht="15.95" customHeight="1">
      <c r="A1" s="1"/>
      <c r="B1" s="131" t="s">
        <v>681</v>
      </c>
      <c r="C1" s="131"/>
      <c r="D1" s="131"/>
      <c r="E1" s="1"/>
      <c r="F1" s="7"/>
      <c r="G1" s="1"/>
      <c r="H1" s="1"/>
    </row>
    <row r="2" spans="1:8" ht="12.95" customHeight="1">
      <c r="A2" s="1"/>
      <c r="B2" s="3"/>
      <c r="C2" s="1"/>
      <c r="D2" s="1"/>
      <c r="E2" s="1"/>
      <c r="F2" s="7"/>
      <c r="G2" s="1"/>
      <c r="H2" s="1"/>
    </row>
    <row r="3" spans="1:8" ht="12.95" customHeight="1" thickBot="1">
      <c r="A3" s="4"/>
      <c r="B3" s="9" t="s">
        <v>607</v>
      </c>
      <c r="C3" s="10"/>
      <c r="D3" s="10"/>
      <c r="E3" s="10"/>
      <c r="F3" s="10"/>
      <c r="G3" s="10"/>
      <c r="H3" s="10"/>
    </row>
    <row r="4" spans="1:8" ht="27.95" customHeight="1">
      <c r="A4" s="1"/>
      <c r="B4" s="11" t="s">
        <v>0</v>
      </c>
      <c r="C4" s="12" t="s">
        <v>1</v>
      </c>
      <c r="D4" s="13" t="s">
        <v>2</v>
      </c>
      <c r="E4" s="13" t="s">
        <v>3</v>
      </c>
      <c r="F4" s="13" t="s">
        <v>4</v>
      </c>
      <c r="G4" s="13" t="s">
        <v>5</v>
      </c>
      <c r="H4" s="14" t="s">
        <v>6</v>
      </c>
    </row>
    <row r="5" spans="1:8" ht="12.95" customHeight="1">
      <c r="A5" s="1"/>
      <c r="B5" s="15" t="s">
        <v>155</v>
      </c>
      <c r="C5" s="16"/>
      <c r="D5" s="16"/>
      <c r="E5" s="16"/>
      <c r="F5" s="16"/>
      <c r="G5" s="17"/>
      <c r="H5" s="18"/>
    </row>
    <row r="6" spans="1:8" ht="12.95" customHeight="1">
      <c r="A6" s="1"/>
      <c r="B6" s="15" t="s">
        <v>8</v>
      </c>
      <c r="C6" s="16"/>
      <c r="D6" s="16"/>
      <c r="E6" s="16"/>
      <c r="F6" s="16"/>
      <c r="G6" s="17"/>
      <c r="H6" s="18"/>
    </row>
    <row r="7" spans="1:8" ht="12.95" customHeight="1">
      <c r="A7" s="5" t="s">
        <v>156</v>
      </c>
      <c r="B7" s="19" t="s">
        <v>157</v>
      </c>
      <c r="C7" s="16" t="s">
        <v>158</v>
      </c>
      <c r="D7" s="16" t="s">
        <v>159</v>
      </c>
      <c r="E7" s="20">
        <v>122626</v>
      </c>
      <c r="F7" s="21">
        <v>2173.9750410000001</v>
      </c>
      <c r="G7" s="22">
        <v>2.5153286685801746E-2</v>
      </c>
      <c r="H7" s="30"/>
    </row>
    <row r="8" spans="1:8" ht="12.95" customHeight="1">
      <c r="A8" s="5" t="s">
        <v>160</v>
      </c>
      <c r="B8" s="19" t="s">
        <v>258</v>
      </c>
      <c r="C8" s="16" t="s">
        <v>259</v>
      </c>
      <c r="D8" s="16" t="s">
        <v>225</v>
      </c>
      <c r="E8" s="20">
        <v>8645</v>
      </c>
      <c r="F8" s="21">
        <v>1550.5931350000001</v>
      </c>
      <c r="G8" s="22">
        <v>1.7940644635805223E-2</v>
      </c>
      <c r="H8" s="30"/>
    </row>
    <row r="9" spans="1:8" ht="12.95" customHeight="1">
      <c r="A9" s="5" t="s">
        <v>163</v>
      </c>
      <c r="B9" s="19" t="s">
        <v>161</v>
      </c>
      <c r="C9" s="16" t="s">
        <v>162</v>
      </c>
      <c r="D9" s="16" t="s">
        <v>159</v>
      </c>
      <c r="E9" s="20">
        <v>108457</v>
      </c>
      <c r="F9" s="21">
        <v>1390.0391405</v>
      </c>
      <c r="G9" s="22">
        <v>1.6083005713533376E-2</v>
      </c>
      <c r="H9" s="30"/>
    </row>
    <row r="10" spans="1:8" ht="12.95" customHeight="1">
      <c r="A10" s="5" t="s">
        <v>167</v>
      </c>
      <c r="B10" s="19" t="s">
        <v>176</v>
      </c>
      <c r="C10" s="16" t="s">
        <v>177</v>
      </c>
      <c r="D10" s="16" t="s">
        <v>178</v>
      </c>
      <c r="E10" s="20">
        <v>115476</v>
      </c>
      <c r="F10" s="21">
        <v>1369.4876220000001</v>
      </c>
      <c r="G10" s="22">
        <v>1.5845220906021844E-2</v>
      </c>
      <c r="H10" s="30"/>
    </row>
    <row r="11" spans="1:8" ht="12.95" customHeight="1">
      <c r="A11" s="5" t="s">
        <v>175</v>
      </c>
      <c r="B11" s="19" t="s">
        <v>164</v>
      </c>
      <c r="C11" s="16" t="s">
        <v>165</v>
      </c>
      <c r="D11" s="16" t="s">
        <v>166</v>
      </c>
      <c r="E11" s="20">
        <v>65747</v>
      </c>
      <c r="F11" s="21">
        <v>1236.0436</v>
      </c>
      <c r="G11" s="22">
        <v>1.4301249297070683E-2</v>
      </c>
      <c r="H11" s="30"/>
    </row>
    <row r="12" spans="1:8" ht="12.95" customHeight="1">
      <c r="A12" s="5" t="s">
        <v>257</v>
      </c>
      <c r="B12" s="19" t="s">
        <v>573</v>
      </c>
      <c r="C12" s="16" t="s">
        <v>574</v>
      </c>
      <c r="D12" s="16" t="s">
        <v>481</v>
      </c>
      <c r="E12" s="20">
        <v>79953</v>
      </c>
      <c r="F12" s="21">
        <v>1081.8440430000001</v>
      </c>
      <c r="G12" s="22">
        <v>1.2517132372590948E-2</v>
      </c>
      <c r="H12" s="30"/>
    </row>
    <row r="13" spans="1:8" ht="12.95" customHeight="1">
      <c r="A13" s="5" t="s">
        <v>179</v>
      </c>
      <c r="B13" s="19" t="s">
        <v>202</v>
      </c>
      <c r="C13" s="16" t="s">
        <v>203</v>
      </c>
      <c r="D13" s="16" t="s">
        <v>204</v>
      </c>
      <c r="E13" s="20">
        <v>17407</v>
      </c>
      <c r="F13" s="21">
        <v>1061.6181160000001</v>
      </c>
      <c r="G13" s="22">
        <v>1.2283114717961813E-2</v>
      </c>
      <c r="H13" s="30"/>
    </row>
    <row r="14" spans="1:8" ht="12.95" customHeight="1">
      <c r="A14" s="5" t="s">
        <v>187</v>
      </c>
      <c r="B14" s="19" t="s">
        <v>168</v>
      </c>
      <c r="C14" s="16" t="s">
        <v>169</v>
      </c>
      <c r="D14" s="16" t="s">
        <v>170</v>
      </c>
      <c r="E14" s="20">
        <v>142591</v>
      </c>
      <c r="F14" s="21">
        <v>1055.3872865000001</v>
      </c>
      <c r="G14" s="22">
        <v>1.2211022887214869E-2</v>
      </c>
      <c r="H14" s="30"/>
    </row>
    <row r="15" spans="1:8" ht="12.95" customHeight="1">
      <c r="A15" s="5" t="s">
        <v>235</v>
      </c>
      <c r="B15" s="19" t="s">
        <v>236</v>
      </c>
      <c r="C15" s="16" t="s">
        <v>237</v>
      </c>
      <c r="D15" s="16" t="s">
        <v>204</v>
      </c>
      <c r="E15" s="20">
        <v>90924</v>
      </c>
      <c r="F15" s="21">
        <v>1035.39705</v>
      </c>
      <c r="G15" s="22">
        <v>1.1979732214544502E-2</v>
      </c>
      <c r="H15" s="30"/>
    </row>
    <row r="16" spans="1:8" ht="12.95" customHeight="1">
      <c r="A16" s="5" t="s">
        <v>441</v>
      </c>
      <c r="B16" s="19" t="s">
        <v>188</v>
      </c>
      <c r="C16" s="16" t="s">
        <v>189</v>
      </c>
      <c r="D16" s="16" t="s">
        <v>182</v>
      </c>
      <c r="E16" s="20">
        <v>276104</v>
      </c>
      <c r="F16" s="21">
        <v>943.72347200000002</v>
      </c>
      <c r="G16" s="22">
        <v>1.0919052241012457E-2</v>
      </c>
      <c r="H16" s="30"/>
    </row>
    <row r="17" spans="1:8" ht="12.95" customHeight="1">
      <c r="A17" s="5" t="s">
        <v>171</v>
      </c>
      <c r="B17" s="19" t="s">
        <v>210</v>
      </c>
      <c r="C17" s="16" t="s">
        <v>211</v>
      </c>
      <c r="D17" s="16" t="s">
        <v>178</v>
      </c>
      <c r="E17" s="20">
        <v>13749</v>
      </c>
      <c r="F17" s="21">
        <v>938.09427000000005</v>
      </c>
      <c r="G17" s="22">
        <v>1.0853921349880809E-2</v>
      </c>
      <c r="H17" s="30"/>
    </row>
    <row r="18" spans="1:8" ht="12.95" customHeight="1">
      <c r="A18" s="5" t="s">
        <v>183</v>
      </c>
      <c r="B18" s="19" t="s">
        <v>394</v>
      </c>
      <c r="C18" s="16" t="s">
        <v>395</v>
      </c>
      <c r="D18" s="16" t="s">
        <v>166</v>
      </c>
      <c r="E18" s="20">
        <v>50026</v>
      </c>
      <c r="F18" s="21">
        <v>853.54361200000005</v>
      </c>
      <c r="G18" s="22">
        <v>9.8756548564582769E-3</v>
      </c>
      <c r="H18" s="30"/>
    </row>
    <row r="19" spans="1:8" ht="12.95" customHeight="1">
      <c r="A19" s="5" t="s">
        <v>212</v>
      </c>
      <c r="B19" s="19" t="s">
        <v>442</v>
      </c>
      <c r="C19" s="16" t="s">
        <v>443</v>
      </c>
      <c r="D19" s="16" t="s">
        <v>227</v>
      </c>
      <c r="E19" s="20">
        <v>130003</v>
      </c>
      <c r="F19" s="21">
        <v>847.68456149999997</v>
      </c>
      <c r="G19" s="22">
        <v>9.8078645763705619E-3</v>
      </c>
      <c r="H19" s="30"/>
    </row>
    <row r="20" spans="1:8" ht="12.95" customHeight="1">
      <c r="A20" s="5" t="s">
        <v>201</v>
      </c>
      <c r="B20" s="19" t="s">
        <v>184</v>
      </c>
      <c r="C20" s="16" t="s">
        <v>185</v>
      </c>
      <c r="D20" s="16" t="s">
        <v>186</v>
      </c>
      <c r="E20" s="20">
        <v>23320</v>
      </c>
      <c r="F20" s="21">
        <v>841.30398000000002</v>
      </c>
      <c r="G20" s="22">
        <v>9.7340400877426719E-3</v>
      </c>
      <c r="H20" s="30"/>
    </row>
    <row r="21" spans="1:8" ht="12.95" customHeight="1">
      <c r="A21" s="5" t="s">
        <v>209</v>
      </c>
      <c r="B21" s="19" t="s">
        <v>180</v>
      </c>
      <c r="C21" s="16" t="s">
        <v>181</v>
      </c>
      <c r="D21" s="16" t="s">
        <v>182</v>
      </c>
      <c r="E21" s="20">
        <v>52440</v>
      </c>
      <c r="F21" s="21">
        <v>832.61609999999996</v>
      </c>
      <c r="G21" s="22">
        <v>9.6335197357558695E-3</v>
      </c>
      <c r="H21" s="30"/>
    </row>
    <row r="22" spans="1:8" ht="12.95" customHeight="1">
      <c r="A22" s="5" t="s">
        <v>197</v>
      </c>
      <c r="B22" s="19" t="s">
        <v>636</v>
      </c>
      <c r="C22" s="16" t="s">
        <v>637</v>
      </c>
      <c r="D22" s="16" t="s">
        <v>247</v>
      </c>
      <c r="E22" s="20">
        <v>43241</v>
      </c>
      <c r="F22" s="21">
        <v>830.01099499999998</v>
      </c>
      <c r="G22" s="22">
        <v>9.6033781970188501E-3</v>
      </c>
      <c r="H22" s="30"/>
    </row>
    <row r="23" spans="1:8" ht="12.95" customHeight="1">
      <c r="A23" s="5" t="s">
        <v>393</v>
      </c>
      <c r="B23" s="19" t="s">
        <v>198</v>
      </c>
      <c r="C23" s="16" t="s">
        <v>199</v>
      </c>
      <c r="D23" s="16" t="s">
        <v>200</v>
      </c>
      <c r="E23" s="20">
        <v>49900</v>
      </c>
      <c r="F23" s="21">
        <v>782.55674999999997</v>
      </c>
      <c r="G23" s="22">
        <v>9.0543239501061443E-3</v>
      </c>
      <c r="H23" s="30"/>
    </row>
    <row r="24" spans="1:8" ht="12.95" customHeight="1">
      <c r="A24" s="5" t="s">
        <v>194</v>
      </c>
      <c r="B24" s="19" t="s">
        <v>233</v>
      </c>
      <c r="C24" s="16" t="s">
        <v>234</v>
      </c>
      <c r="D24" s="16" t="s">
        <v>200</v>
      </c>
      <c r="E24" s="20">
        <v>23813</v>
      </c>
      <c r="F24" s="21">
        <v>779.63761999999997</v>
      </c>
      <c r="G24" s="22">
        <v>9.0205490849957562E-3</v>
      </c>
      <c r="H24" s="30"/>
    </row>
    <row r="25" spans="1:8" ht="12.95" customHeight="1">
      <c r="A25" s="5" t="s">
        <v>456</v>
      </c>
      <c r="B25" s="19" t="s">
        <v>213</v>
      </c>
      <c r="C25" s="16" t="s">
        <v>214</v>
      </c>
      <c r="D25" s="16" t="s">
        <v>178</v>
      </c>
      <c r="E25" s="20">
        <v>153106</v>
      </c>
      <c r="F25" s="21">
        <v>766.60174199999994</v>
      </c>
      <c r="G25" s="22">
        <v>8.8697216052173733E-3</v>
      </c>
      <c r="H25" s="30"/>
    </row>
    <row r="26" spans="1:8" ht="12.95" customHeight="1">
      <c r="A26" s="5" t="s">
        <v>190</v>
      </c>
      <c r="B26" s="19" t="s">
        <v>598</v>
      </c>
      <c r="C26" s="16" t="s">
        <v>599</v>
      </c>
      <c r="D26" s="16" t="s">
        <v>227</v>
      </c>
      <c r="E26" s="20">
        <v>138511</v>
      </c>
      <c r="F26" s="21">
        <v>749.20599900000002</v>
      </c>
      <c r="G26" s="22">
        <v>8.6684496942987192E-3</v>
      </c>
      <c r="H26" s="30"/>
    </row>
    <row r="27" spans="1:8" ht="12.95" customHeight="1">
      <c r="A27" s="5" t="s">
        <v>248</v>
      </c>
      <c r="B27" s="19" t="s">
        <v>466</v>
      </c>
      <c r="C27" s="16" t="s">
        <v>467</v>
      </c>
      <c r="D27" s="16" t="s">
        <v>166</v>
      </c>
      <c r="E27" s="20">
        <v>7267</v>
      </c>
      <c r="F27" s="21">
        <v>702.20657649999998</v>
      </c>
      <c r="G27" s="22">
        <v>8.1246578264464429E-3</v>
      </c>
      <c r="H27" s="30"/>
    </row>
    <row r="28" spans="1:8" ht="12.95" customHeight="1">
      <c r="A28" s="5" t="s">
        <v>215</v>
      </c>
      <c r="B28" s="19" t="s">
        <v>571</v>
      </c>
      <c r="C28" s="16" t="s">
        <v>572</v>
      </c>
      <c r="D28" s="16" t="s">
        <v>227</v>
      </c>
      <c r="E28" s="20">
        <v>249291</v>
      </c>
      <c r="F28" s="21">
        <v>693.15362549999998</v>
      </c>
      <c r="G28" s="22">
        <v>8.0199135365806428E-3</v>
      </c>
      <c r="H28" s="30"/>
    </row>
    <row r="29" spans="1:8" ht="12.95" customHeight="1">
      <c r="A29" s="5" t="s">
        <v>222</v>
      </c>
      <c r="B29" s="19" t="s">
        <v>457</v>
      </c>
      <c r="C29" s="16" t="s">
        <v>458</v>
      </c>
      <c r="D29" s="16" t="s">
        <v>227</v>
      </c>
      <c r="E29" s="20">
        <v>50685</v>
      </c>
      <c r="F29" s="21">
        <v>653.65910250000002</v>
      </c>
      <c r="G29" s="22">
        <v>7.5629547211376515E-3</v>
      </c>
      <c r="H29" s="30"/>
    </row>
    <row r="30" spans="1:8" ht="12.95" customHeight="1">
      <c r="A30" s="5" t="s">
        <v>452</v>
      </c>
      <c r="B30" s="19" t="s">
        <v>472</v>
      </c>
      <c r="C30" s="16" t="s">
        <v>473</v>
      </c>
      <c r="D30" s="16" t="s">
        <v>247</v>
      </c>
      <c r="E30" s="20">
        <v>23871</v>
      </c>
      <c r="F30" s="21">
        <v>650.63991150000004</v>
      </c>
      <c r="G30" s="22">
        <v>7.52802213205546E-3</v>
      </c>
      <c r="H30" s="30"/>
    </row>
    <row r="31" spans="1:8" ht="12.95" customHeight="1">
      <c r="A31" s="5" t="s">
        <v>459</v>
      </c>
      <c r="B31" s="19" t="s">
        <v>216</v>
      </c>
      <c r="C31" s="16" t="s">
        <v>217</v>
      </c>
      <c r="D31" s="16" t="s">
        <v>218</v>
      </c>
      <c r="E31" s="20">
        <v>119890</v>
      </c>
      <c r="F31" s="21">
        <v>638.65403000000003</v>
      </c>
      <c r="G31" s="22">
        <v>7.3893433027838653E-3</v>
      </c>
      <c r="H31" s="30"/>
    </row>
    <row r="32" spans="1:8" ht="12.95" customHeight="1">
      <c r="A32" s="5" t="s">
        <v>471</v>
      </c>
      <c r="B32" s="19" t="s">
        <v>492</v>
      </c>
      <c r="C32" s="16" t="s">
        <v>493</v>
      </c>
      <c r="D32" s="16" t="s">
        <v>178</v>
      </c>
      <c r="E32" s="20">
        <v>95581</v>
      </c>
      <c r="F32" s="21">
        <v>634.51446850000002</v>
      </c>
      <c r="G32" s="22">
        <v>7.3414478232133587E-3</v>
      </c>
      <c r="H32" s="30"/>
    </row>
    <row r="33" spans="1:8" ht="12.95" customHeight="1">
      <c r="A33" s="5" t="s">
        <v>219</v>
      </c>
      <c r="B33" s="19" t="s">
        <v>195</v>
      </c>
      <c r="C33" s="16" t="s">
        <v>196</v>
      </c>
      <c r="D33" s="16" t="s">
        <v>193</v>
      </c>
      <c r="E33" s="20">
        <v>105172</v>
      </c>
      <c r="F33" s="21">
        <v>625.56305599999996</v>
      </c>
      <c r="G33" s="22">
        <v>7.2378783522631307E-3</v>
      </c>
      <c r="H33" s="30"/>
    </row>
    <row r="34" spans="1:8" ht="12.95" customHeight="1">
      <c r="A34" s="5" t="s">
        <v>205</v>
      </c>
      <c r="B34" s="19" t="s">
        <v>191</v>
      </c>
      <c r="C34" s="16" t="s">
        <v>192</v>
      </c>
      <c r="D34" s="16" t="s">
        <v>193</v>
      </c>
      <c r="E34" s="20">
        <v>1068631</v>
      </c>
      <c r="F34" s="21">
        <v>622.37069440000005</v>
      </c>
      <c r="G34" s="22">
        <v>7.2009421478379833E-3</v>
      </c>
      <c r="H34" s="30"/>
    </row>
    <row r="35" spans="1:8" ht="12.95" customHeight="1">
      <c r="A35" s="5" t="s">
        <v>444</v>
      </c>
      <c r="B35" s="19" t="s">
        <v>223</v>
      </c>
      <c r="C35" s="16" t="s">
        <v>224</v>
      </c>
      <c r="D35" s="16" t="s">
        <v>225</v>
      </c>
      <c r="E35" s="20">
        <v>154245</v>
      </c>
      <c r="F35" s="21">
        <v>610.50171</v>
      </c>
      <c r="G35" s="22">
        <v>7.0636158392777971E-3</v>
      </c>
      <c r="H35" s="30"/>
    </row>
    <row r="36" spans="1:8" ht="12.95" customHeight="1">
      <c r="A36" s="5" t="s">
        <v>468</v>
      </c>
      <c r="B36" s="19" t="s">
        <v>475</v>
      </c>
      <c r="C36" s="16" t="s">
        <v>476</v>
      </c>
      <c r="D36" s="16" t="s">
        <v>477</v>
      </c>
      <c r="E36" s="20">
        <v>1246</v>
      </c>
      <c r="F36" s="21">
        <v>592.02942399999995</v>
      </c>
      <c r="G36" s="22">
        <v>6.84988813001836E-3</v>
      </c>
      <c r="H36" s="30"/>
    </row>
    <row r="37" spans="1:8" ht="12.95" customHeight="1">
      <c r="A37" s="5" t="s">
        <v>482</v>
      </c>
      <c r="B37" s="19" t="s">
        <v>249</v>
      </c>
      <c r="C37" s="16" t="s">
        <v>250</v>
      </c>
      <c r="D37" s="16" t="s">
        <v>251</v>
      </c>
      <c r="E37" s="20">
        <v>8223</v>
      </c>
      <c r="F37" s="21">
        <v>572.93341350000003</v>
      </c>
      <c r="G37" s="22">
        <v>6.6289438148340249E-3</v>
      </c>
      <c r="H37" s="30"/>
    </row>
    <row r="38" spans="1:8" ht="12.95" customHeight="1">
      <c r="A38" s="5" t="s">
        <v>478</v>
      </c>
      <c r="B38" s="19" t="s">
        <v>220</v>
      </c>
      <c r="C38" s="16" t="s">
        <v>221</v>
      </c>
      <c r="D38" s="16" t="s">
        <v>178</v>
      </c>
      <c r="E38" s="20">
        <v>32917</v>
      </c>
      <c r="F38" s="21">
        <v>552.85747349999997</v>
      </c>
      <c r="G38" s="22">
        <v>6.3966615370785861E-3</v>
      </c>
      <c r="H38" s="30"/>
    </row>
    <row r="39" spans="1:8" ht="12.95" customHeight="1">
      <c r="A39" s="5" t="s">
        <v>465</v>
      </c>
      <c r="B39" s="19" t="s">
        <v>483</v>
      </c>
      <c r="C39" s="16" t="s">
        <v>484</v>
      </c>
      <c r="D39" s="16" t="s">
        <v>481</v>
      </c>
      <c r="E39" s="20">
        <v>3646</v>
      </c>
      <c r="F39" s="21">
        <v>525.46881199999996</v>
      </c>
      <c r="G39" s="22">
        <v>6.0797697413323987E-3</v>
      </c>
      <c r="H39" s="30"/>
    </row>
    <row r="40" spans="1:8" ht="12.95" customHeight="1">
      <c r="A40" s="5" t="s">
        <v>448</v>
      </c>
      <c r="B40" s="19" t="s">
        <v>469</v>
      </c>
      <c r="C40" s="16" t="s">
        <v>470</v>
      </c>
      <c r="D40" s="16" t="s">
        <v>159</v>
      </c>
      <c r="E40" s="20">
        <v>177732</v>
      </c>
      <c r="F40" s="21">
        <v>521.02135799999996</v>
      </c>
      <c r="G40" s="22">
        <v>6.0283118895290691E-3</v>
      </c>
      <c r="H40" s="30"/>
    </row>
    <row r="41" spans="1:8" ht="12.95" customHeight="1">
      <c r="A41" s="5" t="s">
        <v>308</v>
      </c>
      <c r="B41" s="19" t="s">
        <v>479</v>
      </c>
      <c r="C41" s="16" t="s">
        <v>480</v>
      </c>
      <c r="D41" s="16" t="s">
        <v>481</v>
      </c>
      <c r="E41" s="20">
        <v>68681</v>
      </c>
      <c r="F41" s="21">
        <v>499.99768</v>
      </c>
      <c r="G41" s="22">
        <v>5.7850641107133859E-3</v>
      </c>
      <c r="H41" s="30"/>
    </row>
    <row r="42" spans="1:8" ht="12.95" customHeight="1">
      <c r="A42" s="5" t="s">
        <v>228</v>
      </c>
      <c r="B42" s="19" t="s">
        <v>453</v>
      </c>
      <c r="C42" s="16" t="s">
        <v>454</v>
      </c>
      <c r="D42" s="16" t="s">
        <v>455</v>
      </c>
      <c r="E42" s="20">
        <v>106371</v>
      </c>
      <c r="F42" s="21">
        <v>492.284988</v>
      </c>
      <c r="G42" s="22">
        <v>5.6958268612801758E-3</v>
      </c>
      <c r="H42" s="30"/>
    </row>
    <row r="43" spans="1:8" ht="12.95" customHeight="1">
      <c r="A43" s="5" t="s">
        <v>241</v>
      </c>
      <c r="B43" s="19" t="s">
        <v>600</v>
      </c>
      <c r="C43" s="16" t="s">
        <v>601</v>
      </c>
      <c r="D43" s="16" t="s">
        <v>322</v>
      </c>
      <c r="E43" s="20">
        <v>7789</v>
      </c>
      <c r="F43" s="21">
        <v>485.574049</v>
      </c>
      <c r="G43" s="22">
        <v>5.6181800762829205E-3</v>
      </c>
      <c r="H43" s="30"/>
    </row>
    <row r="44" spans="1:8" ht="12.95" customHeight="1">
      <c r="A44" s="5" t="s">
        <v>238</v>
      </c>
      <c r="B44" s="19" t="s">
        <v>489</v>
      </c>
      <c r="C44" s="16" t="s">
        <v>490</v>
      </c>
      <c r="D44" s="16" t="s">
        <v>421</v>
      </c>
      <c r="E44" s="20">
        <v>89676</v>
      </c>
      <c r="F44" s="21">
        <v>475.10344800000001</v>
      </c>
      <c r="G44" s="22">
        <v>5.4970333180365625E-3</v>
      </c>
      <c r="H44" s="30"/>
    </row>
    <row r="45" spans="1:8" ht="12.95" customHeight="1">
      <c r="A45" s="5" t="s">
        <v>462</v>
      </c>
      <c r="B45" s="19" t="s">
        <v>460</v>
      </c>
      <c r="C45" s="16" t="s">
        <v>461</v>
      </c>
      <c r="D45" s="16" t="s">
        <v>193</v>
      </c>
      <c r="E45" s="20">
        <v>3932</v>
      </c>
      <c r="F45" s="21">
        <v>473.56811399999998</v>
      </c>
      <c r="G45" s="22">
        <v>5.4792692243684519E-3</v>
      </c>
      <c r="H45" s="30"/>
    </row>
    <row r="46" spans="1:8" ht="12.95" customHeight="1">
      <c r="A46" s="5" t="s">
        <v>494</v>
      </c>
      <c r="B46" s="19" t="s">
        <v>445</v>
      </c>
      <c r="C46" s="16" t="s">
        <v>446</v>
      </c>
      <c r="D46" s="16" t="s">
        <v>200</v>
      </c>
      <c r="E46" s="20">
        <v>14426</v>
      </c>
      <c r="F46" s="21">
        <v>450.35086799999999</v>
      </c>
      <c r="G46" s="22">
        <v>5.2106414647672397E-3</v>
      </c>
      <c r="H46" s="30"/>
    </row>
    <row r="47" spans="1:8" ht="12.95" customHeight="1">
      <c r="A47" s="5" t="s">
        <v>488</v>
      </c>
      <c r="B47" s="19" t="s">
        <v>309</v>
      </c>
      <c r="C47" s="16" t="s">
        <v>310</v>
      </c>
      <c r="D47" s="16" t="s">
        <v>311</v>
      </c>
      <c r="E47" s="20">
        <v>10461</v>
      </c>
      <c r="F47" s="21">
        <v>437.0971935</v>
      </c>
      <c r="G47" s="22">
        <v>5.0572940398651333E-3</v>
      </c>
      <c r="H47" s="30"/>
    </row>
    <row r="48" spans="1:8" ht="12.95" customHeight="1">
      <c r="A48" s="5" t="s">
        <v>232</v>
      </c>
      <c r="B48" s="19" t="s">
        <v>239</v>
      </c>
      <c r="C48" s="16" t="s">
        <v>240</v>
      </c>
      <c r="D48" s="16" t="s">
        <v>159</v>
      </c>
      <c r="E48" s="20">
        <v>52393</v>
      </c>
      <c r="F48" s="21">
        <v>416.4981535</v>
      </c>
      <c r="G48" s="22">
        <v>4.8189593999541057E-3</v>
      </c>
      <c r="H48" s="30"/>
    </row>
    <row r="49" spans="1:8" ht="12.95" customHeight="1">
      <c r="A49" s="5" t="s">
        <v>491</v>
      </c>
      <c r="B49" s="19" t="s">
        <v>172</v>
      </c>
      <c r="C49" s="16" t="s">
        <v>173</v>
      </c>
      <c r="D49" s="16" t="s">
        <v>174</v>
      </c>
      <c r="E49" s="20">
        <v>116425</v>
      </c>
      <c r="F49" s="21">
        <v>388.10273749999999</v>
      </c>
      <c r="G49" s="22">
        <v>4.490419271507156E-3</v>
      </c>
      <c r="H49" s="30"/>
    </row>
    <row r="50" spans="1:8" ht="12.95" customHeight="1">
      <c r="A50" s="5" t="s">
        <v>252</v>
      </c>
      <c r="B50" s="19" t="s">
        <v>270</v>
      </c>
      <c r="C50" s="16" t="s">
        <v>271</v>
      </c>
      <c r="D50" s="16" t="s">
        <v>272</v>
      </c>
      <c r="E50" s="20">
        <v>14173</v>
      </c>
      <c r="F50" s="21">
        <v>379.92852449999998</v>
      </c>
      <c r="G50" s="22">
        <v>4.3958421401500128E-3</v>
      </c>
      <c r="H50" s="30"/>
    </row>
    <row r="51" spans="1:8" ht="12.95" customHeight="1">
      <c r="A51" s="5" t="s">
        <v>498</v>
      </c>
      <c r="B51" s="19" t="s">
        <v>242</v>
      </c>
      <c r="C51" s="16" t="s">
        <v>243</v>
      </c>
      <c r="D51" s="16" t="s">
        <v>231</v>
      </c>
      <c r="E51" s="20">
        <v>103561</v>
      </c>
      <c r="F51" s="21">
        <v>373.75164899999999</v>
      </c>
      <c r="G51" s="22">
        <v>4.3243745669976838E-3</v>
      </c>
      <c r="H51" s="30"/>
    </row>
    <row r="52" spans="1:8" ht="12.95" customHeight="1">
      <c r="A52" s="5" t="s">
        <v>244</v>
      </c>
      <c r="B52" s="19" t="s">
        <v>229</v>
      </c>
      <c r="C52" s="16" t="s">
        <v>230</v>
      </c>
      <c r="D52" s="16" t="s">
        <v>231</v>
      </c>
      <c r="E52" s="20">
        <v>76100</v>
      </c>
      <c r="F52" s="21">
        <v>373.23244999999997</v>
      </c>
      <c r="G52" s="22">
        <v>4.3183673401217147E-3</v>
      </c>
      <c r="H52" s="30"/>
    </row>
    <row r="53" spans="1:8" ht="12.95" customHeight="1">
      <c r="A53" s="5" t="s">
        <v>474</v>
      </c>
      <c r="B53" s="19" t="s">
        <v>449</v>
      </c>
      <c r="C53" s="16" t="s">
        <v>450</v>
      </c>
      <c r="D53" s="16" t="s">
        <v>451</v>
      </c>
      <c r="E53" s="20">
        <v>11035</v>
      </c>
      <c r="F53" s="21">
        <v>367.7468925</v>
      </c>
      <c r="G53" s="22">
        <v>4.254898441985018E-3</v>
      </c>
      <c r="H53" s="30"/>
    </row>
    <row r="54" spans="1:8" ht="12.95" customHeight="1">
      <c r="A54" s="5" t="s">
        <v>485</v>
      </c>
      <c r="B54" s="19" t="s">
        <v>495</v>
      </c>
      <c r="C54" s="16" t="s">
        <v>496</v>
      </c>
      <c r="D54" s="16" t="s">
        <v>434</v>
      </c>
      <c r="E54" s="20">
        <v>11682</v>
      </c>
      <c r="F54" s="21">
        <v>350.50672800000001</v>
      </c>
      <c r="G54" s="22">
        <v>4.0554266026121936E-3</v>
      </c>
      <c r="H54" s="30"/>
    </row>
    <row r="55" spans="1:8" ht="12.95" customHeight="1">
      <c r="A55" s="1"/>
      <c r="B55" s="19" t="s">
        <v>463</v>
      </c>
      <c r="C55" s="16" t="s">
        <v>464</v>
      </c>
      <c r="D55" s="16" t="s">
        <v>159</v>
      </c>
      <c r="E55" s="20">
        <v>183830</v>
      </c>
      <c r="F55" s="21">
        <v>292.39999799999998</v>
      </c>
      <c r="G55" s="22">
        <v>3.3831211664871442E-3</v>
      </c>
      <c r="H55" s="30"/>
    </row>
    <row r="56" spans="1:8" ht="12.95" customHeight="1">
      <c r="A56" s="1"/>
      <c r="B56" s="19" t="s">
        <v>245</v>
      </c>
      <c r="C56" s="16" t="s">
        <v>246</v>
      </c>
      <c r="D56" s="16" t="s">
        <v>247</v>
      </c>
      <c r="E56" s="20">
        <v>32085</v>
      </c>
      <c r="F56" s="21">
        <v>285.98964749999999</v>
      </c>
      <c r="G56" s="22">
        <v>3.3089522451140618E-3</v>
      </c>
      <c r="H56" s="30"/>
    </row>
    <row r="57" spans="1:8" ht="12.95" customHeight="1">
      <c r="A57" s="1"/>
      <c r="B57" s="19" t="s">
        <v>499</v>
      </c>
      <c r="C57" s="16" t="s">
        <v>500</v>
      </c>
      <c r="D57" s="16" t="s">
        <v>377</v>
      </c>
      <c r="E57" s="20">
        <v>39639</v>
      </c>
      <c r="F57" s="21">
        <v>253.4715855</v>
      </c>
      <c r="G57" s="22">
        <v>2.9327123525086547E-3</v>
      </c>
      <c r="H57" s="30"/>
    </row>
    <row r="58" spans="1:8" ht="12.95" customHeight="1">
      <c r="A58" s="1"/>
      <c r="B58" s="19" t="s">
        <v>253</v>
      </c>
      <c r="C58" s="16" t="s">
        <v>254</v>
      </c>
      <c r="D58" s="16" t="s">
        <v>182</v>
      </c>
      <c r="E58" s="20">
        <v>2902078</v>
      </c>
      <c r="F58" s="21">
        <v>230.42499319999999</v>
      </c>
      <c r="G58" s="22">
        <v>2.6660590872595569E-3</v>
      </c>
      <c r="H58" s="30"/>
    </row>
    <row r="59" spans="1:8" ht="12.95" customHeight="1">
      <c r="A59" s="1"/>
      <c r="B59" s="19" t="s">
        <v>486</v>
      </c>
      <c r="C59" s="16" t="s">
        <v>487</v>
      </c>
      <c r="D59" s="16" t="s">
        <v>200</v>
      </c>
      <c r="E59" s="20">
        <v>13927</v>
      </c>
      <c r="F59" s="21">
        <v>143.05118049999999</v>
      </c>
      <c r="G59" s="22">
        <v>1.6551281804062221E-3</v>
      </c>
      <c r="H59" s="30"/>
    </row>
    <row r="60" spans="1:8" ht="12.95" customHeight="1">
      <c r="A60" s="1"/>
      <c r="B60" s="19" t="s">
        <v>602</v>
      </c>
      <c r="C60" s="16" t="s">
        <v>603</v>
      </c>
      <c r="D60" s="16" t="s">
        <v>322</v>
      </c>
      <c r="E60" s="20">
        <v>4708</v>
      </c>
      <c r="F60" s="21">
        <v>138.02208200000001</v>
      </c>
      <c r="G60" s="22">
        <v>1.5969405959326453E-3</v>
      </c>
      <c r="H60" s="30"/>
    </row>
    <row r="61" spans="1:8" ht="12.95" customHeight="1">
      <c r="A61" s="5" t="s">
        <v>39</v>
      </c>
      <c r="B61" s="15" t="s">
        <v>16</v>
      </c>
      <c r="C61" s="16"/>
      <c r="D61" s="16"/>
      <c r="E61" s="16"/>
      <c r="F61" s="23">
        <v>37022.040753599998</v>
      </c>
      <c r="G61" s="24">
        <v>0.42835174609014132</v>
      </c>
      <c r="H61" s="25"/>
    </row>
    <row r="62" spans="1:8" ht="12.95" customHeight="1">
      <c r="A62" s="5" t="s">
        <v>501</v>
      </c>
      <c r="B62" s="26" t="s">
        <v>17</v>
      </c>
      <c r="C62" s="27"/>
      <c r="D62" s="27"/>
      <c r="E62" s="27"/>
      <c r="F62" s="28" t="s">
        <v>18</v>
      </c>
      <c r="G62" s="28" t="s">
        <v>18</v>
      </c>
      <c r="H62" s="25"/>
    </row>
    <row r="63" spans="1:8" ht="12.95" customHeight="1">
      <c r="A63" s="5" t="s">
        <v>504</v>
      </c>
      <c r="B63" s="26" t="s">
        <v>16</v>
      </c>
      <c r="C63" s="27"/>
      <c r="D63" s="27"/>
      <c r="E63" s="27"/>
      <c r="F63" s="28" t="s">
        <v>18</v>
      </c>
      <c r="G63" s="28" t="s">
        <v>18</v>
      </c>
      <c r="H63" s="25"/>
    </row>
    <row r="64" spans="1:8" ht="12.95" customHeight="1">
      <c r="A64" s="5" t="s">
        <v>22</v>
      </c>
      <c r="B64" s="26" t="s">
        <v>19</v>
      </c>
      <c r="C64" s="29"/>
      <c r="D64" s="27"/>
      <c r="E64" s="29"/>
      <c r="F64" s="23">
        <v>37022.040753599998</v>
      </c>
      <c r="G64" s="24">
        <v>0.42835174609014132</v>
      </c>
      <c r="H64" s="25"/>
    </row>
    <row r="65" spans="1:8" ht="12.95" customHeight="1">
      <c r="A65" s="5" t="s">
        <v>507</v>
      </c>
      <c r="B65" s="15" t="s">
        <v>20</v>
      </c>
      <c r="C65" s="16"/>
      <c r="D65" s="16"/>
      <c r="E65" s="16"/>
      <c r="F65" s="16"/>
      <c r="G65" s="17"/>
      <c r="H65" s="18"/>
    </row>
    <row r="66" spans="1:8" ht="12.95" customHeight="1">
      <c r="A66" s="5" t="s">
        <v>510</v>
      </c>
      <c r="B66" s="15" t="s">
        <v>21</v>
      </c>
      <c r="C66" s="16"/>
      <c r="D66" s="16"/>
      <c r="E66" s="16"/>
      <c r="F66" s="16"/>
      <c r="G66" s="17"/>
      <c r="H66" s="18"/>
    </row>
    <row r="67" spans="1:8" ht="12.95" customHeight="1">
      <c r="A67" s="5" t="s">
        <v>513</v>
      </c>
      <c r="B67" s="19" t="s">
        <v>40</v>
      </c>
      <c r="C67" s="16" t="s">
        <v>41</v>
      </c>
      <c r="D67" s="16" t="s">
        <v>25</v>
      </c>
      <c r="E67" s="20">
        <v>4000000</v>
      </c>
      <c r="F67" s="21">
        <v>4054.0039999999999</v>
      </c>
      <c r="G67" s="22">
        <v>4.6905563731992735E-2</v>
      </c>
      <c r="H67" s="30">
        <v>6.8423999999999999E-2</v>
      </c>
    </row>
    <row r="68" spans="1:8" ht="12.95" customHeight="1">
      <c r="A68" s="5" t="s">
        <v>516</v>
      </c>
      <c r="B68" s="19" t="s">
        <v>502</v>
      </c>
      <c r="C68" s="16" t="s">
        <v>503</v>
      </c>
      <c r="D68" s="16" t="s">
        <v>45</v>
      </c>
      <c r="E68" s="20">
        <v>3500000</v>
      </c>
      <c r="F68" s="21">
        <v>3499.223</v>
      </c>
      <c r="G68" s="22">
        <v>4.048664664340608E-2</v>
      </c>
      <c r="H68" s="30">
        <v>7.4450000000000002E-2</v>
      </c>
    </row>
    <row r="69" spans="1:8" ht="12.95" customHeight="1">
      <c r="A69" s="5" t="s">
        <v>42</v>
      </c>
      <c r="B69" s="19" t="s">
        <v>508</v>
      </c>
      <c r="C69" s="16" t="s">
        <v>509</v>
      </c>
      <c r="D69" s="16" t="s">
        <v>25</v>
      </c>
      <c r="E69" s="20">
        <v>2500000</v>
      </c>
      <c r="F69" s="21">
        <v>2553.1725000000001</v>
      </c>
      <c r="G69" s="22">
        <v>2.9540670265130776E-2</v>
      </c>
      <c r="H69" s="30">
        <v>6.8367999999999998E-2</v>
      </c>
    </row>
    <row r="70" spans="1:8" ht="12.95" customHeight="1">
      <c r="A70" s="5" t="s">
        <v>517</v>
      </c>
      <c r="B70" s="19" t="s">
        <v>604</v>
      </c>
      <c r="C70" s="16" t="s">
        <v>605</v>
      </c>
      <c r="D70" s="16" t="s">
        <v>25</v>
      </c>
      <c r="E70" s="20">
        <v>2500000</v>
      </c>
      <c r="F70" s="21">
        <v>2529.5925000000002</v>
      </c>
      <c r="G70" s="22">
        <v>2.9267845375762047E-2</v>
      </c>
      <c r="H70" s="30">
        <v>6.8371000000000001E-2</v>
      </c>
    </row>
    <row r="71" spans="1:8" ht="12.95" customHeight="1">
      <c r="A71" s="5" t="s">
        <v>519</v>
      </c>
      <c r="B71" s="19" t="s">
        <v>511</v>
      </c>
      <c r="C71" s="16" t="s">
        <v>512</v>
      </c>
      <c r="D71" s="16" t="s">
        <v>45</v>
      </c>
      <c r="E71" s="20">
        <v>2500000</v>
      </c>
      <c r="F71" s="21">
        <v>2526.61</v>
      </c>
      <c r="G71" s="22">
        <v>2.9233337308224208E-2</v>
      </c>
      <c r="H71" s="30">
        <v>7.8950000000000006E-2</v>
      </c>
    </row>
    <row r="72" spans="1:8" ht="12.95" customHeight="1">
      <c r="A72" s="5" t="s">
        <v>522</v>
      </c>
      <c r="B72" s="19" t="s">
        <v>610</v>
      </c>
      <c r="C72" s="16" t="s">
        <v>611</v>
      </c>
      <c r="D72" s="16" t="s">
        <v>45</v>
      </c>
      <c r="E72" s="20">
        <v>2500000</v>
      </c>
      <c r="F72" s="21">
        <v>2499.5025000000001</v>
      </c>
      <c r="G72" s="22">
        <v>2.8919698602178284E-2</v>
      </c>
      <c r="H72" s="30">
        <v>7.9611000000000001E-2</v>
      </c>
    </row>
    <row r="73" spans="1:8" ht="12.95" customHeight="1">
      <c r="A73" s="5" t="s">
        <v>90</v>
      </c>
      <c r="B73" s="19" t="s">
        <v>43</v>
      </c>
      <c r="C73" s="16" t="s">
        <v>44</v>
      </c>
      <c r="D73" s="16" t="s">
        <v>45</v>
      </c>
      <c r="E73" s="20">
        <v>2500000</v>
      </c>
      <c r="F73" s="21">
        <v>2447.3074999999999</v>
      </c>
      <c r="G73" s="22">
        <v>2.8315792957538725E-2</v>
      </c>
      <c r="H73" s="30">
        <v>7.7100000000000002E-2</v>
      </c>
    </row>
    <row r="74" spans="1:8" ht="12.95" customHeight="1">
      <c r="A74" s="5" t="s">
        <v>525</v>
      </c>
      <c r="B74" s="19" t="s">
        <v>606</v>
      </c>
      <c r="C74" s="16" t="s">
        <v>518</v>
      </c>
      <c r="D74" s="16" t="s">
        <v>45</v>
      </c>
      <c r="E74" s="20">
        <v>2500000</v>
      </c>
      <c r="F74" s="21">
        <v>2442.125</v>
      </c>
      <c r="G74" s="22">
        <v>2.8255830489805327E-2</v>
      </c>
      <c r="H74" s="30">
        <v>7.5999999999999998E-2</v>
      </c>
    </row>
    <row r="75" spans="1:8" ht="12.95" customHeight="1">
      <c r="A75" s="5" t="s">
        <v>528</v>
      </c>
      <c r="B75" s="19" t="s">
        <v>505</v>
      </c>
      <c r="C75" s="16" t="s">
        <v>506</v>
      </c>
      <c r="D75" s="16" t="s">
        <v>25</v>
      </c>
      <c r="E75" s="20">
        <v>2000000</v>
      </c>
      <c r="F75" s="21">
        <v>2051.8919999999998</v>
      </c>
      <c r="G75" s="22">
        <v>2.3740763693663361E-2</v>
      </c>
      <c r="H75" s="30">
        <v>6.8889000000000006E-2</v>
      </c>
    </row>
    <row r="76" spans="1:8" ht="12.95" customHeight="1">
      <c r="A76" s="5" t="s">
        <v>79</v>
      </c>
      <c r="B76" s="19" t="s">
        <v>520</v>
      </c>
      <c r="C76" s="16" t="s">
        <v>521</v>
      </c>
      <c r="D76" s="16" t="s">
        <v>45</v>
      </c>
      <c r="E76" s="20">
        <v>2000000</v>
      </c>
      <c r="F76" s="21">
        <v>2005.9459999999999</v>
      </c>
      <c r="G76" s="22">
        <v>2.3209160115761084E-2</v>
      </c>
      <c r="H76" s="30">
        <v>7.5007000000000004E-2</v>
      </c>
    </row>
    <row r="77" spans="1:8" ht="12.95" customHeight="1">
      <c r="A77" s="5" t="s">
        <v>82</v>
      </c>
      <c r="B77" s="19" t="s">
        <v>523</v>
      </c>
      <c r="C77" s="16" t="s">
        <v>524</v>
      </c>
      <c r="D77" s="16" t="s">
        <v>45</v>
      </c>
      <c r="E77" s="20">
        <v>2000000</v>
      </c>
      <c r="F77" s="21">
        <v>2005.056</v>
      </c>
      <c r="G77" s="22">
        <v>2.319886265386379E-2</v>
      </c>
      <c r="H77" s="30">
        <v>7.7499999999999999E-2</v>
      </c>
    </row>
    <row r="78" spans="1:8" ht="12.95" customHeight="1">
      <c r="A78" s="5" t="s">
        <v>531</v>
      </c>
      <c r="B78" s="19" t="s">
        <v>638</v>
      </c>
      <c r="C78" s="16" t="s">
        <v>639</v>
      </c>
      <c r="D78" s="16" t="s">
        <v>64</v>
      </c>
      <c r="E78" s="20">
        <v>2000000</v>
      </c>
      <c r="F78" s="21">
        <v>2000.9059999999999</v>
      </c>
      <c r="G78" s="22">
        <v>2.3150846398949449E-2</v>
      </c>
      <c r="H78" s="30">
        <v>7.7700000000000005E-2</v>
      </c>
    </row>
    <row r="79" spans="1:8" ht="12.95" customHeight="1">
      <c r="A79" s="5" t="s">
        <v>72</v>
      </c>
      <c r="B79" s="19" t="s">
        <v>91</v>
      </c>
      <c r="C79" s="16" t="s">
        <v>92</v>
      </c>
      <c r="D79" s="16" t="s">
        <v>45</v>
      </c>
      <c r="E79" s="20">
        <v>2000000</v>
      </c>
      <c r="F79" s="21">
        <v>1975.1120000000001</v>
      </c>
      <c r="G79" s="22">
        <v>2.2852405126838463E-2</v>
      </c>
      <c r="H79" s="30">
        <v>7.7450000000000005E-2</v>
      </c>
    </row>
    <row r="80" spans="1:8" ht="12.95" customHeight="1">
      <c r="A80" s="5" t="s">
        <v>85</v>
      </c>
      <c r="B80" s="19" t="s">
        <v>514</v>
      </c>
      <c r="C80" s="16" t="s">
        <v>515</v>
      </c>
      <c r="D80" s="16" t="s">
        <v>25</v>
      </c>
      <c r="E80" s="20">
        <v>1500000</v>
      </c>
      <c r="F80" s="21">
        <v>1514.664</v>
      </c>
      <c r="G80" s="22">
        <v>1.7524938008091517E-2</v>
      </c>
      <c r="H80" s="30">
        <v>6.8303000000000003E-2</v>
      </c>
    </row>
    <row r="81" spans="1:8" ht="12.95" customHeight="1">
      <c r="A81" s="5" t="s">
        <v>87</v>
      </c>
      <c r="B81" s="19" t="s">
        <v>529</v>
      </c>
      <c r="C81" s="16" t="s">
        <v>530</v>
      </c>
      <c r="D81" s="16" t="s">
        <v>45</v>
      </c>
      <c r="E81" s="20">
        <v>1500000</v>
      </c>
      <c r="F81" s="21">
        <v>1500.7515000000001</v>
      </c>
      <c r="G81" s="22">
        <v>1.7363967852309394E-2</v>
      </c>
      <c r="H81" s="30">
        <v>7.9149999999999998E-2</v>
      </c>
    </row>
    <row r="82" spans="1:8" ht="12.95" customHeight="1">
      <c r="A82" s="5" t="s">
        <v>534</v>
      </c>
      <c r="B82" s="19" t="s">
        <v>526</v>
      </c>
      <c r="C82" s="16" t="s">
        <v>527</v>
      </c>
      <c r="D82" s="16" t="s">
        <v>45</v>
      </c>
      <c r="E82" s="20">
        <v>1500000</v>
      </c>
      <c r="F82" s="21">
        <v>1498.452</v>
      </c>
      <c r="G82" s="22">
        <v>1.7337362219014087E-2</v>
      </c>
      <c r="H82" s="30">
        <v>7.7899999999999997E-2</v>
      </c>
    </row>
    <row r="83" spans="1:8" ht="12.95" customHeight="1">
      <c r="A83" s="5" t="s">
        <v>127</v>
      </c>
      <c r="B83" s="19" t="s">
        <v>541</v>
      </c>
      <c r="C83" s="16" t="s">
        <v>80</v>
      </c>
      <c r="D83" s="16" t="s">
        <v>81</v>
      </c>
      <c r="E83" s="20">
        <v>1000000</v>
      </c>
      <c r="F83" s="21">
        <v>1013.639</v>
      </c>
      <c r="G83" s="22">
        <v>1.1727987618101361E-2</v>
      </c>
      <c r="H83" s="30">
        <v>8.2449999999999996E-2</v>
      </c>
    </row>
    <row r="84" spans="1:8" ht="12.95" customHeight="1">
      <c r="A84" s="5" t="s">
        <v>537</v>
      </c>
      <c r="B84" s="19" t="s">
        <v>83</v>
      </c>
      <c r="C84" s="16" t="s">
        <v>84</v>
      </c>
      <c r="D84" s="16" t="s">
        <v>45</v>
      </c>
      <c r="E84" s="20">
        <v>1000000</v>
      </c>
      <c r="F84" s="21">
        <v>1006.877</v>
      </c>
      <c r="G84" s="22">
        <v>1.1649750048045747E-2</v>
      </c>
      <c r="H84" s="30">
        <v>7.6600000000000001E-2</v>
      </c>
    </row>
    <row r="85" spans="1:8" ht="12.95" customHeight="1">
      <c r="A85" s="5" t="s">
        <v>106</v>
      </c>
      <c r="B85" s="19" t="s">
        <v>532</v>
      </c>
      <c r="C85" s="16" t="s">
        <v>533</v>
      </c>
      <c r="D85" s="16" t="s">
        <v>45</v>
      </c>
      <c r="E85" s="20">
        <v>1000000</v>
      </c>
      <c r="F85" s="21">
        <v>1003.871</v>
      </c>
      <c r="G85" s="22">
        <v>1.1614970081233092E-2</v>
      </c>
      <c r="H85" s="30">
        <v>7.4950000000000003E-2</v>
      </c>
    </row>
    <row r="86" spans="1:8" ht="12.95" customHeight="1">
      <c r="A86" s="1"/>
      <c r="B86" s="19" t="s">
        <v>88</v>
      </c>
      <c r="C86" s="16" t="s">
        <v>89</v>
      </c>
      <c r="D86" s="16" t="s">
        <v>71</v>
      </c>
      <c r="E86" s="20">
        <v>1000000</v>
      </c>
      <c r="F86" s="21">
        <v>1002.652</v>
      </c>
      <c r="G86" s="22">
        <v>1.1600866029488373E-2</v>
      </c>
      <c r="H86" s="30">
        <v>8.8175000000000003E-2</v>
      </c>
    </row>
    <row r="87" spans="1:8" ht="12.95" customHeight="1">
      <c r="A87" s="1"/>
      <c r="B87" s="19" t="s">
        <v>542</v>
      </c>
      <c r="C87" s="16" t="s">
        <v>86</v>
      </c>
      <c r="D87" s="16" t="s">
        <v>45</v>
      </c>
      <c r="E87" s="20">
        <v>1000000</v>
      </c>
      <c r="F87" s="21">
        <v>994.79300000000001</v>
      </c>
      <c r="G87" s="22">
        <v>1.1509935969880702E-2</v>
      </c>
      <c r="H87" s="30">
        <v>7.4894000000000002E-2</v>
      </c>
    </row>
    <row r="88" spans="1:8" ht="12.95" customHeight="1">
      <c r="A88" s="1"/>
      <c r="B88" s="19" t="s">
        <v>535</v>
      </c>
      <c r="C88" s="16" t="s">
        <v>536</v>
      </c>
      <c r="D88" s="16" t="s">
        <v>45</v>
      </c>
      <c r="E88" s="20">
        <v>1000000</v>
      </c>
      <c r="F88" s="21">
        <v>992.82299999999998</v>
      </c>
      <c r="G88" s="22">
        <v>1.1487142711523774E-2</v>
      </c>
      <c r="H88" s="30">
        <v>7.9250000000000001E-2</v>
      </c>
    </row>
    <row r="89" spans="1:8" ht="12.95" customHeight="1">
      <c r="A89" s="1"/>
      <c r="B89" s="19" t="s">
        <v>538</v>
      </c>
      <c r="C89" s="16" t="s">
        <v>539</v>
      </c>
      <c r="D89" s="16" t="s">
        <v>25</v>
      </c>
      <c r="E89" s="20">
        <v>500000</v>
      </c>
      <c r="F89" s="21">
        <v>493.65</v>
      </c>
      <c r="G89" s="22">
        <v>5.7116202984255106E-3</v>
      </c>
      <c r="H89" s="30">
        <v>6.7831000000000002E-2</v>
      </c>
    </row>
    <row r="90" spans="1:8" ht="12.95" customHeight="1">
      <c r="A90" s="1"/>
      <c r="B90" s="19" t="s">
        <v>107</v>
      </c>
      <c r="C90" s="16" t="s">
        <v>108</v>
      </c>
      <c r="D90" s="16" t="s">
        <v>81</v>
      </c>
      <c r="E90" s="20">
        <v>400000</v>
      </c>
      <c r="F90" s="21">
        <v>404.65480000000002</v>
      </c>
      <c r="G90" s="22">
        <v>4.6819296455693615E-3</v>
      </c>
      <c r="H90" s="30">
        <v>8.2350000000000007E-2</v>
      </c>
    </row>
    <row r="91" spans="1:8" ht="12.95" customHeight="1">
      <c r="A91" s="1"/>
      <c r="B91" s="15" t="s">
        <v>16</v>
      </c>
      <c r="C91" s="16"/>
      <c r="D91" s="16"/>
      <c r="E91" s="16"/>
      <c r="F91" s="23">
        <v>44017.276299999998</v>
      </c>
      <c r="G91" s="24">
        <v>0.50928789384479722</v>
      </c>
      <c r="H91" s="25"/>
    </row>
    <row r="92" spans="1:8" ht="12.95" customHeight="1">
      <c r="A92" s="5" t="s">
        <v>137</v>
      </c>
      <c r="B92" s="26" t="s">
        <v>109</v>
      </c>
      <c r="C92" s="27"/>
      <c r="D92" s="27"/>
      <c r="E92" s="27"/>
      <c r="F92" s="28" t="s">
        <v>18</v>
      </c>
      <c r="G92" s="28" t="s">
        <v>18</v>
      </c>
      <c r="H92" s="25"/>
    </row>
    <row r="93" spans="1:8" ht="12.95" customHeight="1">
      <c r="A93" s="1"/>
      <c r="B93" s="26" t="s">
        <v>16</v>
      </c>
      <c r="C93" s="27"/>
      <c r="D93" s="27"/>
      <c r="E93" s="27"/>
      <c r="F93" s="28" t="s">
        <v>18</v>
      </c>
      <c r="G93" s="28" t="s">
        <v>18</v>
      </c>
      <c r="H93" s="25"/>
    </row>
    <row r="94" spans="1:8" ht="12.95" customHeight="1">
      <c r="A94" s="1"/>
      <c r="B94" s="26" t="s">
        <v>19</v>
      </c>
      <c r="C94" s="29"/>
      <c r="D94" s="27"/>
      <c r="E94" s="29"/>
      <c r="F94" s="23">
        <v>44017.276299999998</v>
      </c>
      <c r="G94" s="24">
        <v>0.50928789384479722</v>
      </c>
      <c r="H94" s="25"/>
    </row>
    <row r="95" spans="1:8" ht="12.95" customHeight="1">
      <c r="A95" s="1"/>
      <c r="B95" s="15" t="s">
        <v>110</v>
      </c>
      <c r="C95" s="16"/>
      <c r="D95" s="16"/>
      <c r="E95" s="16"/>
      <c r="F95" s="16"/>
      <c r="G95" s="17"/>
      <c r="H95" s="18"/>
    </row>
    <row r="96" spans="1:8" ht="12.95" customHeight="1">
      <c r="A96" s="5" t="s">
        <v>120</v>
      </c>
      <c r="B96" s="15" t="s">
        <v>111</v>
      </c>
      <c r="C96" s="16"/>
      <c r="D96" s="16"/>
      <c r="E96" s="16"/>
      <c r="F96" s="16"/>
      <c r="G96" s="17"/>
      <c r="H96" s="18"/>
    </row>
    <row r="97" spans="1:8" ht="12.95" customHeight="1">
      <c r="A97" s="1"/>
      <c r="B97" s="19" t="s">
        <v>550</v>
      </c>
      <c r="C97" s="16" t="s">
        <v>551</v>
      </c>
      <c r="D97" s="16" t="s">
        <v>113</v>
      </c>
      <c r="E97" s="20">
        <v>2500000</v>
      </c>
      <c r="F97" s="21">
        <v>2486.1824999999999</v>
      </c>
      <c r="G97" s="22">
        <v>2.8765583779176099E-2</v>
      </c>
      <c r="H97" s="30">
        <v>7.2449E-2</v>
      </c>
    </row>
    <row r="98" spans="1:8" ht="12.95" customHeight="1">
      <c r="A98" s="1"/>
      <c r="B98" s="15" t="s">
        <v>16</v>
      </c>
      <c r="C98" s="16"/>
      <c r="D98" s="16"/>
      <c r="E98" s="16"/>
      <c r="F98" s="23">
        <v>2486.1824999999999</v>
      </c>
      <c r="G98" s="24">
        <v>2.8765583779176099E-2</v>
      </c>
      <c r="H98" s="25"/>
    </row>
    <row r="99" spans="1:8" ht="12.95" customHeight="1">
      <c r="A99" s="1"/>
      <c r="B99" s="26" t="s">
        <v>19</v>
      </c>
      <c r="C99" s="29"/>
      <c r="D99" s="27"/>
      <c r="E99" s="29"/>
      <c r="F99" s="23">
        <v>2486.1824999999999</v>
      </c>
      <c r="G99" s="24">
        <v>2.8765583779176099E-2</v>
      </c>
      <c r="H99" s="25"/>
    </row>
    <row r="100" spans="1:8" ht="12.95" customHeight="1">
      <c r="A100" s="1"/>
      <c r="B100" s="15" t="s">
        <v>119</v>
      </c>
      <c r="C100" s="16"/>
      <c r="D100" s="16"/>
      <c r="E100" s="16"/>
      <c r="F100" s="16"/>
      <c r="G100" s="17"/>
      <c r="H100" s="18"/>
    </row>
    <row r="101" spans="1:8" ht="12.95" customHeight="1">
      <c r="A101" s="1"/>
      <c r="B101" s="19" t="s">
        <v>540</v>
      </c>
      <c r="C101" s="16"/>
      <c r="D101" s="16" t="s">
        <v>121</v>
      </c>
      <c r="E101" s="20"/>
      <c r="F101" s="21">
        <v>1450</v>
      </c>
      <c r="G101" s="22">
        <v>1.6776763765252691E-2</v>
      </c>
      <c r="H101" s="30">
        <v>6.2725000000000003E-2</v>
      </c>
    </row>
    <row r="102" spans="1:8" ht="12.95" customHeight="1">
      <c r="A102" s="1"/>
      <c r="B102" s="15" t="s">
        <v>16</v>
      </c>
      <c r="C102" s="16"/>
      <c r="D102" s="16"/>
      <c r="E102" s="16"/>
      <c r="F102" s="23">
        <v>1450</v>
      </c>
      <c r="G102" s="24">
        <v>1.6776763765252691E-2</v>
      </c>
      <c r="H102" s="25"/>
    </row>
    <row r="103" spans="1:8" ht="12.95" customHeight="1">
      <c r="A103" s="1"/>
      <c r="B103" s="26" t="s">
        <v>109</v>
      </c>
      <c r="C103" s="27"/>
      <c r="D103" s="27"/>
      <c r="E103" s="27"/>
      <c r="F103" s="28" t="s">
        <v>18</v>
      </c>
      <c r="G103" s="28" t="s">
        <v>18</v>
      </c>
      <c r="H103" s="25"/>
    </row>
    <row r="104" spans="1:8" ht="12.95" customHeight="1">
      <c r="A104" s="1"/>
      <c r="B104" s="26" t="s">
        <v>16</v>
      </c>
      <c r="C104" s="27"/>
      <c r="D104" s="27"/>
      <c r="E104" s="27"/>
      <c r="F104" s="28" t="s">
        <v>18</v>
      </c>
      <c r="G104" s="28" t="s">
        <v>18</v>
      </c>
      <c r="H104" s="25"/>
    </row>
    <row r="105" spans="1:8" ht="12.95" customHeight="1">
      <c r="A105" s="1"/>
      <c r="B105" s="26" t="s">
        <v>19</v>
      </c>
      <c r="C105" s="29"/>
      <c r="D105" s="27"/>
      <c r="E105" s="29"/>
      <c r="F105" s="23">
        <v>1450</v>
      </c>
      <c r="G105" s="24">
        <v>1.6776763765252691E-2</v>
      </c>
      <c r="H105" s="25"/>
    </row>
    <row r="106" spans="1:8" ht="12.95" customHeight="1">
      <c r="A106" s="1"/>
      <c r="B106" s="26" t="s">
        <v>122</v>
      </c>
      <c r="C106" s="16"/>
      <c r="D106" s="27"/>
      <c r="E106" s="16"/>
      <c r="F106" s="23">
        <v>1453.5650913452591</v>
      </c>
      <c r="G106" s="24">
        <v>1.6818012520632662E-2</v>
      </c>
      <c r="H106" s="25"/>
    </row>
    <row r="107" spans="1:8" ht="12.95" customHeight="1" thickBot="1">
      <c r="A107" s="1"/>
      <c r="B107" s="31" t="s">
        <v>123</v>
      </c>
      <c r="C107" s="32"/>
      <c r="D107" s="32"/>
      <c r="E107" s="32"/>
      <c r="F107" s="33">
        <v>86429.064644945262</v>
      </c>
      <c r="G107" s="34">
        <v>1</v>
      </c>
      <c r="H107" s="35"/>
    </row>
    <row r="108" spans="1:8" ht="12.95" customHeight="1">
      <c r="A108" s="1"/>
      <c r="B108" s="36"/>
      <c r="C108" s="10"/>
      <c r="D108" s="10"/>
      <c r="E108" s="10"/>
      <c r="F108" s="10"/>
      <c r="G108" s="10"/>
      <c r="H108" s="10"/>
    </row>
    <row r="109" spans="1:8">
      <c r="B109" s="6" t="s">
        <v>121</v>
      </c>
      <c r="C109" s="10"/>
      <c r="D109" s="10"/>
      <c r="E109" s="10"/>
      <c r="F109" s="10"/>
      <c r="G109" s="10"/>
      <c r="H109" s="10"/>
    </row>
    <row r="110" spans="1:8">
      <c r="B110" s="6" t="s">
        <v>124</v>
      </c>
      <c r="C110" s="10"/>
      <c r="D110" s="10"/>
      <c r="E110" s="10"/>
      <c r="F110" s="10"/>
      <c r="G110" s="10"/>
      <c r="H110" s="10"/>
    </row>
    <row r="111" spans="1:8">
      <c r="B111" s="6" t="s">
        <v>125</v>
      </c>
      <c r="C111" s="10"/>
      <c r="D111" s="10"/>
      <c r="E111" s="10"/>
      <c r="F111" s="10"/>
      <c r="G111" s="10"/>
      <c r="H111" s="10"/>
    </row>
    <row r="112" spans="1:8" ht="15.75" thickBot="1">
      <c r="B112" s="6"/>
      <c r="C112" s="10"/>
      <c r="D112" s="10"/>
      <c r="E112" s="10"/>
      <c r="F112" s="10"/>
      <c r="G112" s="10"/>
      <c r="H112" s="10"/>
    </row>
    <row r="113" spans="2:8" ht="15.75" thickBot="1">
      <c r="B113" s="60" t="s">
        <v>648</v>
      </c>
      <c r="C113" s="61"/>
      <c r="D113" s="10"/>
      <c r="E113" s="10"/>
      <c r="F113" s="10"/>
      <c r="G113" s="10"/>
      <c r="H113" s="10"/>
    </row>
    <row r="114" spans="2:8" ht="50.25" thickBot="1">
      <c r="B114" s="52" t="s">
        <v>649</v>
      </c>
      <c r="C114" s="53" t="s">
        <v>497</v>
      </c>
    </row>
    <row r="115" spans="2:8" ht="17.25" thickBot="1">
      <c r="B115" s="52" t="s">
        <v>650</v>
      </c>
      <c r="C115" s="54" t="s">
        <v>121</v>
      </c>
    </row>
    <row r="116" spans="2:8" ht="15.75" thickBot="1">
      <c r="B116" s="55" t="s">
        <v>121</v>
      </c>
      <c r="C116" s="54"/>
    </row>
    <row r="117" spans="2:8" ht="17.25" thickBot="1">
      <c r="B117" s="52" t="s">
        <v>651</v>
      </c>
      <c r="C117" s="56">
        <v>7.4345999999999995E-2</v>
      </c>
    </row>
    <row r="118" spans="2:8" ht="17.25" thickBot="1">
      <c r="B118" s="55" t="s">
        <v>121</v>
      </c>
      <c r="C118" s="53"/>
    </row>
    <row r="119" spans="2:8" ht="17.25" thickBot="1">
      <c r="B119" s="52" t="s">
        <v>652</v>
      </c>
      <c r="C119" s="57">
        <v>2.6556999999999999</v>
      </c>
    </row>
    <row r="120" spans="2:8" ht="17.25" thickBot="1">
      <c r="B120" s="52" t="s">
        <v>653</v>
      </c>
      <c r="C120" s="58">
        <v>3.0487000000000002</v>
      </c>
    </row>
    <row r="121" spans="2:8" ht="17.25" thickBot="1">
      <c r="B121" s="52" t="s">
        <v>121</v>
      </c>
      <c r="C121" s="53" t="s">
        <v>121</v>
      </c>
    </row>
    <row r="122" spans="2:8" ht="17.25" thickBot="1">
      <c r="B122" s="52" t="s">
        <v>654</v>
      </c>
      <c r="C122" s="59">
        <v>45657</v>
      </c>
    </row>
    <row r="126" spans="2:8">
      <c r="B126" s="63" t="s">
        <v>657</v>
      </c>
      <c r="C126" s="126"/>
      <c r="E126" s="126"/>
      <c r="F126" s="126"/>
      <c r="G126" s="126"/>
    </row>
    <row r="127" spans="2:8">
      <c r="B127" s="126"/>
      <c r="C127" s="126"/>
      <c r="D127" s="126"/>
      <c r="E127" s="126"/>
      <c r="F127" s="126"/>
      <c r="G127" s="126"/>
    </row>
    <row r="128" spans="2:8" ht="15.75" thickBot="1">
      <c r="B128" s="65" t="s">
        <v>658</v>
      </c>
      <c r="C128" s="126"/>
      <c r="D128" s="126"/>
      <c r="E128" s="126"/>
      <c r="F128" s="126"/>
      <c r="G128" s="126"/>
    </row>
    <row r="129" spans="2:7" ht="15.75" thickBot="1">
      <c r="B129" s="66" t="s">
        <v>682</v>
      </c>
      <c r="C129" s="127"/>
      <c r="D129" s="132"/>
      <c r="E129" s="133"/>
      <c r="F129" s="128"/>
      <c r="G129" s="132"/>
    </row>
    <row r="130" spans="2:7" ht="162" customHeight="1" thickBot="1">
      <c r="B130" s="97" t="s">
        <v>683</v>
      </c>
      <c r="C130" s="129"/>
      <c r="D130" s="134"/>
      <c r="E130" s="135"/>
      <c r="F130" s="130"/>
      <c r="G130" s="134"/>
    </row>
    <row r="131" spans="2:7">
      <c r="B131" s="113" t="s">
        <v>661</v>
      </c>
      <c r="C131" s="113"/>
      <c r="D131" s="113"/>
      <c r="E131" s="126"/>
      <c r="F131" s="126"/>
      <c r="G131" s="126"/>
    </row>
  </sheetData>
  <mergeCells count="5">
    <mergeCell ref="B113:C113"/>
    <mergeCell ref="B1:D1"/>
    <mergeCell ref="C129:D130"/>
    <mergeCell ref="E129:G130"/>
    <mergeCell ref="B131:D131"/>
  </mergeCells>
  <conditionalFormatting sqref="F89">
    <cfRule type="cellIs" dxfId="2" priority="2" operator="equal">
      <formula>TRUE</formula>
    </cfRule>
  </conditionalFormatting>
  <conditionalFormatting sqref="F95">
    <cfRule type="cellIs" dxfId="1" priority="1" operator="equal">
      <formula>TRUE</formula>
    </cfRule>
  </conditionalFormatting>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2025-01-06T11:03:33Z</dcterms:created>
  <dcterms:modified xsi:type="dcterms:W3CDTF">2025-01-07T12:28:04Z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2024-12-04T09:52:10Z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e9797336-1fcb-4f5f-898a-415c236097f4</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