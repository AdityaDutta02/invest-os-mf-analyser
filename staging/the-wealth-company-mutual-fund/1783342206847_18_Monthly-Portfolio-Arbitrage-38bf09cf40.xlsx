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O:\2. Operations FY 2026-27\PORTFOLIOS\MONTHLY\May 2026\MF\SENT\"/>
    </mc:Choice>
  </mc:AlternateContent>
  <xr:revisionPtr revIDLastSave="0" documentId="13_ncr:1_{FFED6EDC-A1FC-4229-83F4-EFC23770ADD4}" xr6:coauthVersionLast="47" xr6:coauthVersionMax="47" xr10:uidLastSave="{00000000-0000-0000-0000-000000000000}"/>
  <bookViews>
    <workbookView xWindow="-110" yWindow="-110" windowWidth="19420" windowHeight="11500" xr2:uid="{59A701DB-A7E0-4217-8B1E-5A933A038C5F}"/>
  </bookViews>
  <sheets>
    <sheet name="WCAR" sheetId="1" r:id="rId1"/>
  </sheets>
  <externalReferences>
    <externalReference r:id="rId2"/>
  </externalReferences>
  <definedNames>
    <definedName name="XDO_?ASSET_TYPE_MM?">WCAR!$B$35</definedName>
    <definedName name="XDO_?FUND?">WCAR!$A$2</definedName>
    <definedName name="XDO_?HEADER?">WCAR!$A$3</definedName>
    <definedName name="XDO_?ISIN_ALT?">WCAR!$A$49</definedName>
    <definedName name="XDO_?ISIN_DEBT_A?">WCAR!$A$21</definedName>
    <definedName name="XDO_?ISIN_DEBT_B?">WCAR!$A$24</definedName>
    <definedName name="XDO_?ISIN_DEBT_C?">WCAR!$A$27</definedName>
    <definedName name="XDO_?ISIN_DEBT_D?">WCAR!$A$30</definedName>
    <definedName name="XDO_?ISIN_EQU?">WCAR!$A$7:$A$54</definedName>
    <definedName name="XDO_?ISIN_EQU?5?">[1]WCGE!#REF!</definedName>
    <definedName name="XDO_?ISIN_EQU_NON?">WCAR!$A$10</definedName>
    <definedName name="XDO_?ISIN_FD?">WCAR!$A$45</definedName>
    <definedName name="XDO_?ISIN_MFU?">WCAR!$A$41:$A$75</definedName>
    <definedName name="XDO_?ISIN_MM?">WCAR!$A$36</definedName>
    <definedName name="XDO_?ISIN_TREP?">WCAR!$A$53:$A$79</definedName>
    <definedName name="XDO_?ISSUER_NAME_ALT?">WCAR!$B$49</definedName>
    <definedName name="XDO_?ISSUER_NAME_DEBT_A?">WCAR!$B$21</definedName>
    <definedName name="XDO_?ISSUER_NAME_DEBT_B?">WCAR!$B$24</definedName>
    <definedName name="XDO_?ISSUER_NAME_DEBT_C?">WCAR!$B$27</definedName>
    <definedName name="XDO_?ISSUER_NAME_DEBT_D?">WCAR!$B$30</definedName>
    <definedName name="XDO_?ISSUER_NAME_DRV?">WCAR!$B$15:$B$58</definedName>
    <definedName name="XDO_?ISSUER_NAME_EQU?">WCAR!$B$7:$B$54</definedName>
    <definedName name="XDO_?ISSUER_NAME_EQU?5?">[1]WCGE!#REF!</definedName>
    <definedName name="XDO_?ISSUER_NAME_EQU_NON?">WCAR!$B$10</definedName>
    <definedName name="XDO_?ISSUER_NAME_FD?">WCAR!$B$45</definedName>
    <definedName name="XDO_?ISSUER_NAME_MFU?">WCAR!$B$41:$B$75</definedName>
    <definedName name="XDO_?ISSUER_NAME_MM?">WCAR!$B$36</definedName>
    <definedName name="XDO_?ISSUER_NAME_REPO?">WCAR!$B$57</definedName>
    <definedName name="XDO_?ISSUER_NAME_TREP?">WCAR!$B$53:$B$79</definedName>
    <definedName name="XDO_?MARKET_VALUE_ALT?">WCAR!$E$49</definedName>
    <definedName name="XDO_?MARKET_VALUE_DEBT_A?">WCAR!$E$21</definedName>
    <definedName name="XDO_?MARKET_VALUE_DEBT_B?">WCAR!$E$24</definedName>
    <definedName name="XDO_?MARKET_VALUE_DEBT_C?">WCAR!$E$27</definedName>
    <definedName name="XDO_?MARKET_VALUE_DEBT_D?">WCAR!$E$30</definedName>
    <definedName name="XDO_?MARKET_VALUE_DRV?">WCAR!$E$15:$E$58</definedName>
    <definedName name="XDO_?MARKET_VALUE_EQU?">WCAR!$E$7:$E$54</definedName>
    <definedName name="XDO_?MARKET_VALUE_EQU?5?">[1]WCGE!#REF!</definedName>
    <definedName name="XDO_?MARKET_VALUE_EQU_NON?">WCAR!$E$10</definedName>
    <definedName name="XDO_?MARKET_VALUE_FD?">WCAR!$E$45</definedName>
    <definedName name="XDO_?MARKET_VALUE_MFU?">WCAR!$E$41:$E$75</definedName>
    <definedName name="XDO_?MARKET_VALUE_MM?">WCAR!$E$36</definedName>
    <definedName name="XDO_?MARKET_VALUE_REPO?">WCAR!$E$57</definedName>
    <definedName name="XDO_?MARKET_VALUE_TREP?">WCAR!$E$53:$E$79</definedName>
    <definedName name="XDO_?MATURITY_DATE_DEBT_A?">WCAR!$G$21</definedName>
    <definedName name="XDO_?MATURITY_DATE_DEBT_B?">WCAR!$G$24</definedName>
    <definedName name="XDO_?MATURITY_DATE_DEBT_C?">WCAR!$G$27</definedName>
    <definedName name="XDO_?MATURITY_DATE_DEBT_D?">WCAR!$G$30</definedName>
    <definedName name="XDO_?MATURITY_DATE_DRV?">WCAR!$G$15:$G$58</definedName>
    <definedName name="XDO_?MATURITY_DATE_EQU?">WCAR!$G$7:$G$54</definedName>
    <definedName name="XDO_?MATURITY_DATE_EQU?5?">[1]WCGE!#REF!</definedName>
    <definedName name="XDO_?MATURITY_DATE_EQU_NON?">WCAR!$G$10</definedName>
    <definedName name="XDO_?MATURITY_DATE_FD?">WCAR!$G$45</definedName>
    <definedName name="XDO_?MATURITY_DATE_MFU?">WCAR!$G$41:$G$75</definedName>
    <definedName name="XDO_?MATURITY_DATE_MM?">WCAR!$G$36</definedName>
    <definedName name="XDO_?MATURITY_DATE_TREP?">WCAR!$G$53:$G$79</definedName>
    <definedName name="XDO_?MD_HIDE_EQU_1?">WCAR!#REF!</definedName>
    <definedName name="XDO_?MD_HIDE_EQU_1?1?">[1]WCMA!#REF!</definedName>
    <definedName name="XDO_?MD_HIDE_EQU_1?2?">[1]WCBA!#REF!</definedName>
    <definedName name="XDO_?MD_HIDE_EQU_1?3?">[1]WCET!#REF!</definedName>
    <definedName name="XDO_?MD_HIDE_EQU_1?4?">[1]WCFL!#REF!</definedName>
    <definedName name="XDO_?MD_HIDE_EQU_1?5?">[1]WCGE!#REF!</definedName>
    <definedName name="XDO_?MD_HIDE_EQU_1?6?">[1]WCSC!#REF!</definedName>
    <definedName name="XDO_?MD_HIDE_EQU_2?">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WCAR!#REF!</definedName>
    <definedName name="XDO_?MD_HIDE_EQU_3?1?">[1]WCET!#REF!</definedName>
    <definedName name="XDO_?MD_HIDE_EQU_3?2?">[1]WCGF!#REF!</definedName>
    <definedName name="XDO_?MD_HIDE_EQU_3?3?">[1]WCFL!#REF!</definedName>
    <definedName name="XDO_?MD_HIDE_EQU_3?4?">[1]WCGE!#REF!</definedName>
    <definedName name="XDO_?MD_HIDE_EQU_4?">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[1]WCGE!#REF!</definedName>
    <definedName name="XDO_?MD_HIDE_EQU_4?7?">[1]WCGE!#REF!</definedName>
    <definedName name="XDO_?MD_HIDE_EQU_5?">WCAR!#REF!</definedName>
    <definedName name="XDO_?MD_HIDE_EQU_5?1?">[1]WCET!#REF!</definedName>
    <definedName name="XDO_?MD_HIDE_EQU_5?2?">[1]WCGF!#REF!</definedName>
    <definedName name="XDO_?MD_HIDE_EQU_5?3?">[1]WCFL!#REF!</definedName>
    <definedName name="XDO_?MD_HIDE_EQU_5?4?">[1]WCGE!#REF!</definedName>
    <definedName name="XDO_?MD_HIDE_EQU_6?">WCAR!#REF!</definedName>
    <definedName name="XDO_?MD_HIDE_EQU_6?1?">[1]WCET!#REF!</definedName>
    <definedName name="XDO_?MD_HIDE_EQU_6?2?">[1]WCGF!#REF!</definedName>
    <definedName name="XDO_?MD_HIDE_EQU_6?3?">[1]WCFL!#REF!</definedName>
    <definedName name="XDO_?MD_HIDE_EQU_6?4?">[1]WCGE!#REF!</definedName>
    <definedName name="XDO_?NET_CURRENT_ASSET?">WCAR!$E$59:$E$83</definedName>
    <definedName name="XDO_?PER_ASSET_VAL_REPO?">WCAR!$F$57</definedName>
    <definedName name="XDO_?PER_NET_ASSET?">WCAR!$F$59:$F$83</definedName>
    <definedName name="XDO_?PER_NET_ASST_ALT?">WCAR!$F$49</definedName>
    <definedName name="XDO_?PER_NET_ASST_DEBT_A?">WCAR!$F$21</definedName>
    <definedName name="XDO_?PER_NET_ASST_DEBT_B?">WCAR!$F$24</definedName>
    <definedName name="XDO_?PER_NET_ASST_DEBT_C?">WCAR!$F$27</definedName>
    <definedName name="XDO_?PER_NET_ASST_DEBT_D?">WCAR!$F$30</definedName>
    <definedName name="XDO_?PER_NET_ASST_DRV?">WCAR!$F$15:$F$58</definedName>
    <definedName name="XDO_?PER_NET_ASST_EQU?">WCAR!$F$7:$F$54</definedName>
    <definedName name="XDO_?PER_NET_ASST_EQU?5?">[1]WCGE!#REF!</definedName>
    <definedName name="XDO_?PER_NET_ASST_EQU_NON?">WCAR!$F$10</definedName>
    <definedName name="XDO_?PER_NET_ASST_FD?">WCAR!$F$45</definedName>
    <definedName name="XDO_?PER_NET_ASST_MFU?">WCAR!$F$41:$F$75</definedName>
    <definedName name="XDO_?PER_NET_ASST_MM?">WCAR!$F$36</definedName>
    <definedName name="XDO_?PER_NET_ASST_TREP?">WCAR!$F$53:$F$79</definedName>
    <definedName name="XDO_?QUANTITY_ALT?">WCAR!$D$49</definedName>
    <definedName name="XDO_?QUANTITY_DEBT_A?">WCAR!$D$21</definedName>
    <definedName name="XDO_?QUANTITY_DEBT_B?">WCAR!$D$24</definedName>
    <definedName name="XDO_?QUANTITY_DEBT_C?">WCAR!$D$27</definedName>
    <definedName name="XDO_?QUANTITY_DEBT_D?">WCAR!$D$30</definedName>
    <definedName name="XDO_?QUANTITY_DRV?">WCAR!$D$15:$D$58</definedName>
    <definedName name="XDO_?QUANTITY_EQU?">WCAR!$D$7:$D$54</definedName>
    <definedName name="XDO_?QUANTITY_EQU?5?">[1]WCGE!#REF!</definedName>
    <definedName name="XDO_?QUANTITY_EQU_NON?">WCAR!$D$10</definedName>
    <definedName name="XDO_?QUANTITY_FD?">WCAR!$D$45</definedName>
    <definedName name="XDO_?QUANTITY_MFU?">WCAR!$D$41:$D$75</definedName>
    <definedName name="XDO_?QUANTITY_MM?">WCAR!$D$36</definedName>
    <definedName name="XDO_?QUANTITY_TREP?">WCAR!$D$53:$D$79</definedName>
    <definedName name="XDO_?RATING_INDUSTRY_ALT?">WCAR!$C$49</definedName>
    <definedName name="XDO_?RATING_INDUSTRY_DEBT_A?">WCAR!$C$21</definedName>
    <definedName name="XDO_?RATING_INDUSTRY_DEBT_B?">WCAR!$C$24</definedName>
    <definedName name="XDO_?RATING_INDUSTRY_DEBT_C?">WCAR!$C$27</definedName>
    <definedName name="XDO_?RATING_INDUSTRY_DEBT_D?">WCAR!$C$30</definedName>
    <definedName name="XDO_?RATING_INDUSTRY_DRV?">WCAR!$C$15:$C$58</definedName>
    <definedName name="XDO_?RATING_INDUSTRY_EQU?">WCAR!$C$7:$C$54</definedName>
    <definedName name="XDO_?RATING_INDUSTRY_EQU?5?">[1]WCGE!#REF!</definedName>
    <definedName name="XDO_?RATING_INDUSTRY_EQU_NON?">WCAR!$C$10</definedName>
    <definedName name="XDO_?RATING_INDUSTRY_FD?">WCAR!$C$45</definedName>
    <definedName name="XDO_?RATING_INDUSTRY_MFU?">WCAR!$C$41:$C$75</definedName>
    <definedName name="XDO_?RATING_INDUSTRY_MM?">WCAR!$C$36</definedName>
    <definedName name="XDO_?RATING_INDUSTRY_TREP?">WCAR!$C$53:$C$79</definedName>
    <definedName name="XDO_?ST_HIDE_EQU?">WCAR!#REF!</definedName>
    <definedName name="XDO_?ST_HIDE_EQU?1?">[1]WCET!#REF!</definedName>
    <definedName name="XDO_?ST_HIDE_EQU?2?">[1]WCGF!#REF!</definedName>
    <definedName name="XDO_?ST_HIDE_EQU?3?">[1]WCFL!#REF!</definedName>
    <definedName name="XDO_?ST_HIDE_EQU?4?">[1]WCGE!#REF!</definedName>
    <definedName name="XDO_?TITLE_HASH?">WCAR!$A$88</definedName>
    <definedName name="XDO_?TITLE_STAR?">WCAR!$A$87</definedName>
    <definedName name="XDO_?TX_GT_MARKET_VALUE_DEBT_A?">WCAR!#REF!</definedName>
    <definedName name="XDO_?TX_GT_MARKET_VALUE_DEBT_A?10?">[1]WCGE!#REF!</definedName>
    <definedName name="XDO_?TX_GT_MARKET_VALUE_DEBT_A?12?">[1]WCSC!#REF!</definedName>
    <definedName name="XDO_?TX_GT_MARKET_VALUE_DEBT_A?4?">[1]WCET!#REF!</definedName>
    <definedName name="XDO_?TX_GT_MARKET_VALUE_DEBT_A?6?">[1]WCGF!#REF!</definedName>
    <definedName name="XDO_?TX_GT_MARKET_VALUE_DEBT_A?8?">[1]WCFL!#REF!</definedName>
    <definedName name="XDO_?TX_GT_MARKET_VALUE_DEBT_ALL?">WCAR!$E$69</definedName>
    <definedName name="XDO_?TX_GT_MARKET_VALUE_DEBT_B?">WCAR!#REF!</definedName>
    <definedName name="XDO_?TX_GT_MARKET_VALUE_DEBT_B?10?">[1]WCFL!#REF!</definedName>
    <definedName name="XDO_?TX_GT_MARKET_VALUE_DEBT_B?12?">[1]WCGE!#REF!</definedName>
    <definedName name="XDO_?TX_GT_MARKET_VALUE_DEBT_B?14?">[1]WCSC!#REF!</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C?">WCAR!#REF!</definedName>
    <definedName name="XDO_?TX_GT_MARKET_VALUE_DEBT_C?10?">[1]WCFL!#REF!</definedName>
    <definedName name="XDO_?TX_GT_MARKET_VALUE_DEBT_C?12?">[1]WCGE!#REF!</definedName>
    <definedName name="XDO_?TX_GT_MARKET_VALUE_DEBT_C?14?">[1]WCSC!#REF!</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D?">WCAR!#REF!</definedName>
    <definedName name="XDO_?TX_GT_MARKET_VALUE_DEBT_D?10?">[1]WCFL!#REF!</definedName>
    <definedName name="XDO_?TX_GT_MARKET_VALUE_DEBT_D?12?">[1]WCGE!#REF!</definedName>
    <definedName name="XDO_?TX_GT_MARKET_VALUE_DEBT_D?14?">[1]WCSC!#REF!</definedName>
    <definedName name="XDO_?TX_GT_MARKET_VALUE_DEBT_D?6?">[1]WCET!#REF!</definedName>
    <definedName name="XDO_?TX_GT_MARKET_VALUE_DEBT_D?8?">[1]WCGF!#REF!</definedName>
    <definedName name="XDO_?TX_GT_MARKET_VALUE_EQU_ALL?">WCAR!$E$58</definedName>
    <definedName name="XDO_?TX_GT_MARKET_VALUE_EQU_ALL?11?">[1]WCLQ!#REF!</definedName>
    <definedName name="XDO_?TX_GT_MARKET_VALUE_EQU_ALL?3?">[1]WCBA!#REF!</definedName>
    <definedName name="XDO_?TX_GT_MARKET_VALUE_EQU_ALL?9?">[1]WCSC!#REF!</definedName>
    <definedName name="XDO_?TX_GT_MARKET_VALUE_GRAND?">WCAR!$E$85</definedName>
    <definedName name="XDO_?TX_GT_MARKET_VALUE_MM?">WCAR!$E$72:$E$75</definedName>
    <definedName name="XDO_?TX_GT_MARKET_VALUE_MM?10?">[1]WCGE!#REF!</definedName>
    <definedName name="XDO_?TX_GT_MARKET_VALUE_MM?12?">[1]WCSC!#REF!</definedName>
    <definedName name="XDO_?TX_GT_MARKET_VALUE_MM?4?">[1]WCET!#REF!</definedName>
    <definedName name="XDO_?TX_GT_MARKET_VALUE_MM?8?">[1]WCFL!#REF!</definedName>
    <definedName name="XDO_?TX_GT_PER_NET_ASSET_DEBT_ALL?">WCAR!$F$69</definedName>
    <definedName name="XDO_?TX_GT_PER_NET_ASST_DEBT_A?">WCAR!#REF!</definedName>
    <definedName name="XDO_?TX_GT_PER_NET_ASST_DEBT_A?10?">[1]WCGE!#REF!</definedName>
    <definedName name="XDO_?TX_GT_PER_NET_ASST_DEBT_A?12?">[1]WCSC!#REF!</definedName>
    <definedName name="XDO_?TX_GT_PER_NET_ASST_DEBT_A?4?">[1]WCET!#REF!</definedName>
    <definedName name="XDO_?TX_GT_PER_NET_ASST_DEBT_A?6?">[1]WCGF!#REF!</definedName>
    <definedName name="XDO_?TX_GT_PER_NET_ASST_DEBT_A?8?">[1]WCFL!#REF!</definedName>
    <definedName name="XDO_?TX_GT_PER_NET_ASST_DEBT_B?">WCAR!#REF!</definedName>
    <definedName name="XDO_?TX_GT_PER_NET_ASST_DEBT_B?10?">[1]WCFL!#REF!</definedName>
    <definedName name="XDO_?TX_GT_PER_NET_ASST_DEBT_B?12?">[1]WCGE!#REF!</definedName>
    <definedName name="XDO_?TX_GT_PER_NET_ASST_DEBT_B?14?">[1]WCSC!#REF!</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C?">WCAR!#REF!</definedName>
    <definedName name="XDO_?TX_GT_PER_NET_ASST_DEBT_C?10?">[1]WCFL!#REF!</definedName>
    <definedName name="XDO_?TX_GT_PER_NET_ASST_DEBT_C?12?">[1]WCGE!#REF!</definedName>
    <definedName name="XDO_?TX_GT_PER_NET_ASST_DEBT_C?14?">[1]WCSC!#REF!</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D?">WCAR!#REF!</definedName>
    <definedName name="XDO_?TX_GT_PER_NET_ASST_DEBT_D?10?">[1]WCFL!#REF!</definedName>
    <definedName name="XDO_?TX_GT_PER_NET_ASST_DEBT_D?12?">[1]WCGE!#REF!</definedName>
    <definedName name="XDO_?TX_GT_PER_NET_ASST_DEBT_D?14?">[1]WCSC!#REF!</definedName>
    <definedName name="XDO_?TX_GT_PER_NET_ASST_DEBT_D?6?">[1]WCET!#REF!</definedName>
    <definedName name="XDO_?TX_GT_PER_NET_ASST_DEBT_D?8?">[1]WCGF!#REF!</definedName>
    <definedName name="XDO_?TX_GT_PER_NET_ASST_EQU_ALL?">WCAR!$F$58</definedName>
    <definedName name="XDO_?TX_GT_PER_NET_ASST_EQU_ALL?11?">[1]WCLQ!#REF!</definedName>
    <definedName name="XDO_?TX_GT_PER_NET_ASST_EQU_ALL?3?">[1]WCBA!#REF!</definedName>
    <definedName name="XDO_?TX_GT_PER_NET_ASST_EQU_ALL?9?">[1]WCSC!#REF!</definedName>
    <definedName name="XDO_?TX_GT_PER_NET_ASST_MM?">WCAR!$F$72:$F$75</definedName>
    <definedName name="XDO_?TX_GT_PER_NET_ASST_MM?10?">[1]WCGE!#REF!</definedName>
    <definedName name="XDO_?TX_GT_PER_NET_ASST_MM?12?">[1]WCSC!#REF!</definedName>
    <definedName name="XDO_?TX_GT_PER_NET_ASST_MM?4?">[1]WCET!#REF!</definedName>
    <definedName name="XDO_?TX_GT_PER_NET_ASST_MM?8?">[1]WCFL!#REF!</definedName>
    <definedName name="XDO_?TX_MKT_VAL_DEBT_A_HDN?">WCAR!$E$61</definedName>
    <definedName name="XDO_?TX_MKT_VAL_DEBT_A_HDN?10?">[1]WCFL!#REF!</definedName>
    <definedName name="XDO_?TX_MKT_VAL_DEBT_A_HDN?12?">[1]WCGE!#REF!</definedName>
    <definedName name="XDO_?TX_MKT_VAL_DEBT_A_HDN?14?">[1]WCSC!#REF!</definedName>
    <definedName name="XDO_?TX_MKT_VAL_DEBT_A_HDN?16?">[1]WCLQ!#REF!</definedName>
    <definedName name="XDO_?TX_MKT_VAL_DEBT_A_HDN?6?">[1]WCET!#REF!</definedName>
    <definedName name="XDO_?TX_MKT_VAL_DEBT_A_HDN?8?">[1]WCGF!#REF!</definedName>
    <definedName name="XDO_?TX_MKT_VAL_DEBT_B_HDN?">WCAR!$E$63</definedName>
    <definedName name="XDO_?TX_MKT_VAL_DEBT_C_HDN?">WCAR!$E$65</definedName>
    <definedName name="XDO_?TX_MKT_VAL_DEBT_D_HDN?">WCAR!$E$67</definedName>
    <definedName name="XDO_?TX_MKT_VAL_EQU_HDN?">WCAR!$E$6:$E$54</definedName>
    <definedName name="XDO_?TX_MKT_VAL_EQU_NON_HDN?">WCAR!$E$56</definedName>
    <definedName name="XDO_?TX_MKT_VAL_EQU_NON_HDN?9?">[1]WCLQ!#REF!</definedName>
    <definedName name="XDO_?TX_PER_NET_DEBT_A_HDN?">WCAR!$F$61</definedName>
    <definedName name="XDO_?TX_PER_NET_DEBT_A_HDN?10?">[1]WCFL!#REF!</definedName>
    <definedName name="XDO_?TX_PER_NET_DEBT_A_HDN?12?">[1]WCGE!#REF!</definedName>
    <definedName name="XDO_?TX_PER_NET_DEBT_A_HDN?14?">[1]WCSC!#REF!</definedName>
    <definedName name="XDO_?TX_PER_NET_DEBT_A_HDN?16?">[1]WCLQ!#REF!</definedName>
    <definedName name="XDO_?TX_PER_NET_DEBT_A_HDN?6?">[1]WCET!#REF!</definedName>
    <definedName name="XDO_?TX_PER_NET_DEBT_A_HDN?8?">[1]WCGF!#REF!</definedName>
    <definedName name="XDO_?TX_PER_NET_DEBT_B_HDN?">WCAR!$F$63</definedName>
    <definedName name="XDO_?TX_PER_NET_DEBT_C_HDN?">WCAR!$F$65</definedName>
    <definedName name="XDO_?TX_PER_NET_DEBT_D_HDN?">WCAR!$F$67</definedName>
    <definedName name="XDO_?TX_PER_NET_EQU_HDN?">WCAR!$F$6:$F$54</definedName>
    <definedName name="XDO_?TX_PER_NET_EQU_NON_HDN?">WCAR!$F$56</definedName>
    <definedName name="XDO_?TX_PER_NET_EQU_NON_HDN?9?">[1]WCLQ!#REF!</definedName>
    <definedName name="XDO_?TX_ST_MARKET_VALUE_ALT?">WCAR!$E$50</definedName>
    <definedName name="XDO_?TX_ST_MARKET_VALUE_DRV?">WCAR!$E$16</definedName>
    <definedName name="XDO_?TX_ST_MARKET_VALUE_EQU?">WCAR!$E$55</definedName>
    <definedName name="XDO_?TX_ST_MARKET_VALUE_EQU?10?">[1]WCLQ!#REF!</definedName>
    <definedName name="XDO_?TX_ST_MARKET_VALUE_EQU?5?">[1]WCGF!#REF!</definedName>
    <definedName name="XDO_?TX_ST_MARKET_VALUE_EQU_NON?">WCAR!$E$57:$E$58</definedName>
    <definedName name="XDO_?TX_ST_MARKET_VALUE_EQU_NON?10?">[1]WCGE!#REF!</definedName>
    <definedName name="XDO_?TX_ST_MARKET_VALUE_EQU_NON?12?">[1]WCSC!#REF!</definedName>
    <definedName name="XDO_?TX_ST_MARKET_VALUE_EQU_NON?14?">[1]WCLQ!#REF!</definedName>
    <definedName name="XDO_?TX_ST_MARKET_VALUE_EQU_NON?3?">[1]WCBA!#REF!</definedName>
    <definedName name="XDO_?TX_ST_MARKET_VALUE_EQU_NON?5?">[1]WCET!#REF!</definedName>
    <definedName name="XDO_?TX_ST_MARKET_VALUE_EQU_NON?7?">[1]WCGF!#REF!</definedName>
    <definedName name="XDO_?TX_ST_MARKET_VALUE_FD?">WCAR!$E$46</definedName>
    <definedName name="XDO_?TX_ST_MARKET_VALUE_MFU?">WCAR!$E$42</definedName>
    <definedName name="XDO_?TX_ST_MARKET_VALUE_MM?">WCAR!$E$37</definedName>
    <definedName name="XDO_?TX_ST_MARKET_VALUE_REPO?">WCAR!$E$58</definedName>
    <definedName name="XDO_?TX_ST_MARKET_VALUE_TREP?">WCAR!$E$54</definedName>
    <definedName name="XDO_?TX_ST_NET_CURRENT_ASSET?">WCAR!#REF!</definedName>
    <definedName name="XDO_?TX_ST_PER_ASSET_VAL_REPO?">WCAR!$F$58</definedName>
    <definedName name="XDO_?TX_ST_PER_NET_ASSET?">WCAR!#REF!</definedName>
    <definedName name="XDO_?TX_ST_PER_NET_ASST_ALT?">WCAR!$F$50</definedName>
    <definedName name="XDO_?TX_ST_PER_NET_ASST_DRV?">WCAR!$F$16</definedName>
    <definedName name="XDO_?TX_ST_PER_NET_ASST_EQU?">WCAR!$F$55</definedName>
    <definedName name="XDO_?TX_ST_PER_NET_ASST_EQU?10?">[1]WCLQ!#REF!</definedName>
    <definedName name="XDO_?TX_ST_PER_NET_ASST_EQU?5?">[1]WCGF!#REF!</definedName>
    <definedName name="XDO_?TX_ST_PER_NET_ASST_EQU_NON?">WCAR!$F$57:$F$58</definedName>
    <definedName name="XDO_?TX_ST_PER_NET_ASST_EQU_NON?10?">[1]WCGE!#REF!</definedName>
    <definedName name="XDO_?TX_ST_PER_NET_ASST_EQU_NON?12?">[1]WCSC!#REF!</definedName>
    <definedName name="XDO_?TX_ST_PER_NET_ASST_EQU_NON?14?">[1]WCLQ!#REF!</definedName>
    <definedName name="XDO_?TX_ST_PER_NET_ASST_EQU_NON?3?">[1]WCBA!#REF!</definedName>
    <definedName name="XDO_?TX_ST_PER_NET_ASST_EQU_NON?5?">[1]WCET!#REF!</definedName>
    <definedName name="XDO_?TX_ST_PER_NET_ASST_EQU_NON?7?">[1]WCGF!#REF!</definedName>
    <definedName name="XDO_?TX_ST_PER_NET_ASST_FD?">WCAR!$F$46</definedName>
    <definedName name="XDO_?TX_ST_PER_NET_ASST_MFU?">WCAR!$F$42</definedName>
    <definedName name="XDO_?TX_ST_PER_NET_ASST_MM?">WCAR!$F$37</definedName>
    <definedName name="XDO_?TX_ST_PER_NET_ASST_TREP?">WCAR!$F$54</definedName>
    <definedName name="XDO_?YIELDS_DEBT_A?">WCAR!$I$21</definedName>
    <definedName name="XDO_?YIELDS_DEBT_B?">WCAR!$I$24</definedName>
    <definedName name="XDO_?YIELDS_DEBT_C?">WCAR!$I$27</definedName>
    <definedName name="XDO_?YIELDS_DEBT_D?">WCAR!$I$30</definedName>
    <definedName name="XDO_?YIELDS_EQU?">WCAR!$I$7:$I$54</definedName>
    <definedName name="XDO_?YIELDS_EQU?5?">[1]WCGE!#REF!</definedName>
    <definedName name="XDO_?YIELDS_EQU_NON?">WCAR!$I$10</definedName>
    <definedName name="XDO_?YIELDS_FD?">WCAR!$I$45</definedName>
    <definedName name="XDO_?YIELDS_MFU?">WCAR!$I$41:$I$75</definedName>
    <definedName name="XDO_?YIELDS_MM?">WCAR!$I$36</definedName>
    <definedName name="XDO_?YIELDS_TREP?">WCAR!$I$53:$I$79</definedName>
    <definedName name="XDO_GROUP_?G_11?">WCAR!#REF!</definedName>
    <definedName name="XDO_GROUP_?G_11?3?">[1]WCET!#REF!</definedName>
    <definedName name="XDO_GROUP_?G_11?4?">[1]WCGF!#REF!</definedName>
    <definedName name="XDO_GROUP_?G_11?5?">[1]WCFL!#REF!</definedName>
    <definedName name="XDO_GROUP_?G_11?6?">[1]WCGE!#REF!</definedName>
    <definedName name="XDO_GROUP_?G_11?7?">[1]WCSC!#REF!</definedName>
    <definedName name="XDO_GROUP_?G_11?8?">[1]WCLQ!#REF!</definedName>
    <definedName name="XDO_GROUP_?G_12?">WCAR!#REF!</definedName>
    <definedName name="XDO_GROUP_?G_12?1?">[1]WCMA!#REF!</definedName>
    <definedName name="XDO_GROUP_?G_12?2?">[1]WCBA!#REF!</definedName>
    <definedName name="XDO_GROUP_?G_12?3?">[1]WCET!#REF!</definedName>
    <definedName name="XDO_GROUP_?G_12?4?">[1]WCGF!#REF!</definedName>
    <definedName name="XDO_GROUP_?G_12?5?">[1]WCFL!#REF!</definedName>
    <definedName name="XDO_GROUP_?G_12?6?">[1]WCGE!#REF!</definedName>
    <definedName name="XDO_GROUP_?G_12?7?">[1]WCSC!#REF!</definedName>
    <definedName name="XDO_GROUP_?G_13?">WCAR!#REF!</definedName>
    <definedName name="XDO_GROUP_?G_13?1?">[1]WCMA!#REF!</definedName>
    <definedName name="XDO_GROUP_?G_13?2?">[1]WCBA!#REF!</definedName>
    <definedName name="XDO_GROUP_?G_13?3?">[1]WCET!#REF!</definedName>
    <definedName name="XDO_GROUP_?G_13?4?">[1]WCGF!#REF!</definedName>
    <definedName name="XDO_GROUP_?G_13?5?">[1]WCFL!#REF!</definedName>
    <definedName name="XDO_GROUP_?G_13?6?">[1]WCGE!#REF!</definedName>
    <definedName name="XDO_GROUP_?G_13?7?">[1]WCSC!#REF!</definedName>
    <definedName name="XDO_GROUP_?G_13?8?">[1]WCLQ!#REF!</definedName>
    <definedName name="XDO_GROUP_?G_14?">WCAR!#REF!</definedName>
    <definedName name="XDO_GROUP_?G_14?1?">[1]WCMA!#REF!</definedName>
    <definedName name="XDO_GROUP_?G_14?2?">[1]WCBA!#REF!</definedName>
    <definedName name="XDO_GROUP_?G_14?3?">[1]WCET!#REF!</definedName>
    <definedName name="XDO_GROUP_?G_14?4?">[1]WCGF!#REF!</definedName>
    <definedName name="XDO_GROUP_?G_14?5?">[1]WCFL!#REF!</definedName>
    <definedName name="XDO_GROUP_?G_14?6?">[1]WCGE!#REF!</definedName>
    <definedName name="XDO_GROUP_?G_14?7?">[1]WCSC!#REF!</definedName>
    <definedName name="XDO_GROUP_?G_14?8?">[1]WCLQ!#REF!</definedName>
    <definedName name="XDO_GROUP_?G_15?">WCAR!$A$21:$I$21</definedName>
    <definedName name="XDO_GROUP_?G_16?">WCAR!#REF!</definedName>
    <definedName name="XDO_GROUP_?G_16?3?">[1]WCET!#REF!</definedName>
    <definedName name="XDO_GROUP_?G_16?4?">[1]WCGF!#REF!</definedName>
    <definedName name="XDO_GROUP_?G_16?5?">[1]WCFL!#REF!</definedName>
    <definedName name="XDO_GROUP_?G_16?6?">[1]WCGE!#REF!</definedName>
    <definedName name="XDO_GROUP_?G_16?7?">[1]WCSC!#REF!</definedName>
    <definedName name="XDO_GROUP_?G_17?">WCAR!$A$36:$I$36</definedName>
    <definedName name="XDO_GROUP_?G_18?">WCAR!$A$74:$I$77</definedName>
    <definedName name="XDO_GROUP_?G_18?2?">[1]WCBA!#REF!</definedName>
    <definedName name="XDO_GROUP_?G_18?3?">[1]WCET!#REF!</definedName>
    <definedName name="XDO_GROUP_?G_18?5?">[1]WCFL!#REF!</definedName>
    <definedName name="XDO_GROUP_?G_18?6?">[1]WCGE!#REF!</definedName>
    <definedName name="XDO_GROUP_?G_18?7?">[1]WCSC!#REF!</definedName>
    <definedName name="XDO_GROUP_?G_18?8?">[1]WCLQ!#REF!</definedName>
    <definedName name="XDO_GROUP_?G_19?">WCAR!#REF!</definedName>
    <definedName name="XDO_GROUP_?G_19?1?">[1]WCMA!#REF!</definedName>
    <definedName name="XDO_GROUP_?G_19?2?">[1]WCBA!#REF!</definedName>
    <definedName name="XDO_GROUP_?G_19?3?">[1]WCET!#REF!</definedName>
    <definedName name="XDO_GROUP_?G_19?4?">[1]WCGF!#REF!</definedName>
    <definedName name="XDO_GROUP_?G_19?5?">[1]WCFL!#REF!</definedName>
    <definedName name="XDO_GROUP_?G_19?6?">[1]WCGE!#REF!</definedName>
    <definedName name="XDO_GROUP_?G_19?7?">[1]WCSC!#REF!</definedName>
    <definedName name="XDO_GROUP_?G_19?8?">[1]WCLQ!#REF!</definedName>
    <definedName name="XDO_GROUP_?G_2?">WCAR!$A$6:$I$54</definedName>
    <definedName name="XDO_GROUP_?G_2?4?">[1]WCGF!#REF!</definedName>
    <definedName name="XDO_GROUP_?G_2?8?">[1]WCLQ!#REF!</definedName>
    <definedName name="XDO_GROUP_?G_20?">WCAR!$A$45:$I$45</definedName>
    <definedName name="XDO_GROUP_?G_21?">WCAR!$A$75:$I$75</definedName>
    <definedName name="XDO_GROUP_?G_22?">WCAR!$A$78:$I$81</definedName>
    <definedName name="XDO_GROUP_?G_23?">WCAR!$A$79:$I$79</definedName>
    <definedName name="XDO_GROUP_?G_24?">WCAR!$A$83:$I$84</definedName>
    <definedName name="XDO_GROUP_?G_25?">WCAR!$A$83:$I$83</definedName>
    <definedName name="XDO_GROUP_?G_26?">WCAR!#REF!</definedName>
    <definedName name="XDO_GROUP_?G_26?1?">[1]WCMA!#REF!</definedName>
    <definedName name="XDO_GROUP_?G_26?2?">[1]WCBA!#REF!</definedName>
    <definedName name="XDO_GROUP_?G_26?3?">[1]WCET!#REF!</definedName>
    <definedName name="XDO_GROUP_?G_26?4?">[1]WCGF!#REF!</definedName>
    <definedName name="XDO_GROUP_?G_26?5?">[1]WCFL!#REF!</definedName>
    <definedName name="XDO_GROUP_?G_26?6?">[1]WCGE!#REF!</definedName>
    <definedName name="XDO_GROUP_?G_26?7?">[1]WCSC!#REF!</definedName>
    <definedName name="XDO_GROUP_?G_26?8?">[1]WCLQ!#REF!</definedName>
    <definedName name="XDO_GROUP_?G_27?">WCAR!$A$49:$I$49</definedName>
    <definedName name="XDO_GROUP_?G_28?">WCAR!#REF!</definedName>
    <definedName name="XDO_GROUP_?G_28?1?">[1]WCMA!#REF!</definedName>
    <definedName name="XDO_GROUP_?G_28?2?">[1]WCBA!#REF!</definedName>
    <definedName name="XDO_GROUP_?G_28?3?">[1]WCET!#REF!</definedName>
    <definedName name="XDO_GROUP_?G_28?4?">[1]WCGF!#REF!</definedName>
    <definedName name="XDO_GROUP_?G_28?5?">[1]WCFL!#REF!</definedName>
    <definedName name="XDO_GROUP_?G_28?6?">[1]WCGE!#REF!</definedName>
    <definedName name="XDO_GROUP_?G_28?7?">[1]WCSC!#REF!</definedName>
    <definedName name="XDO_GROUP_?G_28?8?">[1]WCLQ!#REF!</definedName>
    <definedName name="XDO_GROUP_?G_29?">WCAR!$A$57:$I$57</definedName>
    <definedName name="XDO_GROUP_?G_3?">WCAR!$A$7:$I$54</definedName>
    <definedName name="XDO_GROUP_?G_3?5?">[1]WCGE!#REF!</definedName>
    <definedName name="XDO_GROUP_?G_5?">WCAR!#REF!</definedName>
    <definedName name="XDO_GROUP_?G_5?2?">[1]WCBA!#REF!</definedName>
    <definedName name="XDO_GROUP_?G_5?3?">[1]WCET!#REF!</definedName>
    <definedName name="XDO_GROUP_?G_5?4?">[1]WCGF!#REF!</definedName>
    <definedName name="XDO_GROUP_?G_5?6?">[1]WCGE!#REF!</definedName>
    <definedName name="XDO_GROUP_?G_5?7?">[1]WCSC!#REF!</definedName>
    <definedName name="XDO_GROUP_?G_5?8?">[1]WCLQ!#REF!</definedName>
    <definedName name="XDO_GROUP_?G_6?">WCAR!$A$59:$I$59</definedName>
    <definedName name="XDO_GROUP_?G_6?1?">[1]WCMA!#REF!</definedName>
    <definedName name="XDO_GROUP_?G_6?2?">[1]WCBA!#REF!</definedName>
    <definedName name="XDO_GROUP_?G_6?3?">[1]WCET!#REF!</definedName>
    <definedName name="XDO_GROUP_?G_6?4?">[1]WCGF!#REF!</definedName>
    <definedName name="XDO_GROUP_?G_6?5?">[1]WCFL!#REF!</definedName>
    <definedName name="XDO_GROUP_?G_6?6?">[1]WCGE!#REF!</definedName>
    <definedName name="XDO_GROUP_?G_6?7?">[1]WCSC!#REF!</definedName>
    <definedName name="XDO_GROUP_?G_6?8?">[1]WCLQ!#REF!</definedName>
    <definedName name="XDO_GROUP_?G_7?">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83" i="1" l="1"/>
</calcChain>
</file>

<file path=xl/sharedStrings.xml><?xml version="1.0" encoding="utf-8"?>
<sst xmlns="http://schemas.openxmlformats.org/spreadsheetml/2006/main" count="466" uniqueCount="273">
  <si>
    <t>WCAR-THE WEALTH COMPANY ARBITRAGE FUND</t>
  </si>
  <si>
    <t>Portfolio as on 31-MAY-2026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</si>
  <si>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</si>
  <si>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</si>
  <si>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</si>
  <si>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</si>
  <si>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</si>
  <si>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</si>
  <si>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</si>
  <si>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</si>
  <si>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</si>
  <si>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</si>
  <si>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</si>
  <si>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INE090A01021</t>
  </si>
  <si>
    <t>ICICI Bank Limited</t>
  </si>
  <si>
    <t>Banks</t>
  </si>
  <si>
    <t>INE238A01034</t>
  </si>
  <si>
    <t>Axis Bank Limited</t>
  </si>
  <si>
    <t>INE040A01034</t>
  </si>
  <si>
    <t>HDFC Bank Limited</t>
  </si>
  <si>
    <t>INE257A01026</t>
  </si>
  <si>
    <t>Bharat Heavy Electricals Limited</t>
  </si>
  <si>
    <t>Electrical Equipment</t>
  </si>
  <si>
    <t>INE484J01027</t>
  </si>
  <si>
    <t>Godrej Properties Limited</t>
  </si>
  <si>
    <t>Realty</t>
  </si>
  <si>
    <t>INE364U01010</t>
  </si>
  <si>
    <t>Adani Green Energy Limited</t>
  </si>
  <si>
    <t>Power</t>
  </si>
  <si>
    <t>INE081A01020</t>
  </si>
  <si>
    <t>Tata Steel Limited</t>
  </si>
  <si>
    <t>Ferrous Metals</t>
  </si>
  <si>
    <t>INE947Q01028</t>
  </si>
  <si>
    <t>Laurus Labs Limited</t>
  </si>
  <si>
    <t>Pharmaceuticals &amp; Biotechnology</t>
  </si>
  <si>
    <t>INE121J01017</t>
  </si>
  <si>
    <t>Indus Towers Limited</t>
  </si>
  <si>
    <t>Telecom - Services</t>
  </si>
  <si>
    <t>INE918I01026</t>
  </si>
  <si>
    <t>Bajaj Finserv Limited</t>
  </si>
  <si>
    <t>Finance</t>
  </si>
  <si>
    <t>INE795G01014</t>
  </si>
  <si>
    <t>HDFC Life Insurance Company Limited</t>
  </si>
  <si>
    <t>Insurance</t>
  </si>
  <si>
    <t>INE094A01015</t>
  </si>
  <si>
    <t>Hindustan Petroleum Corporation Limited</t>
  </si>
  <si>
    <t>Petroleum Products</t>
  </si>
  <si>
    <t>INE211B01039</t>
  </si>
  <si>
    <t>The Phoenix Mills Limited</t>
  </si>
  <si>
    <t>INE114A01011</t>
  </si>
  <si>
    <t>Steel Authority of India Limited</t>
  </si>
  <si>
    <t>INE423A01024</t>
  </si>
  <si>
    <t>Adani Enterprises Limited</t>
  </si>
  <si>
    <t>Metals &amp; Minerals Trading</t>
  </si>
  <si>
    <t>INE213A01029</t>
  </si>
  <si>
    <t>Oil &amp; Natural Gas Corporation Limited</t>
  </si>
  <si>
    <t>Oil</t>
  </si>
  <si>
    <t>INE726G01019</t>
  </si>
  <si>
    <t>ICICI Prudential Life Insurance Company</t>
  </si>
  <si>
    <t>INE628A01036</t>
  </si>
  <si>
    <t>UPL Limited</t>
  </si>
  <si>
    <t>Fertilizers &amp; Agrochemicals</t>
  </si>
  <si>
    <t>INE376G01013</t>
  </si>
  <si>
    <t>Biocon Limited</t>
  </si>
  <si>
    <t>INE528G01035</t>
  </si>
  <si>
    <t>Yes Bank Ltd</t>
  </si>
  <si>
    <t>INE758T01015</t>
  </si>
  <si>
    <t>Eternal Limited</t>
  </si>
  <si>
    <t>Retailing</t>
  </si>
  <si>
    <t>INE245A01021</t>
  </si>
  <si>
    <t>The Tata Power Company Limited</t>
  </si>
  <si>
    <t>INE721A01047</t>
  </si>
  <si>
    <t>Shriram Finance Limited</t>
  </si>
  <si>
    <t>INE758E01017</t>
  </si>
  <si>
    <t>Jio Financial Services Limited</t>
  </si>
  <si>
    <t>INE776C01039</t>
  </si>
  <si>
    <t>GMR Airports Limited</t>
  </si>
  <si>
    <t>Transport Infrastructure</t>
  </si>
  <si>
    <t>INE038A01020</t>
  </si>
  <si>
    <t>Hindalco Industries Limited</t>
  </si>
  <si>
    <t>Non - Ferrous Metals</t>
  </si>
  <si>
    <t>INE584A01023</t>
  </si>
  <si>
    <t>NMDC Limited</t>
  </si>
  <si>
    <t>Minerals &amp; Mining</t>
  </si>
  <si>
    <t>INE811K01011</t>
  </si>
  <si>
    <t>Prestige Estates Projects Limited</t>
  </si>
  <si>
    <t>INE00R701025</t>
  </si>
  <si>
    <t>Dalmia Bharat Limited</t>
  </si>
  <si>
    <t>Cement &amp; Cement Products</t>
  </si>
  <si>
    <t>INE028A01039</t>
  </si>
  <si>
    <t>Bank of Baroda</t>
  </si>
  <si>
    <t>INE646L01027</t>
  </si>
  <si>
    <t>InterGlobe Aviation Limited</t>
  </si>
  <si>
    <t>Transport Services</t>
  </si>
  <si>
    <t>INE029A01011</t>
  </si>
  <si>
    <t>Bharat Petroleum Corporation Limited</t>
  </si>
  <si>
    <t>INE102D01028</t>
  </si>
  <si>
    <t>Godrej Consumer Products Limited</t>
  </si>
  <si>
    <t>Personal Products</t>
  </si>
  <si>
    <t>INE670K01029</t>
  </si>
  <si>
    <t>Lodha Developers Limited</t>
  </si>
  <si>
    <t>INE067A01029</t>
  </si>
  <si>
    <t>CG Power And Industrial Solutions Ltd</t>
  </si>
  <si>
    <t>INE854D01024</t>
  </si>
  <si>
    <t>United Spirits Limited</t>
  </si>
  <si>
    <t>Beverages</t>
  </si>
  <si>
    <t>INE591G01025</t>
  </si>
  <si>
    <t>Coforge Limited</t>
  </si>
  <si>
    <t>IT - Software</t>
  </si>
  <si>
    <t>INE949L01017</t>
  </si>
  <si>
    <t>AU Small Finance Bank Limited</t>
  </si>
  <si>
    <t>INE522D01027</t>
  </si>
  <si>
    <t>Manappuram Finance Limited</t>
  </si>
  <si>
    <t>INE200M01039</t>
  </si>
  <si>
    <t>Varun Beverages Limited</t>
  </si>
  <si>
    <t>INE062A01020</t>
  </si>
  <si>
    <t>State Bank of India</t>
  </si>
  <si>
    <t>INE237A01036</t>
  </si>
  <si>
    <t>Kotak Mahindra Bank Limited</t>
  </si>
  <si>
    <t>INE481G01011</t>
  </si>
  <si>
    <t>UltraTech Cement Limited</t>
  </si>
  <si>
    <t>INE572E01012</t>
  </si>
  <si>
    <t>PNB Housing Finance Limited</t>
  </si>
  <si>
    <t>INE053A01029</t>
  </si>
  <si>
    <t>The Indian Hotels Company Limited</t>
  </si>
  <si>
    <t>Leisure Services</t>
  </si>
  <si>
    <t>INE101A01026</t>
  </si>
  <si>
    <t>Mahindra &amp; Mahindra Limited</t>
  </si>
  <si>
    <t>Automobiles</t>
  </si>
  <si>
    <t>INE016A01026</t>
  </si>
  <si>
    <t>Dabur India Limited</t>
  </si>
  <si>
    <t>INE935A01035</t>
  </si>
  <si>
    <t>Glenmark Pharmaceuticals Limited</t>
  </si>
  <si>
    <t>Sub Total</t>
  </si>
  <si>
    <t>(b) Unlisted</t>
  </si>
  <si>
    <t>NIL</t>
  </si>
  <si>
    <t>Total</t>
  </si>
  <si>
    <t>DEBT INSTRUMENTS</t>
  </si>
  <si>
    <t>(a) Listed / awaiting listing on Stock Exchanges</t>
  </si>
  <si>
    <t>(b) Privately placed / Unlisted</t>
  </si>
  <si>
    <t>(c) Securitized Debt Instruments</t>
  </si>
  <si>
    <t>(d) Government Securities / SDL</t>
  </si>
  <si>
    <t>MONEY MARKET INSTRUMENTS</t>
  </si>
  <si>
    <t>Mutual Fund Units</t>
  </si>
  <si>
    <t>INF2F0001081</t>
  </si>
  <si>
    <t>The Wealth Company Mutual Fund - Liquid Fund</t>
  </si>
  <si>
    <t>TREPS / Reverse Repo Investments / Corporate Debt Repo</t>
  </si>
  <si>
    <t>INTRPS010626</t>
  </si>
  <si>
    <t>CCIL</t>
  </si>
  <si>
    <t>01-JUN-2026</t>
  </si>
  <si>
    <t>Cash &amp; Cash Equivalents</t>
  </si>
  <si>
    <t>Net Receivable/Payable</t>
  </si>
  <si>
    <t>Grand Total</t>
  </si>
  <si>
    <t>NOTES :</t>
  </si>
  <si>
    <t>Net Asset Values per unit as follows - Plan/Option</t>
  </si>
  <si>
    <t>Plan/Option</t>
  </si>
  <si>
    <t>As on May 29, 2026</t>
  </si>
  <si>
    <t>As on April 30, 2026</t>
  </si>
  <si>
    <t>REGULAR PLAN GROWTH</t>
  </si>
  <si>
    <t>(Rs.)</t>
  </si>
  <si>
    <t>DIRECT PLAN GROWTH</t>
  </si>
  <si>
    <t>DIRECT PLAN IDCW</t>
  </si>
  <si>
    <t>REGULAR PLAN IDCW</t>
  </si>
  <si>
    <t>* Allotment date - 14-10-2025</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</si>
  <si>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</si>
  <si>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</si>
  <si>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</si>
  <si>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</si>
  <si>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</si>
  <si>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</si>
  <si>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</si>
  <si>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</si>
  <si>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</si>
  <si>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</si>
  <si>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</si>
  <si>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</si>
  <si>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</si>
  <si>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</si>
  <si>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May 31, 2026:</t>
  </si>
  <si>
    <t xml:space="preserve">Underlying </t>
  </si>
  <si>
    <t>Long / Short</t>
  </si>
  <si>
    <t xml:space="preserve">Futures Price 
when purchased </t>
  </si>
  <si>
    <t xml:space="preserve">Current price 
of the contract </t>
  </si>
  <si>
    <t xml:space="preserve">Margin 
maintained in 
Rs. Lakhs </t>
  </si>
  <si>
    <t>Adani Enterprises Limited 30/06/2026</t>
  </si>
  <si>
    <t>Short</t>
  </si>
  <si>
    <t>Adani Green Energy Limited 30/06/2026</t>
  </si>
  <si>
    <t>AU Small Finance Bank Ltd 30/06/2026</t>
  </si>
  <si>
    <t>Axis Bank Limited 30/06/2026</t>
  </si>
  <si>
    <t>Bajaj Finserv Ltd. 30/06/2026</t>
  </si>
  <si>
    <t>Bank of Baroda 30/06/2026</t>
  </si>
  <si>
    <t>Bharat Heavy Electricals Ltd 30/06/2026</t>
  </si>
  <si>
    <t>Bharat Petroleum Corp Ltd 30/06/2026</t>
  </si>
  <si>
    <t>Biocon Ltd 30/06/2026</t>
  </si>
  <si>
    <t>CG Power and Industrial Solutions Ltd 30/06/2026</t>
  </si>
  <si>
    <t>Coforge Ltd. 30/06/2026</t>
  </si>
  <si>
    <t>Dabur India Limited 28/07/2026</t>
  </si>
  <si>
    <t>Dalmia Bharat Limited 30/06/2026</t>
  </si>
  <si>
    <t>Eternal Limited 30/06/2026</t>
  </si>
  <si>
    <t>Glenmark Pharmaceuticals Ltd 30/06/2026</t>
  </si>
  <si>
    <t>GMR Airports Limited 30/06/2026</t>
  </si>
  <si>
    <t>Godrej Consumer Products Limited 30/06/2026</t>
  </si>
  <si>
    <t>Godrej Properties Limited 30/06/2026</t>
  </si>
  <si>
    <t>HDFC Bank Limited 30/06/2026</t>
  </si>
  <si>
    <t>HDFC Life Insurance Co Ltd 30/06/2026</t>
  </si>
  <si>
    <t>Hindalco Industries Limited 30/06/2026</t>
  </si>
  <si>
    <t>Hindustan Petroleum Corporation Ltd 30/06/2026</t>
  </si>
  <si>
    <t>ICICI Bank Limited 30/06/2026</t>
  </si>
  <si>
    <t>ICICI Prudential Life Insurance Co Ltd 30/06/2026</t>
  </si>
  <si>
    <t>Indian Hotels Co Ltd 30/06/2026</t>
  </si>
  <si>
    <t>Indus Towers Limited 30/06/2026</t>
  </si>
  <si>
    <t>Interglobe Aviation Limited 30/06/2026</t>
  </si>
  <si>
    <t>Jio Financial Services Limited 30/06/2026</t>
  </si>
  <si>
    <t>Kotak Mahindra Bank Limited 30/06/2026</t>
  </si>
  <si>
    <t>Laurus Labs Ltd 30/06/2026</t>
  </si>
  <si>
    <t>Lodha Developers Limited 30/06/2026</t>
  </si>
  <si>
    <t>Mahindra &amp; Mahindra Limited 30/06/2026</t>
  </si>
  <si>
    <t>Manappuram Finance Ltd 30/06/2026</t>
  </si>
  <si>
    <t>NMDC Ltd 30/06/2026</t>
  </si>
  <si>
    <t>Oil and Natural Gas Corporation Ltd. 30/06/2026</t>
  </si>
  <si>
    <t>PNB Housing Finance Limited 30/06/2026</t>
  </si>
  <si>
    <t>Prestige Estates Projects Ltd 30/06/2026</t>
  </si>
  <si>
    <t>Shriram Finance Limited 30/06/2026</t>
  </si>
  <si>
    <t>State Bank of India 30/06/2026</t>
  </si>
  <si>
    <t>Steel Authority of India Ltd 30/06/2026</t>
  </si>
  <si>
    <t>Tata Power Company Limited 30/06/2026</t>
  </si>
  <si>
    <t>Tata Steel Limited 30/06/2026</t>
  </si>
  <si>
    <t>The Phoenix Mills Limited 30/06/2026</t>
  </si>
  <si>
    <t>UltraTech Cement Limited 30/06/2026</t>
  </si>
  <si>
    <t>United Spirits Limited 30/06/2026</t>
  </si>
  <si>
    <t>UPL Limited 30/06/2026</t>
  </si>
  <si>
    <t>Varun Beverages Limited 30/06/2026</t>
  </si>
  <si>
    <t>YES Bank Ltd. 30/06/2026</t>
  </si>
  <si>
    <t>Total outstanding exposure in derivative instruments at the end of the period - Short -(Rs in Lakhs) : (12315.92)</t>
  </si>
  <si>
    <t>For the month ended May 31, 2026,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</si>
  <si>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</si>
  <si>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</si>
  <si>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</si>
  <si>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</si>
  <si>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</si>
  <si>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31/05/2026</t>
  </si>
  <si>
    <t>For the month ended May 31, 2026, following are the non-hedging transactions through futures which have been squared off / expired :</t>
  </si>
  <si>
    <t>This Product is suitable for investors who are seeking*:</t>
  </si>
  <si>
    <t>Scheme Riskometer</t>
  </si>
  <si>
    <t>Benchmark Riskometer</t>
  </si>
  <si>
    <t>NIFTY 50 Arbitrage TRI</t>
  </si>
  <si>
    <t>The risk of the scheme is low to moderate</t>
  </si>
  <si>
    <t>The risk of the benchmark is low</t>
  </si>
  <si>
    <t>Total 83.69% of existing assets hedged through futures as on 31/05/2026</t>
  </si>
  <si>
    <t>Glenmark Pharmaceuticals Limited 30/06/2026</t>
  </si>
  <si>
    <t>The Indian Hotels Company Limited 30/06/2026</t>
  </si>
  <si>
    <t>Manappuram Finance Limited 30/06/2026</t>
  </si>
  <si>
    <t>AU Small Finance Bank Limited 30/06/2026</t>
  </si>
  <si>
    <t>Coforge Limited 30/06/2026</t>
  </si>
  <si>
    <t>CG Power And Industrial Solutions Ltd 30/06/2026</t>
  </si>
  <si>
    <t>Bharat Petroleum Corporation Limited 30/06/2026</t>
  </si>
  <si>
    <t>InterGlobe Aviation Limited 30/06/2026</t>
  </si>
  <si>
    <t>Prestige Estates Projects Limited 30/06/2026</t>
  </si>
  <si>
    <t>NMDC Limited 30/06/2026</t>
  </si>
  <si>
    <t>The Tata Power Company Limited 30/06/2026</t>
  </si>
  <si>
    <t>Yes Bank Ltd 30/06/2026</t>
  </si>
  <si>
    <t>Biocon Limited 30/06/2026</t>
  </si>
  <si>
    <t>ICICI Prudential Life Insurance Company 30/06/2026</t>
  </si>
  <si>
    <t>Oil &amp; Natural Gas Corporation Limited 30/06/2026</t>
  </si>
  <si>
    <t>Steel Authority of India Limited 30/06/2026</t>
  </si>
  <si>
    <t>Hindustan Petroleum Corporation Limited 30/06/2026</t>
  </si>
  <si>
    <t>HDFC Life Insurance Company Limited 30/06/2026</t>
  </si>
  <si>
    <t>Bajaj Finserv Limited 30/06/2026</t>
  </si>
  <si>
    <t>Laurus Labs Limited 30/06/2026</t>
  </si>
  <si>
    <t>Bharat Heavy Electricals Limited 30/06/2026</t>
  </si>
  <si>
    <r>
      <t>•</t>
    </r>
    <r>
      <rPr>
        <sz val="7"/>
        <color indexed="63"/>
        <rFont val="Calibri"/>
        <family val="2"/>
        <scheme val="minor"/>
      </rPr>
      <t xml:space="preserve">    </t>
    </r>
    <r>
      <rPr>
        <sz val="8"/>
        <color indexed="63"/>
        <rFont val="Calibri"/>
        <family val="2"/>
        <scheme val="minor"/>
      </rPr>
      <t>To generate income over a short term investment horizon.</t>
    </r>
  </si>
  <si>
    <r>
      <t>•</t>
    </r>
    <r>
      <rPr>
        <sz val="7"/>
        <color indexed="63"/>
        <rFont val="Calibri"/>
        <family val="2"/>
        <scheme val="minor"/>
      </rPr>
      <t xml:space="preserve">    </t>
    </r>
    <r>
      <rPr>
        <sz val="8"/>
        <color indexed="63"/>
        <rFont val="Calibri"/>
        <family val="2"/>
        <scheme val="minor"/>
      </rPr>
      <t>Predominantly investing in arbitrage opportunities in the cash and derivatives segment of the equity market and by investing the balance in debt and money market instrument.</t>
    </r>
  </si>
  <si>
    <r>
      <t xml:space="preserve">*Investors </t>
    </r>
    <r>
      <rPr>
        <sz val="10"/>
        <color indexed="63"/>
        <rFont val="Calibri"/>
        <family val="2"/>
        <scheme val="minor"/>
      </rPr>
      <t xml:space="preserve">should </t>
    </r>
    <r>
      <rPr>
        <sz val="10"/>
        <color indexed="23"/>
        <rFont val="Calibri"/>
        <family val="2"/>
        <scheme val="minor"/>
      </rPr>
      <t xml:space="preserve">consult their </t>
    </r>
    <r>
      <rPr>
        <sz val="10"/>
        <color indexed="63"/>
        <rFont val="Calibri"/>
        <family val="2"/>
        <scheme val="minor"/>
      </rPr>
      <t xml:space="preserve">financial </t>
    </r>
    <r>
      <rPr>
        <sz val="10"/>
        <color indexed="23"/>
        <rFont val="Calibri"/>
        <family val="2"/>
        <scheme val="minor"/>
      </rPr>
      <t xml:space="preserve">advisers if </t>
    </r>
    <r>
      <rPr>
        <sz val="10"/>
        <color indexed="63"/>
        <rFont val="Calibri"/>
        <family val="2"/>
        <scheme val="minor"/>
      </rPr>
      <t xml:space="preserve">in </t>
    </r>
    <r>
      <rPr>
        <sz val="10"/>
        <color indexed="23"/>
        <rFont val="Calibri"/>
        <family val="2"/>
        <scheme val="minor"/>
      </rPr>
      <t xml:space="preserve">doubt </t>
    </r>
    <r>
      <rPr>
        <sz val="10"/>
        <color indexed="63"/>
        <rFont val="Calibri"/>
        <family val="2"/>
        <scheme val="minor"/>
      </rPr>
      <t xml:space="preserve">about </t>
    </r>
    <r>
      <rPr>
        <sz val="10"/>
        <color indexed="23"/>
        <rFont val="Calibri"/>
        <family val="2"/>
        <scheme val="minor"/>
      </rPr>
      <t xml:space="preserve">whether the product is </t>
    </r>
    <r>
      <rPr>
        <sz val="10"/>
        <color indexed="63"/>
        <rFont val="Calibri"/>
        <family val="2"/>
        <scheme val="minor"/>
      </rPr>
      <t xml:space="preserve">suitable </t>
    </r>
    <r>
      <rPr>
        <sz val="10"/>
        <color indexed="23"/>
        <rFont val="Calibri"/>
        <family val="2"/>
        <scheme val="minor"/>
      </rPr>
      <t>for them.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</si>
</sst>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 numFmtId="172" formatCode="0.000000"/>
  </numFmts>
  <fonts count="34"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b/>
      <sz val="10"/>
      <name val="Tahoma"/>
      <family val="2"/>
    </font>
    <font>
      <sz val="10"/>
      <name val="Tahoma"/>
      <family val="2"/>
    </font>
    <font>
      <sz val="10"/>
      <color indexed="8"/>
      <name val="Calibri"/>
      <family val="2"/>
    </font>
    <font>
      <b/>
      <sz val="10"/>
      <color indexed="72"/>
      <name val="Arial"/>
      <family val="2"/>
    </font>
    <font>
      <b/>
      <sz val="10"/>
      <color indexed="56"/>
      <name val="Tahoma"/>
      <family val="2"/>
    </font>
    <font>
      <b/>
      <sz val="9"/>
      <color indexed="72"/>
      <name val="Arial"/>
      <family val="2"/>
    </font>
    <font>
      <sz val="10"/>
      <name val="Arial"/>
      <family val="2"/>
    </font>
    <font>
      <b/>
      <sz val="8"/>
      <name val="Century Gothic"/>
      <family val="2"/>
    </font>
    <font>
      <sz val="8"/>
      <name val="Century Gothic"/>
      <family val="2"/>
    </font>
    <font>
      <sz val="10"/>
      <name val="Century Gothic"/>
      <family val="2"/>
    </font>
    <font>
      <sz val="11"/>
      <color theme="1"/>
      <name val="Century Gothic"/>
      <family val="2"/>
    </font>
    <font>
      <sz val="11"/>
      <color theme="0"/>
      <name val="Century Gothic"/>
      <family val="2"/>
    </font>
    <font>
      <sz val="8"/>
      <color indexed="8"/>
      <name val="Century Gothic"/>
      <family val="2"/>
    </font>
    <font>
      <i/>
      <sz val="8"/>
      <color indexed="8"/>
      <name val="Century Gothic"/>
      <family val="2"/>
    </font>
    <font>
      <b/>
      <sz val="10"/>
      <color indexed="9"/>
      <name val="Century Gothic"/>
      <family val="2"/>
    </font>
    <font>
      <sz val="10"/>
      <color indexed="72"/>
      <name val="Century Gothic"/>
      <family val="2"/>
    </font>
    <font>
      <sz val="10"/>
      <color indexed="56"/>
      <name val="Tahoma"/>
      <family val="2"/>
    </font>
    <font>
      <sz val="10"/>
      <color indexed="72"/>
      <name val="Calibri"/>
      <family val="2"/>
      <scheme val="minor"/>
    </font>
    <font>
      <sz val="7"/>
      <color indexed="63"/>
      <name val="Calibri"/>
      <family val="2"/>
      <scheme val="minor"/>
    </font>
    <font>
      <sz val="8"/>
      <color indexed="63"/>
      <name val="Calibri"/>
      <family val="2"/>
      <scheme val="minor"/>
    </font>
    <font>
      <sz val="10"/>
      <color indexed="63"/>
      <name val="Calibri"/>
      <family val="2"/>
      <scheme val="minor"/>
    </font>
    <font>
      <sz val="10"/>
      <color indexed="23"/>
      <name val="Calibri"/>
      <family val="2"/>
      <scheme val="minor"/>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7">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168" fontId="9" fillId="0" borderId="0" applyFont="0" applyFill="0" applyBorder="0" applyAlignment="0" applyProtection="0"/>
    <xf numFmtId="9" fontId="9" fillId="0" borderId="0" applyFont="0" applyFill="0" applyBorder="0" applyAlignment="0" applyProtection="0"/>
    <xf numFmtId="0" fontId="6" fillId="0" borderId="0" applyNumberFormat="0" applyFill="0" applyBorder="0" applyProtection="0"/>
    <xf numFmtId="0" fontId="18" fillId="0" borderId="0"/>
    <xf numFmtId="168" fontId="18" fillId="0" borderId="0" applyFont="0" applyFill="0" applyBorder="0" applyAlignment="0" applyProtection="0"/>
    <xf numFmtId="0" fontId="18" fillId="0" borderId="0"/>
    <xf numFmtId="171" fontId="18" fillId="0" borderId="0" applyFont="0" applyFill="0" applyBorder="0" applyAlignment="0" applyProtection="0"/>
    <xf numFmtId="0" fontId="9" fillId="0" borderId="0"/>
    <xf numFmtId="0" fontId="9" fillId="0" borderId="0"/>
    <xf numFmtId="168" fontId="18" fillId="0" borderId="0" applyFont="0" applyFill="0" applyBorder="0" applyAlignment="0" applyProtection="0"/>
    <xf numFmtId="0" fontId="1" fillId="0" borderId="0"/>
  </cellStyleXfs>
  <cellXfs count="121">
    <xf numFmtId="0" fontId="0" fillId="0" borderId="0" xfId="0"/>
    <xf numFmtId="49" fontId="7" fillId="3" borderId="2" xfId="3" applyNumberFormat="1" applyFont="1" applyFill="1" applyBorder="1" applyAlignment="1" applyProtection="1">
      <alignment horizontal="center" vertical="center" wrapText="1"/>
    </xf>
    <xf numFmtId="49" fontId="7" fillId="3" borderId="2" xfId="3" applyNumberFormat="1" applyFont="1" applyFill="1" applyBorder="1" applyAlignment="1" applyProtection="1">
      <alignment horizontal="left" vertical="center"/>
    </xf>
    <xf numFmtId="49" fontId="7" fillId="3" borderId="2" xfId="3" applyNumberFormat="1" applyFont="1" applyFill="1" applyBorder="1" applyAlignment="1" applyProtection="1">
      <alignment horizontal="left" vertical="center" wrapText="1"/>
    </xf>
    <xf numFmtId="3" fontId="7" fillId="3" borderId="2" xfId="3" applyNumberFormat="1" applyFont="1" applyFill="1" applyBorder="1" applyAlignment="1" applyProtection="1">
      <alignment horizontal="right" vertical="center" wrapText="1"/>
    </xf>
    <xf numFmtId="4" fontId="7" fillId="3" borderId="2" xfId="3"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2" applyNumberFormat="1" applyFont="1" applyFill="1" applyBorder="1" applyAlignment="1"/>
    <xf numFmtId="10" fontId="5" fillId="0" borderId="2" xfId="2" applyNumberFormat="1" applyFont="1" applyFill="1" applyBorder="1" applyAlignment="1">
      <alignment horizontal="right"/>
    </xf>
    <xf numFmtId="0" fontId="10" fillId="0" borderId="2" xfId="0" applyFont="1" applyBorder="1" applyAlignment="1">
      <alignment horizontal="right" vertical="top"/>
    </xf>
    <xf numFmtId="4" fontId="11" fillId="0" borderId="2" xfId="0" applyNumberFormat="1"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0" fillId="0" borderId="2" xfId="2" applyNumberFormat="1" applyFont="1" applyFill="1" applyBorder="1" applyAlignment="1" applyProtection="1">
      <alignment horizontal="right" vertical="top"/>
    </xf>
    <xf numFmtId="4" fontId="0" fillId="0" borderId="0" xfId="0" applyNumberFormat="1"/>
    <xf numFmtId="0" fontId="11" fillId="0" borderId="2" xfId="0" applyFont="1" applyBorder="1"/>
    <xf numFmtId="4" fontId="11" fillId="0" borderId="2" xfId="0" applyNumberFormat="1" applyFont="1" applyBorder="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0" fontId="13" fillId="0" borderId="2" xfId="2" applyNumberFormat="1" applyFont="1" applyFill="1" applyBorder="1" applyAlignment="1" applyProtection="1">
      <alignment horizontal="right" vertical="top"/>
    </xf>
    <xf numFmtId="10" fontId="12" fillId="0" borderId="2" xfId="2" applyNumberFormat="1" applyFont="1" applyFill="1" applyBorder="1" applyAlignment="1" applyProtection="1">
      <alignment horizontal="right" vertical="top"/>
    </xf>
    <xf numFmtId="0" fontId="14" fillId="0" borderId="2" xfId="0" applyFont="1" applyBorder="1"/>
    <xf numFmtId="0" fontId="15" fillId="0" borderId="2" xfId="0" applyFont="1" applyBorder="1" applyAlignment="1">
      <alignment horizontal="left" vertical="top"/>
    </xf>
    <xf numFmtId="4" fontId="14" fillId="0" borderId="2" xfId="0" applyNumberFormat="1" applyFont="1" applyBorder="1"/>
    <xf numFmtId="165" fontId="14" fillId="0" borderId="2" xfId="2" applyNumberFormat="1" applyFont="1" applyFill="1" applyBorder="1" applyAlignment="1"/>
    <xf numFmtId="10" fontId="14" fillId="0" borderId="2" xfId="2" applyNumberFormat="1" applyFont="1" applyFill="1" applyBorder="1" applyAlignment="1">
      <alignment horizontal="right"/>
    </xf>
    <xf numFmtId="10" fontId="14" fillId="0" borderId="2" xfId="2"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4" fontId="10" fillId="0" borderId="2" xfId="0" applyNumberFormat="1" applyFont="1" applyBorder="1" applyAlignment="1">
      <alignment horizontal="left" vertical="top"/>
    </xf>
    <xf numFmtId="165" fontId="12"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0" fontId="12" fillId="0" borderId="2" xfId="0" applyFont="1" applyBorder="1" applyAlignment="1">
      <alignment wrapText="1"/>
    </xf>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16" fillId="0" borderId="0" xfId="0" applyFont="1"/>
    <xf numFmtId="0" fontId="17" fillId="0" borderId="0" xfId="0" applyFont="1" applyAlignment="1">
      <alignment horizontal="left" vertical="top"/>
    </xf>
    <xf numFmtId="0" fontId="19" fillId="0" borderId="0" xfId="4" applyFont="1"/>
    <xf numFmtId="0" fontId="20" fillId="0" borderId="0" xfId="0" applyFont="1"/>
    <xf numFmtId="168" fontId="19" fillId="0" borderId="0" xfId="5" applyFont="1" applyFill="1" applyBorder="1" applyAlignment="1">
      <alignment horizontal="right"/>
    </xf>
    <xf numFmtId="0" fontId="20" fillId="0" borderId="0" xfId="0" applyFont="1" applyAlignment="1">
      <alignment horizontal="right"/>
    </xf>
    <xf numFmtId="4" fontId="20" fillId="0" borderId="0" xfId="0" applyNumberFormat="1" applyFont="1"/>
    <xf numFmtId="0" fontId="21" fillId="0" borderId="0" xfId="0" applyFont="1"/>
    <xf numFmtId="0" fontId="19" fillId="0" borderId="0" xfId="0" applyFont="1"/>
    <xf numFmtId="0" fontId="20" fillId="0" borderId="0" xfId="6" applyFont="1" applyAlignment="1">
      <alignment horizontal="left" vertical="top"/>
    </xf>
    <xf numFmtId="0" fontId="20" fillId="0" borderId="0" xfId="6" applyFont="1" applyAlignment="1">
      <alignment horizontal="left" vertical="top" wrapText="1"/>
    </xf>
    <xf numFmtId="4" fontId="20" fillId="0" borderId="0" xfId="6" applyNumberFormat="1" applyFont="1" applyAlignment="1">
      <alignment horizontal="left" vertical="top" wrapText="1"/>
    </xf>
    <xf numFmtId="0" fontId="22" fillId="0" borderId="0" xfId="0" applyFont="1"/>
    <xf numFmtId="0" fontId="19" fillId="0" borderId="0" xfId="0" applyFont="1" applyAlignment="1">
      <alignment horizontal="center"/>
    </xf>
    <xf numFmtId="0" fontId="23" fillId="0" borderId="0" xfId="0" applyFont="1"/>
    <xf numFmtId="0" fontId="20" fillId="0" borderId="0" xfId="0" applyFont="1" applyAlignment="1">
      <alignment horizontal="center"/>
    </xf>
    <xf numFmtId="169" fontId="20" fillId="0" borderId="0" xfId="0" applyNumberFormat="1" applyFont="1" applyAlignment="1">
      <alignment horizontal="center"/>
    </xf>
    <xf numFmtId="0" fontId="19" fillId="0" borderId="0" xfId="0" applyFont="1" applyAlignment="1">
      <alignment wrapText="1"/>
    </xf>
    <xf numFmtId="0" fontId="20" fillId="0" borderId="0" xfId="0" applyFont="1" applyAlignment="1">
      <alignment horizontal="left"/>
    </xf>
    <xf numFmtId="170" fontId="20" fillId="0" borderId="0" xfId="5" applyNumberFormat="1" applyFont="1" applyFill="1" applyAlignment="1"/>
    <xf numFmtId="170" fontId="20" fillId="0" borderId="0" xfId="5" applyNumberFormat="1" applyFont="1" applyFill="1" applyBorder="1" applyAlignment="1"/>
    <xf numFmtId="170" fontId="20" fillId="0" borderId="0" xfId="7" applyNumberFormat="1" applyFont="1" applyFill="1" applyBorder="1" applyAlignment="1"/>
    <xf numFmtId="0" fontId="24" fillId="0" borderId="0" xfId="8" applyFont="1"/>
    <xf numFmtId="0" fontId="19" fillId="0" borderId="0" xfId="0" applyFont="1" applyAlignment="1">
      <alignment horizontal="left" wrapText="1"/>
    </xf>
    <xf numFmtId="170" fontId="19" fillId="0" borderId="0" xfId="5" applyNumberFormat="1" applyFont="1" applyFill="1" applyBorder="1" applyAlignment="1">
      <alignment horizontal="right"/>
    </xf>
    <xf numFmtId="0" fontId="24" fillId="0" borderId="0" xfId="9" applyFont="1" applyAlignment="1">
      <alignment horizontal="left" vertical="top"/>
    </xf>
    <xf numFmtId="0" fontId="19" fillId="0" borderId="0" xfId="6" applyFont="1"/>
    <xf numFmtId="49" fontId="26" fillId="3" borderId="2" xfId="3" applyNumberFormat="1" applyFont="1" applyFill="1" applyBorder="1" applyAlignment="1" applyProtection="1">
      <alignment horizontal="center" vertical="center"/>
    </xf>
    <xf numFmtId="49" fontId="26" fillId="3" borderId="2" xfId="3" applyNumberFormat="1" applyFont="1" applyFill="1" applyBorder="1" applyAlignment="1" applyProtection="1">
      <alignment horizontal="center" vertical="center" wrapText="1"/>
    </xf>
    <xf numFmtId="3" fontId="26" fillId="3" borderId="2" xfId="3" applyNumberFormat="1" applyFont="1" applyFill="1" applyBorder="1" applyAlignment="1" applyProtection="1">
      <alignment horizontal="center" wrapText="1"/>
    </xf>
    <xf numFmtId="3" fontId="26" fillId="3" borderId="2" xfId="3" applyNumberFormat="1" applyFont="1" applyFill="1" applyBorder="1" applyAlignment="1" applyProtection="1">
      <alignment horizontal="center" vertical="center" wrapText="1"/>
    </xf>
    <xf numFmtId="43" fontId="22" fillId="0" borderId="0" xfId="0" applyNumberFormat="1" applyFont="1"/>
    <xf numFmtId="0" fontId="27" fillId="0" borderId="2" xfId="0" applyFont="1" applyBorder="1" applyAlignment="1">
      <alignment horizontal="center" vertical="top"/>
    </xf>
    <xf numFmtId="168" fontId="27" fillId="0" borderId="2" xfId="1" applyFont="1" applyBorder="1" applyAlignment="1">
      <alignment horizontal="center" vertical="top"/>
    </xf>
    <xf numFmtId="4" fontId="27" fillId="0" borderId="2" xfId="0" applyNumberFormat="1" applyFont="1" applyBorder="1" applyAlignment="1">
      <alignment horizontal="center" vertical="top" wrapText="1"/>
    </xf>
    <xf numFmtId="2" fontId="27" fillId="0" borderId="2" xfId="0" applyNumberFormat="1" applyFont="1" applyBorder="1" applyAlignment="1">
      <alignment horizontal="center" vertical="top" wrapText="1"/>
    </xf>
    <xf numFmtId="168" fontId="27" fillId="0" borderId="2" xfId="1" applyFont="1" applyFill="1" applyBorder="1" applyAlignment="1">
      <alignment horizontal="center" vertical="top"/>
    </xf>
    <xf numFmtId="172" fontId="28" fillId="0" borderId="0" xfId="0" applyNumberFormat="1" applyFont="1" applyAlignment="1">
      <alignment horizontal="right"/>
    </xf>
    <xf numFmtId="0" fontId="20" fillId="0" borderId="0" xfId="6" applyFont="1"/>
    <xf numFmtId="0" fontId="20" fillId="0" borderId="0" xfId="4" applyFont="1" applyAlignment="1">
      <alignment horizontal="left" wrapText="1"/>
    </xf>
    <xf numFmtId="4" fontId="20" fillId="0" borderId="0" xfId="10" applyNumberFormat="1" applyFont="1" applyFill="1"/>
    <xf numFmtId="0" fontId="20" fillId="0" borderId="0" xfId="4" applyFont="1"/>
    <xf numFmtId="0" fontId="20" fillId="0" borderId="0" xfId="4" applyFont="1" applyAlignment="1">
      <alignment wrapText="1"/>
    </xf>
    <xf numFmtId="170" fontId="20" fillId="0" borderId="0" xfId="10" applyNumberFormat="1" applyFont="1" applyFill="1"/>
    <xf numFmtId="0" fontId="19" fillId="0" borderId="3" xfId="4" applyFont="1" applyBorder="1" applyAlignment="1">
      <alignment horizontal="left"/>
    </xf>
    <xf numFmtId="168" fontId="20" fillId="0" borderId="0" xfId="4" applyNumberFormat="1" applyFont="1"/>
    <xf numFmtId="0" fontId="19" fillId="0" borderId="2" xfId="4" applyFont="1" applyBorder="1"/>
    <xf numFmtId="0" fontId="20" fillId="0" borderId="4" xfId="4" applyFont="1" applyBorder="1" applyAlignment="1">
      <alignment horizontal="left"/>
    </xf>
    <xf numFmtId="0" fontId="20" fillId="0" borderId="5" xfId="4" applyFont="1" applyBorder="1" applyAlignment="1">
      <alignment horizontal="left"/>
    </xf>
    <xf numFmtId="0" fontId="20" fillId="0" borderId="6" xfId="4" applyFont="1" applyBorder="1" applyAlignment="1">
      <alignment horizontal="left"/>
    </xf>
    <xf numFmtId="170" fontId="20" fillId="0" borderId="2" xfId="5" applyNumberFormat="1" applyFont="1" applyFill="1" applyBorder="1"/>
    <xf numFmtId="4" fontId="20" fillId="0" borderId="2" xfId="4" applyNumberFormat="1" applyFont="1" applyBorder="1"/>
    <xf numFmtId="168" fontId="20" fillId="0" borderId="2" xfId="5" applyFont="1" applyFill="1" applyBorder="1"/>
    <xf numFmtId="0" fontId="19" fillId="0" borderId="4" xfId="4" applyFont="1" applyBorder="1"/>
    <xf numFmtId="0" fontId="19" fillId="0" borderId="5" xfId="4" applyFont="1" applyBorder="1"/>
    <xf numFmtId="0" fontId="19" fillId="0" borderId="6" xfId="4" applyFont="1" applyBorder="1"/>
    <xf numFmtId="0" fontId="20" fillId="0" borderId="2" xfId="4" applyFont="1" applyBorder="1"/>
    <xf numFmtId="168" fontId="20" fillId="0" borderId="2" xfId="1" applyFont="1" applyFill="1" applyBorder="1" applyAlignment="1">
      <alignment horizontal="center" vertical="top"/>
    </xf>
    <xf numFmtId="0" fontId="10" fillId="0" borderId="0" xfId="0" applyFont="1" applyAlignment="1">
      <alignment horizontal="left" vertical="top"/>
    </xf>
    <xf numFmtId="0" fontId="2" fillId="0" borderId="0" xfId="11" applyFont="1"/>
    <xf numFmtId="4" fontId="22" fillId="0" borderId="0" xfId="0" applyNumberFormat="1" applyFont="1"/>
    <xf numFmtId="3" fontId="26" fillId="3" borderId="2" xfId="3" applyNumberFormat="1" applyFont="1" applyFill="1" applyBorder="1" applyAlignment="1" applyProtection="1">
      <alignment horizontal="right" vertical="center" wrapText="1"/>
    </xf>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19" fillId="0" borderId="3" xfId="4" applyFont="1" applyBorder="1" applyAlignment="1">
      <alignment horizontal="left"/>
    </xf>
    <xf numFmtId="0" fontId="19" fillId="0" borderId="3" xfId="4" applyFont="1" applyBorder="1"/>
    <xf numFmtId="0" fontId="20" fillId="0" borderId="0" xfId="6" applyFont="1" applyAlignment="1">
      <alignment horizontal="left" vertical="top" wrapText="1"/>
    </xf>
    <xf numFmtId="0" fontId="0" fillId="0" borderId="0" xfId="0" applyAlignment="1">
      <alignment wrapText="1"/>
    </xf>
    <xf numFmtId="0" fontId="25" fillId="0" borderId="0" xfId="9" applyFont="1" applyAlignment="1">
      <alignment horizontal="left" vertical="top" wrapText="1"/>
    </xf>
    <xf numFmtId="0" fontId="29" fillId="0" borderId="0" xfId="0" applyFont="1" applyAlignment="1">
      <alignment horizontal="left" vertical="top"/>
    </xf>
  </cellXfs>
  <cellStyles count="12">
    <cellStyle name="Comma" xfId="1" builtinId="3"/>
    <cellStyle name="Comma 3" xfId="5" xr:uid="{874597DD-C517-41B2-88F4-2A68BE336A51}"/>
    <cellStyle name="Comma 4" xfId="10" xr:uid="{8646C059-A981-4C66-8E6D-BEE67B556F53}"/>
    <cellStyle name="Comma_Template Portfolio Disclosure - 30.09.2013" xfId="7" xr:uid="{E1149227-9300-4653-A6EB-4C9A52EA309B}"/>
    <cellStyle name="Normal" xfId="0" builtinId="0"/>
    <cellStyle name="Normal 2 2 2" xfId="4" xr:uid="{40827F21-12C8-425F-8233-55B07F446C80}"/>
    <cellStyle name="Normal 2 3 2" xfId="6" xr:uid="{8A851AFB-E6C8-40F8-8644-2855B9C728BA}"/>
    <cellStyle name="Normal 3" xfId="3" xr:uid="{D420169A-E4C4-42F3-9AD4-6D661B6FC850}"/>
    <cellStyle name="Normal 4" xfId="11" xr:uid="{38038776-6B27-4061-98CA-BC75EC0E1C06}"/>
    <cellStyle name="Normal 4_IF" xfId="8" xr:uid="{3EC2E7C5-365D-499C-A452-19AF4377A8F7}"/>
    <cellStyle name="Normal 4_LD" xfId="9" xr:uid="{3E74C9A8-4668-4A7E-8BDA-0966E1B5113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31750</xdr:colOff>
      <xdr:row>258</xdr:row>
      <xdr:rowOff>12700</xdr:rowOff>
    </xdr:from>
    <xdr:to>
      <xdr:col>1</xdr:col>
      <xdr:colOff>2889250</xdr:colOff>
      <xdr:row>266</xdr:row>
      <xdr:rowOff>44451</xdr:rowOff>
    </xdr:to>
    <xdr:pic>
      <xdr:nvPicPr>
        <xdr:cNvPr id="2" name="Picture 1" descr="A colorful scale with text&#10;&#10;AI-generated content may be incorrect.">
          <a:extLst>
            <a:ext uri="{FF2B5EF4-FFF2-40B4-BE49-F238E27FC236}">
              <a16:creationId xmlns:a16="http://schemas.microsoft.com/office/drawing/2014/main" id="{CDB269A8-B6E7-4156-B8E4-189DEFA5DB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43776900"/>
          <a:ext cx="28575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25400</xdr:colOff>
      <xdr:row>257</xdr:row>
      <xdr:rowOff>184150</xdr:rowOff>
    </xdr:from>
    <xdr:to>
      <xdr:col>3</xdr:col>
      <xdr:colOff>971550</xdr:colOff>
      <xdr:row>266</xdr:row>
      <xdr:rowOff>38101</xdr:rowOff>
    </xdr:to>
    <xdr:pic>
      <xdr:nvPicPr>
        <xdr:cNvPr id="3" name="Picture 2" descr="A colorful scale with text&#10;&#10;AI-generated content may be incorrect.">
          <a:extLst>
            <a:ext uri="{FF2B5EF4-FFF2-40B4-BE49-F238E27FC236}">
              <a16:creationId xmlns:a16="http://schemas.microsoft.com/office/drawing/2014/main" id="{950F972E-BE06-4BBC-A8B7-4CBF022D2E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79950" y="43764200"/>
          <a:ext cx="2565400" cy="151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May%202026.xls" TargetMode="External"/><Relationship Id="rId2" Type="http://schemas.openxmlformats.org/officeDocument/2006/relationships/externalLinkPath" Target="file:///O:\2.%20Operations%20FY%202026-27\PORTFOLIOS\MONTHLY\May%202026\WEALTH%20PORTFOLIO_V2_REPORT_May%202026.xls" TargetMode="External"/><Relationship Id="rId1" Type="http://schemas.openxmlformats.org/officeDocument/2006/relationships/externalLinkPath" Target="/2.%20Operations%20FY%202026-27/PORTFOLIOS/MONTHLY/May%202026/WEALTH%20PORTFOLIO_V2_REPORT_May%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amfi"/>
      <sheetName val="WCGF"/>
      <sheetName val="WCFL"/>
      <sheetName val="WCGE"/>
      <sheetName val="WCSC"/>
      <sheetName val="WCLQ"/>
      <sheetName val="XDO_METADATA"/>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A854F-58E7-4A5F-B84F-E5CE7276DF89}">
  <sheetPr>
    <pageSetUpPr autoPageBreaks="0"/>
  </sheetPr>
  <dimension ref="A1:I268"/>
  <sheetViews>
    <sheetView tabSelected="1" zoomScale="90" zoomScaleNormal="9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7" max="247" width="19.1796875" customWidth="1"/>
    <col min="248" max="248" width="47.453125" customWidth="1"/>
    <col min="249" max="249" width="23.1796875" customWidth="1"/>
    <col min="250" max="250" width="17.54296875" customWidth="1"/>
    <col min="251" max="251" width="16" customWidth="1"/>
    <col min="252" max="252" width="13.54296875" customWidth="1"/>
    <col min="253" max="254" width="16.81640625" customWidth="1"/>
    <col min="255" max="255" width="12.453125" customWidth="1"/>
    <col min="259" max="259" width="10.54296875" bestFit="1" customWidth="1"/>
    <col min="262" max="262" width="21.36328125" bestFit="1" customWidth="1"/>
    <col min="263" max="263" width="16" bestFit="1" customWidth="1"/>
    <col min="503" max="503" width="19.1796875" customWidth="1"/>
    <col min="504" max="504" width="47.453125" customWidth="1"/>
    <col min="505" max="505" width="23.1796875" customWidth="1"/>
    <col min="506" max="506" width="17.54296875" customWidth="1"/>
    <col min="507" max="507" width="16" customWidth="1"/>
    <col min="508" max="508" width="13.54296875" customWidth="1"/>
    <col min="509" max="510" width="16.81640625" customWidth="1"/>
    <col min="511" max="511" width="12.453125" customWidth="1"/>
    <col min="515" max="515" width="10.54296875" bestFit="1" customWidth="1"/>
    <col min="518" max="518" width="21.36328125" bestFit="1" customWidth="1"/>
    <col min="519" max="519" width="16" bestFit="1" customWidth="1"/>
    <col min="759" max="759" width="19.1796875" customWidth="1"/>
    <col min="760" max="760" width="47.453125" customWidth="1"/>
    <col min="761" max="761" width="23.1796875" customWidth="1"/>
    <col min="762" max="762" width="17.54296875" customWidth="1"/>
    <col min="763" max="763" width="16" customWidth="1"/>
    <col min="764" max="764" width="13.54296875" customWidth="1"/>
    <col min="765" max="766" width="16.81640625" customWidth="1"/>
    <col min="767" max="767" width="12.453125" customWidth="1"/>
    <col min="771" max="771" width="10.54296875" bestFit="1" customWidth="1"/>
    <col min="774" max="774" width="21.36328125" bestFit="1" customWidth="1"/>
    <col min="775" max="775" width="16" bestFit="1" customWidth="1"/>
    <col min="1015" max="1015" width="19.1796875" customWidth="1"/>
    <col min="1016" max="1016" width="47.453125" customWidth="1"/>
    <col min="1017" max="1017" width="23.1796875" customWidth="1"/>
    <col min="1018" max="1018" width="17.54296875" customWidth="1"/>
    <col min="1019" max="1019" width="16" customWidth="1"/>
    <col min="1020" max="1020" width="13.54296875" customWidth="1"/>
    <col min="1021" max="1022" width="16.81640625" customWidth="1"/>
    <col min="1023" max="1023" width="12.453125" customWidth="1"/>
    <col min="1027" max="1027" width="10.54296875" bestFit="1" customWidth="1"/>
    <col min="1030" max="1030" width="21.36328125" bestFit="1" customWidth="1"/>
    <col min="1031" max="1031" width="16" bestFit="1" customWidth="1"/>
    <col min="1271" max="1271" width="19.1796875" customWidth="1"/>
    <col min="1272" max="1272" width="47.453125" customWidth="1"/>
    <col min="1273" max="1273" width="23.1796875" customWidth="1"/>
    <col min="1274" max="1274" width="17.54296875" customWidth="1"/>
    <col min="1275" max="1275" width="16" customWidth="1"/>
    <col min="1276" max="1276" width="13.54296875" customWidth="1"/>
    <col min="1277" max="1278" width="16.81640625" customWidth="1"/>
    <col min="1279" max="1279" width="12.453125" customWidth="1"/>
    <col min="1283" max="1283" width="10.54296875" bestFit="1" customWidth="1"/>
    <col min="1286" max="1286" width="21.36328125" bestFit="1" customWidth="1"/>
    <col min="1287" max="1287" width="16" bestFit="1" customWidth="1"/>
    <col min="1527" max="1527" width="19.1796875" customWidth="1"/>
    <col min="1528" max="1528" width="47.453125" customWidth="1"/>
    <col min="1529" max="1529" width="23.1796875" customWidth="1"/>
    <col min="1530" max="1530" width="17.54296875" customWidth="1"/>
    <col min="1531" max="1531" width="16" customWidth="1"/>
    <col min="1532" max="1532" width="13.54296875" customWidth="1"/>
    <col min="1533" max="1534" width="16.81640625" customWidth="1"/>
    <col min="1535" max="1535" width="12.453125" customWidth="1"/>
    <col min="1539" max="1539" width="10.54296875" bestFit="1" customWidth="1"/>
    <col min="1542" max="1542" width="21.36328125" bestFit="1" customWidth="1"/>
    <col min="1543" max="1543" width="16" bestFit="1" customWidth="1"/>
    <col min="1783" max="1783" width="19.1796875" customWidth="1"/>
    <col min="1784" max="1784" width="47.453125" customWidth="1"/>
    <col min="1785" max="1785" width="23.1796875" customWidth="1"/>
    <col min="1786" max="1786" width="17.54296875" customWidth="1"/>
    <col min="1787" max="1787" width="16" customWidth="1"/>
    <col min="1788" max="1788" width="13.54296875" customWidth="1"/>
    <col min="1789" max="1790" width="16.81640625" customWidth="1"/>
    <col min="1791" max="1791" width="12.453125" customWidth="1"/>
    <col min="1795" max="1795" width="10.54296875" bestFit="1" customWidth="1"/>
    <col min="1798" max="1798" width="21.36328125" bestFit="1" customWidth="1"/>
    <col min="1799" max="1799" width="16" bestFit="1" customWidth="1"/>
    <col min="2039" max="2039" width="19.1796875" customWidth="1"/>
    <col min="2040" max="2040" width="47.453125" customWidth="1"/>
    <col min="2041" max="2041" width="23.1796875" customWidth="1"/>
    <col min="2042" max="2042" width="17.54296875" customWidth="1"/>
    <col min="2043" max="2043" width="16" customWidth="1"/>
    <col min="2044" max="2044" width="13.54296875" customWidth="1"/>
    <col min="2045" max="2046" width="16.81640625" customWidth="1"/>
    <col min="2047" max="2047" width="12.453125" customWidth="1"/>
    <col min="2051" max="2051" width="10.54296875" bestFit="1" customWidth="1"/>
    <col min="2054" max="2054" width="21.36328125" bestFit="1" customWidth="1"/>
    <col min="2055" max="2055" width="16" bestFit="1" customWidth="1"/>
    <col min="2295" max="2295" width="19.1796875" customWidth="1"/>
    <col min="2296" max="2296" width="47.453125" customWidth="1"/>
    <col min="2297" max="2297" width="23.1796875" customWidth="1"/>
    <col min="2298" max="2298" width="17.54296875" customWidth="1"/>
    <col min="2299" max="2299" width="16" customWidth="1"/>
    <col min="2300" max="2300" width="13.54296875" customWidth="1"/>
    <col min="2301" max="2302" width="16.81640625" customWidth="1"/>
    <col min="2303" max="2303" width="12.453125" customWidth="1"/>
    <col min="2307" max="2307" width="10.54296875" bestFit="1" customWidth="1"/>
    <col min="2310" max="2310" width="21.36328125" bestFit="1" customWidth="1"/>
    <col min="2311" max="2311" width="16" bestFit="1" customWidth="1"/>
    <col min="2551" max="2551" width="19.1796875" customWidth="1"/>
    <col min="2552" max="2552" width="47.453125" customWidth="1"/>
    <col min="2553" max="2553" width="23.1796875" customWidth="1"/>
    <col min="2554" max="2554" width="17.54296875" customWidth="1"/>
    <col min="2555" max="2555" width="16" customWidth="1"/>
    <col min="2556" max="2556" width="13.54296875" customWidth="1"/>
    <col min="2557" max="2558" width="16.81640625" customWidth="1"/>
    <col min="2559" max="2559" width="12.453125" customWidth="1"/>
    <col min="2563" max="2563" width="10.54296875" bestFit="1" customWidth="1"/>
    <col min="2566" max="2566" width="21.36328125" bestFit="1" customWidth="1"/>
    <col min="2567" max="2567" width="16" bestFit="1" customWidth="1"/>
    <col min="2807" max="2807" width="19.1796875" customWidth="1"/>
    <col min="2808" max="2808" width="47.453125" customWidth="1"/>
    <col min="2809" max="2809" width="23.1796875" customWidth="1"/>
    <col min="2810" max="2810" width="17.54296875" customWidth="1"/>
    <col min="2811" max="2811" width="16" customWidth="1"/>
    <col min="2812" max="2812" width="13.54296875" customWidth="1"/>
    <col min="2813" max="2814" width="16.81640625" customWidth="1"/>
    <col min="2815" max="2815" width="12.453125" customWidth="1"/>
    <col min="2819" max="2819" width="10.54296875" bestFit="1" customWidth="1"/>
    <col min="2822" max="2822" width="21.36328125" bestFit="1" customWidth="1"/>
    <col min="2823" max="2823" width="16" bestFit="1" customWidth="1"/>
    <col min="3063" max="3063" width="19.1796875" customWidth="1"/>
    <col min="3064" max="3064" width="47.453125" customWidth="1"/>
    <col min="3065" max="3065" width="23.1796875" customWidth="1"/>
    <col min="3066" max="3066" width="17.54296875" customWidth="1"/>
    <col min="3067" max="3067" width="16" customWidth="1"/>
    <col min="3068" max="3068" width="13.54296875" customWidth="1"/>
    <col min="3069" max="3070" width="16.81640625" customWidth="1"/>
    <col min="3071" max="3071" width="12.453125" customWidth="1"/>
    <col min="3075" max="3075" width="10.54296875" bestFit="1" customWidth="1"/>
    <col min="3078" max="3078" width="21.36328125" bestFit="1" customWidth="1"/>
    <col min="3079" max="3079" width="16" bestFit="1" customWidth="1"/>
    <col min="3319" max="3319" width="19.1796875" customWidth="1"/>
    <col min="3320" max="3320" width="47.453125" customWidth="1"/>
    <col min="3321" max="3321" width="23.1796875" customWidth="1"/>
    <col min="3322" max="3322" width="17.54296875" customWidth="1"/>
    <col min="3323" max="3323" width="16" customWidth="1"/>
    <col min="3324" max="3324" width="13.54296875" customWidth="1"/>
    <col min="3325" max="3326" width="16.81640625" customWidth="1"/>
    <col min="3327" max="3327" width="12.453125" customWidth="1"/>
    <col min="3331" max="3331" width="10.54296875" bestFit="1" customWidth="1"/>
    <col min="3334" max="3334" width="21.36328125" bestFit="1" customWidth="1"/>
    <col min="3335" max="3335" width="16" bestFit="1" customWidth="1"/>
    <col min="3575" max="3575" width="19.1796875" customWidth="1"/>
    <col min="3576" max="3576" width="47.453125" customWidth="1"/>
    <col min="3577" max="3577" width="23.1796875" customWidth="1"/>
    <col min="3578" max="3578" width="17.54296875" customWidth="1"/>
    <col min="3579" max="3579" width="16" customWidth="1"/>
    <col min="3580" max="3580" width="13.54296875" customWidth="1"/>
    <col min="3581" max="3582" width="16.81640625" customWidth="1"/>
    <col min="3583" max="3583" width="12.453125" customWidth="1"/>
    <col min="3587" max="3587" width="10.54296875" bestFit="1" customWidth="1"/>
    <col min="3590" max="3590" width="21.36328125" bestFit="1" customWidth="1"/>
    <col min="3591" max="3591" width="16" bestFit="1" customWidth="1"/>
    <col min="3831" max="3831" width="19.1796875" customWidth="1"/>
    <col min="3832" max="3832" width="47.453125" customWidth="1"/>
    <col min="3833" max="3833" width="23.1796875" customWidth="1"/>
    <col min="3834" max="3834" width="17.54296875" customWidth="1"/>
    <col min="3835" max="3835" width="16" customWidth="1"/>
    <col min="3836" max="3836" width="13.54296875" customWidth="1"/>
    <col min="3837" max="3838" width="16.81640625" customWidth="1"/>
    <col min="3839" max="3839" width="12.453125" customWidth="1"/>
    <col min="3843" max="3843" width="10.54296875" bestFit="1" customWidth="1"/>
    <col min="3846" max="3846" width="21.36328125" bestFit="1" customWidth="1"/>
    <col min="3847" max="3847" width="16" bestFit="1" customWidth="1"/>
    <col min="4087" max="4087" width="19.1796875" customWidth="1"/>
    <col min="4088" max="4088" width="47.453125" customWidth="1"/>
    <col min="4089" max="4089" width="23.1796875" customWidth="1"/>
    <col min="4090" max="4090" width="17.54296875" customWidth="1"/>
    <col min="4091" max="4091" width="16" customWidth="1"/>
    <col min="4092" max="4092" width="13.54296875" customWidth="1"/>
    <col min="4093" max="4094" width="16.81640625" customWidth="1"/>
    <col min="4095" max="4095" width="12.453125" customWidth="1"/>
    <col min="4099" max="4099" width="10.54296875" bestFit="1" customWidth="1"/>
    <col min="4102" max="4102" width="21.36328125" bestFit="1" customWidth="1"/>
    <col min="4103" max="4103" width="16" bestFit="1" customWidth="1"/>
    <col min="4343" max="4343" width="19.1796875" customWidth="1"/>
    <col min="4344" max="4344" width="47.453125" customWidth="1"/>
    <col min="4345" max="4345" width="23.1796875" customWidth="1"/>
    <col min="4346" max="4346" width="17.54296875" customWidth="1"/>
    <col min="4347" max="4347" width="16" customWidth="1"/>
    <col min="4348" max="4348" width="13.54296875" customWidth="1"/>
    <col min="4349" max="4350" width="16.81640625" customWidth="1"/>
    <col min="4351" max="4351" width="12.453125" customWidth="1"/>
    <col min="4355" max="4355" width="10.54296875" bestFit="1" customWidth="1"/>
    <col min="4358" max="4358" width="21.36328125" bestFit="1" customWidth="1"/>
    <col min="4359" max="4359" width="16" bestFit="1" customWidth="1"/>
    <col min="4599" max="4599" width="19.1796875" customWidth="1"/>
    <col min="4600" max="4600" width="47.453125" customWidth="1"/>
    <col min="4601" max="4601" width="23.1796875" customWidth="1"/>
    <col min="4602" max="4602" width="17.54296875" customWidth="1"/>
    <col min="4603" max="4603" width="16" customWidth="1"/>
    <col min="4604" max="4604" width="13.54296875" customWidth="1"/>
    <col min="4605" max="4606" width="16.81640625" customWidth="1"/>
    <col min="4607" max="4607" width="12.453125" customWidth="1"/>
    <col min="4611" max="4611" width="10.54296875" bestFit="1" customWidth="1"/>
    <col min="4614" max="4614" width="21.36328125" bestFit="1" customWidth="1"/>
    <col min="4615" max="4615" width="16" bestFit="1" customWidth="1"/>
    <col min="4855" max="4855" width="19.1796875" customWidth="1"/>
    <col min="4856" max="4856" width="47.453125" customWidth="1"/>
    <col min="4857" max="4857" width="23.1796875" customWidth="1"/>
    <col min="4858" max="4858" width="17.54296875" customWidth="1"/>
    <col min="4859" max="4859" width="16" customWidth="1"/>
    <col min="4860" max="4860" width="13.54296875" customWidth="1"/>
    <col min="4861" max="4862" width="16.81640625" customWidth="1"/>
    <col min="4863" max="4863" width="12.453125" customWidth="1"/>
    <col min="4867" max="4867" width="10.54296875" bestFit="1" customWidth="1"/>
    <col min="4870" max="4870" width="21.36328125" bestFit="1" customWidth="1"/>
    <col min="4871" max="4871" width="16" bestFit="1" customWidth="1"/>
    <col min="5111" max="5111" width="19.1796875" customWidth="1"/>
    <col min="5112" max="5112" width="47.453125" customWidth="1"/>
    <col min="5113" max="5113" width="23.1796875" customWidth="1"/>
    <col min="5114" max="5114" width="17.54296875" customWidth="1"/>
    <col min="5115" max="5115" width="16" customWidth="1"/>
    <col min="5116" max="5116" width="13.54296875" customWidth="1"/>
    <col min="5117" max="5118" width="16.81640625" customWidth="1"/>
    <col min="5119" max="5119" width="12.453125" customWidth="1"/>
    <col min="5123" max="5123" width="10.54296875" bestFit="1" customWidth="1"/>
    <col min="5126" max="5126" width="21.36328125" bestFit="1" customWidth="1"/>
    <col min="5127" max="5127" width="16" bestFit="1" customWidth="1"/>
    <col min="5367" max="5367" width="19.1796875" customWidth="1"/>
    <col min="5368" max="5368" width="47.453125" customWidth="1"/>
    <col min="5369" max="5369" width="23.1796875" customWidth="1"/>
    <col min="5370" max="5370" width="17.54296875" customWidth="1"/>
    <col min="5371" max="5371" width="16" customWidth="1"/>
    <col min="5372" max="5372" width="13.54296875" customWidth="1"/>
    <col min="5373" max="5374" width="16.81640625" customWidth="1"/>
    <col min="5375" max="5375" width="12.453125" customWidth="1"/>
    <col min="5379" max="5379" width="10.54296875" bestFit="1" customWidth="1"/>
    <col min="5382" max="5382" width="21.36328125" bestFit="1" customWidth="1"/>
    <col min="5383" max="5383" width="16" bestFit="1" customWidth="1"/>
    <col min="5623" max="5623" width="19.1796875" customWidth="1"/>
    <col min="5624" max="5624" width="47.453125" customWidth="1"/>
    <col min="5625" max="5625" width="23.1796875" customWidth="1"/>
    <col min="5626" max="5626" width="17.54296875" customWidth="1"/>
    <col min="5627" max="5627" width="16" customWidth="1"/>
    <col min="5628" max="5628" width="13.54296875" customWidth="1"/>
    <col min="5629" max="5630" width="16.81640625" customWidth="1"/>
    <col min="5631" max="5631" width="12.453125" customWidth="1"/>
    <col min="5635" max="5635" width="10.54296875" bestFit="1" customWidth="1"/>
    <col min="5638" max="5638" width="21.36328125" bestFit="1" customWidth="1"/>
    <col min="5639" max="5639" width="16" bestFit="1" customWidth="1"/>
    <col min="5879" max="5879" width="19.1796875" customWidth="1"/>
    <col min="5880" max="5880" width="47.453125" customWidth="1"/>
    <col min="5881" max="5881" width="23.1796875" customWidth="1"/>
    <col min="5882" max="5882" width="17.54296875" customWidth="1"/>
    <col min="5883" max="5883" width="16" customWidth="1"/>
    <col min="5884" max="5884" width="13.54296875" customWidth="1"/>
    <col min="5885" max="5886" width="16.81640625" customWidth="1"/>
    <col min="5887" max="5887" width="12.453125" customWidth="1"/>
    <col min="5891" max="5891" width="10.54296875" bestFit="1" customWidth="1"/>
    <col min="5894" max="5894" width="21.36328125" bestFit="1" customWidth="1"/>
    <col min="5895" max="5895" width="16" bestFit="1" customWidth="1"/>
    <col min="6135" max="6135" width="19.1796875" customWidth="1"/>
    <col min="6136" max="6136" width="47.453125" customWidth="1"/>
    <col min="6137" max="6137" width="23.1796875" customWidth="1"/>
    <col min="6138" max="6138" width="17.54296875" customWidth="1"/>
    <col min="6139" max="6139" width="16" customWidth="1"/>
    <col min="6140" max="6140" width="13.54296875" customWidth="1"/>
    <col min="6141" max="6142" width="16.81640625" customWidth="1"/>
    <col min="6143" max="6143" width="12.453125" customWidth="1"/>
    <col min="6147" max="6147" width="10.54296875" bestFit="1" customWidth="1"/>
    <col min="6150" max="6150" width="21.36328125" bestFit="1" customWidth="1"/>
    <col min="6151" max="6151" width="16" bestFit="1" customWidth="1"/>
    <col min="6391" max="6391" width="19.1796875" customWidth="1"/>
    <col min="6392" max="6392" width="47.453125" customWidth="1"/>
    <col min="6393" max="6393" width="23.1796875" customWidth="1"/>
    <col min="6394" max="6394" width="17.54296875" customWidth="1"/>
    <col min="6395" max="6395" width="16" customWidth="1"/>
    <col min="6396" max="6396" width="13.54296875" customWidth="1"/>
    <col min="6397" max="6398" width="16.81640625" customWidth="1"/>
    <col min="6399" max="6399" width="12.453125" customWidth="1"/>
    <col min="6403" max="6403" width="10.54296875" bestFit="1" customWidth="1"/>
    <col min="6406" max="6406" width="21.36328125" bestFit="1" customWidth="1"/>
    <col min="6407" max="6407" width="16" bestFit="1" customWidth="1"/>
    <col min="6647" max="6647" width="19.1796875" customWidth="1"/>
    <col min="6648" max="6648" width="47.453125" customWidth="1"/>
    <col min="6649" max="6649" width="23.1796875" customWidth="1"/>
    <col min="6650" max="6650" width="17.54296875" customWidth="1"/>
    <col min="6651" max="6651" width="16" customWidth="1"/>
    <col min="6652" max="6652" width="13.54296875" customWidth="1"/>
    <col min="6653" max="6654" width="16.81640625" customWidth="1"/>
    <col min="6655" max="6655" width="12.453125" customWidth="1"/>
    <col min="6659" max="6659" width="10.54296875" bestFit="1" customWidth="1"/>
    <col min="6662" max="6662" width="21.36328125" bestFit="1" customWidth="1"/>
    <col min="6663" max="6663" width="16" bestFit="1" customWidth="1"/>
    <col min="6903" max="6903" width="19.1796875" customWidth="1"/>
    <col min="6904" max="6904" width="47.453125" customWidth="1"/>
    <col min="6905" max="6905" width="23.1796875" customWidth="1"/>
    <col min="6906" max="6906" width="17.54296875" customWidth="1"/>
    <col min="6907" max="6907" width="16" customWidth="1"/>
    <col min="6908" max="6908" width="13.54296875" customWidth="1"/>
    <col min="6909" max="6910" width="16.81640625" customWidth="1"/>
    <col min="6911" max="6911" width="12.453125" customWidth="1"/>
    <col min="6915" max="6915" width="10.54296875" bestFit="1" customWidth="1"/>
    <col min="6918" max="6918" width="21.36328125" bestFit="1" customWidth="1"/>
    <col min="6919" max="6919" width="16" bestFit="1" customWidth="1"/>
    <col min="7159" max="7159" width="19.1796875" customWidth="1"/>
    <col min="7160" max="7160" width="47.453125" customWidth="1"/>
    <col min="7161" max="7161" width="23.1796875" customWidth="1"/>
    <col min="7162" max="7162" width="17.54296875" customWidth="1"/>
    <col min="7163" max="7163" width="16" customWidth="1"/>
    <col min="7164" max="7164" width="13.54296875" customWidth="1"/>
    <col min="7165" max="7166" width="16.81640625" customWidth="1"/>
    <col min="7167" max="7167" width="12.453125" customWidth="1"/>
    <col min="7171" max="7171" width="10.54296875" bestFit="1" customWidth="1"/>
    <col min="7174" max="7174" width="21.36328125" bestFit="1" customWidth="1"/>
    <col min="7175" max="7175" width="16" bestFit="1" customWidth="1"/>
    <col min="7415" max="7415" width="19.1796875" customWidth="1"/>
    <col min="7416" max="7416" width="47.453125" customWidth="1"/>
    <col min="7417" max="7417" width="23.1796875" customWidth="1"/>
    <col min="7418" max="7418" width="17.54296875" customWidth="1"/>
    <col min="7419" max="7419" width="16" customWidth="1"/>
    <col min="7420" max="7420" width="13.54296875" customWidth="1"/>
    <col min="7421" max="7422" width="16.81640625" customWidth="1"/>
    <col min="7423" max="7423" width="12.453125" customWidth="1"/>
    <col min="7427" max="7427" width="10.54296875" bestFit="1" customWidth="1"/>
    <col min="7430" max="7430" width="21.36328125" bestFit="1" customWidth="1"/>
    <col min="7431" max="7431" width="16" bestFit="1" customWidth="1"/>
    <col min="7671" max="7671" width="19.1796875" customWidth="1"/>
    <col min="7672" max="7672" width="47.453125" customWidth="1"/>
    <col min="7673" max="7673" width="23.1796875" customWidth="1"/>
    <col min="7674" max="7674" width="17.54296875" customWidth="1"/>
    <col min="7675" max="7675" width="16" customWidth="1"/>
    <col min="7676" max="7676" width="13.54296875" customWidth="1"/>
    <col min="7677" max="7678" width="16.81640625" customWidth="1"/>
    <col min="7679" max="7679" width="12.453125" customWidth="1"/>
    <col min="7683" max="7683" width="10.54296875" bestFit="1" customWidth="1"/>
    <col min="7686" max="7686" width="21.36328125" bestFit="1" customWidth="1"/>
    <col min="7687" max="7687" width="16" bestFit="1" customWidth="1"/>
    <col min="7927" max="7927" width="19.1796875" customWidth="1"/>
    <col min="7928" max="7928" width="47.453125" customWidth="1"/>
    <col min="7929" max="7929" width="23.1796875" customWidth="1"/>
    <col min="7930" max="7930" width="17.54296875" customWidth="1"/>
    <col min="7931" max="7931" width="16" customWidth="1"/>
    <col min="7932" max="7932" width="13.54296875" customWidth="1"/>
    <col min="7933" max="7934" width="16.81640625" customWidth="1"/>
    <col min="7935" max="7935" width="12.453125" customWidth="1"/>
    <col min="7939" max="7939" width="10.54296875" bestFit="1" customWidth="1"/>
    <col min="7942" max="7942" width="21.36328125" bestFit="1" customWidth="1"/>
    <col min="7943" max="7943" width="16" bestFit="1" customWidth="1"/>
    <col min="8183" max="8183" width="19.1796875" customWidth="1"/>
    <col min="8184" max="8184" width="47.453125" customWidth="1"/>
    <col min="8185" max="8185" width="23.1796875" customWidth="1"/>
    <col min="8186" max="8186" width="17.54296875" customWidth="1"/>
    <col min="8187" max="8187" width="16" customWidth="1"/>
    <col min="8188" max="8188" width="13.54296875" customWidth="1"/>
    <col min="8189" max="8190" width="16.81640625" customWidth="1"/>
    <col min="8191" max="8191" width="12.453125" customWidth="1"/>
    <col min="8195" max="8195" width="10.54296875" bestFit="1" customWidth="1"/>
    <col min="8198" max="8198" width="21.36328125" bestFit="1" customWidth="1"/>
    <col min="8199" max="8199" width="16" bestFit="1" customWidth="1"/>
    <col min="8439" max="8439" width="19.1796875" customWidth="1"/>
    <col min="8440" max="8440" width="47.453125" customWidth="1"/>
    <col min="8441" max="8441" width="23.1796875" customWidth="1"/>
    <col min="8442" max="8442" width="17.54296875" customWidth="1"/>
    <col min="8443" max="8443" width="16" customWidth="1"/>
    <col min="8444" max="8444" width="13.54296875" customWidth="1"/>
    <col min="8445" max="8446" width="16.81640625" customWidth="1"/>
    <col min="8447" max="8447" width="12.453125" customWidth="1"/>
    <col min="8451" max="8451" width="10.54296875" bestFit="1" customWidth="1"/>
    <col min="8454" max="8454" width="21.36328125" bestFit="1" customWidth="1"/>
    <col min="8455" max="8455" width="16" bestFit="1" customWidth="1"/>
    <col min="8695" max="8695" width="19.1796875" customWidth="1"/>
    <col min="8696" max="8696" width="47.453125" customWidth="1"/>
    <col min="8697" max="8697" width="23.1796875" customWidth="1"/>
    <col min="8698" max="8698" width="17.54296875" customWidth="1"/>
    <col min="8699" max="8699" width="16" customWidth="1"/>
    <col min="8700" max="8700" width="13.54296875" customWidth="1"/>
    <col min="8701" max="8702" width="16.81640625" customWidth="1"/>
    <col min="8703" max="8703" width="12.453125" customWidth="1"/>
    <col min="8707" max="8707" width="10.54296875" bestFit="1" customWidth="1"/>
    <col min="8710" max="8710" width="21.36328125" bestFit="1" customWidth="1"/>
    <col min="8711" max="8711" width="16" bestFit="1" customWidth="1"/>
    <col min="8951" max="8951" width="19.1796875" customWidth="1"/>
    <col min="8952" max="8952" width="47.453125" customWidth="1"/>
    <col min="8953" max="8953" width="23.1796875" customWidth="1"/>
    <col min="8954" max="8954" width="17.54296875" customWidth="1"/>
    <col min="8955" max="8955" width="16" customWidth="1"/>
    <col min="8956" max="8956" width="13.54296875" customWidth="1"/>
    <col min="8957" max="8958" width="16.81640625" customWidth="1"/>
    <col min="8959" max="8959" width="12.453125" customWidth="1"/>
    <col min="8963" max="8963" width="10.54296875" bestFit="1" customWidth="1"/>
    <col min="8966" max="8966" width="21.36328125" bestFit="1" customWidth="1"/>
    <col min="8967" max="8967" width="16" bestFit="1" customWidth="1"/>
    <col min="9207" max="9207" width="19.1796875" customWidth="1"/>
    <col min="9208" max="9208" width="47.453125" customWidth="1"/>
    <col min="9209" max="9209" width="23.1796875" customWidth="1"/>
    <col min="9210" max="9210" width="17.54296875" customWidth="1"/>
    <col min="9211" max="9211" width="16" customWidth="1"/>
    <col min="9212" max="9212" width="13.54296875" customWidth="1"/>
    <col min="9213" max="9214" width="16.81640625" customWidth="1"/>
    <col min="9215" max="9215" width="12.453125" customWidth="1"/>
    <col min="9219" max="9219" width="10.54296875" bestFit="1" customWidth="1"/>
    <col min="9222" max="9222" width="21.36328125" bestFit="1" customWidth="1"/>
    <col min="9223" max="9223" width="16" bestFit="1" customWidth="1"/>
    <col min="9463" max="9463" width="19.1796875" customWidth="1"/>
    <col min="9464" max="9464" width="47.453125" customWidth="1"/>
    <col min="9465" max="9465" width="23.1796875" customWidth="1"/>
    <col min="9466" max="9466" width="17.54296875" customWidth="1"/>
    <col min="9467" max="9467" width="16" customWidth="1"/>
    <col min="9468" max="9468" width="13.54296875" customWidth="1"/>
    <col min="9469" max="9470" width="16.81640625" customWidth="1"/>
    <col min="9471" max="9471" width="12.453125" customWidth="1"/>
    <col min="9475" max="9475" width="10.54296875" bestFit="1" customWidth="1"/>
    <col min="9478" max="9478" width="21.36328125" bestFit="1" customWidth="1"/>
    <col min="9479" max="9479" width="16" bestFit="1" customWidth="1"/>
    <col min="9719" max="9719" width="19.1796875" customWidth="1"/>
    <col min="9720" max="9720" width="47.453125" customWidth="1"/>
    <col min="9721" max="9721" width="23.1796875" customWidth="1"/>
    <col min="9722" max="9722" width="17.54296875" customWidth="1"/>
    <col min="9723" max="9723" width="16" customWidth="1"/>
    <col min="9724" max="9724" width="13.54296875" customWidth="1"/>
    <col min="9725" max="9726" width="16.81640625" customWidth="1"/>
    <col min="9727" max="9727" width="12.453125" customWidth="1"/>
    <col min="9731" max="9731" width="10.54296875" bestFit="1" customWidth="1"/>
    <col min="9734" max="9734" width="21.36328125" bestFit="1" customWidth="1"/>
    <col min="9735" max="9735" width="16" bestFit="1" customWidth="1"/>
    <col min="9975" max="9975" width="19.1796875" customWidth="1"/>
    <col min="9976" max="9976" width="47.453125" customWidth="1"/>
    <col min="9977" max="9977" width="23.1796875" customWidth="1"/>
    <col min="9978" max="9978" width="17.54296875" customWidth="1"/>
    <col min="9979" max="9979" width="16" customWidth="1"/>
    <col min="9980" max="9980" width="13.54296875" customWidth="1"/>
    <col min="9981" max="9982" width="16.81640625" customWidth="1"/>
    <col min="9983" max="9983" width="12.453125" customWidth="1"/>
    <col min="9987" max="9987" width="10.54296875" bestFit="1" customWidth="1"/>
    <col min="9990" max="9990" width="21.36328125" bestFit="1" customWidth="1"/>
    <col min="9991" max="9991" width="16" bestFit="1" customWidth="1"/>
    <col min="10231" max="10231" width="19.1796875" customWidth="1"/>
    <col min="10232" max="10232" width="47.453125" customWidth="1"/>
    <col min="10233" max="10233" width="23.1796875" customWidth="1"/>
    <col min="10234" max="10234" width="17.54296875" customWidth="1"/>
    <col min="10235" max="10235" width="16" customWidth="1"/>
    <col min="10236" max="10236" width="13.54296875" customWidth="1"/>
    <col min="10237" max="10238" width="16.81640625" customWidth="1"/>
    <col min="10239" max="10239" width="12.453125" customWidth="1"/>
    <col min="10243" max="10243" width="10.54296875" bestFit="1" customWidth="1"/>
    <col min="10246" max="10246" width="21.36328125" bestFit="1" customWidth="1"/>
    <col min="10247" max="10247" width="16" bestFit="1" customWidth="1"/>
    <col min="10487" max="10487" width="19.1796875" customWidth="1"/>
    <col min="10488" max="10488" width="47.453125" customWidth="1"/>
    <col min="10489" max="10489" width="23.1796875" customWidth="1"/>
    <col min="10490" max="10490" width="17.54296875" customWidth="1"/>
    <col min="10491" max="10491" width="16" customWidth="1"/>
    <col min="10492" max="10492" width="13.54296875" customWidth="1"/>
    <col min="10493" max="10494" width="16.81640625" customWidth="1"/>
    <col min="10495" max="10495" width="12.453125" customWidth="1"/>
    <col min="10499" max="10499" width="10.54296875" bestFit="1" customWidth="1"/>
    <col min="10502" max="10502" width="21.36328125" bestFit="1" customWidth="1"/>
    <col min="10503" max="10503" width="16" bestFit="1" customWidth="1"/>
    <col min="10743" max="10743" width="19.1796875" customWidth="1"/>
    <col min="10744" max="10744" width="47.453125" customWidth="1"/>
    <col min="10745" max="10745" width="23.1796875" customWidth="1"/>
    <col min="10746" max="10746" width="17.54296875" customWidth="1"/>
    <col min="10747" max="10747" width="16" customWidth="1"/>
    <col min="10748" max="10748" width="13.54296875" customWidth="1"/>
    <col min="10749" max="10750" width="16.81640625" customWidth="1"/>
    <col min="10751" max="10751" width="12.453125" customWidth="1"/>
    <col min="10755" max="10755" width="10.54296875" bestFit="1" customWidth="1"/>
    <col min="10758" max="10758" width="21.36328125" bestFit="1" customWidth="1"/>
    <col min="10759" max="10759" width="16" bestFit="1" customWidth="1"/>
    <col min="10999" max="10999" width="19.1796875" customWidth="1"/>
    <col min="11000" max="11000" width="47.453125" customWidth="1"/>
    <col min="11001" max="11001" width="23.1796875" customWidth="1"/>
    <col min="11002" max="11002" width="17.54296875" customWidth="1"/>
    <col min="11003" max="11003" width="16" customWidth="1"/>
    <col min="11004" max="11004" width="13.54296875" customWidth="1"/>
    <col min="11005" max="11006" width="16.81640625" customWidth="1"/>
    <col min="11007" max="11007" width="12.453125" customWidth="1"/>
    <col min="11011" max="11011" width="10.54296875" bestFit="1" customWidth="1"/>
    <col min="11014" max="11014" width="21.36328125" bestFit="1" customWidth="1"/>
    <col min="11015" max="11015" width="16" bestFit="1" customWidth="1"/>
    <col min="11255" max="11255" width="19.1796875" customWidth="1"/>
    <col min="11256" max="11256" width="47.453125" customWidth="1"/>
    <col min="11257" max="11257" width="23.1796875" customWidth="1"/>
    <col min="11258" max="11258" width="17.54296875" customWidth="1"/>
    <col min="11259" max="11259" width="16" customWidth="1"/>
    <col min="11260" max="11260" width="13.54296875" customWidth="1"/>
    <col min="11261" max="11262" width="16.81640625" customWidth="1"/>
    <col min="11263" max="11263" width="12.453125" customWidth="1"/>
    <col min="11267" max="11267" width="10.54296875" bestFit="1" customWidth="1"/>
    <col min="11270" max="11270" width="21.36328125" bestFit="1" customWidth="1"/>
    <col min="11271" max="11271" width="16" bestFit="1" customWidth="1"/>
    <col min="11511" max="11511" width="19.1796875" customWidth="1"/>
    <col min="11512" max="11512" width="47.453125" customWidth="1"/>
    <col min="11513" max="11513" width="23.1796875" customWidth="1"/>
    <col min="11514" max="11514" width="17.54296875" customWidth="1"/>
    <col min="11515" max="11515" width="16" customWidth="1"/>
    <col min="11516" max="11516" width="13.54296875" customWidth="1"/>
    <col min="11517" max="11518" width="16.81640625" customWidth="1"/>
    <col min="11519" max="11519" width="12.453125" customWidth="1"/>
    <col min="11523" max="11523" width="10.54296875" bestFit="1" customWidth="1"/>
    <col min="11526" max="11526" width="21.36328125" bestFit="1" customWidth="1"/>
    <col min="11527" max="11527" width="16" bestFit="1" customWidth="1"/>
    <col min="11767" max="11767" width="19.1796875" customWidth="1"/>
    <col min="11768" max="11768" width="47.453125" customWidth="1"/>
    <col min="11769" max="11769" width="23.1796875" customWidth="1"/>
    <col min="11770" max="11770" width="17.54296875" customWidth="1"/>
    <col min="11771" max="11771" width="16" customWidth="1"/>
    <col min="11772" max="11772" width="13.54296875" customWidth="1"/>
    <col min="11773" max="11774" width="16.81640625" customWidth="1"/>
    <col min="11775" max="11775" width="12.453125" customWidth="1"/>
    <col min="11779" max="11779" width="10.54296875" bestFit="1" customWidth="1"/>
    <col min="11782" max="11782" width="21.36328125" bestFit="1" customWidth="1"/>
    <col min="11783" max="11783" width="16" bestFit="1" customWidth="1"/>
    <col min="12023" max="12023" width="19.1796875" customWidth="1"/>
    <col min="12024" max="12024" width="47.453125" customWidth="1"/>
    <col min="12025" max="12025" width="23.1796875" customWidth="1"/>
    <col min="12026" max="12026" width="17.54296875" customWidth="1"/>
    <col min="12027" max="12027" width="16" customWidth="1"/>
    <col min="12028" max="12028" width="13.54296875" customWidth="1"/>
    <col min="12029" max="12030" width="16.81640625" customWidth="1"/>
    <col min="12031" max="12031" width="12.453125" customWidth="1"/>
    <col min="12035" max="12035" width="10.54296875" bestFit="1" customWidth="1"/>
    <col min="12038" max="12038" width="21.36328125" bestFit="1" customWidth="1"/>
    <col min="12039" max="12039" width="16" bestFit="1" customWidth="1"/>
    <col min="12279" max="12279" width="19.1796875" customWidth="1"/>
    <col min="12280" max="12280" width="47.453125" customWidth="1"/>
    <col min="12281" max="12281" width="23.1796875" customWidth="1"/>
    <col min="12282" max="12282" width="17.54296875" customWidth="1"/>
    <col min="12283" max="12283" width="16" customWidth="1"/>
    <col min="12284" max="12284" width="13.54296875" customWidth="1"/>
    <col min="12285" max="12286" width="16.81640625" customWidth="1"/>
    <col min="12287" max="12287" width="12.453125" customWidth="1"/>
    <col min="12291" max="12291" width="10.54296875" bestFit="1" customWidth="1"/>
    <col min="12294" max="12294" width="21.36328125" bestFit="1" customWidth="1"/>
    <col min="12295" max="12295" width="16" bestFit="1" customWidth="1"/>
    <col min="12535" max="12535" width="19.1796875" customWidth="1"/>
    <col min="12536" max="12536" width="47.453125" customWidth="1"/>
    <col min="12537" max="12537" width="23.1796875" customWidth="1"/>
    <col min="12538" max="12538" width="17.54296875" customWidth="1"/>
    <col min="12539" max="12539" width="16" customWidth="1"/>
    <col min="12540" max="12540" width="13.54296875" customWidth="1"/>
    <col min="12541" max="12542" width="16.81640625" customWidth="1"/>
    <col min="12543" max="12543" width="12.453125" customWidth="1"/>
    <col min="12547" max="12547" width="10.54296875" bestFit="1" customWidth="1"/>
    <col min="12550" max="12550" width="21.36328125" bestFit="1" customWidth="1"/>
    <col min="12551" max="12551" width="16" bestFit="1" customWidth="1"/>
    <col min="12791" max="12791" width="19.1796875" customWidth="1"/>
    <col min="12792" max="12792" width="47.453125" customWidth="1"/>
    <col min="12793" max="12793" width="23.1796875" customWidth="1"/>
    <col min="12794" max="12794" width="17.54296875" customWidth="1"/>
    <col min="12795" max="12795" width="16" customWidth="1"/>
    <col min="12796" max="12796" width="13.54296875" customWidth="1"/>
    <col min="12797" max="12798" width="16.81640625" customWidth="1"/>
    <col min="12799" max="12799" width="12.453125" customWidth="1"/>
    <col min="12803" max="12803" width="10.54296875" bestFit="1" customWidth="1"/>
    <col min="12806" max="12806" width="21.36328125" bestFit="1" customWidth="1"/>
    <col min="12807" max="12807" width="16" bestFit="1" customWidth="1"/>
    <col min="13047" max="13047" width="19.1796875" customWidth="1"/>
    <col min="13048" max="13048" width="47.453125" customWidth="1"/>
    <col min="13049" max="13049" width="23.1796875" customWidth="1"/>
    <col min="13050" max="13050" width="17.54296875" customWidth="1"/>
    <col min="13051" max="13051" width="16" customWidth="1"/>
    <col min="13052" max="13052" width="13.54296875" customWidth="1"/>
    <col min="13053" max="13054" width="16.81640625" customWidth="1"/>
    <col min="13055" max="13055" width="12.453125" customWidth="1"/>
    <col min="13059" max="13059" width="10.54296875" bestFit="1" customWidth="1"/>
    <col min="13062" max="13062" width="21.36328125" bestFit="1" customWidth="1"/>
    <col min="13063" max="13063" width="16" bestFit="1" customWidth="1"/>
    <col min="13303" max="13303" width="19.1796875" customWidth="1"/>
    <col min="13304" max="13304" width="47.453125" customWidth="1"/>
    <col min="13305" max="13305" width="23.1796875" customWidth="1"/>
    <col min="13306" max="13306" width="17.54296875" customWidth="1"/>
    <col min="13307" max="13307" width="16" customWidth="1"/>
    <col min="13308" max="13308" width="13.54296875" customWidth="1"/>
    <col min="13309" max="13310" width="16.81640625" customWidth="1"/>
    <col min="13311" max="13311" width="12.453125" customWidth="1"/>
    <col min="13315" max="13315" width="10.54296875" bestFit="1" customWidth="1"/>
    <col min="13318" max="13318" width="21.36328125" bestFit="1" customWidth="1"/>
    <col min="13319" max="13319" width="16" bestFit="1" customWidth="1"/>
    <col min="13559" max="13559" width="19.1796875" customWidth="1"/>
    <col min="13560" max="13560" width="47.453125" customWidth="1"/>
    <col min="13561" max="13561" width="23.1796875" customWidth="1"/>
    <col min="13562" max="13562" width="17.54296875" customWidth="1"/>
    <col min="13563" max="13563" width="16" customWidth="1"/>
    <col min="13564" max="13564" width="13.54296875" customWidth="1"/>
    <col min="13565" max="13566" width="16.81640625" customWidth="1"/>
    <col min="13567" max="13567" width="12.453125" customWidth="1"/>
    <col min="13571" max="13571" width="10.54296875" bestFit="1" customWidth="1"/>
    <col min="13574" max="13574" width="21.36328125" bestFit="1" customWidth="1"/>
    <col min="13575" max="13575" width="16" bestFit="1" customWidth="1"/>
    <col min="13815" max="13815" width="19.1796875" customWidth="1"/>
    <col min="13816" max="13816" width="47.453125" customWidth="1"/>
    <col min="13817" max="13817" width="23.1796875" customWidth="1"/>
    <col min="13818" max="13818" width="17.54296875" customWidth="1"/>
    <col min="13819" max="13819" width="16" customWidth="1"/>
    <col min="13820" max="13820" width="13.54296875" customWidth="1"/>
    <col min="13821" max="13822" width="16.81640625" customWidth="1"/>
    <col min="13823" max="13823" width="12.453125" customWidth="1"/>
    <col min="13827" max="13827" width="10.54296875" bestFit="1" customWidth="1"/>
    <col min="13830" max="13830" width="21.36328125" bestFit="1" customWidth="1"/>
    <col min="13831" max="13831" width="16" bestFit="1" customWidth="1"/>
    <col min="14071" max="14071" width="19.1796875" customWidth="1"/>
    <col min="14072" max="14072" width="47.453125" customWidth="1"/>
    <col min="14073" max="14073" width="23.1796875" customWidth="1"/>
    <col min="14074" max="14074" width="17.54296875" customWidth="1"/>
    <col min="14075" max="14075" width="16" customWidth="1"/>
    <col min="14076" max="14076" width="13.54296875" customWidth="1"/>
    <col min="14077" max="14078" width="16.81640625" customWidth="1"/>
    <col min="14079" max="14079" width="12.453125" customWidth="1"/>
    <col min="14083" max="14083" width="10.54296875" bestFit="1" customWidth="1"/>
    <col min="14086" max="14086" width="21.36328125" bestFit="1" customWidth="1"/>
    <col min="14087" max="14087" width="16" bestFit="1" customWidth="1"/>
    <col min="14327" max="14327" width="19.1796875" customWidth="1"/>
    <col min="14328" max="14328" width="47.453125" customWidth="1"/>
    <col min="14329" max="14329" width="23.1796875" customWidth="1"/>
    <col min="14330" max="14330" width="17.54296875" customWidth="1"/>
    <col min="14331" max="14331" width="16" customWidth="1"/>
    <col min="14332" max="14332" width="13.54296875" customWidth="1"/>
    <col min="14333" max="14334" width="16.81640625" customWidth="1"/>
    <col min="14335" max="14335" width="12.453125" customWidth="1"/>
    <col min="14339" max="14339" width="10.54296875" bestFit="1" customWidth="1"/>
    <col min="14342" max="14342" width="21.36328125" bestFit="1" customWidth="1"/>
    <col min="14343" max="14343" width="16" bestFit="1" customWidth="1"/>
    <col min="14583" max="14583" width="19.1796875" customWidth="1"/>
    <col min="14584" max="14584" width="47.453125" customWidth="1"/>
    <col min="14585" max="14585" width="23.1796875" customWidth="1"/>
    <col min="14586" max="14586" width="17.54296875" customWidth="1"/>
    <col min="14587" max="14587" width="16" customWidth="1"/>
    <col min="14588" max="14588" width="13.54296875" customWidth="1"/>
    <col min="14589" max="14590" width="16.81640625" customWidth="1"/>
    <col min="14591" max="14591" width="12.453125" customWidth="1"/>
    <col min="14595" max="14595" width="10.54296875" bestFit="1" customWidth="1"/>
    <col min="14598" max="14598" width="21.36328125" bestFit="1" customWidth="1"/>
    <col min="14599" max="14599" width="16" bestFit="1" customWidth="1"/>
    <col min="14839" max="14839" width="19.1796875" customWidth="1"/>
    <col min="14840" max="14840" width="47.453125" customWidth="1"/>
    <col min="14841" max="14841" width="23.1796875" customWidth="1"/>
    <col min="14842" max="14842" width="17.54296875" customWidth="1"/>
    <col min="14843" max="14843" width="16" customWidth="1"/>
    <col min="14844" max="14844" width="13.54296875" customWidth="1"/>
    <col min="14845" max="14846" width="16.81640625" customWidth="1"/>
    <col min="14847" max="14847" width="12.453125" customWidth="1"/>
    <col min="14851" max="14851" width="10.54296875" bestFit="1" customWidth="1"/>
    <col min="14854" max="14854" width="21.36328125" bestFit="1" customWidth="1"/>
    <col min="14855" max="14855" width="16" bestFit="1" customWidth="1"/>
    <col min="15095" max="15095" width="19.1796875" customWidth="1"/>
    <col min="15096" max="15096" width="47.453125" customWidth="1"/>
    <col min="15097" max="15097" width="23.1796875" customWidth="1"/>
    <col min="15098" max="15098" width="17.54296875" customWidth="1"/>
    <col min="15099" max="15099" width="16" customWidth="1"/>
    <col min="15100" max="15100" width="13.54296875" customWidth="1"/>
    <col min="15101" max="15102" width="16.81640625" customWidth="1"/>
    <col min="15103" max="15103" width="12.453125" customWidth="1"/>
    <col min="15107" max="15107" width="10.54296875" bestFit="1" customWidth="1"/>
    <col min="15110" max="15110" width="21.36328125" bestFit="1" customWidth="1"/>
    <col min="15111" max="15111" width="16" bestFit="1" customWidth="1"/>
    <col min="15351" max="15351" width="19.1796875" customWidth="1"/>
    <col min="15352" max="15352" width="47.453125" customWidth="1"/>
    <col min="15353" max="15353" width="23.1796875" customWidth="1"/>
    <col min="15354" max="15354" width="17.54296875" customWidth="1"/>
    <col min="15355" max="15355" width="16" customWidth="1"/>
    <col min="15356" max="15356" width="13.54296875" customWidth="1"/>
    <col min="15357" max="15358" width="16.81640625" customWidth="1"/>
    <col min="15359" max="15359" width="12.453125" customWidth="1"/>
    <col min="15363" max="15363" width="10.54296875" bestFit="1" customWidth="1"/>
    <col min="15366" max="15366" width="21.36328125" bestFit="1" customWidth="1"/>
    <col min="15367" max="15367" width="16" bestFit="1" customWidth="1"/>
    <col min="15607" max="15607" width="19.1796875" customWidth="1"/>
    <col min="15608" max="15608" width="47.453125" customWidth="1"/>
    <col min="15609" max="15609" width="23.1796875" customWidth="1"/>
    <col min="15610" max="15610" width="17.54296875" customWidth="1"/>
    <col min="15611" max="15611" width="16" customWidth="1"/>
    <col min="15612" max="15612" width="13.54296875" customWidth="1"/>
    <col min="15613" max="15614" width="16.81640625" customWidth="1"/>
    <col min="15615" max="15615" width="12.453125" customWidth="1"/>
    <col min="15619" max="15619" width="10.54296875" bestFit="1" customWidth="1"/>
    <col min="15622" max="15622" width="21.36328125" bestFit="1" customWidth="1"/>
    <col min="15623" max="15623" width="16" bestFit="1" customWidth="1"/>
    <col min="15863" max="15863" width="19.1796875" customWidth="1"/>
    <col min="15864" max="15864" width="47.453125" customWidth="1"/>
    <col min="15865" max="15865" width="23.1796875" customWidth="1"/>
    <col min="15866" max="15866" width="17.54296875" customWidth="1"/>
    <col min="15867" max="15867" width="16" customWidth="1"/>
    <col min="15868" max="15868" width="13.54296875" customWidth="1"/>
    <col min="15869" max="15870" width="16.81640625" customWidth="1"/>
    <col min="15871" max="15871" width="12.453125" customWidth="1"/>
    <col min="15875" max="15875" width="10.54296875" bestFit="1" customWidth="1"/>
    <col min="15878" max="15878" width="21.36328125" bestFit="1" customWidth="1"/>
    <col min="15879" max="15879" width="16" bestFit="1" customWidth="1"/>
    <col min="16119" max="16119" width="19.1796875" customWidth="1"/>
    <col min="16120" max="16120" width="47.453125" customWidth="1"/>
    <col min="16121" max="16121" width="23.1796875" customWidth="1"/>
    <col min="16122" max="16122" width="17.54296875" customWidth="1"/>
    <col min="16123" max="16123" width="16" customWidth="1"/>
    <col min="16124" max="16124" width="13.54296875" customWidth="1"/>
    <col min="16125" max="16126" width="16.81640625" customWidth="1"/>
    <col min="16127" max="16127" width="12.453125" customWidth="1"/>
    <col min="16131" max="16131" width="10.54296875" bestFit="1" customWidth="1"/>
    <col min="16134" max="16134" width="21.36328125" bestFit="1" customWidth="1"/>
    <col min="16135" max="16135" width="16" bestFit="1" customWidth="1"/>
  </cols>
  <sheetData>
    <row r="1" spans="1:9" x14ac:dyDescent="0.35">
      <c r="A1" s="112"/>
      <c r="B1" s="112"/>
      <c r="C1" s="112"/>
      <c r="D1" s="112"/>
      <c r="E1" s="112"/>
      <c r="F1" s="112"/>
      <c r="G1" s="112"/>
      <c r="H1" s="112"/>
      <c r="I1" s="112"/>
    </row>
    <row r="2" spans="1:9" x14ac:dyDescent="0.35">
      <c r="A2" s="113" t="s">
        <v>0</v>
      </c>
      <c r="B2" s="113"/>
      <c r="C2" s="113"/>
      <c r="D2" s="113"/>
      <c r="E2" s="113"/>
      <c r="F2" s="113"/>
      <c r="G2" s="113"/>
      <c r="H2" s="113"/>
      <c r="I2" s="113"/>
    </row>
    <row r="3" spans="1:9" x14ac:dyDescent="0.35">
      <c r="A3" s="114" t="s">
        <v>1</v>
      </c>
      <c r="B3" s="114"/>
      <c r="C3" s="114"/>
      <c r="D3" s="114"/>
      <c r="E3" s="114"/>
      <c r="F3" s="114"/>
      <c r="G3" s="114"/>
      <c r="H3" s="114"/>
      <c r="I3" s="114"/>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8"/>
      <c r="F5" s="9"/>
      <c r="G5" s="10"/>
      <c r="H5" s="9"/>
      <c r="I5" s="11"/>
    </row>
    <row r="6" spans="1:9" x14ac:dyDescent="0.35">
      <c r="A6" s="6"/>
      <c r="B6" s="7" t="s">
        <v>12</v>
      </c>
      <c r="C6" s="6"/>
      <c r="D6" s="8"/>
      <c r="E6" s="12"/>
      <c r="F6" s="12"/>
      <c r="G6" s="10"/>
      <c r="H6" s="9"/>
      <c r="I6" s="11"/>
    </row>
    <row r="7" spans="1:9" x14ac:dyDescent="0.35">
      <c r="A7" s="13" t="s">
        <v>13</v>
      </c>
      <c r="B7" s="13" t="s">
        <v>14</v>
      </c>
      <c r="C7" s="13" t="s">
        <v>15</v>
      </c>
      <c r="D7" s="14">
        <v>80500</v>
      </c>
      <c r="E7" s="14">
        <v>1011.402</v>
      </c>
      <c r="F7" s="15">
        <v>6.8724287529371819E-2</v>
      </c>
      <c r="G7" s="16"/>
      <c r="H7" s="16"/>
      <c r="I7" s="11"/>
    </row>
    <row r="8" spans="1:9" x14ac:dyDescent="0.35">
      <c r="A8" s="13" t="s">
        <v>16</v>
      </c>
      <c r="B8" s="13" t="s">
        <v>17</v>
      </c>
      <c r="C8" s="13" t="s">
        <v>15</v>
      </c>
      <c r="D8" s="14">
        <v>74375</v>
      </c>
      <c r="E8" s="14">
        <v>956.90875000000005</v>
      </c>
      <c r="F8" s="15">
        <v>6.5021496965965833E-2</v>
      </c>
      <c r="G8" s="16"/>
      <c r="H8" s="16"/>
      <c r="I8" s="11"/>
    </row>
    <row r="9" spans="1:9" x14ac:dyDescent="0.35">
      <c r="A9" s="13" t="s">
        <v>18</v>
      </c>
      <c r="B9" s="13" t="s">
        <v>19</v>
      </c>
      <c r="C9" s="13" t="s">
        <v>15</v>
      </c>
      <c r="D9" s="14">
        <v>124300</v>
      </c>
      <c r="E9" s="14">
        <v>925.47564999999997</v>
      </c>
      <c r="F9" s="15">
        <v>6.2885632688122306E-2</v>
      </c>
      <c r="G9" s="16"/>
      <c r="H9" s="16"/>
      <c r="I9" s="11"/>
    </row>
    <row r="10" spans="1:9" x14ac:dyDescent="0.35">
      <c r="A10" s="13" t="s">
        <v>20</v>
      </c>
      <c r="B10" s="13" t="s">
        <v>21</v>
      </c>
      <c r="C10" s="13" t="s">
        <v>22</v>
      </c>
      <c r="D10" s="14">
        <v>183750</v>
      </c>
      <c r="E10" s="14">
        <v>765.77812500000005</v>
      </c>
      <c r="F10" s="15">
        <v>5.2034261397746133E-2</v>
      </c>
      <c r="G10" s="16"/>
      <c r="H10" s="16"/>
      <c r="I10" s="11"/>
    </row>
    <row r="11" spans="1:9" x14ac:dyDescent="0.35">
      <c r="A11" s="13" t="s">
        <v>23</v>
      </c>
      <c r="B11" s="13" t="s">
        <v>24</v>
      </c>
      <c r="C11" s="13" t="s">
        <v>25</v>
      </c>
      <c r="D11" s="14">
        <v>40425</v>
      </c>
      <c r="E11" s="14">
        <v>712.57147499999996</v>
      </c>
      <c r="F11" s="15">
        <v>4.8418894695806992E-2</v>
      </c>
      <c r="G11" s="16"/>
      <c r="H11" s="16"/>
      <c r="I11" s="11"/>
    </row>
    <row r="12" spans="1:9" x14ac:dyDescent="0.35">
      <c r="A12" s="13" t="s">
        <v>26</v>
      </c>
      <c r="B12" s="13" t="s">
        <v>27</v>
      </c>
      <c r="C12" s="13" t="s">
        <v>28</v>
      </c>
      <c r="D12" s="14">
        <v>42600</v>
      </c>
      <c r="E12" s="14">
        <v>628.5204</v>
      </c>
      <c r="F12" s="15">
        <v>4.2707663903844152E-2</v>
      </c>
      <c r="G12" s="16"/>
      <c r="H12" s="16"/>
      <c r="I12" s="11"/>
    </row>
    <row r="13" spans="1:9" x14ac:dyDescent="0.35">
      <c r="A13" s="13" t="s">
        <v>29</v>
      </c>
      <c r="B13" s="13" t="s">
        <v>30</v>
      </c>
      <c r="C13" s="13" t="s">
        <v>31</v>
      </c>
      <c r="D13" s="14">
        <v>288750</v>
      </c>
      <c r="E13" s="14">
        <v>600.65774999999996</v>
      </c>
      <c r="F13" s="15">
        <v>4.0814410014757274E-2</v>
      </c>
      <c r="G13" s="16"/>
      <c r="H13" s="16"/>
      <c r="I13" s="11"/>
    </row>
    <row r="14" spans="1:9" x14ac:dyDescent="0.35">
      <c r="A14" s="13" t="s">
        <v>32</v>
      </c>
      <c r="B14" s="13" t="s">
        <v>33</v>
      </c>
      <c r="C14" s="13" t="s">
        <v>34</v>
      </c>
      <c r="D14" s="14">
        <v>34850</v>
      </c>
      <c r="E14" s="14">
        <v>474.65699999999998</v>
      </c>
      <c r="F14" s="15">
        <v>3.2252718647806745E-2</v>
      </c>
      <c r="G14" s="16"/>
      <c r="H14" s="16"/>
      <c r="I14" s="11"/>
    </row>
    <row r="15" spans="1:9" x14ac:dyDescent="0.35">
      <c r="A15" s="13" t="s">
        <v>35</v>
      </c>
      <c r="B15" s="13" t="s">
        <v>36</v>
      </c>
      <c r="C15" s="13" t="s">
        <v>37</v>
      </c>
      <c r="D15" s="14">
        <v>96900</v>
      </c>
      <c r="E15" s="14">
        <v>428.34645</v>
      </c>
      <c r="F15" s="15">
        <v>2.9105938679165839E-2</v>
      </c>
      <c r="G15" s="16"/>
      <c r="H15" s="16"/>
      <c r="I15" s="11"/>
    </row>
    <row r="16" spans="1:9" x14ac:dyDescent="0.35">
      <c r="A16" s="13" t="s">
        <v>38</v>
      </c>
      <c r="B16" s="13" t="s">
        <v>39</v>
      </c>
      <c r="C16" s="13" t="s">
        <v>40</v>
      </c>
      <c r="D16" s="14">
        <v>23500</v>
      </c>
      <c r="E16" s="14">
        <v>419.14600000000002</v>
      </c>
      <c r="F16" s="15">
        <v>2.848077245327385E-2</v>
      </c>
      <c r="G16" s="16"/>
      <c r="H16" s="16"/>
      <c r="I16" s="11"/>
    </row>
    <row r="17" spans="1:9" x14ac:dyDescent="0.35">
      <c r="A17" s="13" t="s">
        <v>41</v>
      </c>
      <c r="B17" s="13" t="s">
        <v>42</v>
      </c>
      <c r="C17" s="13" t="s">
        <v>43</v>
      </c>
      <c r="D17" s="14">
        <v>69300</v>
      </c>
      <c r="E17" s="14">
        <v>412.19639999999998</v>
      </c>
      <c r="F17" s="15">
        <v>2.8008550420279926E-2</v>
      </c>
      <c r="G17" s="16"/>
      <c r="H17" s="16"/>
      <c r="I17" s="11"/>
    </row>
    <row r="18" spans="1:9" x14ac:dyDescent="0.35">
      <c r="A18" s="13" t="s">
        <v>44</v>
      </c>
      <c r="B18" s="13" t="s">
        <v>45</v>
      </c>
      <c r="C18" s="13" t="s">
        <v>46</v>
      </c>
      <c r="D18" s="14">
        <v>93150</v>
      </c>
      <c r="E18" s="14">
        <v>366.87127500000003</v>
      </c>
      <c r="F18" s="15">
        <v>2.4928729614304933E-2</v>
      </c>
      <c r="G18" s="16"/>
      <c r="H18" s="16"/>
      <c r="I18" s="11"/>
    </row>
    <row r="19" spans="1:9" x14ac:dyDescent="0.35">
      <c r="A19" s="13" t="s">
        <v>47</v>
      </c>
      <c r="B19" s="13" t="s">
        <v>48</v>
      </c>
      <c r="C19" s="13" t="s">
        <v>25</v>
      </c>
      <c r="D19" s="14">
        <v>18550</v>
      </c>
      <c r="E19" s="14">
        <v>328.55759999999998</v>
      </c>
      <c r="F19" s="15">
        <v>2.2325333519570195E-2</v>
      </c>
      <c r="G19" s="16"/>
      <c r="H19" s="16"/>
      <c r="I19" s="11"/>
    </row>
    <row r="20" spans="1:9" x14ac:dyDescent="0.35">
      <c r="A20" s="13" t="s">
        <v>49</v>
      </c>
      <c r="B20" s="13" t="s">
        <v>50</v>
      </c>
      <c r="C20" s="13" t="s">
        <v>31</v>
      </c>
      <c r="D20" s="14">
        <v>145700</v>
      </c>
      <c r="E20" s="14">
        <v>297.76709</v>
      </c>
      <c r="F20" s="15">
        <v>2.0233132928295906E-2</v>
      </c>
      <c r="G20" s="16"/>
      <c r="H20" s="16"/>
      <c r="I20" s="11"/>
    </row>
    <row r="21" spans="1:9" x14ac:dyDescent="0.35">
      <c r="A21" s="13" t="s">
        <v>51</v>
      </c>
      <c r="B21" s="13" t="s">
        <v>52</v>
      </c>
      <c r="C21" s="13" t="s">
        <v>53</v>
      </c>
      <c r="D21" s="14">
        <v>9579</v>
      </c>
      <c r="E21" s="14">
        <v>281.37354599999998</v>
      </c>
      <c r="F21" s="15">
        <v>1.9119199367277233E-2</v>
      </c>
      <c r="G21" s="16"/>
      <c r="H21" s="16"/>
      <c r="I21" s="11"/>
    </row>
    <row r="22" spans="1:9" x14ac:dyDescent="0.35">
      <c r="A22" s="13" t="s">
        <v>54</v>
      </c>
      <c r="B22" s="13" t="s">
        <v>55</v>
      </c>
      <c r="C22" s="13" t="s">
        <v>56</v>
      </c>
      <c r="D22" s="14">
        <v>101250</v>
      </c>
      <c r="E22" s="14">
        <v>268.71749999999997</v>
      </c>
      <c r="F22" s="15">
        <v>1.8259227027605216E-2</v>
      </c>
      <c r="G22" s="16"/>
      <c r="H22" s="16"/>
      <c r="I22" s="11"/>
    </row>
    <row r="23" spans="1:9" x14ac:dyDescent="0.35">
      <c r="A23" s="13" t="s">
        <v>57</v>
      </c>
      <c r="B23" s="13" t="s">
        <v>58</v>
      </c>
      <c r="C23" s="13" t="s">
        <v>43</v>
      </c>
      <c r="D23" s="14">
        <v>49950</v>
      </c>
      <c r="E23" s="14">
        <v>251.72302500000001</v>
      </c>
      <c r="F23" s="15">
        <v>1.7104460489363527E-2</v>
      </c>
      <c r="G23" s="16"/>
      <c r="H23" s="16"/>
      <c r="I23" s="11"/>
    </row>
    <row r="24" spans="1:9" x14ac:dyDescent="0.35">
      <c r="A24" s="13" t="s">
        <v>59</v>
      </c>
      <c r="B24" s="13" t="s">
        <v>60</v>
      </c>
      <c r="C24" s="13" t="s">
        <v>61</v>
      </c>
      <c r="D24" s="14">
        <v>36585</v>
      </c>
      <c r="E24" s="14">
        <v>235.90008</v>
      </c>
      <c r="F24" s="15">
        <v>1.602929886051423E-2</v>
      </c>
      <c r="G24" s="16"/>
      <c r="H24" s="16"/>
      <c r="I24" s="11"/>
    </row>
    <row r="25" spans="1:9" x14ac:dyDescent="0.35">
      <c r="A25" s="13" t="s">
        <v>62</v>
      </c>
      <c r="B25" s="13" t="s">
        <v>63</v>
      </c>
      <c r="C25" s="13" t="s">
        <v>34</v>
      </c>
      <c r="D25" s="14">
        <v>52500</v>
      </c>
      <c r="E25" s="14">
        <v>225.04124999999999</v>
      </c>
      <c r="F25" s="15">
        <v>1.5291446497999061E-2</v>
      </c>
      <c r="G25" s="16"/>
      <c r="H25" s="16"/>
      <c r="I25" s="11"/>
    </row>
    <row r="26" spans="1:9" x14ac:dyDescent="0.35">
      <c r="A26" s="13" t="s">
        <v>64</v>
      </c>
      <c r="B26" s="13" t="s">
        <v>65</v>
      </c>
      <c r="C26" s="13" t="s">
        <v>15</v>
      </c>
      <c r="D26" s="14">
        <v>964100</v>
      </c>
      <c r="E26" s="14">
        <v>223.18915000000001</v>
      </c>
      <c r="F26" s="15">
        <v>1.5165597179001126E-2</v>
      </c>
      <c r="G26" s="16"/>
      <c r="H26" s="16"/>
      <c r="I26" s="11"/>
    </row>
    <row r="27" spans="1:9" x14ac:dyDescent="0.35">
      <c r="A27" s="13" t="s">
        <v>66</v>
      </c>
      <c r="B27" s="13" t="s">
        <v>67</v>
      </c>
      <c r="C27" s="13" t="s">
        <v>68</v>
      </c>
      <c r="D27" s="14">
        <v>77600</v>
      </c>
      <c r="E27" s="14">
        <v>194.45008000000001</v>
      </c>
      <c r="F27" s="15">
        <v>1.3212790965441389E-2</v>
      </c>
      <c r="G27" s="16"/>
      <c r="H27" s="16"/>
      <c r="I27" s="11"/>
    </row>
    <row r="28" spans="1:9" x14ac:dyDescent="0.35">
      <c r="A28" s="13" t="s">
        <v>69</v>
      </c>
      <c r="B28" s="13" t="s">
        <v>70</v>
      </c>
      <c r="C28" s="13" t="s">
        <v>28</v>
      </c>
      <c r="D28" s="14">
        <v>39150</v>
      </c>
      <c r="E28" s="14">
        <v>164.723625</v>
      </c>
      <c r="F28" s="15">
        <v>1.1192892408142776E-2</v>
      </c>
      <c r="G28" s="16"/>
      <c r="H28" s="16"/>
      <c r="I28" s="11"/>
    </row>
    <row r="29" spans="1:9" x14ac:dyDescent="0.35">
      <c r="A29" s="13" t="s">
        <v>71</v>
      </c>
      <c r="B29" s="13" t="s">
        <v>72</v>
      </c>
      <c r="C29" s="13" t="s">
        <v>40</v>
      </c>
      <c r="D29" s="14">
        <v>17325</v>
      </c>
      <c r="E29" s="14">
        <v>164.0937375</v>
      </c>
      <c r="F29" s="15">
        <v>1.115009185044054E-2</v>
      </c>
      <c r="G29" s="16"/>
      <c r="H29" s="16"/>
      <c r="I29" s="11"/>
    </row>
    <row r="30" spans="1:9" x14ac:dyDescent="0.35">
      <c r="A30" s="13" t="s">
        <v>73</v>
      </c>
      <c r="B30" s="13" t="s">
        <v>74</v>
      </c>
      <c r="C30" s="13" t="s">
        <v>40</v>
      </c>
      <c r="D30" s="14">
        <v>68150</v>
      </c>
      <c r="E30" s="14">
        <v>162.844425</v>
      </c>
      <c r="F30" s="15">
        <v>1.1065201656962537E-2</v>
      </c>
      <c r="G30" s="16"/>
      <c r="H30" s="16"/>
      <c r="I30" s="11"/>
    </row>
    <row r="31" spans="1:9" x14ac:dyDescent="0.35">
      <c r="A31" s="13" t="s">
        <v>75</v>
      </c>
      <c r="B31" s="13" t="s">
        <v>76</v>
      </c>
      <c r="C31" s="13" t="s">
        <v>77</v>
      </c>
      <c r="D31" s="14">
        <v>160425</v>
      </c>
      <c r="E31" s="14">
        <v>161.0185725</v>
      </c>
      <c r="F31" s="15">
        <v>1.0941135843175119E-2</v>
      </c>
      <c r="G31" s="16"/>
      <c r="H31" s="16"/>
      <c r="I31" s="11"/>
    </row>
    <row r="32" spans="1:9" x14ac:dyDescent="0.35">
      <c r="A32" s="13" t="s">
        <v>78</v>
      </c>
      <c r="B32" s="13" t="s">
        <v>79</v>
      </c>
      <c r="C32" s="13" t="s">
        <v>80</v>
      </c>
      <c r="D32" s="14">
        <v>14000</v>
      </c>
      <c r="E32" s="14">
        <v>157.738</v>
      </c>
      <c r="F32" s="15">
        <v>1.0718222493437873E-2</v>
      </c>
      <c r="G32" s="16"/>
      <c r="H32" s="16"/>
      <c r="I32" s="11"/>
    </row>
    <row r="33" spans="1:9" x14ac:dyDescent="0.35">
      <c r="A33" s="13" t="s">
        <v>81</v>
      </c>
      <c r="B33" s="13" t="s">
        <v>82</v>
      </c>
      <c r="C33" s="13" t="s">
        <v>83</v>
      </c>
      <c r="D33" s="14">
        <v>175500</v>
      </c>
      <c r="E33" s="14">
        <v>154.42245</v>
      </c>
      <c r="F33" s="15">
        <v>1.0492932439119206E-2</v>
      </c>
      <c r="G33" s="16"/>
      <c r="H33" s="16"/>
      <c r="I33" s="11"/>
    </row>
    <row r="34" spans="1:9" x14ac:dyDescent="0.35">
      <c r="A34" s="13" t="s">
        <v>84</v>
      </c>
      <c r="B34" s="13" t="s">
        <v>85</v>
      </c>
      <c r="C34" s="13" t="s">
        <v>25</v>
      </c>
      <c r="D34" s="14">
        <v>9000</v>
      </c>
      <c r="E34" s="14">
        <v>123.22799999999999</v>
      </c>
      <c r="F34" s="15">
        <v>8.3732843158995443E-3</v>
      </c>
      <c r="G34" s="16"/>
      <c r="H34" s="16"/>
      <c r="I34" s="11"/>
    </row>
    <row r="35" spans="1:9" x14ac:dyDescent="0.35">
      <c r="A35" s="13" t="s">
        <v>86</v>
      </c>
      <c r="B35" s="13" t="s">
        <v>87</v>
      </c>
      <c r="C35" s="13" t="s">
        <v>88</v>
      </c>
      <c r="D35" s="14">
        <v>6825</v>
      </c>
      <c r="E35" s="14">
        <v>119.31465</v>
      </c>
      <c r="F35" s="15">
        <v>8.1073740343269671E-3</v>
      </c>
      <c r="G35" s="16"/>
      <c r="H35" s="16"/>
      <c r="I35" s="11"/>
    </row>
    <row r="36" spans="1:9" x14ac:dyDescent="0.35">
      <c r="A36" s="13" t="s">
        <v>89</v>
      </c>
      <c r="B36" s="13" t="s">
        <v>90</v>
      </c>
      <c r="C36" s="13" t="s">
        <v>15</v>
      </c>
      <c r="D36" s="14">
        <v>40950</v>
      </c>
      <c r="E36" s="14">
        <v>109.95075</v>
      </c>
      <c r="F36" s="15">
        <v>7.471101458243189E-3</v>
      </c>
      <c r="G36" s="16"/>
      <c r="H36" s="16"/>
      <c r="I36" s="11"/>
    </row>
    <row r="37" spans="1:9" x14ac:dyDescent="0.35">
      <c r="A37" s="13" t="s">
        <v>91</v>
      </c>
      <c r="B37" s="13" t="s">
        <v>92</v>
      </c>
      <c r="C37" s="13" t="s">
        <v>93</v>
      </c>
      <c r="D37" s="14">
        <v>2250</v>
      </c>
      <c r="E37" s="14">
        <v>99.112499999999997</v>
      </c>
      <c r="F37" s="15">
        <v>6.7346474969941367E-3</v>
      </c>
      <c r="G37" s="16"/>
      <c r="H37" s="16"/>
      <c r="I37" s="11"/>
    </row>
    <row r="38" spans="1:9" x14ac:dyDescent="0.35">
      <c r="A38" s="13" t="s">
        <v>94</v>
      </c>
      <c r="B38" s="13" t="s">
        <v>95</v>
      </c>
      <c r="C38" s="13" t="s">
        <v>46</v>
      </c>
      <c r="D38" s="14">
        <v>27650</v>
      </c>
      <c r="E38" s="14">
        <v>82.42465</v>
      </c>
      <c r="F38" s="15">
        <v>5.6007159824756495E-3</v>
      </c>
      <c r="G38" s="16"/>
      <c r="H38" s="16"/>
      <c r="I38" s="11"/>
    </row>
    <row r="39" spans="1:9" x14ac:dyDescent="0.35">
      <c r="A39" s="13" t="s">
        <v>96</v>
      </c>
      <c r="B39" s="13" t="s">
        <v>97</v>
      </c>
      <c r="C39" s="13" t="s">
        <v>98</v>
      </c>
      <c r="D39" s="14">
        <v>7500</v>
      </c>
      <c r="E39" s="14">
        <v>77.197500000000005</v>
      </c>
      <c r="F39" s="15">
        <v>5.245533612301222E-3</v>
      </c>
      <c r="G39" s="16"/>
      <c r="H39" s="16"/>
      <c r="I39" s="11"/>
    </row>
    <row r="40" spans="1:9" x14ac:dyDescent="0.35">
      <c r="A40" s="13" t="s">
        <v>99</v>
      </c>
      <c r="B40" s="13" t="s">
        <v>100</v>
      </c>
      <c r="C40" s="13" t="s">
        <v>25</v>
      </c>
      <c r="D40" s="14">
        <v>7650</v>
      </c>
      <c r="E40" s="14">
        <v>71.764650000000003</v>
      </c>
      <c r="F40" s="15">
        <v>4.8763740244183156E-3</v>
      </c>
      <c r="G40" s="16"/>
      <c r="H40" s="16"/>
      <c r="I40" s="11"/>
    </row>
    <row r="41" spans="1:9" x14ac:dyDescent="0.35">
      <c r="A41" s="13" t="s">
        <v>101</v>
      </c>
      <c r="B41" s="13" t="s">
        <v>102</v>
      </c>
      <c r="C41" s="13" t="s">
        <v>22</v>
      </c>
      <c r="D41" s="14">
        <v>7650</v>
      </c>
      <c r="E41" s="14">
        <v>70.184925000000007</v>
      </c>
      <c r="F41" s="15">
        <v>4.7690324578430693E-3</v>
      </c>
      <c r="G41" s="16"/>
      <c r="H41" s="16"/>
      <c r="I41" s="11"/>
    </row>
    <row r="42" spans="1:9" x14ac:dyDescent="0.35">
      <c r="A42" s="13" t="s">
        <v>103</v>
      </c>
      <c r="B42" s="13" t="s">
        <v>104</v>
      </c>
      <c r="C42" s="13" t="s">
        <v>105</v>
      </c>
      <c r="D42" s="14">
        <v>5200</v>
      </c>
      <c r="E42" s="14">
        <v>66.040000000000006</v>
      </c>
      <c r="F42" s="15">
        <v>4.4873867645503123E-3</v>
      </c>
      <c r="G42" s="16"/>
      <c r="H42" s="16"/>
      <c r="I42" s="11"/>
    </row>
    <row r="43" spans="1:9" x14ac:dyDescent="0.35">
      <c r="A43" s="13" t="s">
        <v>106</v>
      </c>
      <c r="B43" s="13" t="s">
        <v>107</v>
      </c>
      <c r="C43" s="13" t="s">
        <v>108</v>
      </c>
      <c r="D43" s="14">
        <v>4500</v>
      </c>
      <c r="E43" s="14">
        <v>63.981000000000002</v>
      </c>
      <c r="F43" s="15">
        <v>4.3474786884114703E-3</v>
      </c>
      <c r="G43" s="16"/>
      <c r="H43" s="16"/>
      <c r="I43" s="11"/>
    </row>
    <row r="44" spans="1:9" x14ac:dyDescent="0.35">
      <c r="A44" s="13" t="s">
        <v>109</v>
      </c>
      <c r="B44" s="13" t="s">
        <v>110</v>
      </c>
      <c r="C44" s="13" t="s">
        <v>15</v>
      </c>
      <c r="D44" s="14">
        <v>6000</v>
      </c>
      <c r="E44" s="14">
        <v>59.082000000000001</v>
      </c>
      <c r="F44" s="15">
        <v>4.0145939555293999E-3</v>
      </c>
      <c r="G44" s="16"/>
      <c r="H44" s="16"/>
      <c r="I44" s="11"/>
    </row>
    <row r="45" spans="1:9" x14ac:dyDescent="0.35">
      <c r="A45" s="13" t="s">
        <v>111</v>
      </c>
      <c r="B45" s="13" t="s">
        <v>112</v>
      </c>
      <c r="C45" s="13" t="s">
        <v>40</v>
      </c>
      <c r="D45" s="14">
        <v>18000</v>
      </c>
      <c r="E45" s="14">
        <v>58.572000000000003</v>
      </c>
      <c r="F45" s="15">
        <v>3.9799396967480447E-3</v>
      </c>
      <c r="G45" s="16"/>
      <c r="H45" s="16"/>
      <c r="I45" s="11"/>
    </row>
    <row r="46" spans="1:9" x14ac:dyDescent="0.35">
      <c r="A46" s="13" t="s">
        <v>113</v>
      </c>
      <c r="B46" s="13" t="s">
        <v>114</v>
      </c>
      <c r="C46" s="13" t="s">
        <v>105</v>
      </c>
      <c r="D46" s="14">
        <v>9000</v>
      </c>
      <c r="E46" s="14">
        <v>47.52</v>
      </c>
      <c r="F46" s="15">
        <v>3.2289615240979836E-3</v>
      </c>
      <c r="G46" s="16"/>
      <c r="H46" s="16"/>
      <c r="I46" s="11"/>
    </row>
    <row r="47" spans="1:9" x14ac:dyDescent="0.35">
      <c r="A47" s="13" t="s">
        <v>115</v>
      </c>
      <c r="B47" s="13" t="s">
        <v>116</v>
      </c>
      <c r="C47" s="13" t="s">
        <v>15</v>
      </c>
      <c r="D47" s="14">
        <v>4500</v>
      </c>
      <c r="E47" s="14">
        <v>43.398000000000003</v>
      </c>
      <c r="F47" s="15">
        <v>2.9488735737122113E-3</v>
      </c>
      <c r="G47" s="16"/>
      <c r="H47" s="16"/>
      <c r="I47" s="11"/>
    </row>
    <row r="48" spans="1:9" x14ac:dyDescent="0.35">
      <c r="A48" s="13" t="s">
        <v>117</v>
      </c>
      <c r="B48" s="13" t="s">
        <v>118</v>
      </c>
      <c r="C48" s="13" t="s">
        <v>15</v>
      </c>
      <c r="D48" s="14">
        <v>10000</v>
      </c>
      <c r="E48" s="14">
        <v>38.42</v>
      </c>
      <c r="F48" s="15">
        <v>2.6106208281953813E-3</v>
      </c>
      <c r="G48" s="16"/>
      <c r="H48" s="16"/>
      <c r="I48" s="11"/>
    </row>
    <row r="49" spans="1:9" x14ac:dyDescent="0.35">
      <c r="A49" s="13" t="s">
        <v>119</v>
      </c>
      <c r="B49" s="13" t="s">
        <v>120</v>
      </c>
      <c r="C49" s="13" t="s">
        <v>88</v>
      </c>
      <c r="D49" s="14">
        <v>300</v>
      </c>
      <c r="E49" s="14">
        <v>34.445999999999998</v>
      </c>
      <c r="F49" s="15">
        <v>2.3405894078089044E-3</v>
      </c>
      <c r="G49" s="16"/>
      <c r="H49" s="16"/>
      <c r="I49" s="11"/>
    </row>
    <row r="50" spans="1:9" x14ac:dyDescent="0.35">
      <c r="A50" s="13" t="s">
        <v>121</v>
      </c>
      <c r="B50" s="13" t="s">
        <v>122</v>
      </c>
      <c r="C50" s="13" t="s">
        <v>40</v>
      </c>
      <c r="D50" s="14">
        <v>2600</v>
      </c>
      <c r="E50" s="14">
        <v>26.792999999999999</v>
      </c>
      <c r="F50" s="15">
        <v>1.8205716775075184E-3</v>
      </c>
      <c r="G50" s="16"/>
      <c r="H50" s="16"/>
      <c r="I50" s="11"/>
    </row>
    <row r="51" spans="1:9" x14ac:dyDescent="0.35">
      <c r="A51" s="13" t="s">
        <v>123</v>
      </c>
      <c r="B51" s="13" t="s">
        <v>124</v>
      </c>
      <c r="C51" s="13" t="s">
        <v>125</v>
      </c>
      <c r="D51" s="14">
        <v>3000</v>
      </c>
      <c r="E51" s="14">
        <v>19.627500000000001</v>
      </c>
      <c r="F51" s="15">
        <v>1.3336793416294859E-3</v>
      </c>
      <c r="G51" s="16"/>
      <c r="H51" s="16"/>
      <c r="I51" s="11"/>
    </row>
    <row r="52" spans="1:9" x14ac:dyDescent="0.35">
      <c r="A52" s="13" t="s">
        <v>126</v>
      </c>
      <c r="B52" s="13" t="s">
        <v>127</v>
      </c>
      <c r="C52" s="13" t="s">
        <v>128</v>
      </c>
      <c r="D52" s="14">
        <v>400</v>
      </c>
      <c r="E52" s="14">
        <v>12.182399999999999</v>
      </c>
      <c r="F52" s="15">
        <v>8.2778831799602847E-4</v>
      </c>
      <c r="G52" s="16"/>
      <c r="H52" s="16"/>
      <c r="I52" s="11"/>
    </row>
    <row r="53" spans="1:9" x14ac:dyDescent="0.35">
      <c r="A53" s="13" t="s">
        <v>129</v>
      </c>
      <c r="B53" s="13" t="s">
        <v>130</v>
      </c>
      <c r="C53" s="13" t="s">
        <v>98</v>
      </c>
      <c r="D53" s="14">
        <v>2500</v>
      </c>
      <c r="E53" s="14">
        <v>11.085000000000001</v>
      </c>
      <c r="F53" s="15">
        <v>7.53220507041796E-4</v>
      </c>
      <c r="G53" s="16"/>
      <c r="H53" s="16"/>
      <c r="I53" s="11"/>
    </row>
    <row r="54" spans="1:9" x14ac:dyDescent="0.35">
      <c r="A54" s="13" t="s">
        <v>131</v>
      </c>
      <c r="B54" s="13" t="s">
        <v>132</v>
      </c>
      <c r="C54" s="13" t="s">
        <v>34</v>
      </c>
      <c r="D54" s="14">
        <v>375</v>
      </c>
      <c r="E54" s="14">
        <v>8.530875</v>
      </c>
      <c r="F54" s="15">
        <v>5.7966892133605604E-4</v>
      </c>
      <c r="G54" s="16"/>
      <c r="H54" s="16"/>
      <c r="I54" s="11"/>
    </row>
    <row r="55" spans="1:9" x14ac:dyDescent="0.35">
      <c r="A55" s="18"/>
      <c r="B55" s="7" t="s">
        <v>133</v>
      </c>
      <c r="C55" s="18"/>
      <c r="D55" s="19"/>
      <c r="E55" s="20">
        <v>12216.946805999998</v>
      </c>
      <c r="F55" s="21">
        <v>0.83013575712385856</v>
      </c>
      <c r="G55" s="22"/>
      <c r="H55" s="23"/>
      <c r="I55" s="11"/>
    </row>
    <row r="56" spans="1:9" x14ac:dyDescent="0.35">
      <c r="A56" s="6"/>
      <c r="B56" s="7" t="s">
        <v>134</v>
      </c>
      <c r="C56" s="6"/>
      <c r="D56" s="8"/>
      <c r="E56" s="12" t="s">
        <v>135</v>
      </c>
      <c r="F56" s="12" t="s">
        <v>135</v>
      </c>
      <c r="G56" s="22"/>
      <c r="H56" s="23"/>
      <c r="I56" s="11"/>
    </row>
    <row r="57" spans="1:9" x14ac:dyDescent="0.35">
      <c r="A57" s="18"/>
      <c r="B57" s="7" t="s">
        <v>133</v>
      </c>
      <c r="C57" s="18"/>
      <c r="D57" s="19"/>
      <c r="E57" s="20" t="s">
        <v>135</v>
      </c>
      <c r="F57" s="21" t="s">
        <v>135</v>
      </c>
      <c r="G57" s="22"/>
      <c r="H57" s="23"/>
      <c r="I57" s="11"/>
    </row>
    <row r="58" spans="1:9" x14ac:dyDescent="0.35">
      <c r="A58" s="18"/>
      <c r="B58" s="7" t="s">
        <v>136</v>
      </c>
      <c r="C58" s="18"/>
      <c r="D58" s="19"/>
      <c r="E58" s="20">
        <v>12216.946805999998</v>
      </c>
      <c r="F58" s="21">
        <v>0.83013575712385856</v>
      </c>
      <c r="G58" s="22"/>
      <c r="H58" s="23"/>
      <c r="I58" s="11"/>
    </row>
    <row r="59" spans="1:9" x14ac:dyDescent="0.35">
      <c r="A59" s="24"/>
      <c r="B59" s="25"/>
      <c r="C59" s="24"/>
      <c r="D59" s="26"/>
      <c r="E59" s="26"/>
      <c r="F59" s="27"/>
      <c r="G59" s="28"/>
      <c r="H59" s="29"/>
      <c r="I59" s="11"/>
    </row>
    <row r="60" spans="1:9" x14ac:dyDescent="0.35">
      <c r="A60" s="6"/>
      <c r="B60" s="7" t="s">
        <v>137</v>
      </c>
      <c r="C60" s="6"/>
      <c r="D60" s="6"/>
      <c r="E60" s="6"/>
      <c r="F60" s="30"/>
      <c r="G60" s="31"/>
      <c r="H60" s="6"/>
      <c r="I60" s="11"/>
    </row>
    <row r="61" spans="1:9" x14ac:dyDescent="0.35">
      <c r="A61" s="13"/>
      <c r="B61" s="7" t="s">
        <v>138</v>
      </c>
      <c r="C61" s="13"/>
      <c r="D61" s="32"/>
      <c r="E61" s="20" t="s">
        <v>135</v>
      </c>
      <c r="F61" s="33" t="s">
        <v>135</v>
      </c>
      <c r="G61" s="11"/>
      <c r="H61" s="13"/>
      <c r="I61" s="11"/>
    </row>
    <row r="62" spans="1:9" x14ac:dyDescent="0.35">
      <c r="A62" s="6"/>
      <c r="B62" s="7" t="s">
        <v>133</v>
      </c>
      <c r="C62" s="6"/>
      <c r="D62" s="8"/>
      <c r="E62" s="34" t="s">
        <v>135</v>
      </c>
      <c r="F62" s="21" t="s">
        <v>135</v>
      </c>
      <c r="G62" s="35"/>
      <c r="H62" s="21"/>
      <c r="I62" s="11"/>
    </row>
    <row r="63" spans="1:9" x14ac:dyDescent="0.35">
      <c r="A63" s="18"/>
      <c r="B63" s="7" t="s">
        <v>139</v>
      </c>
      <c r="C63" s="18"/>
      <c r="D63" s="19"/>
      <c r="E63" s="12" t="s">
        <v>135</v>
      </c>
      <c r="F63" s="12" t="s">
        <v>135</v>
      </c>
      <c r="G63" s="35"/>
      <c r="H63" s="21"/>
      <c r="I63" s="11"/>
    </row>
    <row r="64" spans="1:9" x14ac:dyDescent="0.35">
      <c r="A64" s="36"/>
      <c r="B64" s="7" t="s">
        <v>133</v>
      </c>
      <c r="C64" s="36"/>
      <c r="D64" s="36"/>
      <c r="E64" s="34" t="s">
        <v>135</v>
      </c>
      <c r="F64" s="21" t="s">
        <v>135</v>
      </c>
      <c r="G64" s="37"/>
      <c r="H64" s="36"/>
      <c r="I64" s="11"/>
    </row>
    <row r="65" spans="1:9" x14ac:dyDescent="0.35">
      <c r="A65" s="36"/>
      <c r="B65" s="7" t="s">
        <v>140</v>
      </c>
      <c r="C65" s="36"/>
      <c r="D65" s="37"/>
      <c r="E65" s="12" t="s">
        <v>135</v>
      </c>
      <c r="F65" s="12" t="s">
        <v>135</v>
      </c>
      <c r="G65" s="38"/>
      <c r="H65" s="38"/>
      <c r="I65" s="11"/>
    </row>
    <row r="66" spans="1:9" x14ac:dyDescent="0.35">
      <c r="A66" s="18"/>
      <c r="B66" s="7" t="s">
        <v>133</v>
      </c>
      <c r="C66" s="18"/>
      <c r="D66" s="19"/>
      <c r="E66" s="34" t="s">
        <v>135</v>
      </c>
      <c r="F66" s="21" t="s">
        <v>135</v>
      </c>
      <c r="G66" s="39"/>
      <c r="H66" s="40"/>
      <c r="I66" s="11"/>
    </row>
    <row r="67" spans="1:9" x14ac:dyDescent="0.35">
      <c r="A67" s="18"/>
      <c r="B67" s="7" t="s">
        <v>141</v>
      </c>
      <c r="C67" s="18"/>
      <c r="D67" s="19"/>
      <c r="E67" s="12" t="s">
        <v>135</v>
      </c>
      <c r="F67" s="12" t="s">
        <v>135</v>
      </c>
      <c r="G67" s="39"/>
      <c r="H67" s="40"/>
      <c r="I67" s="11"/>
    </row>
    <row r="68" spans="1:9" x14ac:dyDescent="0.35">
      <c r="A68" s="18"/>
      <c r="B68" s="7" t="s">
        <v>133</v>
      </c>
      <c r="C68" s="18"/>
      <c r="D68" s="19"/>
      <c r="E68" s="34" t="s">
        <v>135</v>
      </c>
      <c r="F68" s="21" t="s">
        <v>135</v>
      </c>
      <c r="G68" s="35"/>
      <c r="H68" s="21"/>
      <c r="I68" s="11"/>
    </row>
    <row r="69" spans="1:9" x14ac:dyDescent="0.35">
      <c r="A69" s="18"/>
      <c r="B69" s="41" t="s">
        <v>136</v>
      </c>
      <c r="C69" s="18"/>
      <c r="D69" s="19"/>
      <c r="E69" s="34" t="s">
        <v>135</v>
      </c>
      <c r="F69" s="21" t="s">
        <v>135</v>
      </c>
      <c r="G69" s="35"/>
      <c r="H69" s="21"/>
      <c r="I69" s="11"/>
    </row>
    <row r="70" spans="1:9" x14ac:dyDescent="0.35">
      <c r="A70" s="36"/>
      <c r="B70" s="36"/>
      <c r="C70" s="36"/>
      <c r="D70" s="42"/>
      <c r="E70" s="42"/>
      <c r="F70" s="43"/>
      <c r="G70" s="38"/>
      <c r="H70" s="38"/>
      <c r="I70" s="11"/>
    </row>
    <row r="71" spans="1:9" x14ac:dyDescent="0.35">
      <c r="A71" s="18"/>
      <c r="B71" s="7" t="s">
        <v>142</v>
      </c>
      <c r="C71" s="18"/>
      <c r="D71" s="19"/>
      <c r="E71" s="44"/>
      <c r="F71" s="33"/>
      <c r="G71" s="35"/>
      <c r="H71" s="21"/>
      <c r="I71" s="11"/>
    </row>
    <row r="72" spans="1:9" x14ac:dyDescent="0.35">
      <c r="A72" s="18"/>
      <c r="B72" s="18" t="s">
        <v>136</v>
      </c>
      <c r="C72" s="18"/>
      <c r="D72" s="19"/>
      <c r="E72" s="20" t="s">
        <v>135</v>
      </c>
      <c r="F72" s="21" t="s">
        <v>135</v>
      </c>
      <c r="G72" s="35"/>
      <c r="H72" s="21"/>
      <c r="I72" s="11"/>
    </row>
    <row r="73" spans="1:9" x14ac:dyDescent="0.35">
      <c r="A73" s="18"/>
      <c r="B73" s="18"/>
      <c r="C73" s="18"/>
      <c r="D73" s="19"/>
      <c r="E73" s="19"/>
      <c r="F73" s="33"/>
      <c r="G73" s="35"/>
      <c r="H73" s="21"/>
      <c r="I73" s="11"/>
    </row>
    <row r="74" spans="1:9" x14ac:dyDescent="0.35">
      <c r="A74" s="18"/>
      <c r="B74" s="45" t="s">
        <v>143</v>
      </c>
      <c r="C74" s="18"/>
      <c r="D74" s="19"/>
      <c r="E74" s="19"/>
      <c r="F74" s="33"/>
      <c r="G74" s="35"/>
      <c r="H74" s="21"/>
      <c r="I74" s="11"/>
    </row>
    <row r="75" spans="1:9" x14ac:dyDescent="0.35">
      <c r="A75" s="13" t="s">
        <v>144</v>
      </c>
      <c r="B75" s="13" t="s">
        <v>145</v>
      </c>
      <c r="C75" s="13"/>
      <c r="D75" s="14">
        <v>213508.073</v>
      </c>
      <c r="E75" s="14">
        <v>2221.6971121000001</v>
      </c>
      <c r="F75" s="15">
        <v>0.15096326795392476</v>
      </c>
      <c r="G75" s="35"/>
      <c r="H75" s="21"/>
      <c r="I75" s="11"/>
    </row>
    <row r="76" spans="1:9" x14ac:dyDescent="0.35">
      <c r="A76" s="18"/>
      <c r="B76" s="45" t="s">
        <v>136</v>
      </c>
      <c r="C76" s="18"/>
      <c r="D76" s="19"/>
      <c r="E76" s="20">
        <v>2221.6971121000001</v>
      </c>
      <c r="F76" s="21">
        <v>0.15096326795392476</v>
      </c>
      <c r="G76" s="35"/>
      <c r="H76" s="21"/>
      <c r="I76" s="11"/>
    </row>
    <row r="77" spans="1:9" x14ac:dyDescent="0.35">
      <c r="A77" s="18"/>
      <c r="B77" s="45"/>
      <c r="C77" s="18"/>
      <c r="D77" s="19"/>
      <c r="E77" s="19"/>
      <c r="F77" s="33"/>
      <c r="G77" s="35"/>
      <c r="H77" s="21"/>
      <c r="I77" s="11"/>
    </row>
    <row r="78" spans="1:9" ht="26.25" customHeight="1" x14ac:dyDescent="0.35">
      <c r="A78" s="18"/>
      <c r="B78" s="45" t="s">
        <v>146</v>
      </c>
      <c r="C78" s="18"/>
      <c r="D78" s="19"/>
      <c r="E78" s="19"/>
      <c r="F78" s="33"/>
      <c r="G78" s="35"/>
      <c r="H78" s="21"/>
      <c r="I78" s="11"/>
    </row>
    <row r="79" spans="1:9" x14ac:dyDescent="0.35">
      <c r="A79" s="13" t="s">
        <v>147</v>
      </c>
      <c r="B79" s="13" t="s">
        <v>148</v>
      </c>
      <c r="C79" s="13"/>
      <c r="D79" s="14">
        <v>202517.24</v>
      </c>
      <c r="E79" s="14">
        <v>202.51723999999999</v>
      </c>
      <c r="F79" s="15">
        <v>1.3760950671854316E-2</v>
      </c>
      <c r="G79" s="35" t="s">
        <v>149</v>
      </c>
      <c r="H79" s="21"/>
      <c r="I79" s="11"/>
    </row>
    <row r="80" spans="1:9" x14ac:dyDescent="0.35">
      <c r="A80" s="18"/>
      <c r="B80" s="45" t="s">
        <v>136</v>
      </c>
      <c r="C80" s="18"/>
      <c r="D80" s="19"/>
      <c r="E80" s="20">
        <v>202.51723999999999</v>
      </c>
      <c r="F80" s="21">
        <v>1.3760950671854316E-2</v>
      </c>
      <c r="G80" s="35"/>
      <c r="H80" s="21"/>
      <c r="I80" s="11"/>
    </row>
    <row r="81" spans="1:9" x14ac:dyDescent="0.35">
      <c r="A81" s="18"/>
      <c r="B81" s="45"/>
      <c r="C81" s="18"/>
      <c r="D81" s="19"/>
      <c r="E81" s="19"/>
      <c r="F81" s="33"/>
      <c r="G81" s="35"/>
      <c r="H81" s="21"/>
      <c r="I81" s="11"/>
    </row>
    <row r="82" spans="1:9" x14ac:dyDescent="0.35">
      <c r="A82" s="18"/>
      <c r="B82" s="45" t="s">
        <v>150</v>
      </c>
      <c r="C82" s="18"/>
      <c r="D82" s="19"/>
      <c r="E82" s="19"/>
      <c r="F82" s="33"/>
      <c r="G82" s="35"/>
      <c r="H82" s="21"/>
      <c r="I82" s="11"/>
    </row>
    <row r="83" spans="1:9" x14ac:dyDescent="0.35">
      <c r="A83" s="6"/>
      <c r="B83" s="45" t="s">
        <v>151</v>
      </c>
      <c r="C83" s="6"/>
      <c r="D83" s="8"/>
      <c r="E83" s="8">
        <v>75.644739199999094</v>
      </c>
      <c r="F83" s="15">
        <f>84.2001272264752%-83.686%</f>
        <v>5.1412722647520281E-3</v>
      </c>
      <c r="G83" s="35"/>
      <c r="H83" s="35"/>
      <c r="I83" s="11"/>
    </row>
    <row r="84" spans="1:9" x14ac:dyDescent="0.35">
      <c r="A84" s="18"/>
      <c r="B84" s="45" t="s">
        <v>136</v>
      </c>
      <c r="C84" s="18"/>
      <c r="D84" s="19"/>
      <c r="E84" s="19">
        <v>75.644739199999094</v>
      </c>
      <c r="F84" s="21">
        <v>5.1412722647520281E-3</v>
      </c>
      <c r="G84" s="46"/>
      <c r="H84" s="47"/>
      <c r="I84" s="11"/>
    </row>
    <row r="85" spans="1:9" x14ac:dyDescent="0.35">
      <c r="A85" s="48"/>
      <c r="B85" s="45" t="s">
        <v>152</v>
      </c>
      <c r="C85" s="48"/>
      <c r="D85" s="48"/>
      <c r="E85" s="19">
        <v>14716.805897299995</v>
      </c>
      <c r="F85" s="21">
        <v>1</v>
      </c>
      <c r="G85" s="49"/>
      <c r="H85" s="48"/>
      <c r="I85" s="11"/>
    </row>
    <row r="86" spans="1:9" x14ac:dyDescent="0.35">
      <c r="B86" s="50"/>
    </row>
    <row r="87" spans="1:9" x14ac:dyDescent="0.35">
      <c r="A87" s="51"/>
      <c r="E87" s="17"/>
    </row>
    <row r="88" spans="1:9" s="57" customFormat="1" ht="13" x14ac:dyDescent="0.3">
      <c r="A88" s="52" t="s">
        <v>153</v>
      </c>
      <c r="B88" s="53"/>
      <c r="C88" s="53"/>
      <c r="D88" s="53"/>
      <c r="E88" s="54"/>
      <c r="F88" s="54"/>
      <c r="G88" s="55"/>
      <c r="H88" s="53"/>
      <c r="I88" s="56"/>
    </row>
    <row r="89" spans="1:9" s="57" customFormat="1" ht="12.9" customHeight="1" x14ac:dyDescent="0.3">
      <c r="A89" s="58"/>
      <c r="B89" s="58" t="s">
        <v>154</v>
      </c>
      <c r="C89" s="59"/>
      <c r="D89" s="59"/>
      <c r="E89" s="60"/>
      <c r="F89" s="61"/>
      <c r="G89" s="60"/>
      <c r="H89" s="60"/>
      <c r="I89" s="53"/>
    </row>
    <row r="90" spans="1:9" s="57" customFormat="1" ht="14" x14ac:dyDescent="0.3">
      <c r="A90" s="62"/>
      <c r="B90" s="58" t="s">
        <v>155</v>
      </c>
      <c r="D90" s="63" t="s">
        <v>156</v>
      </c>
      <c r="E90" s="63" t="s">
        <v>157</v>
      </c>
      <c r="F90" s="54"/>
      <c r="G90" s="55"/>
      <c r="H90" s="53"/>
      <c r="I90" s="56"/>
    </row>
    <row r="91" spans="1:9" s="57" customFormat="1" ht="14" x14ac:dyDescent="0.3">
      <c r="A91" s="64">
        <v>153892</v>
      </c>
      <c r="B91" s="53" t="s">
        <v>158</v>
      </c>
      <c r="C91" s="65" t="s">
        <v>159</v>
      </c>
      <c r="D91" s="65">
        <v>10.316800000000001</v>
      </c>
      <c r="E91" s="65">
        <v>10.3147</v>
      </c>
      <c r="F91" s="54"/>
      <c r="G91" s="55"/>
      <c r="H91" s="53"/>
      <c r="I91" s="56"/>
    </row>
    <row r="92" spans="1:9" s="57" customFormat="1" ht="14" x14ac:dyDescent="0.3">
      <c r="A92" s="64">
        <v>153891</v>
      </c>
      <c r="B92" s="53" t="s">
        <v>160</v>
      </c>
      <c r="C92" s="65" t="s">
        <v>159</v>
      </c>
      <c r="D92" s="65">
        <v>10.3589</v>
      </c>
      <c r="E92" s="65">
        <v>10.3512</v>
      </c>
      <c r="F92" s="54"/>
      <c r="G92" s="55"/>
      <c r="H92" s="53"/>
      <c r="I92" s="56"/>
    </row>
    <row r="93" spans="1:9" s="57" customFormat="1" ht="14" x14ac:dyDescent="0.3">
      <c r="A93" s="64">
        <v>153893</v>
      </c>
      <c r="B93" s="53" t="s">
        <v>161</v>
      </c>
      <c r="C93" s="65" t="s">
        <v>159</v>
      </c>
      <c r="D93" s="65">
        <v>10.358000000000001</v>
      </c>
      <c r="E93" s="65">
        <v>10.3504</v>
      </c>
      <c r="F93" s="54"/>
      <c r="G93" s="55"/>
      <c r="H93" s="53"/>
      <c r="I93" s="56"/>
    </row>
    <row r="94" spans="1:9" s="57" customFormat="1" ht="14" x14ac:dyDescent="0.3">
      <c r="A94" s="64">
        <v>153894</v>
      </c>
      <c r="B94" s="53" t="s">
        <v>162</v>
      </c>
      <c r="C94" s="65" t="s">
        <v>159</v>
      </c>
      <c r="D94" s="65">
        <v>10.316599999999999</v>
      </c>
      <c r="E94" s="65">
        <v>10.314500000000001</v>
      </c>
      <c r="F94" s="54"/>
      <c r="G94" s="55"/>
      <c r="H94" s="53"/>
      <c r="I94" s="56"/>
    </row>
    <row r="95" spans="1:9" s="57" customFormat="1" ht="14" x14ac:dyDescent="0.3">
      <c r="A95" s="64"/>
      <c r="B95" s="53"/>
      <c r="C95" s="65"/>
      <c r="D95" s="65"/>
      <c r="E95" s="66"/>
      <c r="F95" s="54"/>
      <c r="G95" s="55"/>
      <c r="H95" s="53"/>
      <c r="I95" s="56"/>
    </row>
    <row r="96" spans="1:9" s="57" customFormat="1" ht="13" x14ac:dyDescent="0.3">
      <c r="A96" s="53"/>
      <c r="B96" s="67" t="s">
        <v>163</v>
      </c>
      <c r="C96" s="53"/>
      <c r="D96" s="53"/>
      <c r="E96" s="54"/>
      <c r="F96" s="54"/>
      <c r="G96" s="55"/>
      <c r="H96" s="53"/>
      <c r="I96" s="56"/>
    </row>
    <row r="97" spans="1:9" s="57" customFormat="1" ht="13" x14ac:dyDescent="0.3">
      <c r="A97" s="53"/>
      <c r="B97" s="67"/>
      <c r="C97" s="53"/>
      <c r="D97" s="53"/>
      <c r="E97" s="54"/>
      <c r="F97" s="54"/>
      <c r="G97" s="55"/>
      <c r="H97" s="53"/>
      <c r="I97" s="56"/>
    </row>
    <row r="98" spans="1:9" s="57" customFormat="1" ht="13" x14ac:dyDescent="0.3">
      <c r="B98" s="53" t="s">
        <v>164</v>
      </c>
      <c r="C98" s="53"/>
      <c r="D98" s="53"/>
      <c r="E98" s="54"/>
      <c r="F98" s="54"/>
      <c r="G98" s="55"/>
      <c r="H98" s="53"/>
      <c r="I98" s="56"/>
    </row>
    <row r="99" spans="1:9" s="57" customFormat="1" ht="13" x14ac:dyDescent="0.3">
      <c r="A99" s="53"/>
      <c r="B99" s="53"/>
      <c r="C99" s="53"/>
      <c r="D99" s="53"/>
      <c r="E99" s="54"/>
      <c r="F99" s="54"/>
      <c r="G99" s="55"/>
      <c r="H99" s="53"/>
      <c r="I99" s="56"/>
    </row>
    <row r="100" spans="1:9" s="57" customFormat="1" ht="13" x14ac:dyDescent="0.3">
      <c r="B100" s="53" t="s">
        <v>165</v>
      </c>
      <c r="C100" s="53"/>
      <c r="D100" s="53"/>
      <c r="E100" s="53"/>
      <c r="F100" s="54"/>
      <c r="G100" s="54"/>
      <c r="H100" s="55"/>
      <c r="I100" s="53"/>
    </row>
    <row r="101" spans="1:9" s="57" customFormat="1" ht="13" x14ac:dyDescent="0.3">
      <c r="B101" s="53"/>
      <c r="C101" s="68"/>
      <c r="D101" s="69"/>
      <c r="E101" s="53"/>
      <c r="F101" s="54"/>
      <c r="G101" s="54"/>
      <c r="H101" s="55"/>
      <c r="I101" s="53"/>
    </row>
    <row r="102" spans="1:9" s="57" customFormat="1" ht="13" x14ac:dyDescent="0.3">
      <c r="B102" s="68" t="s">
        <v>166</v>
      </c>
      <c r="C102" s="68"/>
      <c r="D102" s="70"/>
      <c r="E102" s="53"/>
      <c r="F102" s="54"/>
      <c r="G102" s="54"/>
      <c r="H102" s="55"/>
      <c r="I102" s="53"/>
    </row>
    <row r="103" spans="1:9" s="57" customFormat="1" ht="13" x14ac:dyDescent="0.3">
      <c r="B103" s="53"/>
      <c r="C103" s="68"/>
      <c r="D103" s="70"/>
      <c r="E103" s="53"/>
      <c r="F103" s="54"/>
      <c r="G103" s="54"/>
      <c r="H103" s="55"/>
      <c r="I103" s="53"/>
    </row>
    <row r="104" spans="1:9" s="57" customFormat="1" ht="13" x14ac:dyDescent="0.3">
      <c r="B104" s="53" t="s">
        <v>167</v>
      </c>
      <c r="C104" s="68"/>
      <c r="D104" s="70"/>
      <c r="E104" s="53"/>
      <c r="F104" s="54"/>
      <c r="G104" s="54"/>
      <c r="H104" s="55"/>
      <c r="I104" s="53"/>
    </row>
    <row r="105" spans="1:9" s="57" customFormat="1" ht="13" x14ac:dyDescent="0.3">
      <c r="B105" s="53"/>
      <c r="C105" s="68"/>
      <c r="D105" s="70"/>
      <c r="E105" s="53"/>
      <c r="F105" s="54"/>
      <c r="G105" s="54"/>
      <c r="H105" s="55"/>
      <c r="I105" s="53"/>
    </row>
    <row r="106" spans="1:9" s="57" customFormat="1" ht="13" x14ac:dyDescent="0.3">
      <c r="B106" s="53" t="s">
        <v>168</v>
      </c>
      <c r="C106" s="58"/>
      <c r="D106" s="58"/>
      <c r="E106" s="53"/>
      <c r="F106" s="54"/>
      <c r="G106" s="54"/>
      <c r="H106" s="55"/>
      <c r="I106" s="53"/>
    </row>
    <row r="107" spans="1:9" s="57" customFormat="1" ht="13" x14ac:dyDescent="0.3">
      <c r="B107" s="53"/>
      <c r="C107" s="58"/>
      <c r="D107" s="58"/>
      <c r="E107" s="53"/>
      <c r="F107" s="54"/>
      <c r="G107" s="54"/>
      <c r="H107" s="55"/>
      <c r="I107" s="53"/>
    </row>
    <row r="108" spans="1:9" s="57" customFormat="1" ht="13" x14ac:dyDescent="0.3">
      <c r="B108" s="53" t="s">
        <v>169</v>
      </c>
      <c r="C108" s="58"/>
      <c r="D108" s="58"/>
      <c r="E108" s="53"/>
      <c r="F108" s="54"/>
      <c r="G108" s="54"/>
      <c r="H108" s="55"/>
      <c r="I108" s="53"/>
    </row>
    <row r="109" spans="1:9" s="57" customFormat="1" ht="13" x14ac:dyDescent="0.3">
      <c r="B109" s="53"/>
      <c r="C109" s="58"/>
      <c r="D109" s="58"/>
      <c r="E109" s="53"/>
      <c r="F109" s="54"/>
      <c r="G109" s="54"/>
      <c r="H109" s="55"/>
      <c r="I109" s="53"/>
    </row>
    <row r="110" spans="1:9" s="57" customFormat="1" ht="13" x14ac:dyDescent="0.3">
      <c r="B110" s="53" t="s">
        <v>170</v>
      </c>
      <c r="C110" s="58"/>
      <c r="D110" s="58"/>
      <c r="E110" s="53"/>
      <c r="F110" s="54"/>
      <c r="G110" s="54"/>
      <c r="H110" s="55"/>
      <c r="I110" s="53"/>
    </row>
    <row r="111" spans="1:9" s="57" customFormat="1" ht="13" x14ac:dyDescent="0.3">
      <c r="B111" s="53"/>
      <c r="C111" s="58"/>
      <c r="D111" s="58"/>
      <c r="E111" s="53"/>
      <c r="F111" s="54"/>
      <c r="G111" s="54"/>
      <c r="H111" s="55"/>
      <c r="I111" s="53"/>
    </row>
    <row r="112" spans="1:9" s="57" customFormat="1" ht="13" x14ac:dyDescent="0.3">
      <c r="B112" s="53" t="s">
        <v>171</v>
      </c>
      <c r="C112" s="68"/>
      <c r="D112" s="71"/>
      <c r="E112" s="53"/>
      <c r="F112" s="54"/>
      <c r="G112" s="54"/>
      <c r="H112" s="55"/>
      <c r="I112" s="53"/>
    </row>
    <row r="113" spans="1:9" s="57" customFormat="1" ht="13" x14ac:dyDescent="0.3">
      <c r="B113" s="53"/>
      <c r="C113" s="68"/>
      <c r="D113" s="70"/>
      <c r="E113" s="53"/>
      <c r="F113" s="54"/>
      <c r="G113" s="54"/>
      <c r="H113" s="55"/>
      <c r="I113" s="53"/>
    </row>
    <row r="114" spans="1:9" s="57" customFormat="1" ht="13" x14ac:dyDescent="0.3">
      <c r="B114" s="53" t="s">
        <v>172</v>
      </c>
      <c r="C114" s="68"/>
      <c r="D114" s="70"/>
      <c r="E114" s="53"/>
      <c r="F114" s="54"/>
      <c r="G114" s="54"/>
      <c r="H114" s="55"/>
      <c r="I114" s="53"/>
    </row>
    <row r="115" spans="1:9" s="57" customFormat="1" ht="13" x14ac:dyDescent="0.3">
      <c r="B115" s="53"/>
      <c r="C115" s="68"/>
      <c r="D115" s="70"/>
      <c r="E115" s="53"/>
      <c r="F115" s="54"/>
      <c r="G115" s="54"/>
      <c r="H115" s="55"/>
      <c r="I115" s="53"/>
    </row>
    <row r="116" spans="1:9" s="57" customFormat="1" ht="13" x14ac:dyDescent="0.3">
      <c r="B116" s="53" t="s">
        <v>173</v>
      </c>
      <c r="C116" s="68"/>
      <c r="D116" s="70"/>
      <c r="E116" s="53"/>
      <c r="F116" s="54"/>
      <c r="G116" s="54"/>
      <c r="H116" s="55"/>
      <c r="I116" s="53"/>
    </row>
    <row r="117" spans="1:9" s="57" customFormat="1" ht="13" x14ac:dyDescent="0.3">
      <c r="A117" s="72"/>
      <c r="B117" s="67"/>
      <c r="C117" s="73"/>
      <c r="D117" s="74"/>
      <c r="E117" s="54"/>
      <c r="F117" s="54"/>
      <c r="G117" s="55"/>
      <c r="H117" s="53"/>
      <c r="I117" s="56"/>
    </row>
    <row r="118" spans="1:9" s="62" customFormat="1" ht="13.5" x14ac:dyDescent="0.25">
      <c r="B118" s="59" t="s">
        <v>174</v>
      </c>
    </row>
    <row r="119" spans="1:9" s="62" customFormat="1" ht="38.5" customHeight="1" x14ac:dyDescent="0.35">
      <c r="B119" s="117" t="s">
        <v>175</v>
      </c>
      <c r="C119" s="118"/>
      <c r="D119" s="118"/>
      <c r="E119" s="118"/>
      <c r="F119" s="118"/>
      <c r="G119" s="118"/>
      <c r="H119" s="118"/>
    </row>
    <row r="120" spans="1:9" s="62" customFormat="1" ht="13.5" x14ac:dyDescent="0.25">
      <c r="B120" s="75" t="s">
        <v>176</v>
      </c>
    </row>
    <row r="121" spans="1:9" s="62" customFormat="1" ht="52.5" customHeight="1" x14ac:dyDescent="0.35">
      <c r="B121" s="119" t="s">
        <v>177</v>
      </c>
      <c r="C121" s="118"/>
      <c r="D121" s="118"/>
      <c r="E121" s="118"/>
      <c r="F121" s="118"/>
      <c r="G121" s="118"/>
      <c r="H121" s="118"/>
    </row>
    <row r="122" spans="1:9" s="62" customFormat="1" ht="13.5" x14ac:dyDescent="0.25"/>
    <row r="123" spans="1:9" s="62" customFormat="1" ht="13.5" x14ac:dyDescent="0.25">
      <c r="B123" s="76" t="s">
        <v>178</v>
      </c>
    </row>
    <row r="124" spans="1:9" s="62" customFormat="1" ht="13.5" x14ac:dyDescent="0.25"/>
    <row r="125" spans="1:9" s="62" customFormat="1" ht="37.5" x14ac:dyDescent="0.25">
      <c r="B125" s="77" t="s">
        <v>179</v>
      </c>
      <c r="C125" s="78" t="s">
        <v>180</v>
      </c>
      <c r="D125" s="78" t="s">
        <v>181</v>
      </c>
      <c r="E125" s="79" t="s">
        <v>182</v>
      </c>
      <c r="F125" s="80" t="s">
        <v>183</v>
      </c>
      <c r="G125" s="81"/>
    </row>
    <row r="126" spans="1:9" s="62" customFormat="1" ht="24.65" customHeight="1" x14ac:dyDescent="0.25">
      <c r="B126" s="82" t="s">
        <v>184</v>
      </c>
      <c r="C126" s="82" t="s">
        <v>185</v>
      </c>
      <c r="D126" s="83">
        <v>2670.5677070000002</v>
      </c>
      <c r="E126" s="84">
        <v>2965.5</v>
      </c>
      <c r="F126" s="85">
        <v>72.925597499999995</v>
      </c>
      <c r="G126" s="81"/>
    </row>
    <row r="127" spans="1:9" s="62" customFormat="1" ht="24.65" customHeight="1" x14ac:dyDescent="0.35">
      <c r="B127" s="82" t="s">
        <v>186</v>
      </c>
      <c r="C127" s="82" t="s">
        <v>185</v>
      </c>
      <c r="D127" s="83">
        <v>1377.6338029999999</v>
      </c>
      <c r="E127" s="84">
        <v>1490.3</v>
      </c>
      <c r="F127" s="85">
        <v>186.607809</v>
      </c>
      <c r="H127"/>
    </row>
    <row r="128" spans="1:9" s="62" customFormat="1" ht="24.65" customHeight="1" x14ac:dyDescent="0.25">
      <c r="B128" s="82" t="s">
        <v>187</v>
      </c>
      <c r="C128" s="82" t="s">
        <v>185</v>
      </c>
      <c r="D128" s="83">
        <v>980.46666700000003</v>
      </c>
      <c r="E128" s="84">
        <v>995.1</v>
      </c>
      <c r="F128" s="85">
        <v>12.11946</v>
      </c>
    </row>
    <row r="129" spans="2:8" s="62" customFormat="1" ht="24.65" customHeight="1" x14ac:dyDescent="0.35">
      <c r="B129" s="82" t="s">
        <v>188</v>
      </c>
      <c r="C129" s="82" t="s">
        <v>185</v>
      </c>
      <c r="D129" s="83">
        <v>1252.0201529999999</v>
      </c>
      <c r="E129" s="84">
        <v>1300.2</v>
      </c>
      <c r="F129" s="85">
        <v>172.05205939999999</v>
      </c>
      <c r="H129"/>
    </row>
    <row r="130" spans="2:8" s="62" customFormat="1" ht="24.65" customHeight="1" x14ac:dyDescent="0.25">
      <c r="B130" s="82" t="s">
        <v>189</v>
      </c>
      <c r="C130" s="82" t="s">
        <v>185</v>
      </c>
      <c r="D130" s="83">
        <v>1757.5553259999999</v>
      </c>
      <c r="E130" s="84">
        <v>1801.3</v>
      </c>
      <c r="F130" s="85">
        <v>75.359565000000003</v>
      </c>
    </row>
    <row r="131" spans="2:8" s="62" customFormat="1" ht="24.65" customHeight="1" x14ac:dyDescent="0.35">
      <c r="B131" s="82" t="s">
        <v>190</v>
      </c>
      <c r="C131" s="82" t="s">
        <v>185</v>
      </c>
      <c r="D131" s="83">
        <v>265.81428599999998</v>
      </c>
      <c r="E131" s="84">
        <v>271</v>
      </c>
      <c r="F131" s="85">
        <v>21.7178325</v>
      </c>
      <c r="H131"/>
    </row>
    <row r="132" spans="2:8" s="62" customFormat="1" ht="24.65" customHeight="1" x14ac:dyDescent="0.25">
      <c r="B132" s="82" t="s">
        <v>191</v>
      </c>
      <c r="C132" s="82" t="s">
        <v>185</v>
      </c>
      <c r="D132" s="83">
        <v>402.97</v>
      </c>
      <c r="E132" s="84">
        <v>420.35</v>
      </c>
      <c r="F132" s="85">
        <v>307.1192906</v>
      </c>
    </row>
    <row r="133" spans="2:8" s="62" customFormat="1" ht="24.65" customHeight="1" x14ac:dyDescent="0.25">
      <c r="B133" s="82" t="s">
        <v>192</v>
      </c>
      <c r="C133" s="82" t="s">
        <v>185</v>
      </c>
      <c r="D133" s="83">
        <v>293.10000000000002</v>
      </c>
      <c r="E133" s="84">
        <v>301.25</v>
      </c>
      <c r="F133" s="85">
        <v>17.230097499999999</v>
      </c>
    </row>
    <row r="134" spans="2:8" s="62" customFormat="1" ht="24.65" customHeight="1" x14ac:dyDescent="0.25">
      <c r="B134" s="82" t="s">
        <v>193</v>
      </c>
      <c r="C134" s="82" t="s">
        <v>185</v>
      </c>
      <c r="D134" s="83">
        <v>434.62139999999999</v>
      </c>
      <c r="E134" s="84">
        <v>433.5</v>
      </c>
      <c r="F134" s="85">
        <v>44.160243800000003</v>
      </c>
    </row>
    <row r="135" spans="2:8" s="62" customFormat="1" ht="24.65" customHeight="1" x14ac:dyDescent="0.35">
      <c r="B135" s="82" t="s">
        <v>194</v>
      </c>
      <c r="C135" s="82" t="s">
        <v>185</v>
      </c>
      <c r="D135" s="83">
        <v>820.85554500000001</v>
      </c>
      <c r="E135" s="84">
        <v>925.55</v>
      </c>
      <c r="F135" s="85">
        <v>16.052587899999999</v>
      </c>
      <c r="H135"/>
    </row>
    <row r="136" spans="2:8" s="62" customFormat="1" ht="24.65" customHeight="1" x14ac:dyDescent="0.25">
      <c r="B136" s="82" t="s">
        <v>195</v>
      </c>
      <c r="C136" s="82" t="s">
        <v>185</v>
      </c>
      <c r="D136" s="83">
        <v>1393.0417</v>
      </c>
      <c r="E136" s="84">
        <v>1435.1</v>
      </c>
      <c r="F136" s="85">
        <v>15.167475</v>
      </c>
    </row>
    <row r="137" spans="2:8" s="62" customFormat="1" ht="24.65" customHeight="1" x14ac:dyDescent="0.35">
      <c r="B137" s="82" t="s">
        <v>196</v>
      </c>
      <c r="C137" s="82" t="s">
        <v>185</v>
      </c>
      <c r="D137" s="83">
        <v>440.17500000000001</v>
      </c>
      <c r="E137" s="84">
        <v>445.1</v>
      </c>
      <c r="F137" s="85">
        <v>1.985625</v>
      </c>
      <c r="H137"/>
    </row>
    <row r="138" spans="2:8" s="62" customFormat="1" ht="24.65" customHeight="1" x14ac:dyDescent="0.25">
      <c r="B138" s="82" t="s">
        <v>197</v>
      </c>
      <c r="C138" s="82" t="s">
        <v>185</v>
      </c>
      <c r="D138" s="83">
        <v>1727.9619049999999</v>
      </c>
      <c r="E138" s="84">
        <v>1764.7</v>
      </c>
      <c r="F138" s="85">
        <v>23.418042400000001</v>
      </c>
    </row>
    <row r="139" spans="2:8" s="62" customFormat="1" ht="24.65" customHeight="1" x14ac:dyDescent="0.25">
      <c r="B139" s="82" t="s">
        <v>198</v>
      </c>
      <c r="C139" s="82" t="s">
        <v>185</v>
      </c>
      <c r="D139" s="83">
        <v>243.77031299999999</v>
      </c>
      <c r="E139" s="84">
        <v>253.4</v>
      </c>
      <c r="F139" s="85">
        <v>46.952461999999997</v>
      </c>
    </row>
    <row r="140" spans="2:8" s="62" customFormat="1" ht="24.65" customHeight="1" x14ac:dyDescent="0.25">
      <c r="B140" s="82" t="s">
        <v>199</v>
      </c>
      <c r="C140" s="82" t="s">
        <v>185</v>
      </c>
      <c r="D140" s="83">
        <v>2412.1</v>
      </c>
      <c r="E140" s="84">
        <v>2305.1999999999998</v>
      </c>
      <c r="F140" s="85">
        <v>3.0757406</v>
      </c>
    </row>
    <row r="141" spans="2:8" s="62" customFormat="1" ht="24.65" customHeight="1" x14ac:dyDescent="0.25">
      <c r="B141" s="82" t="s">
        <v>200</v>
      </c>
      <c r="C141" s="82" t="s">
        <v>185</v>
      </c>
      <c r="D141" s="83">
        <v>98.240799999999993</v>
      </c>
      <c r="E141" s="84">
        <v>101.22</v>
      </c>
      <c r="F141" s="85">
        <v>34.035206500000001</v>
      </c>
    </row>
    <row r="142" spans="2:8" s="62" customFormat="1" ht="24.65" customHeight="1" x14ac:dyDescent="0.25">
      <c r="B142" s="82" t="s">
        <v>201</v>
      </c>
      <c r="C142" s="82" t="s">
        <v>185</v>
      </c>
      <c r="D142" s="86">
        <v>1021.1467</v>
      </c>
      <c r="E142" s="84">
        <v>1040.0999999999999</v>
      </c>
      <c r="F142" s="85">
        <v>13.895099999999999</v>
      </c>
      <c r="G142" s="87"/>
    </row>
    <row r="143" spans="2:8" s="62" customFormat="1" ht="24.65" customHeight="1" x14ac:dyDescent="0.25">
      <c r="B143" s="82" t="s">
        <v>202</v>
      </c>
      <c r="C143" s="82" t="s">
        <v>185</v>
      </c>
      <c r="D143" s="86">
        <v>1735.562576</v>
      </c>
      <c r="E143" s="84">
        <v>1784.9</v>
      </c>
      <c r="F143" s="85">
        <v>171.58916780000001</v>
      </c>
      <c r="G143" s="87"/>
    </row>
    <row r="144" spans="2:8" s="62" customFormat="1" ht="24.65" customHeight="1" x14ac:dyDescent="0.35">
      <c r="B144" s="82" t="s">
        <v>203</v>
      </c>
      <c r="C144" s="82" t="s">
        <v>185</v>
      </c>
      <c r="D144" s="86">
        <v>769.83402000000001</v>
      </c>
      <c r="E144" s="84">
        <v>741</v>
      </c>
      <c r="F144" s="85">
        <v>166.62042099999999</v>
      </c>
      <c r="H144"/>
    </row>
    <row r="145" spans="2:8" s="62" customFormat="1" ht="24.65" customHeight="1" x14ac:dyDescent="0.25">
      <c r="B145" s="82" t="s">
        <v>204</v>
      </c>
      <c r="C145" s="82" t="s">
        <v>185</v>
      </c>
      <c r="D145" s="86">
        <v>613.708752</v>
      </c>
      <c r="E145" s="84">
        <v>598.79999999999995</v>
      </c>
      <c r="F145" s="85">
        <v>74.738317499999994</v>
      </c>
    </row>
    <row r="146" spans="2:8" s="62" customFormat="1" ht="24.65" customHeight="1" x14ac:dyDescent="0.35">
      <c r="B146" s="82" t="s">
        <v>205</v>
      </c>
      <c r="C146" s="82" t="s">
        <v>185</v>
      </c>
      <c r="D146" s="86">
        <v>1142.6949999999999</v>
      </c>
      <c r="E146" s="84">
        <v>1140.0999999999999</v>
      </c>
      <c r="F146" s="85">
        <v>31.796099999999999</v>
      </c>
      <c r="H146"/>
    </row>
    <row r="147" spans="2:8" s="62" customFormat="1" ht="24.65" customHeight="1" x14ac:dyDescent="0.25">
      <c r="B147" s="82" t="s">
        <v>206</v>
      </c>
      <c r="C147" s="82" t="s">
        <v>185</v>
      </c>
      <c r="D147" s="86">
        <v>390.37933900000002</v>
      </c>
      <c r="E147" s="84">
        <v>398.25</v>
      </c>
      <c r="F147" s="85">
        <v>87.8711895</v>
      </c>
    </row>
    <row r="148" spans="2:8" s="62" customFormat="1" ht="24.65" customHeight="1" x14ac:dyDescent="0.25">
      <c r="B148" s="82" t="s">
        <v>207</v>
      </c>
      <c r="C148" s="82" t="s">
        <v>185</v>
      </c>
      <c r="D148" s="86">
        <v>1253.0947920000001</v>
      </c>
      <c r="E148" s="84">
        <v>1270</v>
      </c>
      <c r="F148" s="85">
        <v>181.8474875</v>
      </c>
    </row>
    <row r="149" spans="2:8" s="62" customFormat="1" ht="24.65" customHeight="1" x14ac:dyDescent="0.35">
      <c r="B149" s="82" t="s">
        <v>208</v>
      </c>
      <c r="C149" s="82" t="s">
        <v>185</v>
      </c>
      <c r="D149" s="86">
        <v>513.73800000000006</v>
      </c>
      <c r="E149" s="84">
        <v>507.45</v>
      </c>
      <c r="F149" s="85">
        <v>45.898305800000003</v>
      </c>
      <c r="H149"/>
    </row>
    <row r="150" spans="2:8" s="62" customFormat="1" ht="24.65" customHeight="1" x14ac:dyDescent="0.35">
      <c r="B150" s="82" t="s">
        <v>209</v>
      </c>
      <c r="C150" s="82" t="s">
        <v>185</v>
      </c>
      <c r="D150" s="86">
        <v>639.16669999999999</v>
      </c>
      <c r="E150" s="84">
        <v>659.15</v>
      </c>
      <c r="F150" s="85">
        <v>3.7833000000000001</v>
      </c>
      <c r="H150"/>
    </row>
    <row r="151" spans="2:8" s="62" customFormat="1" ht="24.65" customHeight="1" x14ac:dyDescent="0.35">
      <c r="B151" s="82" t="s">
        <v>210</v>
      </c>
      <c r="C151" s="82" t="s">
        <v>185</v>
      </c>
      <c r="D151" s="86">
        <v>434.75614400000001</v>
      </c>
      <c r="E151" s="84">
        <v>446.3</v>
      </c>
      <c r="F151" s="85">
        <v>84.422186999999994</v>
      </c>
      <c r="H151"/>
    </row>
    <row r="152" spans="2:8" s="62" customFormat="1" ht="24.65" customHeight="1" x14ac:dyDescent="0.35">
      <c r="B152" s="82" t="s">
        <v>211</v>
      </c>
      <c r="C152" s="82" t="s">
        <v>185</v>
      </c>
      <c r="D152" s="86">
        <v>4459.5</v>
      </c>
      <c r="E152" s="84">
        <v>4453</v>
      </c>
      <c r="F152" s="85">
        <v>21.920962500000002</v>
      </c>
      <c r="H152"/>
    </row>
    <row r="153" spans="2:8" s="62" customFormat="1" ht="24.65" customHeight="1" x14ac:dyDescent="0.25">
      <c r="B153" s="82" t="s">
        <v>212</v>
      </c>
      <c r="C153" s="82" t="s">
        <v>185</v>
      </c>
      <c r="D153" s="86">
        <v>234.30398299999999</v>
      </c>
      <c r="E153" s="84">
        <v>241.01</v>
      </c>
      <c r="F153" s="85">
        <v>33.372884599999999</v>
      </c>
    </row>
    <row r="154" spans="2:8" s="62" customFormat="1" ht="24.65" customHeight="1" x14ac:dyDescent="0.25">
      <c r="B154" s="82" t="s">
        <v>213</v>
      </c>
      <c r="C154" s="82" t="s">
        <v>185</v>
      </c>
      <c r="D154" s="86">
        <v>389.96998000000002</v>
      </c>
      <c r="E154" s="84">
        <v>388.25</v>
      </c>
      <c r="F154" s="85">
        <v>6.8905000000000003</v>
      </c>
    </row>
    <row r="155" spans="2:8" s="62" customFormat="1" ht="24.65" customHeight="1" x14ac:dyDescent="0.25">
      <c r="B155" s="82" t="s">
        <v>214</v>
      </c>
      <c r="C155" s="82" t="s">
        <v>185</v>
      </c>
      <c r="D155" s="86">
        <v>1370.6293000000001</v>
      </c>
      <c r="E155" s="84">
        <v>1375</v>
      </c>
      <c r="F155" s="85">
        <v>100.6316403</v>
      </c>
    </row>
    <row r="156" spans="2:8" s="62" customFormat="1" ht="24.65" customHeight="1" x14ac:dyDescent="0.25">
      <c r="B156" s="82" t="s">
        <v>215</v>
      </c>
      <c r="C156" s="82" t="s">
        <v>185</v>
      </c>
      <c r="D156" s="86">
        <v>868.27350100000001</v>
      </c>
      <c r="E156" s="84">
        <v>949</v>
      </c>
      <c r="F156" s="85">
        <v>17.6242421</v>
      </c>
    </row>
    <row r="157" spans="2:8" s="62" customFormat="1" ht="24.65" customHeight="1" x14ac:dyDescent="0.35">
      <c r="B157" s="82" t="s">
        <v>216</v>
      </c>
      <c r="C157" s="82" t="s">
        <v>185</v>
      </c>
      <c r="D157" s="86">
        <v>3096</v>
      </c>
      <c r="E157" s="84">
        <v>3079.3</v>
      </c>
      <c r="F157" s="85">
        <v>2.4056799999999998</v>
      </c>
      <c r="H157"/>
    </row>
    <row r="158" spans="2:8" s="62" customFormat="1" ht="24.65" customHeight="1" x14ac:dyDescent="0.25">
      <c r="B158" s="82" t="s">
        <v>217</v>
      </c>
      <c r="C158" s="82" t="s">
        <v>185</v>
      </c>
      <c r="D158" s="86">
        <v>325.35000000000002</v>
      </c>
      <c r="E158" s="84">
        <v>328.15</v>
      </c>
      <c r="F158" s="85">
        <v>22.24953</v>
      </c>
    </row>
    <row r="159" spans="2:8" s="62" customFormat="1" ht="24.65" customHeight="1" x14ac:dyDescent="0.25">
      <c r="B159" s="82" t="s">
        <v>218</v>
      </c>
      <c r="C159" s="82" t="s">
        <v>185</v>
      </c>
      <c r="D159" s="86">
        <v>89.428656000000004</v>
      </c>
      <c r="E159" s="84">
        <v>89.11</v>
      </c>
      <c r="F159" s="85">
        <v>56.7985568</v>
      </c>
    </row>
    <row r="160" spans="2:8" s="62" customFormat="1" ht="24.65" customHeight="1" x14ac:dyDescent="0.25">
      <c r="B160" s="82" t="s">
        <v>219</v>
      </c>
      <c r="C160" s="82" t="s">
        <v>185</v>
      </c>
      <c r="D160" s="86">
        <v>299.06664899999998</v>
      </c>
      <c r="E160" s="84">
        <v>268.39999999999998</v>
      </c>
      <c r="F160" s="85">
        <v>49.9494094</v>
      </c>
    </row>
    <row r="161" spans="2:8" s="62" customFormat="1" ht="24.65" customHeight="1" x14ac:dyDescent="0.25">
      <c r="B161" s="82" t="s">
        <v>220</v>
      </c>
      <c r="C161" s="82" t="s">
        <v>185</v>
      </c>
      <c r="D161" s="86">
        <v>1067.9000000000001</v>
      </c>
      <c r="E161" s="84">
        <v>1044.5999999999999</v>
      </c>
      <c r="F161" s="85">
        <v>6.7460899999999997</v>
      </c>
    </row>
    <row r="162" spans="2:8" s="62" customFormat="1" ht="24.65" customHeight="1" x14ac:dyDescent="0.25">
      <c r="B162" s="82" t="s">
        <v>221</v>
      </c>
      <c r="C162" s="82" t="s">
        <v>185</v>
      </c>
      <c r="D162" s="86">
        <v>1405.05</v>
      </c>
      <c r="E162" s="84">
        <v>1385.1</v>
      </c>
      <c r="F162" s="85">
        <v>28.943774999999999</v>
      </c>
    </row>
    <row r="163" spans="2:8" s="62" customFormat="1" ht="24.65" customHeight="1" x14ac:dyDescent="0.35">
      <c r="B163" s="82" t="s">
        <v>222</v>
      </c>
      <c r="C163" s="82" t="s">
        <v>185</v>
      </c>
      <c r="D163" s="86">
        <v>935.43809499999998</v>
      </c>
      <c r="E163" s="84">
        <v>956.3</v>
      </c>
      <c r="F163" s="85">
        <v>38.838145500000003</v>
      </c>
      <c r="H163"/>
    </row>
    <row r="164" spans="2:8" s="62" customFormat="1" ht="24.65" customHeight="1" x14ac:dyDescent="0.35">
      <c r="B164" s="82" t="s">
        <v>223</v>
      </c>
      <c r="C164" s="82" t="s">
        <v>185</v>
      </c>
      <c r="D164" s="86">
        <v>1032.666651</v>
      </c>
      <c r="E164" s="84">
        <v>973.3</v>
      </c>
      <c r="F164" s="85">
        <v>7.7386949999999999</v>
      </c>
      <c r="H164"/>
    </row>
    <row r="165" spans="2:8" s="62" customFormat="1" ht="24.65" customHeight="1" x14ac:dyDescent="0.25">
      <c r="B165" s="82" t="s">
        <v>224</v>
      </c>
      <c r="C165" s="82" t="s">
        <v>185</v>
      </c>
      <c r="D165" s="86">
        <v>194.04291900000001</v>
      </c>
      <c r="E165" s="84">
        <v>206.58</v>
      </c>
      <c r="F165" s="85">
        <v>117.9230235</v>
      </c>
    </row>
    <row r="166" spans="2:8" s="62" customFormat="1" ht="24.65" customHeight="1" x14ac:dyDescent="0.35">
      <c r="B166" s="82" t="s">
        <v>225</v>
      </c>
      <c r="C166" s="82" t="s">
        <v>185</v>
      </c>
      <c r="D166" s="86">
        <v>411.92593699999998</v>
      </c>
      <c r="E166" s="84">
        <v>422.25</v>
      </c>
      <c r="F166" s="85">
        <v>29.5536499</v>
      </c>
      <c r="H166"/>
    </row>
    <row r="167" spans="2:8" s="62" customFormat="1" ht="24.65" customHeight="1" x14ac:dyDescent="0.35">
      <c r="B167" s="82" t="s">
        <v>226</v>
      </c>
      <c r="C167" s="82" t="s">
        <v>185</v>
      </c>
      <c r="D167" s="86">
        <v>207.56798000000001</v>
      </c>
      <c r="E167" s="84">
        <v>206.48</v>
      </c>
      <c r="F167" s="85">
        <v>118.0193438</v>
      </c>
      <c r="H167"/>
    </row>
    <row r="168" spans="2:8" s="62" customFormat="1" ht="24.65" customHeight="1" x14ac:dyDescent="0.25">
      <c r="B168" s="82" t="s">
        <v>227</v>
      </c>
      <c r="C168" s="82" t="s">
        <v>185</v>
      </c>
      <c r="D168" s="86">
        <v>1740.5491</v>
      </c>
      <c r="E168" s="84">
        <v>1787.9</v>
      </c>
      <c r="F168" s="85">
        <v>68.6719145</v>
      </c>
    </row>
    <row r="169" spans="2:8" s="62" customFormat="1" ht="24.65" customHeight="1" x14ac:dyDescent="0.25">
      <c r="B169" s="82" t="s">
        <v>228</v>
      </c>
      <c r="C169" s="82" t="s">
        <v>185</v>
      </c>
      <c r="D169" s="86">
        <v>11645.3333</v>
      </c>
      <c r="E169" s="84">
        <v>11615</v>
      </c>
      <c r="F169" s="85">
        <v>6.2165549999999996</v>
      </c>
    </row>
    <row r="170" spans="2:8" s="62" customFormat="1" ht="24.65" customHeight="1" x14ac:dyDescent="0.35">
      <c r="B170" s="82" t="s">
        <v>229</v>
      </c>
      <c r="C170" s="82" t="s">
        <v>185</v>
      </c>
      <c r="D170" s="86">
        <v>1309.9922999999999</v>
      </c>
      <c r="E170" s="84">
        <v>1282.8</v>
      </c>
      <c r="F170" s="85">
        <v>11.98808</v>
      </c>
      <c r="H170"/>
    </row>
    <row r="171" spans="2:8" s="62" customFormat="1" ht="24.65" customHeight="1" x14ac:dyDescent="0.35">
      <c r="B171" s="82" t="s">
        <v>230</v>
      </c>
      <c r="C171" s="82" t="s">
        <v>185</v>
      </c>
      <c r="D171" s="86">
        <v>638.8519</v>
      </c>
      <c r="E171" s="84">
        <v>650.6</v>
      </c>
      <c r="F171" s="85">
        <v>52.477066700000002</v>
      </c>
      <c r="H171"/>
    </row>
    <row r="172" spans="2:8" s="62" customFormat="1" ht="24.65" customHeight="1" x14ac:dyDescent="0.25">
      <c r="B172" s="82" t="s">
        <v>231</v>
      </c>
      <c r="C172" s="82" t="s">
        <v>185</v>
      </c>
      <c r="D172" s="86">
        <v>507.43124999999998</v>
      </c>
      <c r="E172" s="84">
        <v>534.1</v>
      </c>
      <c r="F172" s="85">
        <v>9.9027674999999995</v>
      </c>
    </row>
    <row r="173" spans="2:8" s="62" customFormat="1" ht="24.65" customHeight="1" x14ac:dyDescent="0.25">
      <c r="B173" s="82" t="s">
        <v>232</v>
      </c>
      <c r="C173" s="82" t="s">
        <v>185</v>
      </c>
      <c r="D173" s="86">
        <v>21.986799999999999</v>
      </c>
      <c r="E173" s="84">
        <v>23.46</v>
      </c>
      <c r="F173" s="85">
        <v>46.6070043</v>
      </c>
    </row>
    <row r="174" spans="2:8" s="62" customFormat="1" ht="13.5" x14ac:dyDescent="0.25"/>
    <row r="175" spans="2:8" s="62" customFormat="1" ht="14" x14ac:dyDescent="0.3">
      <c r="B175" s="88" t="s">
        <v>233</v>
      </c>
      <c r="C175" s="89"/>
      <c r="D175" s="90"/>
      <c r="E175" s="91"/>
    </row>
    <row r="176" spans="2:8" s="62" customFormat="1" ht="14" x14ac:dyDescent="0.3">
      <c r="B176" s="88"/>
      <c r="C176" s="89"/>
      <c r="D176" s="90"/>
      <c r="E176" s="91"/>
    </row>
    <row r="177" spans="2:6" s="62" customFormat="1" ht="13.5" x14ac:dyDescent="0.25">
      <c r="B177" s="76" t="s">
        <v>178</v>
      </c>
    </row>
    <row r="178" spans="2:6" s="62" customFormat="1" ht="13.5" x14ac:dyDescent="0.25"/>
    <row r="179" spans="2:6" s="62" customFormat="1" ht="25" x14ac:dyDescent="0.25">
      <c r="B179" s="77" t="s">
        <v>3</v>
      </c>
      <c r="C179" s="78" t="s">
        <v>180</v>
      </c>
      <c r="D179" s="78" t="s">
        <v>5</v>
      </c>
      <c r="E179" s="79" t="s">
        <v>6</v>
      </c>
      <c r="F179" s="111" t="s">
        <v>7</v>
      </c>
    </row>
    <row r="180" spans="2:6" s="62" customFormat="1" ht="13.5" x14ac:dyDescent="0.25">
      <c r="B180" s="82" t="s">
        <v>249</v>
      </c>
      <c r="C180" s="82" t="s">
        <v>185</v>
      </c>
      <c r="D180" s="86">
        <v>-375</v>
      </c>
      <c r="E180" s="84">
        <v>-8.6445000000000007</v>
      </c>
      <c r="F180" s="85">
        <v>-5.873896863439608E-2</v>
      </c>
    </row>
    <row r="181" spans="2:6" s="62" customFormat="1" ht="13.5" x14ac:dyDescent="0.25">
      <c r="B181" s="82" t="s">
        <v>196</v>
      </c>
      <c r="C181" s="82" t="s">
        <v>185</v>
      </c>
      <c r="D181" s="86">
        <v>-2500</v>
      </c>
      <c r="E181" s="84">
        <v>-11.1275</v>
      </c>
      <c r="F181" s="85">
        <v>-7.5610836194024228E-2</v>
      </c>
    </row>
    <row r="182" spans="2:6" s="62" customFormat="1" ht="13.5" x14ac:dyDescent="0.25">
      <c r="B182" s="82" t="s">
        <v>216</v>
      </c>
      <c r="C182" s="82" t="s">
        <v>185</v>
      </c>
      <c r="D182" s="86">
        <v>-400</v>
      </c>
      <c r="E182" s="84">
        <v>-12.3172</v>
      </c>
      <c r="F182" s="85">
        <v>-8.3694791423862963E-2</v>
      </c>
    </row>
    <row r="183" spans="2:6" s="62" customFormat="1" ht="13.5" x14ac:dyDescent="0.25">
      <c r="B183" s="82" t="s">
        <v>250</v>
      </c>
      <c r="C183" s="82" t="s">
        <v>185</v>
      </c>
      <c r="D183" s="86">
        <v>-3000</v>
      </c>
      <c r="E183" s="84">
        <v>-19.7745</v>
      </c>
      <c r="F183" s="85">
        <v>-0.13436679221017586</v>
      </c>
    </row>
    <row r="184" spans="2:6" s="62" customFormat="1" ht="13.5" x14ac:dyDescent="0.25">
      <c r="B184" s="82" t="s">
        <v>220</v>
      </c>
      <c r="C184" s="82" t="s">
        <v>185</v>
      </c>
      <c r="D184" s="86">
        <v>-2600</v>
      </c>
      <c r="E184" s="84">
        <v>-27.159600000000001</v>
      </c>
      <c r="F184" s="85">
        <v>-0.18454819741138803</v>
      </c>
    </row>
    <row r="185" spans="2:6" s="62" customFormat="1" ht="13.5" x14ac:dyDescent="0.25">
      <c r="B185" s="82" t="s">
        <v>228</v>
      </c>
      <c r="C185" s="82" t="s">
        <v>185</v>
      </c>
      <c r="D185" s="86">
        <v>-300</v>
      </c>
      <c r="E185" s="84">
        <v>-34.844999999999999</v>
      </c>
      <c r="F185" s="85">
        <v>-0.23677012690907878</v>
      </c>
    </row>
    <row r="186" spans="2:6" s="62" customFormat="1" ht="13.5" x14ac:dyDescent="0.25">
      <c r="B186" s="82" t="s">
        <v>213</v>
      </c>
      <c r="C186" s="82" t="s">
        <v>185</v>
      </c>
      <c r="D186" s="86">
        <v>-10000</v>
      </c>
      <c r="E186" s="84">
        <v>-38.825000000000003</v>
      </c>
      <c r="F186" s="85">
        <v>-0.26381403866393982</v>
      </c>
    </row>
    <row r="187" spans="2:6" s="62" customFormat="1" ht="13.5" x14ac:dyDescent="0.25">
      <c r="B187" s="82" t="s">
        <v>223</v>
      </c>
      <c r="C187" s="82" t="s">
        <v>185</v>
      </c>
      <c r="D187" s="86">
        <v>-4500</v>
      </c>
      <c r="E187" s="84">
        <v>-43.798499999999997</v>
      </c>
      <c r="F187" s="85">
        <v>-0.29760873592846282</v>
      </c>
    </row>
    <row r="188" spans="2:6" s="62" customFormat="1" ht="13.5" x14ac:dyDescent="0.25">
      <c r="B188" s="82" t="s">
        <v>231</v>
      </c>
      <c r="C188" s="82" t="s">
        <v>185</v>
      </c>
      <c r="D188" s="86">
        <v>-9000</v>
      </c>
      <c r="E188" s="84">
        <v>-48.069000000000003</v>
      </c>
      <c r="F188" s="85">
        <v>-0.32662658144332063</v>
      </c>
    </row>
    <row r="189" spans="2:6" s="62" customFormat="1" ht="13.5" x14ac:dyDescent="0.25">
      <c r="B189" s="82" t="s">
        <v>251</v>
      </c>
      <c r="C189" s="82" t="s">
        <v>185</v>
      </c>
      <c r="D189" s="86">
        <v>-18000</v>
      </c>
      <c r="E189" s="84">
        <v>-59.067</v>
      </c>
      <c r="F189" s="85">
        <v>-0.40135747126240656</v>
      </c>
    </row>
    <row r="190" spans="2:6" s="62" customFormat="1" ht="13.5" x14ac:dyDescent="0.25">
      <c r="B190" s="82" t="s">
        <v>252</v>
      </c>
      <c r="C190" s="82" t="s">
        <v>185</v>
      </c>
      <c r="D190" s="86">
        <v>-6000</v>
      </c>
      <c r="E190" s="84">
        <v>-59.706000000000003</v>
      </c>
      <c r="F190" s="85">
        <v>-0.40569944603912922</v>
      </c>
    </row>
    <row r="191" spans="2:6" s="62" customFormat="1" ht="13.5" x14ac:dyDescent="0.25">
      <c r="B191" s="82" t="s">
        <v>253</v>
      </c>
      <c r="C191" s="82" t="s">
        <v>185</v>
      </c>
      <c r="D191" s="86">
        <v>-4500</v>
      </c>
      <c r="E191" s="84">
        <v>-64.579499999999996</v>
      </c>
      <c r="F191" s="85">
        <v>-0.43881464803342957</v>
      </c>
    </row>
    <row r="192" spans="2:6" s="62" customFormat="1" ht="13.5" x14ac:dyDescent="0.25">
      <c r="B192" s="82" t="s">
        <v>229</v>
      </c>
      <c r="C192" s="82" t="s">
        <v>185</v>
      </c>
      <c r="D192" s="86">
        <v>-5200</v>
      </c>
      <c r="E192" s="84">
        <v>-66.705600000000004</v>
      </c>
      <c r="F192" s="85">
        <v>-0.4532613969736331</v>
      </c>
    </row>
    <row r="193" spans="2:6" s="62" customFormat="1" ht="13.5" x14ac:dyDescent="0.25">
      <c r="B193" s="82" t="s">
        <v>254</v>
      </c>
      <c r="C193" s="82" t="s">
        <v>185</v>
      </c>
      <c r="D193" s="86">
        <v>-7650</v>
      </c>
      <c r="E193" s="84">
        <v>-70.804575</v>
      </c>
      <c r="F193" s="85">
        <v>-0.48111373822624154</v>
      </c>
    </row>
    <row r="194" spans="2:6" s="62" customFormat="1" ht="13.5" x14ac:dyDescent="0.25">
      <c r="B194" s="82" t="s">
        <v>215</v>
      </c>
      <c r="C194" s="82" t="s">
        <v>185</v>
      </c>
      <c r="D194" s="86">
        <v>-7650</v>
      </c>
      <c r="E194" s="84">
        <v>-72.598500000000001</v>
      </c>
      <c r="F194" s="85">
        <v>-0.49330337375258304</v>
      </c>
    </row>
    <row r="195" spans="2:6" s="62" customFormat="1" ht="13.5" x14ac:dyDescent="0.25">
      <c r="B195" s="82" t="s">
        <v>201</v>
      </c>
      <c r="C195" s="82" t="s">
        <v>185</v>
      </c>
      <c r="D195" s="86">
        <v>-7500</v>
      </c>
      <c r="E195" s="84">
        <v>-78.007499999999993</v>
      </c>
      <c r="F195" s="85">
        <v>-0.53005727291892557</v>
      </c>
    </row>
    <row r="196" spans="2:6" s="62" customFormat="1" ht="13.5" x14ac:dyDescent="0.25">
      <c r="B196" s="82" t="s">
        <v>255</v>
      </c>
      <c r="C196" s="82" t="s">
        <v>185</v>
      </c>
      <c r="D196" s="86">
        <v>-27650</v>
      </c>
      <c r="E196" s="84">
        <v>-83.295625000000001</v>
      </c>
      <c r="F196" s="85">
        <v>-0.56598983217738652</v>
      </c>
    </row>
    <row r="197" spans="2:6" s="62" customFormat="1" ht="13.5" x14ac:dyDescent="0.25">
      <c r="B197" s="82" t="s">
        <v>256</v>
      </c>
      <c r="C197" s="82" t="s">
        <v>185</v>
      </c>
      <c r="D197" s="86">
        <v>-2250</v>
      </c>
      <c r="E197" s="84">
        <v>-100.1925</v>
      </c>
      <c r="F197" s="85">
        <v>-0.68080329861781819</v>
      </c>
    </row>
    <row r="198" spans="2:6" s="62" customFormat="1" ht="13.5" x14ac:dyDescent="0.25">
      <c r="B198" s="82" t="s">
        <v>190</v>
      </c>
      <c r="C198" s="82" t="s">
        <v>185</v>
      </c>
      <c r="D198" s="86">
        <v>-40950</v>
      </c>
      <c r="E198" s="84">
        <v>-110.97450000000001</v>
      </c>
      <c r="F198" s="85">
        <v>-0.75406647865322318</v>
      </c>
    </row>
    <row r="199" spans="2:6" s="62" customFormat="1" ht="13.5" x14ac:dyDescent="0.25">
      <c r="B199" s="82" t="s">
        <v>197</v>
      </c>
      <c r="C199" s="82" t="s">
        <v>185</v>
      </c>
      <c r="D199" s="86">
        <v>-6825</v>
      </c>
      <c r="E199" s="84">
        <v>-120.440775</v>
      </c>
      <c r="F199" s="85">
        <v>-0.81838936954449137</v>
      </c>
    </row>
    <row r="200" spans="2:6" s="62" customFormat="1" ht="13.5" x14ac:dyDescent="0.25">
      <c r="B200" s="82" t="s">
        <v>257</v>
      </c>
      <c r="C200" s="82" t="s">
        <v>185</v>
      </c>
      <c r="D200" s="86">
        <v>-9000</v>
      </c>
      <c r="E200" s="84">
        <v>-124.65900000000001</v>
      </c>
      <c r="F200" s="85">
        <v>-0.84705200890684029</v>
      </c>
    </row>
    <row r="201" spans="2:6" s="62" customFormat="1" ht="13.5" x14ac:dyDescent="0.25">
      <c r="B201" s="82" t="s">
        <v>258</v>
      </c>
      <c r="C201" s="82" t="s">
        <v>185</v>
      </c>
      <c r="D201" s="86">
        <v>-175500</v>
      </c>
      <c r="E201" s="84">
        <v>-156.38804999999999</v>
      </c>
      <c r="F201" s="85">
        <v>-1.0626494029434168</v>
      </c>
    </row>
    <row r="202" spans="2:6" s="62" customFormat="1" ht="13.5" x14ac:dyDescent="0.25">
      <c r="B202" s="82" t="s">
        <v>205</v>
      </c>
      <c r="C202" s="82" t="s">
        <v>185</v>
      </c>
      <c r="D202" s="86">
        <v>-14000</v>
      </c>
      <c r="E202" s="84">
        <v>-159.614</v>
      </c>
      <c r="F202" s="85">
        <v>-1.0845695806131641</v>
      </c>
    </row>
    <row r="203" spans="2:6" s="62" customFormat="1" ht="13.5" x14ac:dyDescent="0.25">
      <c r="B203" s="82" t="s">
        <v>200</v>
      </c>
      <c r="C203" s="82" t="s">
        <v>185</v>
      </c>
      <c r="D203" s="86">
        <v>-160425</v>
      </c>
      <c r="E203" s="84">
        <v>-162.38218499999999</v>
      </c>
      <c r="F203" s="85">
        <v>-1.1033792667591766</v>
      </c>
    </row>
    <row r="204" spans="2:6" s="62" customFormat="1" ht="13.5" x14ac:dyDescent="0.25">
      <c r="B204" s="82" t="s">
        <v>212</v>
      </c>
      <c r="C204" s="82" t="s">
        <v>185</v>
      </c>
      <c r="D204" s="86">
        <v>-68150</v>
      </c>
      <c r="E204" s="84">
        <v>-164.24831499999999</v>
      </c>
      <c r="F204" s="85">
        <v>-1.1160595318453823</v>
      </c>
    </row>
    <row r="205" spans="2:6" s="62" customFormat="1" ht="13.5" x14ac:dyDescent="0.25">
      <c r="B205" s="82" t="s">
        <v>259</v>
      </c>
      <c r="C205" s="82" t="s">
        <v>185</v>
      </c>
      <c r="D205" s="86">
        <v>-39150</v>
      </c>
      <c r="E205" s="84">
        <v>-165.31087500000001</v>
      </c>
      <c r="F205" s="85">
        <v>-1.1232795767886601</v>
      </c>
    </row>
    <row r="206" spans="2:6" s="62" customFormat="1" ht="13.5" x14ac:dyDescent="0.25">
      <c r="B206" s="82" t="s">
        <v>222</v>
      </c>
      <c r="C206" s="82" t="s">
        <v>185</v>
      </c>
      <c r="D206" s="86">
        <v>-17325</v>
      </c>
      <c r="E206" s="84">
        <v>-165.67897500000001</v>
      </c>
      <c r="F206" s="85">
        <v>-1.1257807988783495</v>
      </c>
    </row>
    <row r="207" spans="2:6" s="62" customFormat="1" ht="13.5" x14ac:dyDescent="0.25">
      <c r="B207" s="82" t="s">
        <v>198</v>
      </c>
      <c r="C207" s="82" t="s">
        <v>185</v>
      </c>
      <c r="D207" s="86">
        <v>-77600</v>
      </c>
      <c r="E207" s="84">
        <v>-196.63839999999999</v>
      </c>
      <c r="F207" s="85">
        <v>-1.3361486274414751</v>
      </c>
    </row>
    <row r="208" spans="2:6" s="62" customFormat="1" ht="13.5" x14ac:dyDescent="0.25">
      <c r="B208" s="82" t="s">
        <v>260</v>
      </c>
      <c r="C208" s="82" t="s">
        <v>185</v>
      </c>
      <c r="D208" s="86">
        <v>-964100</v>
      </c>
      <c r="E208" s="84">
        <v>-226.17786000000001</v>
      </c>
      <c r="F208" s="85">
        <v>-1.5368678609907835</v>
      </c>
    </row>
    <row r="209" spans="2:6" s="62" customFormat="1" ht="13.5" x14ac:dyDescent="0.25">
      <c r="B209" s="82" t="s">
        <v>261</v>
      </c>
      <c r="C209" s="82" t="s">
        <v>185</v>
      </c>
      <c r="D209" s="86">
        <v>-52500</v>
      </c>
      <c r="E209" s="84">
        <v>-227.58750000000001</v>
      </c>
      <c r="F209" s="85">
        <v>-1.5464462981179499</v>
      </c>
    </row>
    <row r="210" spans="2:6" s="62" customFormat="1" ht="13.5" x14ac:dyDescent="0.25">
      <c r="B210" s="82" t="s">
        <v>230</v>
      </c>
      <c r="C210" s="82" t="s">
        <v>185</v>
      </c>
      <c r="D210" s="86">
        <v>-36585</v>
      </c>
      <c r="E210" s="84">
        <v>-238.02200999999999</v>
      </c>
      <c r="F210" s="85">
        <v>-1.6173483000388584</v>
      </c>
    </row>
    <row r="211" spans="2:6" s="62" customFormat="1" ht="13.5" x14ac:dyDescent="0.25">
      <c r="B211" s="82" t="s">
        <v>262</v>
      </c>
      <c r="C211" s="82" t="s">
        <v>185</v>
      </c>
      <c r="D211" s="86">
        <v>-49950</v>
      </c>
      <c r="E211" s="84">
        <v>-253.47127499999999</v>
      </c>
      <c r="F211" s="85">
        <v>-1.7223253249980199</v>
      </c>
    </row>
    <row r="212" spans="2:6" s="62" customFormat="1" ht="13.5" x14ac:dyDescent="0.25">
      <c r="B212" s="82" t="s">
        <v>263</v>
      </c>
      <c r="C212" s="82" t="s">
        <v>185</v>
      </c>
      <c r="D212" s="86">
        <v>-101250</v>
      </c>
      <c r="E212" s="84">
        <v>-271.755</v>
      </c>
      <c r="F212" s="85">
        <v>-1.8465623715935344</v>
      </c>
    </row>
    <row r="213" spans="2:6" s="62" customFormat="1" ht="13.5" x14ac:dyDescent="0.25">
      <c r="B213" s="82" t="s">
        <v>184</v>
      </c>
      <c r="C213" s="82" t="s">
        <v>185</v>
      </c>
      <c r="D213" s="86">
        <v>-9579</v>
      </c>
      <c r="E213" s="84">
        <v>-284.065245</v>
      </c>
      <c r="F213" s="85">
        <v>-1.9302099041213534</v>
      </c>
    </row>
    <row r="214" spans="2:6" s="62" customFormat="1" ht="13.5" x14ac:dyDescent="0.25">
      <c r="B214" s="82" t="s">
        <v>264</v>
      </c>
      <c r="C214" s="82" t="s">
        <v>185</v>
      </c>
      <c r="D214" s="86">
        <v>-145700</v>
      </c>
      <c r="E214" s="84">
        <v>-300.98705999999999</v>
      </c>
      <c r="F214" s="85">
        <v>-2.0451928366821783</v>
      </c>
    </row>
    <row r="215" spans="2:6" s="62" customFormat="1" ht="13.5" x14ac:dyDescent="0.25">
      <c r="B215" s="82" t="s">
        <v>227</v>
      </c>
      <c r="C215" s="82" t="s">
        <v>185</v>
      </c>
      <c r="D215" s="86">
        <v>-18550</v>
      </c>
      <c r="E215" s="84">
        <v>-331.65544999999997</v>
      </c>
      <c r="F215" s="85">
        <v>-2.2535830961856114</v>
      </c>
    </row>
    <row r="216" spans="2:6" s="62" customFormat="1" ht="13.5" x14ac:dyDescent="0.25">
      <c r="B216" s="82" t="s">
        <v>265</v>
      </c>
      <c r="C216" s="82" t="s">
        <v>185</v>
      </c>
      <c r="D216" s="86">
        <v>-93150</v>
      </c>
      <c r="E216" s="84">
        <v>-370.969875</v>
      </c>
      <c r="F216" s="85">
        <v>-2.5207227545758384</v>
      </c>
    </row>
    <row r="217" spans="2:6" s="62" customFormat="1" ht="13.5" x14ac:dyDescent="0.25">
      <c r="B217" s="82" t="s">
        <v>266</v>
      </c>
      <c r="C217" s="82" t="s">
        <v>185</v>
      </c>
      <c r="D217" s="86">
        <v>-69300</v>
      </c>
      <c r="E217" s="84">
        <v>-414.96839999999997</v>
      </c>
      <c r="F217" s="85">
        <v>-2.819690650918564</v>
      </c>
    </row>
    <row r="218" spans="2:6" s="62" customFormat="1" ht="13.5" x14ac:dyDescent="0.25">
      <c r="B218" s="82" t="s">
        <v>267</v>
      </c>
      <c r="C218" s="82" t="s">
        <v>185</v>
      </c>
      <c r="D218" s="86">
        <v>-23500</v>
      </c>
      <c r="E218" s="84">
        <v>-423.30549999999999</v>
      </c>
      <c r="F218" s="85">
        <v>-2.8763408510922956</v>
      </c>
    </row>
    <row r="219" spans="2:6" s="62" customFormat="1" ht="13.5" x14ac:dyDescent="0.25">
      <c r="B219" s="82" t="s">
        <v>210</v>
      </c>
      <c r="C219" s="82" t="s">
        <v>185</v>
      </c>
      <c r="D219" s="86">
        <v>-96900</v>
      </c>
      <c r="E219" s="84">
        <v>-432.46469999999999</v>
      </c>
      <c r="F219" s="85">
        <v>-2.9385771818825277</v>
      </c>
    </row>
    <row r="220" spans="2:6" s="62" customFormat="1" ht="13.5" x14ac:dyDescent="0.25">
      <c r="B220" s="82" t="s">
        <v>268</v>
      </c>
      <c r="C220" s="82" t="s">
        <v>185</v>
      </c>
      <c r="D220" s="86">
        <v>-34850</v>
      </c>
      <c r="E220" s="84">
        <v>-479.1875</v>
      </c>
      <c r="F220" s="85">
        <v>-3.2560563979981114</v>
      </c>
    </row>
    <row r="221" spans="2:6" s="62" customFormat="1" ht="13.5" x14ac:dyDescent="0.25">
      <c r="B221" s="82" t="s">
        <v>226</v>
      </c>
      <c r="C221" s="82" t="s">
        <v>185</v>
      </c>
      <c r="D221" s="86">
        <v>-288750</v>
      </c>
      <c r="E221" s="84">
        <v>-596.21100000000001</v>
      </c>
      <c r="F221" s="85">
        <v>-4.0512255455471022</v>
      </c>
    </row>
    <row r="222" spans="2:6" s="62" customFormat="1" ht="13.5" x14ac:dyDescent="0.25">
      <c r="B222" s="82" t="s">
        <v>186</v>
      </c>
      <c r="C222" s="82" t="s">
        <v>185</v>
      </c>
      <c r="D222" s="86">
        <v>-42600</v>
      </c>
      <c r="E222" s="84">
        <v>-634.86779999999999</v>
      </c>
      <c r="F222" s="85">
        <v>-4.3138966731665276</v>
      </c>
    </row>
    <row r="223" spans="2:6" s="62" customFormat="1" ht="13.5" x14ac:dyDescent="0.25">
      <c r="B223" s="82" t="s">
        <v>202</v>
      </c>
      <c r="C223" s="82" t="s">
        <v>185</v>
      </c>
      <c r="D223" s="86">
        <v>-40425</v>
      </c>
      <c r="E223" s="84">
        <v>-721.54582500000004</v>
      </c>
      <c r="F223" s="85">
        <v>-4.9028697533639241</v>
      </c>
    </row>
    <row r="224" spans="2:6" s="62" customFormat="1" ht="13.5" x14ac:dyDescent="0.25">
      <c r="B224" s="82" t="s">
        <v>269</v>
      </c>
      <c r="C224" s="82" t="s">
        <v>185</v>
      </c>
      <c r="D224" s="86">
        <v>-183750</v>
      </c>
      <c r="E224" s="84">
        <v>-772.39312500000005</v>
      </c>
      <c r="F224" s="85">
        <v>-5.2483747518998403</v>
      </c>
    </row>
    <row r="225" spans="2:7" s="62" customFormat="1" ht="13.5" x14ac:dyDescent="0.25">
      <c r="B225" s="82" t="s">
        <v>203</v>
      </c>
      <c r="C225" s="82" t="s">
        <v>185</v>
      </c>
      <c r="D225" s="86">
        <v>-124300</v>
      </c>
      <c r="E225" s="84">
        <v>-921.06299999999999</v>
      </c>
      <c r="F225" s="85">
        <v>-6.2585795207707511</v>
      </c>
    </row>
    <row r="226" spans="2:7" s="62" customFormat="1" ht="13.5" x14ac:dyDescent="0.25">
      <c r="B226" s="82" t="s">
        <v>188</v>
      </c>
      <c r="C226" s="82" t="s">
        <v>185</v>
      </c>
      <c r="D226" s="86">
        <v>-74375</v>
      </c>
      <c r="E226" s="84">
        <v>-967.02374999999995</v>
      </c>
      <c r="F226" s="85">
        <v>-6.5708806431796027</v>
      </c>
    </row>
    <row r="227" spans="2:7" s="62" customFormat="1" ht="13.5" x14ac:dyDescent="0.25">
      <c r="B227" s="82" t="s">
        <v>207</v>
      </c>
      <c r="C227" s="82" t="s">
        <v>185</v>
      </c>
      <c r="D227" s="86">
        <v>-80500</v>
      </c>
      <c r="E227" s="84">
        <v>-1022.35</v>
      </c>
      <c r="F227" s="85">
        <v>-6.9468198951211564</v>
      </c>
    </row>
    <row r="228" spans="2:7" s="62" customFormat="1" ht="14" x14ac:dyDescent="0.3">
      <c r="B228" s="88"/>
      <c r="C228" s="89"/>
      <c r="D228" s="90"/>
      <c r="E228" s="91"/>
    </row>
    <row r="229" spans="2:7" s="62" customFormat="1" ht="14" x14ac:dyDescent="0.3">
      <c r="B229" s="92"/>
      <c r="C229" s="89"/>
      <c r="D229" s="93"/>
      <c r="E229" s="91"/>
    </row>
    <row r="230" spans="2:7" s="62" customFormat="1" ht="14" x14ac:dyDescent="0.3">
      <c r="B230" s="115" t="s">
        <v>248</v>
      </c>
      <c r="C230" s="115"/>
      <c r="D230" s="94"/>
      <c r="E230" s="95"/>
    </row>
    <row r="231" spans="2:7" s="62" customFormat="1" ht="13.5" x14ac:dyDescent="0.25">
      <c r="B231" s="96" t="s">
        <v>234</v>
      </c>
      <c r="C231" s="96"/>
      <c r="D231" s="96"/>
      <c r="E231" s="96"/>
    </row>
    <row r="232" spans="2:7" s="62" customFormat="1" ht="14" x14ac:dyDescent="0.3">
      <c r="B232" s="97" t="s">
        <v>235</v>
      </c>
      <c r="C232" s="98"/>
      <c r="D232" s="99"/>
      <c r="E232" s="100">
        <v>2497</v>
      </c>
    </row>
    <row r="233" spans="2:7" s="62" customFormat="1" ht="14" x14ac:dyDescent="0.3">
      <c r="B233" s="97" t="s">
        <v>236</v>
      </c>
      <c r="C233" s="98"/>
      <c r="D233" s="99"/>
      <c r="E233" s="100">
        <v>2534</v>
      </c>
    </row>
    <row r="234" spans="2:7" s="62" customFormat="1" ht="14" x14ac:dyDescent="0.3">
      <c r="B234" s="97" t="s">
        <v>237</v>
      </c>
      <c r="C234" s="98"/>
      <c r="D234" s="99"/>
      <c r="E234" s="101">
        <v>16457.816077599997</v>
      </c>
      <c r="G234" s="110"/>
    </row>
    <row r="235" spans="2:7" s="62" customFormat="1" ht="14" x14ac:dyDescent="0.3">
      <c r="B235" s="97" t="s">
        <v>238</v>
      </c>
      <c r="C235" s="98"/>
      <c r="D235" s="99"/>
      <c r="E235" s="101">
        <v>17109.853448299993</v>
      </c>
      <c r="F235" s="110"/>
      <c r="G235" s="110"/>
    </row>
    <row r="236" spans="2:7" s="62" customFormat="1" ht="14" x14ac:dyDescent="0.3">
      <c r="B236" s="97" t="s">
        <v>239</v>
      </c>
      <c r="C236" s="98"/>
      <c r="D236" s="99"/>
      <c r="E236" s="102">
        <v>-106.93531809999992</v>
      </c>
    </row>
    <row r="237" spans="2:7" s="62" customFormat="1" ht="14" x14ac:dyDescent="0.3">
      <c r="B237" s="92"/>
      <c r="C237" s="89"/>
      <c r="D237" s="91"/>
      <c r="E237" s="91"/>
    </row>
    <row r="238" spans="2:7" s="62" customFormat="1" ht="14" x14ac:dyDescent="0.3">
      <c r="B238" s="116" t="s">
        <v>240</v>
      </c>
      <c r="C238" s="116"/>
      <c r="D238" s="52"/>
      <c r="E238" s="91"/>
    </row>
    <row r="239" spans="2:7" s="62" customFormat="1" ht="14" x14ac:dyDescent="0.3">
      <c r="B239" s="103" t="s">
        <v>241</v>
      </c>
      <c r="C239" s="104"/>
      <c r="D239" s="105"/>
      <c r="E239" s="106"/>
    </row>
    <row r="240" spans="2:7" s="62" customFormat="1" ht="14" x14ac:dyDescent="0.3">
      <c r="B240" s="97" t="s">
        <v>235</v>
      </c>
      <c r="C240" s="98"/>
      <c r="D240" s="99"/>
      <c r="E240" s="107">
        <v>0</v>
      </c>
    </row>
    <row r="241" spans="2:5" s="62" customFormat="1" ht="14" x14ac:dyDescent="0.3">
      <c r="B241" s="97" t="s">
        <v>236</v>
      </c>
      <c r="C241" s="98"/>
      <c r="D241" s="99"/>
      <c r="E241" s="107">
        <v>0</v>
      </c>
    </row>
    <row r="242" spans="2:5" s="62" customFormat="1" ht="14" x14ac:dyDescent="0.3">
      <c r="B242" s="97" t="s">
        <v>237</v>
      </c>
      <c r="C242" s="98"/>
      <c r="D242" s="99"/>
      <c r="E242" s="107">
        <v>0</v>
      </c>
    </row>
    <row r="243" spans="2:5" s="62" customFormat="1" ht="14" x14ac:dyDescent="0.3">
      <c r="B243" s="97" t="s">
        <v>238</v>
      </c>
      <c r="C243" s="98"/>
      <c r="D243" s="99"/>
      <c r="E243" s="107">
        <v>0</v>
      </c>
    </row>
    <row r="244" spans="2:5" s="62" customFormat="1" ht="14" x14ac:dyDescent="0.3">
      <c r="B244" s="97" t="s">
        <v>239</v>
      </c>
      <c r="C244" s="98"/>
      <c r="D244" s="99"/>
      <c r="E244" s="107">
        <v>0</v>
      </c>
    </row>
    <row r="245" spans="2:5" s="62" customFormat="1" ht="13.5" x14ac:dyDescent="0.25"/>
    <row r="246" spans="2:5" s="62" customFormat="1" ht="13.5" x14ac:dyDescent="0.25"/>
    <row r="248" spans="2:5" x14ac:dyDescent="0.35">
      <c r="B248" s="108" t="s">
        <v>242</v>
      </c>
    </row>
    <row r="249" spans="2:5" x14ac:dyDescent="0.35">
      <c r="B249" s="120" t="s">
        <v>270</v>
      </c>
    </row>
    <row r="250" spans="2:5" x14ac:dyDescent="0.35">
      <c r="B250" s="120" t="s">
        <v>271</v>
      </c>
    </row>
    <row r="251" spans="2:5" x14ac:dyDescent="0.35">
      <c r="B251" s="120"/>
    </row>
    <row r="252" spans="2:5" x14ac:dyDescent="0.35">
      <c r="B252" s="120" t="s">
        <v>272</v>
      </c>
    </row>
    <row r="253" spans="2:5" x14ac:dyDescent="0.35">
      <c r="B253" s="120"/>
    </row>
    <row r="255" spans="2:5" x14ac:dyDescent="0.35">
      <c r="B255" s="109" t="s">
        <v>243</v>
      </c>
      <c r="C255" s="109" t="s">
        <v>244</v>
      </c>
    </row>
    <row r="256" spans="2:5" x14ac:dyDescent="0.35">
      <c r="C256" s="109" t="s">
        <v>245</v>
      </c>
    </row>
    <row r="268" spans="2:3" x14ac:dyDescent="0.35">
      <c r="B268" s="109" t="s">
        <v>246</v>
      </c>
      <c r="C268" s="109" t="s">
        <v>247</v>
      </c>
    </row>
  </sheetData>
  <mergeCells count="7">
    <mergeCell ref="A1:I1"/>
    <mergeCell ref="A2:I2"/>
    <mergeCell ref="A3:I3"/>
    <mergeCell ref="B230:C230"/>
    <mergeCell ref="B238:C238"/>
    <mergeCell ref="B119:H119"/>
    <mergeCell ref="B121:H121"/>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153</vt:i4>
      </vt:variant>
    </vt:vector>
  </HeadingPairs>
  <TitlesOfParts>
    <vt:vector size="154" baseType="lpstr">
      <vt:lpstr>WCAR</vt:lpstr>
      <vt:lpstr>XDO_?ASSET_TYPE_MM?</vt:lpstr>
      <vt:lpstr>XDO_?FUND?</vt:lpstr>
      <vt:lpstr>XDO_?HEADER?</vt:lpstr>
      <vt:lpstr>XDO_?ISIN_ALT?</vt:lpstr>
      <vt:lpstr>XDO_?ISIN_DEBT_A?</vt:lpstr>
      <vt:lpstr>XDO_?ISIN_DEBT_B?</vt:lpstr>
      <vt:lpstr>XDO_?ISIN_DEBT_C?</vt:lpstr>
      <vt:lpstr>XDO_?ISIN_DEBT_D?</vt:lpstr>
      <vt:lpstr>XDO_?ISIN_EQU?</vt:lpstr>
      <vt:lpstr>XDO_?ISIN_EQU_NON?</vt:lpstr>
      <vt:lpstr>XDO_?ISIN_FD?</vt:lpstr>
      <vt:lpstr>XDO_?ISIN_MFU?</vt:lpstr>
      <vt:lpstr>XDO_?ISIN_MM?</vt:lpstr>
      <vt:lpstr>XDO_?ISIN_TREP?</vt:lpstr>
      <vt:lpstr>XDO_?ISSUER_NAME_ALT?</vt:lpstr>
      <vt:lpstr>XDO_?ISSUER_NAME_DEBT_A?</vt:lpstr>
      <vt:lpstr>XDO_?ISSUER_NAME_DEBT_B?</vt:lpstr>
      <vt:lpstr>XDO_?ISSUER_NAME_DEBT_C?</vt:lpstr>
      <vt:lpstr>XDO_?ISSUER_NAME_DEBT_D?</vt:lpstr>
      <vt:lpstr>XDO_?ISSUER_NAME_DRV?</vt:lpstr>
      <vt:lpstr>XDO_?ISSUER_NAME_EQU?</vt:lpstr>
      <vt:lpstr>XDO_?ISSUER_NAME_EQU_NON?</vt:lpstr>
      <vt:lpstr>XDO_?ISSUER_NAME_FD?</vt:lpstr>
      <vt:lpstr>XDO_?ISSUER_NAME_MFU?</vt:lpstr>
      <vt:lpstr>XDO_?ISSUER_NAME_MM?</vt:lpstr>
      <vt:lpstr>XDO_?ISSUER_NAME_REPO?</vt:lpstr>
      <vt:lpstr>XDO_?ISSUER_NAME_TREP?</vt:lpstr>
      <vt:lpstr>XDO_?MARKET_VALUE_ALT?</vt:lpstr>
      <vt:lpstr>XDO_?MARKET_VALUE_DEBT_A?</vt:lpstr>
      <vt:lpstr>XDO_?MARKET_VALUE_DEBT_B?</vt:lpstr>
      <vt:lpstr>XDO_?MARKET_VALUE_DEBT_C?</vt:lpstr>
      <vt:lpstr>XDO_?MARKET_VALUE_DEBT_D?</vt:lpstr>
      <vt:lpstr>XDO_?MARKET_VALUE_DRV?</vt:lpstr>
      <vt:lpstr>XDO_?MARKET_VALUE_EQU?</vt:lpstr>
      <vt:lpstr>XDO_?MARKET_VALUE_EQU_NON?</vt:lpstr>
      <vt:lpstr>XDO_?MARKET_VALUE_FD?</vt:lpstr>
      <vt:lpstr>XDO_?MARKET_VALUE_MFU?</vt:lpstr>
      <vt:lpstr>XDO_?MARKET_VALUE_MM?</vt:lpstr>
      <vt:lpstr>XDO_?MARKET_VALUE_REPO?</vt:lpstr>
      <vt:lpstr>XDO_?MARKET_VALUE_TREP?</vt:lpstr>
      <vt:lpstr>XDO_?MATURITY_DATE_DEBT_A?</vt:lpstr>
      <vt:lpstr>XDO_?MATURITY_DATE_DEBT_B?</vt:lpstr>
      <vt:lpstr>XDO_?MATURITY_DATE_DEBT_C?</vt:lpstr>
      <vt:lpstr>XDO_?MATURITY_DATE_DEBT_D?</vt:lpstr>
      <vt:lpstr>XDO_?MATURITY_DATE_DRV?</vt:lpstr>
      <vt:lpstr>XDO_?MATURITY_DATE_EQU?</vt:lpstr>
      <vt:lpstr>XDO_?MATURITY_DATE_EQU_NON?</vt:lpstr>
      <vt:lpstr>XDO_?MATURITY_DATE_FD?</vt:lpstr>
      <vt:lpstr>XDO_?MATURITY_DATE_MFU?</vt:lpstr>
      <vt:lpstr>XDO_?MATURITY_DATE_MM?</vt:lpstr>
      <vt:lpstr>XDO_?MATURITY_DATE_TREP?</vt:lpstr>
      <vt:lpstr>XDO_?NET_CURRENT_ASSET?</vt:lpstr>
      <vt:lpstr>XDO_?PER_ASSET_VAL_REPO?</vt:lpstr>
      <vt:lpstr>XDO_?PER_NET_ASSET?</vt:lpstr>
      <vt:lpstr>XDO_?PER_NET_ASST_ALT?</vt:lpstr>
      <vt:lpstr>XDO_?PER_NET_ASST_DEBT_A?</vt:lpstr>
      <vt:lpstr>XDO_?PER_NET_ASST_DEBT_B?</vt:lpstr>
      <vt:lpstr>XDO_?PER_NET_ASST_DEBT_C?</vt:lpstr>
      <vt:lpstr>XDO_?PER_NET_ASST_DEBT_D?</vt:lpstr>
      <vt:lpstr>XDO_?PER_NET_ASST_DRV?</vt:lpstr>
      <vt:lpstr>XDO_?PER_NET_ASST_EQU?</vt:lpstr>
      <vt:lpstr>XDO_?PER_NET_ASST_EQU_NON?</vt:lpstr>
      <vt:lpstr>XDO_?PER_NET_ASST_FD?</vt:lpstr>
      <vt:lpstr>XDO_?PER_NET_ASST_MFU?</vt:lpstr>
      <vt:lpstr>XDO_?PER_NET_ASST_MM?</vt:lpstr>
      <vt:lpstr>XDO_?PER_NET_ASST_TREP?</vt:lpstr>
      <vt:lpstr>XDO_?QUANTITY_ALT?</vt:lpstr>
      <vt:lpstr>XDO_?QUANTITY_DEBT_A?</vt:lpstr>
      <vt:lpstr>XDO_?QUANTITY_DEBT_B?</vt:lpstr>
      <vt:lpstr>XDO_?QUANTITY_DEBT_C?</vt:lpstr>
      <vt:lpstr>XDO_?QUANTITY_DEBT_D?</vt:lpstr>
      <vt:lpstr>XDO_?QUANTITY_DRV?</vt:lpstr>
      <vt:lpstr>XDO_?QUANTITY_EQU?</vt:lpstr>
      <vt:lpstr>XDO_?QUANTITY_EQU_NON?</vt:lpstr>
      <vt:lpstr>XDO_?QUANTITY_FD?</vt:lpstr>
      <vt:lpstr>XDO_?QUANTITY_MFU?</vt:lpstr>
      <vt:lpstr>XDO_?QUANTITY_MM?</vt:lpstr>
      <vt:lpstr>XDO_?QUANTITY_TREP?</vt:lpstr>
      <vt:lpstr>XDO_?RATING_INDUSTRY_ALT?</vt:lpstr>
      <vt:lpstr>XDO_?RATING_INDUSTRY_DEBT_A?</vt:lpstr>
      <vt:lpstr>XDO_?RATING_INDUSTRY_DEBT_B?</vt:lpstr>
      <vt:lpstr>XDO_?RATING_INDUSTRY_DEBT_C?</vt:lpstr>
      <vt:lpstr>XDO_?RATING_INDUSTRY_DEBT_D?</vt:lpstr>
      <vt:lpstr>XDO_?RATING_INDUSTRY_DRV?</vt:lpstr>
      <vt:lpstr>XDO_?RATING_INDUSTRY_EQU?</vt:lpstr>
      <vt:lpstr>XDO_?RATING_INDUSTRY_EQU_NON?</vt:lpstr>
      <vt:lpstr>XDO_?RATING_INDUSTRY_FD?</vt:lpstr>
      <vt:lpstr>XDO_?RATING_INDUSTRY_MFU?</vt:lpstr>
      <vt:lpstr>XDO_?RATING_INDUSTRY_MM?</vt:lpstr>
      <vt:lpstr>XDO_?RATING_INDUSTRY_TREP?</vt:lpstr>
      <vt:lpstr>XDO_?TITLE_HASH?</vt:lpstr>
      <vt:lpstr>XDO_?TITLE_STAR?</vt:lpstr>
      <vt:lpstr>XDO_?TX_GT_MARKET_VALUE_DEBT_ALL?</vt:lpstr>
      <vt:lpstr>XDO_?TX_GT_MARKET_VALUE_EQU_ALL?</vt:lpstr>
      <vt:lpstr>XDO_?TX_GT_MARKET_VALUE_GRAND?</vt:lpstr>
      <vt:lpstr>XDO_?TX_GT_MARKET_VALUE_MM?</vt:lpstr>
      <vt:lpstr>XDO_?TX_GT_PER_NET_ASSET_DEBT_ALL?</vt:lpstr>
      <vt:lpstr>XDO_?TX_GT_PER_NET_ASST_EQU_ALL?</vt:lpstr>
      <vt:lpstr>XDO_?TX_GT_PER_NET_ASST_MM?</vt:lpstr>
      <vt:lpstr>XDO_?TX_MKT_VAL_DEBT_A_HDN?</vt:lpstr>
      <vt:lpstr>XDO_?TX_MKT_VAL_DEBT_B_HDN?</vt:lpstr>
      <vt:lpstr>XDO_?TX_MKT_VAL_DEBT_C_HDN?</vt:lpstr>
      <vt:lpstr>XDO_?TX_MKT_VAL_DEBT_D_HDN?</vt:lpstr>
      <vt:lpstr>XDO_?TX_MKT_VAL_EQU_HDN?</vt:lpstr>
      <vt:lpstr>XDO_?TX_MKT_VAL_EQU_NON_HDN?</vt:lpstr>
      <vt:lpstr>XDO_?TX_PER_NET_DEBT_A_HDN?</vt:lpstr>
      <vt:lpstr>XDO_?TX_PER_NET_DEBT_B_HDN?</vt:lpstr>
      <vt:lpstr>XDO_?TX_PER_NET_DEBT_C_HDN?</vt:lpstr>
      <vt:lpstr>XDO_?TX_PER_NET_DEBT_D_HDN?</vt:lpstr>
      <vt:lpstr>XDO_?TX_PER_NET_EQU_HDN?</vt:lpstr>
      <vt:lpstr>XDO_?TX_PER_NET_EQU_NON_HDN?</vt:lpstr>
      <vt:lpstr>XDO_?TX_ST_MARKET_VALUE_ALT?</vt:lpstr>
      <vt:lpstr>XDO_?TX_ST_MARKET_VALUE_DRV?</vt:lpstr>
      <vt:lpstr>XDO_?TX_ST_MARKET_VALUE_EQU?</vt:lpstr>
      <vt:lpstr>XDO_?TX_ST_MARKET_VALUE_EQU_NON?</vt:lpstr>
      <vt:lpstr>XDO_?TX_ST_MARKET_VALUE_FD?</vt:lpstr>
      <vt:lpstr>XDO_?TX_ST_MARKET_VALUE_MFU?</vt:lpstr>
      <vt:lpstr>XDO_?TX_ST_MARKET_VALUE_MM?</vt:lpstr>
      <vt:lpstr>XDO_?TX_ST_MARKET_VALUE_REPO?</vt:lpstr>
      <vt:lpstr>XDO_?TX_ST_MARKET_VALUE_TREP?</vt:lpstr>
      <vt:lpstr>XDO_?TX_ST_PER_ASSET_VAL_REPO?</vt:lpstr>
      <vt:lpstr>XDO_?TX_ST_PER_NET_ASST_ALT?</vt:lpstr>
      <vt:lpstr>XDO_?TX_ST_PER_NET_ASST_DRV?</vt:lpstr>
      <vt:lpstr>XDO_?TX_ST_PER_NET_ASST_EQU?</vt:lpstr>
      <vt:lpstr>XDO_?TX_ST_PER_NET_ASST_EQU_NON?</vt:lpstr>
      <vt:lpstr>XDO_?TX_ST_PER_NET_ASST_FD?</vt:lpstr>
      <vt:lpstr>XDO_?TX_ST_PER_NET_ASST_MFU?</vt:lpstr>
      <vt:lpstr>XDO_?TX_ST_PER_NET_ASST_MM?</vt:lpstr>
      <vt:lpstr>XDO_?TX_ST_PER_NET_ASST_TREP?</vt:lpstr>
      <vt:lpstr>XDO_?YIELDS_DEBT_A?</vt:lpstr>
      <vt:lpstr>XDO_?YIELDS_DEBT_B?</vt:lpstr>
      <vt:lpstr>XDO_?YIELDS_DEBT_C?</vt:lpstr>
      <vt:lpstr>XDO_?YIELDS_DEBT_D?</vt:lpstr>
      <vt:lpstr>XDO_?YIELDS_EQU?</vt:lpstr>
      <vt:lpstr>XDO_?YIELDS_EQU_NON?</vt:lpstr>
      <vt:lpstr>XDO_?YIELDS_FD?</vt:lpstr>
      <vt:lpstr>XDO_?YIELDS_MFU?</vt:lpstr>
      <vt:lpstr>XDO_?YIELDS_MM?</vt:lpstr>
      <vt:lpstr>XDO_?YIELDS_TREP?</vt:lpstr>
      <vt:lpstr>XDO_GROUP_?G_15?</vt:lpstr>
      <vt:lpstr>XDO_GROUP_?G_17?</vt:lpstr>
      <vt:lpstr>XDO_GROUP_?G_18?</vt:lpstr>
      <vt:lpstr>XDO_GROUP_?G_2?</vt:lpstr>
      <vt:lpstr>XDO_GROUP_?G_20?</vt:lpstr>
      <vt:lpstr>XDO_GROUP_?G_21?</vt:lpstr>
      <vt:lpstr>XDO_GROUP_?G_22?</vt:lpstr>
      <vt:lpstr>XDO_GROUP_?G_23?</vt:lpstr>
      <vt:lpstr>XDO_GROUP_?G_24?</vt:lpstr>
      <vt:lpstr>XDO_GROUP_?G_25?</vt:lpstr>
      <vt:lpstr>XDO_GROUP_?G_27?</vt:lpstr>
      <vt:lpstr>XDO_GROUP_?G_29?</vt:lpstr>
      <vt:lpstr>XDO_GROUP_?G_3?</vt:lpstr>
      <vt:lpstr>XDO_GROUP_?G_6?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2026-06-05T12:29:36Z</dcterms:created>
  <dcterms:modified xsi:type="dcterms:W3CDTF">2026-06-09T11:24:37Z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2026-06-05T12:31:34Z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428ef35a-ae77-415d-86f3-f81e4461ab2c</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