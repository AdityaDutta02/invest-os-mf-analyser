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Fortnightly portfolio\31-03-2024\Fortnightly Portfolio\"/>
    </mc:Choice>
  </mc:AlternateContent>
  <xr:revisionPtr revIDLastSave="0" documentId="13_ncr:1_{CB54BB0B-ADB4-4507-ACF4-24BCAA17DCF8}" xr6:coauthVersionLast="47" xr6:coauthVersionMax="47" xr10:uidLastSave="{00000000-0000-0000-0000-000000000000}"/>
  <bookViews>
    <workbookView xWindow="-108" yWindow="-108" windowWidth="20376" windowHeight="12216" xr2:uid="{497C0EF9-BE93-46B1-B27B-A0A8563C7435}"/>
  </bookViews>
  <sheets>
    <sheet name="HDLM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5" i="1" l="1"/>
</calcChain>
</file>

<file path=xl/sharedStrings.xml><?xml version="1.0" encoding="utf-8"?>
<sst xmlns="http://schemas.openxmlformats.org/spreadsheetml/2006/main" count="194" uniqueCount="148">
  <si>
    <t>HSBC Mutual Fund</t>
  </si>
  <si>
    <t>HSBC Medium Duration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</si>
  <si>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</si>
  <si>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</si>
  <si>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</si>
  <si>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</si>
  <si>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</si>
  <si>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</si>
  <si>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</si>
  <si>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</si>
  <si>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</si>
  <si>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</si>
  <si>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</si>
  <si>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</si>
  <si>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</si>
  <si>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</si>
  <si>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</si>
  <si>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Rec Limited**</t>
  </si>
  <si>
    <t>INE020B08EH0</t>
  </si>
  <si>
    <t>CRISIL AAA</t>
  </si>
  <si>
    <t>Hinduja Leyland Finance Limited**</t>
  </si>
  <si>
    <t>INE146O08159</t>
  </si>
  <si>
    <t>CRISIL AA</t>
  </si>
  <si>
    <t>Bharti Telecom Limited**</t>
  </si>
  <si>
    <t>INE403D08140</t>
  </si>
  <si>
    <t>CRISIL AA+</t>
  </si>
  <si>
    <t>National Bank for Agriculture &amp; Rural Development**</t>
  </si>
  <si>
    <t>INE261F08DV4</t>
  </si>
  <si>
    <t>Power Finance Corporation Limited^</t>
  </si>
  <si>
    <t>INE134E08MX3</t>
  </si>
  <si>
    <t>National Bank for Agriculture &amp; Rural Development^</t>
  </si>
  <si>
    <t>INE261F08EH1</t>
  </si>
  <si>
    <t>Aadhar Housing Finance Limited**</t>
  </si>
  <si>
    <t>INE883F07306</t>
  </si>
  <si>
    <t>IND AA</t>
  </si>
  <si>
    <t>INE163N08115</t>
  </si>
  <si>
    <t>ICRA AAA (CE)</t>
  </si>
  <si>
    <t>Jm Financial Services Limited**</t>
  </si>
  <si>
    <t>INE012I07066</t>
  </si>
  <si>
    <t>PNB Housing Finance Limited**</t>
  </si>
  <si>
    <t>INE572E07134</t>
  </si>
  <si>
    <t>INE105N07175</t>
  </si>
  <si>
    <t>INE001W07011</t>
  </si>
  <si>
    <t>IND AAA (CE)</t>
  </si>
  <si>
    <t>INE163N08131</t>
  </si>
  <si>
    <t>INE163K07121</t>
  </si>
  <si>
    <t>TVS Credit Services Limited**</t>
  </si>
  <si>
    <t>INE729N07032</t>
  </si>
  <si>
    <t>DLF Cyber City Developers Limited^</t>
  </si>
  <si>
    <t>INE186K07049</t>
  </si>
  <si>
    <t>TMF Holdings Limited**</t>
  </si>
  <si>
    <t>INE909H08444</t>
  </si>
  <si>
    <t>INE555J07260</t>
  </si>
  <si>
    <t>CARE AA+</t>
  </si>
  <si>
    <t>INE555J07252</t>
  </si>
  <si>
    <t>INE935V07012</t>
  </si>
  <si>
    <t>INE999X07014</t>
  </si>
  <si>
    <t>INE961M07017</t>
  </si>
  <si>
    <t>Power Finance Corporation Limited**</t>
  </si>
  <si>
    <t>INE134E08JY7</t>
  </si>
  <si>
    <t>INE555J07245</t>
  </si>
  <si>
    <t>INE555J07237</t>
  </si>
  <si>
    <t>INE964M07011</t>
  </si>
  <si>
    <t>INE969M07010</t>
  </si>
  <si>
    <t>Total</t>
  </si>
  <si>
    <t>Securitised Debt</t>
  </si>
  <si>
    <t>Sansar Trust IX**</t>
  </si>
  <si>
    <t>INE0REK15015</t>
  </si>
  <si>
    <t>ICRA AAA(SO)</t>
  </si>
  <si>
    <t>INE0BTV15188</t>
  </si>
  <si>
    <t>CRISIL AAA(SO)</t>
  </si>
  <si>
    <t>INE0BTV15196</t>
  </si>
  <si>
    <t>INE0BTV15204</t>
  </si>
  <si>
    <t>Government Securities</t>
  </si>
  <si>
    <t>7.18% GOVERNMENT ON INDIA 14AUG2033 GSEC</t>
  </si>
  <si>
    <t>IN0020230085</t>
  </si>
  <si>
    <t>SOVEREIGN</t>
  </si>
  <si>
    <t>7.18% GOI 24-Jul-2037</t>
  </si>
  <si>
    <t>IN0020230077</t>
  </si>
  <si>
    <t>7.26% GOVERNMENT OF INDIA 06FEB33</t>
  </si>
  <si>
    <t>IN0020220151</t>
  </si>
  <si>
    <t>7.26% GOI 22AUG2032</t>
  </si>
  <si>
    <t>IN0020220060</t>
  </si>
  <si>
    <t>AIF</t>
  </si>
  <si>
    <t>INF0RQ622028</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</si>
  <si>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</si>
  <si>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</si>
  <si>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</si>
  <si>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</si>
  <si>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</si>
  <si>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</si>
  <si>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Direct Plan Annual IDCW Option</t>
  </si>
  <si>
    <t>Direct Plan  Growth Option</t>
  </si>
  <si>
    <t>Direct Plan IDCW Option</t>
  </si>
  <si>
    <t>Growth Option</t>
  </si>
  <si>
    <t>IDCW Option</t>
  </si>
  <si>
    <t>Regular Plan Annual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</si>
  <si>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</si>
  <si>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</si>
  <si>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</si>
  <si>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</si>
  <si>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</si>
  <si>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</si>
  <si>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medium term debt scheme investing in instruments such that the Macaulay duration of the portfolio is between 3 years to 4 years (for details on Macaulay’s Duration please refer to the SID under the section “Asset Allocation Pattern”). A relatively high interest rate risk and moderate credit risk.)</t>
  </si>
  <si>
    <t>CDMDF CLASS A2</t>
  </si>
  <si>
    <t>Market Value includes accrued interest</t>
  </si>
  <si>
    <t>** Securities are classified as non-traded on the basis of Traded data as on MAR 28, 2024  provided by CRISIL and ICRA.</t>
  </si>
  <si>
    <t>^ Securities are classified as traded on the basis of Traded data as on MAR 28, 2024  provided by CRISIL and ICRA.</t>
  </si>
  <si>
    <t>Annualised Portfolio YTM !</t>
  </si>
  <si>
    <t>Macaulay Duration</t>
  </si>
  <si>
    <t xml:space="preserve"> ! in case of semi annual YTM,  it will be annualised</t>
  </si>
  <si>
    <t>Notes: HSBC Medium Duration Fund</t>
  </si>
  <si>
    <t>As on 31 MAR 2024</t>
  </si>
  <si>
    <t>As on 15 MAR 2024</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</si>
  <si>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</si>
  <si>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</si>
  <si>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(6) No bonus was declared  during the fortnight ended  MAR 31, 2024.</t>
  </si>
  <si>
    <t>(7) The Average Maturity Period for debt portion of the Portfolio has been 64.77 months.</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</si>
  <si>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</si>
  <si>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</si>
  <si>
    <t>(3) The total outstanding exposure in derivative instruments as on  MAR 31, 2024 is as follows:</t>
  </si>
  <si>
    <t>Underlying Security</t>
  </si>
  <si>
    <t>Position</t>
  </si>
  <si>
    <t>Instrument Type</t>
  </si>
  <si>
    <t>Maturity/Next Interest Fixing $</t>
  </si>
  <si>
    <t>Notional Value (Rs in lakhs)</t>
  </si>
  <si>
    <t>7.18% GOI 14AUG2033</t>
  </si>
  <si>
    <t>Short</t>
  </si>
  <si>
    <t>Fixed</t>
  </si>
  <si>
    <t>Long</t>
  </si>
  <si>
    <t>Floating</t>
  </si>
  <si>
    <t>$ The maturity equivalent is the next interest fixing date in case of the floating Leg and for the fixed leg it is the final maturity date of the contract.</t>
  </si>
  <si>
    <t>ONGC Petro Additions Limited (Letter of comfort from Oil &amp; Natural Gas Corporation Limited) **</t>
  </si>
  <si>
    <t>Yarrow Infrastructure Pvt Limited (Vector green co-obligor structure- Sembcorp/Temasek owned)**</t>
  </si>
  <si>
    <t>Oriental Nagpur Betul Highway Limited (Nhai Annuity Receivables) **</t>
  </si>
  <si>
    <t>Phoenix ARC Limited (Kotak Group Entity)**</t>
  </si>
  <si>
    <t>Patel Knr Heavy Infrastructures Limited (Nhai Annuity Receivables) **</t>
  </si>
  <si>
    <t>Vector Green Prayagraj Solar Pvt Limited (Vector green co-obligor structure- Sembcorp/Temasek owned) **</t>
  </si>
  <si>
    <t>Malwa Solar Power Generation Pvt Limited (Vector green co-obligor structure- Sembcorp/Temasek owned)**</t>
  </si>
  <si>
    <t>Sepset Constructions Pvt Limited (Vector green co-obligor structure- Sembcorp/Temasek owned) **</t>
  </si>
  <si>
    <t>Priapus Infrastructure Pvt Limited (Vector green co-obligor structure- Sembcorp/Temasek owned) **</t>
  </si>
  <si>
    <t>Citra Real Estate Limited (Vector green co-obligor structure- Sembcorp/Temasek owned) **</t>
  </si>
  <si>
    <t>First Business Receivables Trust ( Backed by receivables from Reliance Industries, Reliance Retail, Reliance Jio)**</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</si>
  <si>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</si>
  <si>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Interest Rate Swaps</t>
  </si>
  <si>
    <t>Pay Fixed/Receive Float_20/11/2028</t>
  </si>
  <si>
    <t>Pay Fixed/Receive Float_15/02/2029</t>
  </si>
  <si>
    <t>ICRA 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</si>
</sst>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
    <numFmt numFmtId="167" formatCode="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9"/>
      <color indexed="63"/>
      <name val="Arial"/>
      <family val="2"/>
    </font>
    <font>
      <sz val="8"/>
      <color rgb="FF000000"/>
      <name val="Arial"/>
      <family val="2"/>
    </font>
    <font>
      <sz val="10"/>
      <color rgb="FF000000"/>
      <name val="Arial"/>
      <family val="2"/>
    </font>
    <font>
      <b/>
      <sz val="9"/>
      <color rgb="FF000000"/>
      <name val="Arial"/>
      <family val="2"/>
    </font>
    <font>
      <sz val="9"/>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rgb="FFDDDDDD"/>
      </left>
      <right/>
      <top/>
      <bottom/>
      <diagonal/>
    </border>
  </borders>
  <cellStyleXfs count="4">
    <xf numFmtId="0" fontId="0" fillId="0" borderId="0"/>
    <xf numFmtId="0" fontId="5" fillId="0" borderId="0"/>
    <xf numFmtId="0" fontId="7" fillId="0" borderId="0" applyFill="0" applyBorder="0" applyAlignment="0" applyProtection="0"/>
    <xf numFmtId="9" fontId="8" fillId="0" borderId="0" applyFont="0" applyFill="0" applyBorder="0" applyAlignment="0" applyProtection="0"/>
  </cellStyleXfs>
  <cellXfs count="83">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49" fontId="4" fillId="3" borderId="11" xfId="0" applyNumberFormat="1" applyFont="1" applyFill="1" applyBorder="1" applyAlignment="1">
      <alignment horizontal="left"/>
    </xf>
    <xf numFmtId="15" fontId="2" fillId="3" borderId="0" xfId="0" applyNumberFormat="1" applyFont="1" applyFill="1" applyAlignment="1">
      <alignment horizontal="left"/>
    </xf>
    <xf numFmtId="49" fontId="2" fillId="3" borderId="11" xfId="0" applyNumberFormat="1" applyFont="1" applyFill="1" applyBorder="1" applyAlignment="1">
      <alignment horizontal="left"/>
    </xf>
    <xf numFmtId="49" fontId="1" fillId="3" borderId="11" xfId="0" applyNumberFormat="1" applyFont="1" applyFill="1" applyBorder="1" applyAlignment="1">
      <alignment horizontal="left"/>
    </xf>
    <xf numFmtId="15" fontId="0" fillId="0" borderId="0" xfId="0" applyNumberFormat="1"/>
    <xf numFmtId="0" fontId="5" fillId="0" borderId="0" xfId="1"/>
    <xf numFmtId="15" fontId="1" fillId="3" borderId="2" xfId="0" applyNumberFormat="1" applyFont="1" applyFill="1" applyBorder="1" applyAlignment="1">
      <alignment horizontal="left"/>
    </xf>
    <xf numFmtId="49" fontId="2" fillId="3" borderId="18" xfId="1" applyNumberFormat="1" applyFont="1" applyFill="1" applyBorder="1" applyAlignment="1">
      <alignment horizontal="left"/>
    </xf>
    <xf numFmtId="164" fontId="6" fillId="4" borderId="19" xfId="0" applyNumberFormat="1" applyFont="1" applyFill="1" applyBorder="1" applyAlignment="1">
      <alignment horizontal="right"/>
    </xf>
    <xf numFmtId="2" fontId="6" fillId="4" borderId="19" xfId="0" applyNumberFormat="1" applyFont="1" applyFill="1" applyBorder="1" applyAlignment="1">
      <alignment horizontal="right"/>
    </xf>
    <xf numFmtId="0" fontId="2" fillId="3" borderId="18" xfId="1" applyFont="1" applyFill="1" applyBorder="1" applyAlignment="1">
      <alignment horizontal="left"/>
    </xf>
    <xf numFmtId="49" fontId="1" fillId="3" borderId="11" xfId="1" applyNumberFormat="1" applyFont="1" applyFill="1" applyBorder="1" applyAlignment="1">
      <alignment horizontal="left"/>
    </xf>
    <xf numFmtId="0" fontId="2" fillId="3" borderId="0" xfId="1" applyFont="1" applyFill="1" applyAlignment="1">
      <alignment horizontal="left"/>
    </xf>
    <xf numFmtId="49" fontId="2" fillId="3" borderId="11" xfId="1" applyNumberFormat="1" applyFont="1" applyFill="1" applyBorder="1" applyAlignment="1">
      <alignment horizontal="left"/>
    </xf>
    <xf numFmtId="49" fontId="1" fillId="3" borderId="9" xfId="1" applyNumberFormat="1" applyFont="1" applyFill="1" applyBorder="1" applyAlignment="1">
      <alignment horizontal="center" vertical="center"/>
    </xf>
    <xf numFmtId="49" fontId="2" fillId="3" borderId="12" xfId="1" applyNumberFormat="1" applyFont="1" applyFill="1" applyBorder="1" applyAlignment="1">
      <alignment horizontal="left"/>
    </xf>
    <xf numFmtId="165" fontId="2" fillId="3" borderId="0" xfId="1" applyNumberFormat="1" applyFont="1" applyFill="1" applyAlignment="1">
      <alignment horizontal="center" vertical="center"/>
    </xf>
    <xf numFmtId="165" fontId="2" fillId="3" borderId="12" xfId="1" applyNumberFormat="1" applyFont="1" applyFill="1" applyBorder="1" applyAlignment="1">
      <alignment horizontal="center"/>
    </xf>
    <xf numFmtId="0" fontId="2" fillId="3" borderId="12" xfId="1" applyFont="1" applyFill="1" applyBorder="1" applyAlignment="1">
      <alignment horizontal="center"/>
    </xf>
    <xf numFmtId="49" fontId="2" fillId="3" borderId="13" xfId="1" applyNumberFormat="1" applyFont="1" applyFill="1" applyBorder="1" applyAlignment="1">
      <alignment horizontal="left"/>
    </xf>
    <xf numFmtId="165" fontId="2" fillId="3" borderId="20" xfId="1" applyNumberFormat="1" applyFont="1" applyFill="1" applyBorder="1" applyAlignment="1">
      <alignment horizontal="center" vertical="center"/>
    </xf>
    <xf numFmtId="0" fontId="2" fillId="3" borderId="13" xfId="1" applyFont="1" applyFill="1" applyBorder="1" applyAlignment="1">
      <alignment horizontal="center"/>
    </xf>
    <xf numFmtId="49" fontId="1" fillId="3" borderId="14" xfId="1" applyNumberFormat="1" applyFont="1" applyFill="1" applyBorder="1" applyAlignment="1">
      <alignment horizontal="left"/>
    </xf>
    <xf numFmtId="49" fontId="1" fillId="3" borderId="1" xfId="1" applyNumberFormat="1" applyFont="1" applyFill="1" applyBorder="1" applyAlignment="1">
      <alignment horizontal="left"/>
    </xf>
    <xf numFmtId="49" fontId="1" fillId="3" borderId="2" xfId="1" applyNumberFormat="1" applyFont="1" applyFill="1" applyBorder="1" applyAlignment="1">
      <alignment horizontal="left"/>
    </xf>
    <xf numFmtId="0" fontId="1" fillId="3" borderId="3" xfId="1" applyFont="1" applyFill="1" applyBorder="1" applyAlignment="1">
      <alignment horizontal="left"/>
    </xf>
    <xf numFmtId="49" fontId="1" fillId="3" borderId="9" xfId="1" applyNumberFormat="1" applyFont="1" applyFill="1" applyBorder="1" applyAlignment="1">
      <alignment horizontal="left"/>
    </xf>
    <xf numFmtId="4" fontId="2" fillId="3" borderId="12" xfId="1" applyNumberFormat="1" applyFont="1" applyFill="1" applyBorder="1" applyAlignment="1">
      <alignment horizontal="center"/>
    </xf>
    <xf numFmtId="2" fontId="2" fillId="3" borderId="12" xfId="1" applyNumberFormat="1" applyFont="1" applyFill="1" applyBorder="1" applyAlignment="1">
      <alignment horizontal="center"/>
    </xf>
    <xf numFmtId="49" fontId="2" fillId="3" borderId="13" xfId="1" applyNumberFormat="1" applyFont="1" applyFill="1" applyBorder="1" applyAlignment="1">
      <alignment horizontal="center"/>
    </xf>
    <xf numFmtId="0" fontId="2" fillId="3" borderId="9" xfId="0" applyFont="1" applyFill="1" applyBorder="1" applyAlignment="1">
      <alignment horizontal="right"/>
    </xf>
    <xf numFmtId="0" fontId="9" fillId="0" borderId="18" xfId="0" applyFont="1" applyBorder="1" applyAlignment="1">
      <alignment horizontal="center" vertical="center" wrapText="1"/>
    </xf>
    <xf numFmtId="0" fontId="10" fillId="0" borderId="18" xfId="0" applyFont="1" applyBorder="1" applyAlignment="1">
      <alignment horizontal="center"/>
    </xf>
    <xf numFmtId="15" fontId="10" fillId="0" borderId="18" xfId="0" applyNumberFormat="1" applyFont="1" applyBorder="1" applyAlignment="1">
      <alignment horizontal="center"/>
    </xf>
    <xf numFmtId="49" fontId="2" fillId="3" borderId="0" xfId="1" applyNumberFormat="1" applyFont="1" applyFill="1" applyAlignment="1">
      <alignment horizontal="left"/>
    </xf>
    <xf numFmtId="166" fontId="2" fillId="3" borderId="12" xfId="1" applyNumberFormat="1" applyFont="1" applyFill="1" applyBorder="1" applyAlignment="1">
      <alignment horizontal="center"/>
    </xf>
    <xf numFmtId="4" fontId="2" fillId="3" borderId="0" xfId="0" applyNumberFormat="1" applyFont="1" applyFill="1" applyAlignment="1">
      <alignment horizontal="left"/>
    </xf>
    <xf numFmtId="167" fontId="2" fillId="3" borderId="0" xfId="3" applyNumberFormat="1" applyFont="1" applyFill="1" applyAlignment="1">
      <alignment horizontal="left"/>
    </xf>
    <xf numFmtId="49" fontId="4" fillId="3" borderId="21" xfId="1" applyNumberFormat="1" applyFont="1" applyFill="1" applyBorder="1" applyAlignment="1">
      <alignment horizontal="left" vertical="top" wrapText="1"/>
    </xf>
    <xf numFmtId="49" fontId="4" fillId="3" borderId="0" xfId="1" applyNumberFormat="1" applyFont="1" applyFill="1" applyAlignment="1">
      <alignment horizontal="left" vertical="top" wrapText="1"/>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1" fillId="2" borderId="15" xfId="0" applyNumberFormat="1" applyFont="1" applyFill="1" applyBorder="1" applyAlignment="1">
      <alignment horizontal="center" vertical="center" wrapText="1"/>
    </xf>
    <xf numFmtId="49" fontId="1" fillId="2" borderId="16" xfId="0" applyNumberFormat="1" applyFont="1" applyFill="1" applyBorder="1" applyAlignment="1">
      <alignment horizontal="center" vertical="center" wrapText="1"/>
    </xf>
    <xf numFmtId="49" fontId="1" fillId="2" borderId="17" xfId="0" applyNumberFormat="1" applyFont="1" applyFill="1" applyBorder="1" applyAlignment="1">
      <alignment horizontal="center" vertical="center" wrapText="1"/>
    </xf>
    <xf numFmtId="49" fontId="2" fillId="3" borderId="18" xfId="1" applyNumberFormat="1" applyFont="1" applyFill="1" applyBorder="1" applyAlignment="1">
      <alignment horizontal="center" vertical="center" wrapText="1"/>
    </xf>
    <xf numFmtId="2" fontId="2" fillId="3" borderId="9" xfId="0" applyNumberFormat="1" applyFont="1" applyFill="1" applyBorder="1" applyAlignment="1"/>
  </cellXfs>
  <cellStyles count="4">
    <cellStyle name="Normal" xfId="0" builtinId="0"/>
    <cellStyle name="Normal 2" xfId="1" xr:uid="{3B5242CA-9E1F-44F9-B881-61734A25764D}"/>
    <cellStyle name="Normal 3" xfId="2" xr:uid="{AD3AB735-23F1-4DA9-A0A6-19415EA0C92B}"/>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179070</xdr:colOff>
      <xdr:row>74</xdr:row>
      <xdr:rowOff>83820</xdr:rowOff>
    </xdr:from>
    <xdr:to>
      <xdr:col>5</xdr:col>
      <xdr:colOff>295910</xdr:colOff>
      <xdr:row>88</xdr:row>
      <xdr:rowOff>38895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2" r="5633"/>
        <a:stretch/>
      </xdr:blipFill>
      <xdr:spPr bwMode="auto">
        <a:xfrm>
          <a:off x="179070" y="16835120"/>
          <a:ext cx="11880850" cy="315547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500380</xdr:colOff>
      <xdr:row>76</xdr:row>
      <xdr:rowOff>113030</xdr:rowOff>
    </xdr:from>
    <xdr:to>
      <xdr:col>2</xdr:col>
      <xdr:colOff>1178350</xdr:colOff>
      <xdr:row>83</xdr:row>
      <xdr:rowOff>8043</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24930" y="17321530"/>
          <a:ext cx="2135930" cy="1497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505460</xdr:colOff>
      <xdr:row>76</xdr:row>
      <xdr:rowOff>63500</xdr:rowOff>
    </xdr:from>
    <xdr:to>
      <xdr:col>4</xdr:col>
      <xdr:colOff>1286314</xdr:colOff>
      <xdr:row>81</xdr:row>
      <xdr:rowOff>227641</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351010" y="17272000"/>
          <a:ext cx="2236274" cy="13071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B2DA6-0747-4FBD-BD67-907BEAA4F8C2}">
  <dimension ref="A1:J114"/>
  <sheetViews>
    <sheetView tabSelected="1" workbookViewId="0">
      <selection sqref="A1:I1"/>
    </sheetView>
  </sheetViews>
  <sheetFormatPr defaultRowHeight="13.2" x14ac:dyDescent="0.25"/>
  <cols>
    <col min="1" max="1" width="84.77734375" customWidth="1"/>
    <col min="2" max="7" width="20.88671875" customWidth="1"/>
    <col min="8" max="9" width="10.109375" customWidth="1"/>
    <col min="10" max="10" width="10.6640625" style="36" customWidth="1"/>
    <col min="11" max="11" width="4.6640625" customWidth="1"/>
  </cols>
  <sheetData>
    <row r="1" spans="1:10" s="2" customFormat="1" ht="24" customHeight="1" x14ac:dyDescent="0.25">
      <c r="A1" s="74" t="s">
        <v>0</v>
      </c>
      <c r="B1" s="74"/>
      <c r="C1" s="74"/>
      <c r="D1" s="74"/>
      <c r="E1" s="74"/>
      <c r="F1" s="74"/>
      <c r="G1" s="74"/>
      <c r="H1" s="74"/>
      <c r="I1" s="74"/>
      <c r="J1" s="1"/>
    </row>
    <row r="2" spans="1:10" s="2" customFormat="1" ht="24" customHeight="1" x14ac:dyDescent="0.25">
      <c r="A2" s="74" t="s">
        <v>1</v>
      </c>
      <c r="B2" s="74"/>
      <c r="C2" s="74"/>
      <c r="D2" s="74"/>
      <c r="E2" s="74"/>
      <c r="F2" s="74"/>
      <c r="G2" s="74"/>
      <c r="H2" s="74"/>
      <c r="I2" s="74"/>
      <c r="J2" s="1"/>
    </row>
    <row r="3" spans="1:10" s="2" customFormat="1" ht="24" customHeight="1" x14ac:dyDescent="0.2">
      <c r="A3" s="78" t="s">
        <v>103</v>
      </c>
      <c r="B3" s="79"/>
      <c r="C3" s="79"/>
      <c r="D3" s="79"/>
      <c r="E3" s="79"/>
      <c r="F3" s="79"/>
      <c r="G3" s="79"/>
      <c r="H3" s="79"/>
      <c r="I3" s="79"/>
      <c r="J3" s="80"/>
    </row>
    <row r="4" spans="1:10" s="2" customFormat="1" ht="18.149999999999999" customHeight="1" x14ac:dyDescent="0.25">
      <c r="A4" s="75" t="s">
        <v>2</v>
      </c>
      <c r="B4" s="75"/>
      <c r="C4" s="75"/>
      <c r="D4" s="75"/>
      <c r="E4" s="75"/>
      <c r="F4" s="75"/>
      <c r="G4" s="75"/>
      <c r="H4" s="75"/>
      <c r="I4" s="75"/>
      <c r="J4" s="3"/>
    </row>
    <row r="5" spans="1:10" s="2" customFormat="1" ht="18.149999999999999" customHeight="1" x14ac:dyDescent="0.25">
      <c r="A5" s="76"/>
      <c r="B5" s="76"/>
      <c r="C5" s="76"/>
      <c r="D5" s="76"/>
      <c r="E5" s="76"/>
      <c r="F5" s="76"/>
      <c r="G5" s="76"/>
      <c r="H5" s="76"/>
      <c r="I5" s="76"/>
      <c r="J5" s="4"/>
    </row>
    <row r="6" spans="1:10" s="2" customFormat="1" ht="18.149999999999999" customHeight="1" x14ac:dyDescent="0.25">
      <c r="A6" s="72" t="s">
        <v>3</v>
      </c>
      <c r="B6" s="72" t="s">
        <v>4</v>
      </c>
      <c r="C6" s="72" t="s">
        <v>5</v>
      </c>
      <c r="D6" s="72" t="s">
        <v>6</v>
      </c>
      <c r="E6" s="77" t="s">
        <v>7</v>
      </c>
      <c r="F6" s="72" t="s">
        <v>8</v>
      </c>
      <c r="G6" s="72" t="s">
        <v>9</v>
      </c>
      <c r="H6" s="5" t="s">
        <v>10</v>
      </c>
      <c r="I6" s="6"/>
      <c r="J6" s="73" t="s">
        <v>11</v>
      </c>
    </row>
    <row r="7" spans="1:10" s="2" customFormat="1" ht="18.149999999999999" customHeight="1" x14ac:dyDescent="0.25">
      <c r="A7" s="72"/>
      <c r="B7" s="72"/>
      <c r="C7" s="72"/>
      <c r="D7" s="72"/>
      <c r="E7" s="77"/>
      <c r="F7" s="72"/>
      <c r="G7" s="72"/>
      <c r="H7" s="7" t="s">
        <v>12</v>
      </c>
      <c r="I7" s="8" t="s">
        <v>13</v>
      </c>
      <c r="J7" s="73"/>
    </row>
    <row r="8" spans="1:10" s="2" customFormat="1" ht="18.149999999999999" customHeight="1" x14ac:dyDescent="0.25">
      <c r="A8" s="9" t="s">
        <v>14</v>
      </c>
      <c r="B8" s="10"/>
      <c r="C8" s="10"/>
      <c r="D8" s="10"/>
      <c r="E8" s="10"/>
      <c r="F8" s="10"/>
      <c r="G8" s="10"/>
      <c r="H8" s="11"/>
      <c r="I8" s="12"/>
      <c r="J8" s="13"/>
    </row>
    <row r="9" spans="1:10" s="2" customFormat="1" ht="18.149999999999999" customHeight="1" x14ac:dyDescent="0.25">
      <c r="A9" s="9" t="s">
        <v>15</v>
      </c>
      <c r="B9" s="10"/>
      <c r="C9" s="10"/>
      <c r="D9" s="10"/>
      <c r="E9" s="10"/>
      <c r="F9" s="10"/>
      <c r="G9" s="10"/>
      <c r="H9" s="11"/>
      <c r="I9" s="12"/>
      <c r="J9" s="13"/>
    </row>
    <row r="10" spans="1:10" s="2" customFormat="1" ht="18.149999999999999" customHeight="1" x14ac:dyDescent="0.25">
      <c r="A10" s="14" t="s">
        <v>16</v>
      </c>
      <c r="B10" s="15"/>
      <c r="C10" s="15"/>
      <c r="D10" s="15"/>
      <c r="E10" s="15"/>
      <c r="F10" s="15"/>
      <c r="G10" s="15"/>
      <c r="H10" s="16"/>
      <c r="I10" s="17"/>
      <c r="J10" s="18"/>
    </row>
    <row r="11" spans="1:10" s="2" customFormat="1" ht="18.149999999999999" customHeight="1" x14ac:dyDescent="0.2">
      <c r="A11" s="19" t="s">
        <v>17</v>
      </c>
      <c r="B11" s="19" t="s">
        <v>18</v>
      </c>
      <c r="C11" s="19" t="s">
        <v>19</v>
      </c>
      <c r="D11" s="20">
        <v>5000</v>
      </c>
      <c r="E11" s="20">
        <v>5037.8043835999997</v>
      </c>
      <c r="F11" s="21">
        <v>6.1400000000000003E-2</v>
      </c>
      <c r="G11" s="22">
        <v>7.55</v>
      </c>
      <c r="H11" s="23"/>
      <c r="I11" s="12"/>
      <c r="J11" s="13">
        <v>46843</v>
      </c>
    </row>
    <row r="12" spans="1:10" s="2" customFormat="1" ht="18.149999999999999" customHeight="1" x14ac:dyDescent="0.2">
      <c r="A12" s="19" t="s">
        <v>20</v>
      </c>
      <c r="B12" s="19" t="s">
        <v>21</v>
      </c>
      <c r="C12" s="19" t="s">
        <v>22</v>
      </c>
      <c r="D12" s="20">
        <v>250</v>
      </c>
      <c r="E12" s="20">
        <v>2806.3526026999998</v>
      </c>
      <c r="F12" s="21">
        <v>3.4200000000000001E-2</v>
      </c>
      <c r="G12" s="22">
        <v>9.4441000000000006</v>
      </c>
      <c r="H12" s="23"/>
      <c r="I12" s="12"/>
      <c r="J12" s="13">
        <v>45564</v>
      </c>
    </row>
    <row r="13" spans="1:10" s="2" customFormat="1" ht="18.149999999999999" customHeight="1" x14ac:dyDescent="0.2">
      <c r="A13" s="19" t="s">
        <v>23</v>
      </c>
      <c r="B13" s="19" t="s">
        <v>24</v>
      </c>
      <c r="C13" s="19" t="s">
        <v>25</v>
      </c>
      <c r="D13" s="20">
        <v>250</v>
      </c>
      <c r="E13" s="20">
        <v>2560.5819399000002</v>
      </c>
      <c r="F13" s="21">
        <v>3.1199999999999999E-2</v>
      </c>
      <c r="G13" s="22">
        <v>8.9</v>
      </c>
      <c r="H13" s="23"/>
      <c r="I13" s="12"/>
      <c r="J13" s="13">
        <v>45631</v>
      </c>
    </row>
    <row r="14" spans="1:10" s="2" customFormat="1" ht="18.149999999999999" customHeight="1" x14ac:dyDescent="0.2">
      <c r="A14" s="19" t="s">
        <v>26</v>
      </c>
      <c r="B14" s="19" t="s">
        <v>27</v>
      </c>
      <c r="C14" s="19" t="s">
        <v>19</v>
      </c>
      <c r="D14" s="20">
        <v>2500</v>
      </c>
      <c r="E14" s="20">
        <v>2538.5898769999999</v>
      </c>
      <c r="F14" s="21">
        <v>3.09E-2</v>
      </c>
      <c r="G14" s="22">
        <v>7.6150000000000002</v>
      </c>
      <c r="H14" s="23"/>
      <c r="I14" s="12"/>
      <c r="J14" s="13">
        <v>46783</v>
      </c>
    </row>
    <row r="15" spans="1:10" s="2" customFormat="1" ht="18.149999999999999" customHeight="1" x14ac:dyDescent="0.2">
      <c r="A15" s="19" t="s">
        <v>28</v>
      </c>
      <c r="B15" s="19" t="s">
        <v>29</v>
      </c>
      <c r="C15" s="19" t="s">
        <v>19</v>
      </c>
      <c r="D15" s="20">
        <v>2500</v>
      </c>
      <c r="E15" s="20">
        <v>2527.0534016000001</v>
      </c>
      <c r="F15" s="21">
        <v>3.0800000000000001E-2</v>
      </c>
      <c r="G15" s="22">
        <v>7.5320999999999998</v>
      </c>
      <c r="H15" s="23"/>
      <c r="I15" s="12"/>
      <c r="J15" s="13">
        <v>47221</v>
      </c>
    </row>
    <row r="16" spans="1:10" s="2" customFormat="1" ht="18.149999999999999" customHeight="1" x14ac:dyDescent="0.2">
      <c r="A16" s="19" t="s">
        <v>30</v>
      </c>
      <c r="B16" s="19" t="s">
        <v>31</v>
      </c>
      <c r="C16" s="19" t="s">
        <v>19</v>
      </c>
      <c r="D16" s="20">
        <v>2500</v>
      </c>
      <c r="E16" s="20">
        <v>2503.3115068000002</v>
      </c>
      <c r="F16" s="21">
        <v>3.0499999999999999E-2</v>
      </c>
      <c r="G16" s="22">
        <v>7.6243999999999996</v>
      </c>
      <c r="H16" s="23"/>
      <c r="I16" s="12"/>
      <c r="J16" s="13">
        <v>47248</v>
      </c>
    </row>
    <row r="17" spans="1:10" s="2" customFormat="1" ht="18.149999999999999" customHeight="1" x14ac:dyDescent="0.2">
      <c r="A17" s="19" t="s">
        <v>32</v>
      </c>
      <c r="B17" s="19" t="s">
        <v>33</v>
      </c>
      <c r="C17" s="19" t="s">
        <v>34</v>
      </c>
      <c r="D17" s="20">
        <v>2000</v>
      </c>
      <c r="E17" s="20">
        <v>2139.5429945000001</v>
      </c>
      <c r="F17" s="21">
        <v>2.6100000000000002E-2</v>
      </c>
      <c r="G17" s="22">
        <v>8.6452000000000009</v>
      </c>
      <c r="H17" s="23"/>
      <c r="I17" s="12"/>
      <c r="J17" s="13">
        <v>46168</v>
      </c>
    </row>
    <row r="18" spans="1:10" s="2" customFormat="1" ht="18.149999999999999" customHeight="1" x14ac:dyDescent="0.2">
      <c r="A18" s="19" t="s">
        <v>132</v>
      </c>
      <c r="B18" s="19" t="s">
        <v>35</v>
      </c>
      <c r="C18" s="19" t="s">
        <v>36</v>
      </c>
      <c r="D18" s="20">
        <v>200</v>
      </c>
      <c r="E18" s="20">
        <v>2068.1720436999999</v>
      </c>
      <c r="F18" s="21">
        <v>2.52E-2</v>
      </c>
      <c r="G18" s="22">
        <v>8.0298999999999996</v>
      </c>
      <c r="H18" s="23"/>
      <c r="I18" s="12"/>
      <c r="J18" s="13">
        <v>45726</v>
      </c>
    </row>
    <row r="19" spans="1:10" s="2" customFormat="1" ht="18.149999999999999" customHeight="1" x14ac:dyDescent="0.2">
      <c r="A19" s="19" t="s">
        <v>37</v>
      </c>
      <c r="B19" s="19" t="s">
        <v>38</v>
      </c>
      <c r="C19" s="19" t="s">
        <v>22</v>
      </c>
      <c r="D19" s="20">
        <v>2000</v>
      </c>
      <c r="E19" s="20">
        <v>2051.3181674000002</v>
      </c>
      <c r="F19" s="21">
        <v>2.5000000000000001E-2</v>
      </c>
      <c r="G19" s="22">
        <v>9.8618000000000006</v>
      </c>
      <c r="H19" s="23"/>
      <c r="I19" s="12"/>
      <c r="J19" s="13">
        <v>45807</v>
      </c>
    </row>
    <row r="20" spans="1:10" s="2" customFormat="1" ht="18.149999999999999" customHeight="1" x14ac:dyDescent="0.2">
      <c r="A20" s="19" t="s">
        <v>39</v>
      </c>
      <c r="B20" s="19" t="s">
        <v>40</v>
      </c>
      <c r="C20" s="19" t="s">
        <v>147</v>
      </c>
      <c r="D20" s="20">
        <v>2000</v>
      </c>
      <c r="E20" s="20">
        <v>2009.9085204999999</v>
      </c>
      <c r="F20" s="21">
        <v>2.4500000000000001E-2</v>
      </c>
      <c r="G20" s="22">
        <v>8.3049999999999997</v>
      </c>
      <c r="H20" s="23"/>
      <c r="I20" s="12"/>
      <c r="J20" s="13">
        <v>45730</v>
      </c>
    </row>
    <row r="21" spans="1:10" s="2" customFormat="1" ht="18.149999999999999" customHeight="1" x14ac:dyDescent="0.2">
      <c r="A21" s="19" t="s">
        <v>134</v>
      </c>
      <c r="B21" s="19" t="s">
        <v>41</v>
      </c>
      <c r="C21" s="19" t="s">
        <v>19</v>
      </c>
      <c r="D21" s="20">
        <v>2000</v>
      </c>
      <c r="E21" s="20">
        <v>1987.7609179999999</v>
      </c>
      <c r="F21" s="21">
        <v>2.4199999999999999E-2</v>
      </c>
      <c r="G21" s="22">
        <v>9.1875</v>
      </c>
      <c r="H21" s="23"/>
      <c r="I21" s="12"/>
      <c r="J21" s="13">
        <v>45746</v>
      </c>
    </row>
    <row r="22" spans="1:10" s="2" customFormat="1" ht="18.149999999999999" customHeight="1" x14ac:dyDescent="0.2">
      <c r="A22" s="19" t="s">
        <v>133</v>
      </c>
      <c r="B22" s="19" t="s">
        <v>42</v>
      </c>
      <c r="C22" s="19" t="s">
        <v>43</v>
      </c>
      <c r="D22" s="20">
        <v>152</v>
      </c>
      <c r="E22" s="20">
        <v>1309.8895345999999</v>
      </c>
      <c r="F22" s="21">
        <v>1.6E-2</v>
      </c>
      <c r="G22" s="22">
        <v>8.5564</v>
      </c>
      <c r="H22" s="23"/>
      <c r="I22" s="12"/>
      <c r="J22" s="13">
        <v>45474</v>
      </c>
    </row>
    <row r="23" spans="1:10" s="2" customFormat="1" ht="18.149999999999999" customHeight="1" x14ac:dyDescent="0.2">
      <c r="A23" s="19" t="s">
        <v>132</v>
      </c>
      <c r="B23" s="19" t="s">
        <v>44</v>
      </c>
      <c r="C23" s="19" t="s">
        <v>36</v>
      </c>
      <c r="D23" s="20">
        <v>128</v>
      </c>
      <c r="E23" s="20">
        <v>1293.4130709999999</v>
      </c>
      <c r="F23" s="21">
        <v>1.5800000000000002E-2</v>
      </c>
      <c r="G23" s="22">
        <v>8.0498999999999992</v>
      </c>
      <c r="H23" s="23"/>
      <c r="I23" s="12"/>
      <c r="J23" s="13">
        <v>45758</v>
      </c>
    </row>
    <row r="24" spans="1:10" s="2" customFormat="1" ht="18.149999999999999" customHeight="1" x14ac:dyDescent="0.2">
      <c r="A24" s="19" t="s">
        <v>135</v>
      </c>
      <c r="B24" s="19" t="s">
        <v>45</v>
      </c>
      <c r="C24" s="19" t="s">
        <v>22</v>
      </c>
      <c r="D24" s="20">
        <v>1200</v>
      </c>
      <c r="E24" s="20">
        <v>1262.4152656000001</v>
      </c>
      <c r="F24" s="21">
        <v>1.54E-2</v>
      </c>
      <c r="G24" s="22">
        <v>9.4850999999999992</v>
      </c>
      <c r="H24" s="23"/>
      <c r="I24" s="12"/>
      <c r="J24" s="13">
        <v>45709</v>
      </c>
    </row>
    <row r="25" spans="1:10" s="2" customFormat="1" ht="18.149999999999999" customHeight="1" x14ac:dyDescent="0.2">
      <c r="A25" s="19" t="s">
        <v>46</v>
      </c>
      <c r="B25" s="19" t="s">
        <v>47</v>
      </c>
      <c r="C25" s="19" t="s">
        <v>22</v>
      </c>
      <c r="D25" s="20">
        <v>100</v>
      </c>
      <c r="E25" s="20">
        <v>1038.3491913</v>
      </c>
      <c r="F25" s="21">
        <v>1.2699999999999999E-2</v>
      </c>
      <c r="G25" s="22">
        <v>8.7682000000000002</v>
      </c>
      <c r="H25" s="23"/>
      <c r="I25" s="12"/>
      <c r="J25" s="13">
        <v>45914</v>
      </c>
    </row>
    <row r="26" spans="1:10" s="2" customFormat="1" ht="18.149999999999999" customHeight="1" x14ac:dyDescent="0.2">
      <c r="A26" s="19" t="s">
        <v>48</v>
      </c>
      <c r="B26" s="19" t="s">
        <v>49</v>
      </c>
      <c r="C26" s="19" t="s">
        <v>22</v>
      </c>
      <c r="D26" s="20">
        <v>100</v>
      </c>
      <c r="E26" s="20">
        <v>1013.8648743</v>
      </c>
      <c r="F26" s="21">
        <v>1.24E-2</v>
      </c>
      <c r="G26" s="22">
        <v>8.6150000000000002</v>
      </c>
      <c r="H26" s="23"/>
      <c r="I26" s="12"/>
      <c r="J26" s="13">
        <v>45565</v>
      </c>
    </row>
    <row r="27" spans="1:10" s="2" customFormat="1" ht="18.149999999999999" customHeight="1" x14ac:dyDescent="0.2">
      <c r="A27" s="19" t="s">
        <v>50</v>
      </c>
      <c r="B27" s="19" t="s">
        <v>51</v>
      </c>
      <c r="C27" s="19" t="s">
        <v>22</v>
      </c>
      <c r="D27" s="20">
        <v>100</v>
      </c>
      <c r="E27" s="20">
        <v>999.95877050000001</v>
      </c>
      <c r="F27" s="21">
        <v>1.2200000000000001E-2</v>
      </c>
      <c r="G27" s="22">
        <v>8.5449000000000002</v>
      </c>
      <c r="H27" s="23"/>
      <c r="I27" s="12"/>
      <c r="J27" s="13">
        <v>45713</v>
      </c>
    </row>
    <row r="28" spans="1:10" s="2" customFormat="1" ht="18.149999999999999" customHeight="1" x14ac:dyDescent="0.2">
      <c r="A28" s="19" t="s">
        <v>136</v>
      </c>
      <c r="B28" s="19" t="s">
        <v>52</v>
      </c>
      <c r="C28" s="19" t="s">
        <v>53</v>
      </c>
      <c r="D28" s="20">
        <v>609</v>
      </c>
      <c r="E28" s="20">
        <v>611.82928049999998</v>
      </c>
      <c r="F28" s="21">
        <v>7.4999999999999997E-3</v>
      </c>
      <c r="G28" s="22">
        <v>10.72</v>
      </c>
      <c r="H28" s="23"/>
      <c r="I28" s="12"/>
      <c r="J28" s="13">
        <v>46295</v>
      </c>
    </row>
    <row r="29" spans="1:10" s="2" customFormat="1" ht="18.149999999999999" customHeight="1" x14ac:dyDescent="0.2">
      <c r="A29" s="19" t="s">
        <v>136</v>
      </c>
      <c r="B29" s="19" t="s">
        <v>54</v>
      </c>
      <c r="C29" s="19" t="s">
        <v>53</v>
      </c>
      <c r="D29" s="20">
        <v>608</v>
      </c>
      <c r="E29" s="20">
        <v>610.34674670000004</v>
      </c>
      <c r="F29" s="21">
        <v>7.4000000000000003E-3</v>
      </c>
      <c r="G29" s="22">
        <v>10.72</v>
      </c>
      <c r="H29" s="23"/>
      <c r="I29" s="12"/>
      <c r="J29" s="13">
        <v>46112</v>
      </c>
    </row>
    <row r="30" spans="1:10" s="2" customFormat="1" ht="18.149999999999999" customHeight="1" x14ac:dyDescent="0.2">
      <c r="A30" s="19" t="s">
        <v>137</v>
      </c>
      <c r="B30" s="19" t="s">
        <v>55</v>
      </c>
      <c r="C30" s="19" t="s">
        <v>43</v>
      </c>
      <c r="D30" s="20">
        <v>56</v>
      </c>
      <c r="E30" s="20">
        <v>481.29985140000002</v>
      </c>
      <c r="F30" s="21">
        <v>5.8999999999999999E-3</v>
      </c>
      <c r="G30" s="22">
        <v>8.5562000000000005</v>
      </c>
      <c r="H30" s="23"/>
      <c r="I30" s="12"/>
      <c r="J30" s="13">
        <v>45474</v>
      </c>
    </row>
    <row r="31" spans="1:10" s="2" customFormat="1" ht="18.149999999999999" customHeight="1" x14ac:dyDescent="0.2">
      <c r="A31" s="19" t="s">
        <v>138</v>
      </c>
      <c r="B31" s="19" t="s">
        <v>56</v>
      </c>
      <c r="C31" s="19" t="s">
        <v>43</v>
      </c>
      <c r="D31" s="20">
        <v>48</v>
      </c>
      <c r="E31" s="20">
        <v>409.50570920000001</v>
      </c>
      <c r="F31" s="21">
        <v>5.0000000000000001E-3</v>
      </c>
      <c r="G31" s="22">
        <v>8.5563000000000002</v>
      </c>
      <c r="H31" s="23"/>
      <c r="I31" s="12"/>
      <c r="J31" s="13">
        <v>45474</v>
      </c>
    </row>
    <row r="32" spans="1:10" s="2" customFormat="1" ht="18.149999999999999" customHeight="1" x14ac:dyDescent="0.2">
      <c r="A32" s="19" t="s">
        <v>139</v>
      </c>
      <c r="B32" s="19" t="s">
        <v>57</v>
      </c>
      <c r="C32" s="19" t="s">
        <v>43</v>
      </c>
      <c r="D32" s="20">
        <v>48</v>
      </c>
      <c r="E32" s="20">
        <v>403.82725809999999</v>
      </c>
      <c r="F32" s="21">
        <v>4.8999999999999998E-3</v>
      </c>
      <c r="G32" s="22">
        <v>8.5564999999999998</v>
      </c>
      <c r="H32" s="23"/>
      <c r="I32" s="12"/>
      <c r="J32" s="13">
        <v>45474</v>
      </c>
    </row>
    <row r="33" spans="1:10" s="2" customFormat="1" ht="18.149999999999999" customHeight="1" x14ac:dyDescent="0.2">
      <c r="A33" s="19" t="s">
        <v>58</v>
      </c>
      <c r="B33" s="19" t="s">
        <v>59</v>
      </c>
      <c r="C33" s="19" t="s">
        <v>19</v>
      </c>
      <c r="D33" s="20">
        <v>28</v>
      </c>
      <c r="E33" s="20">
        <v>282.16467230000001</v>
      </c>
      <c r="F33" s="21">
        <v>3.3999999999999998E-3</v>
      </c>
      <c r="G33" s="22">
        <v>7.96</v>
      </c>
      <c r="H33" s="23"/>
      <c r="I33" s="12"/>
      <c r="J33" s="13">
        <v>45560</v>
      </c>
    </row>
    <row r="34" spans="1:10" s="2" customFormat="1" ht="18.149999999999999" customHeight="1" x14ac:dyDescent="0.2">
      <c r="A34" s="19" t="s">
        <v>136</v>
      </c>
      <c r="B34" s="19" t="s">
        <v>60</v>
      </c>
      <c r="C34" s="19" t="s">
        <v>53</v>
      </c>
      <c r="D34" s="20">
        <v>131</v>
      </c>
      <c r="E34" s="20">
        <v>131.27729830000001</v>
      </c>
      <c r="F34" s="21">
        <v>1.6000000000000001E-3</v>
      </c>
      <c r="G34" s="22">
        <v>10.725</v>
      </c>
      <c r="H34" s="23"/>
      <c r="I34" s="12"/>
      <c r="J34" s="13">
        <v>45747</v>
      </c>
    </row>
    <row r="35" spans="1:10" s="2" customFormat="1" ht="18.149999999999999" customHeight="1" x14ac:dyDescent="0.2">
      <c r="A35" s="19" t="s">
        <v>136</v>
      </c>
      <c r="B35" s="19" t="s">
        <v>61</v>
      </c>
      <c r="C35" s="19" t="s">
        <v>53</v>
      </c>
      <c r="D35" s="20">
        <v>81</v>
      </c>
      <c r="E35" s="20">
        <v>81.056925199999995</v>
      </c>
      <c r="F35" s="21">
        <v>1E-3</v>
      </c>
      <c r="G35" s="22">
        <v>10.559900000000001</v>
      </c>
      <c r="H35" s="23"/>
      <c r="I35" s="12"/>
      <c r="J35" s="13">
        <v>45565</v>
      </c>
    </row>
    <row r="36" spans="1:10" s="2" customFormat="1" ht="18.149999999999999" customHeight="1" x14ac:dyDescent="0.2">
      <c r="A36" s="19" t="s">
        <v>140</v>
      </c>
      <c r="B36" s="19" t="s">
        <v>62</v>
      </c>
      <c r="C36" s="19" t="s">
        <v>43</v>
      </c>
      <c r="D36" s="20">
        <v>8</v>
      </c>
      <c r="E36" s="20">
        <v>62.5461758</v>
      </c>
      <c r="F36" s="21">
        <v>8.0000000000000004E-4</v>
      </c>
      <c r="G36" s="22">
        <v>8.2201000000000004</v>
      </c>
      <c r="H36" s="23"/>
      <c r="I36" s="12"/>
      <c r="J36" s="13">
        <v>45474</v>
      </c>
    </row>
    <row r="37" spans="1:10" s="2" customFormat="1" ht="18.149999999999999" customHeight="1" x14ac:dyDescent="0.2">
      <c r="A37" s="19" t="s">
        <v>141</v>
      </c>
      <c r="B37" s="19" t="s">
        <v>63</v>
      </c>
      <c r="C37" s="19" t="s">
        <v>43</v>
      </c>
      <c r="D37" s="20">
        <v>8</v>
      </c>
      <c r="E37" s="20">
        <v>61.2671481</v>
      </c>
      <c r="F37" s="21">
        <v>6.9999999999999999E-4</v>
      </c>
      <c r="G37" s="22">
        <v>8.5572999999999997</v>
      </c>
      <c r="H37" s="23"/>
      <c r="I37" s="12"/>
      <c r="J37" s="13">
        <v>45474</v>
      </c>
    </row>
    <row r="38" spans="1:10" s="2" customFormat="1" ht="18.149999999999999" customHeight="1" x14ac:dyDescent="0.25">
      <c r="A38" s="24" t="s">
        <v>64</v>
      </c>
      <c r="B38" s="25"/>
      <c r="C38" s="25"/>
      <c r="D38" s="24"/>
      <c r="E38" s="26">
        <v>38283.4081286</v>
      </c>
      <c r="F38" s="27">
        <v>0.4667</v>
      </c>
      <c r="G38" s="25"/>
      <c r="H38" s="28"/>
      <c r="I38" s="29"/>
      <c r="J38" s="30"/>
    </row>
    <row r="39" spans="1:10" s="2" customFormat="1" ht="18.149999999999999" customHeight="1" x14ac:dyDescent="0.25">
      <c r="A39" s="9" t="s">
        <v>65</v>
      </c>
      <c r="B39" s="10"/>
      <c r="C39" s="10"/>
      <c r="D39" s="10"/>
      <c r="E39" s="10"/>
      <c r="F39" s="10"/>
      <c r="G39" s="10"/>
      <c r="H39" s="11"/>
      <c r="I39" s="12"/>
      <c r="J39" s="13"/>
    </row>
    <row r="40" spans="1:10" s="2" customFormat="1" ht="18.149999999999999" customHeight="1" x14ac:dyDescent="0.25">
      <c r="A40" s="14" t="s">
        <v>16</v>
      </c>
      <c r="B40" s="15"/>
      <c r="C40" s="15"/>
      <c r="D40" s="15"/>
      <c r="E40" s="15"/>
      <c r="F40" s="15"/>
      <c r="G40" s="15"/>
      <c r="H40" s="16"/>
      <c r="I40" s="17"/>
      <c r="J40" s="18"/>
    </row>
    <row r="41" spans="1:10" s="2" customFormat="1" ht="19.649999999999999" customHeight="1" x14ac:dyDescent="0.2">
      <c r="A41" s="19" t="s">
        <v>66</v>
      </c>
      <c r="B41" s="19" t="s">
        <v>67</v>
      </c>
      <c r="C41" s="19" t="s">
        <v>68</v>
      </c>
      <c r="D41" s="20">
        <v>460</v>
      </c>
      <c r="E41" s="20">
        <v>1851.1761151000001</v>
      </c>
      <c r="F41" s="21">
        <v>2.2599999999999999E-2</v>
      </c>
      <c r="G41" s="22">
        <v>9.1724999999999994</v>
      </c>
      <c r="H41" s="11"/>
      <c r="I41" s="12"/>
      <c r="J41" s="13">
        <v>46344</v>
      </c>
    </row>
    <row r="42" spans="1:10" s="2" customFormat="1" ht="19.649999999999999" customHeight="1" x14ac:dyDescent="0.2">
      <c r="A42" s="19" t="s">
        <v>142</v>
      </c>
      <c r="B42" s="19" t="s">
        <v>69</v>
      </c>
      <c r="C42" s="19" t="s">
        <v>70</v>
      </c>
      <c r="D42" s="20">
        <v>16</v>
      </c>
      <c r="E42" s="20">
        <v>1568.9487999999999</v>
      </c>
      <c r="F42" s="21">
        <v>1.9099999999999999E-2</v>
      </c>
      <c r="G42" s="22">
        <v>7.9599000000000002</v>
      </c>
      <c r="H42" s="11"/>
      <c r="I42" s="12"/>
      <c r="J42" s="13">
        <v>45474</v>
      </c>
    </row>
    <row r="43" spans="1:10" s="2" customFormat="1" ht="19.649999999999999" customHeight="1" x14ac:dyDescent="0.2">
      <c r="A43" s="19" t="s">
        <v>142</v>
      </c>
      <c r="B43" s="19" t="s">
        <v>71</v>
      </c>
      <c r="C43" s="19" t="s">
        <v>70</v>
      </c>
      <c r="D43" s="20">
        <v>16</v>
      </c>
      <c r="E43" s="20">
        <v>1538.7583999999999</v>
      </c>
      <c r="F43" s="21">
        <v>1.8700000000000001E-2</v>
      </c>
      <c r="G43" s="22">
        <v>7.9599000000000002</v>
      </c>
      <c r="H43" s="11"/>
      <c r="I43" s="12"/>
      <c r="J43" s="13">
        <v>45566</v>
      </c>
    </row>
    <row r="44" spans="1:10" s="2" customFormat="1" ht="19.649999999999999" customHeight="1" x14ac:dyDescent="0.2">
      <c r="A44" s="19" t="s">
        <v>142</v>
      </c>
      <c r="B44" s="19" t="s">
        <v>72</v>
      </c>
      <c r="C44" s="19" t="s">
        <v>70</v>
      </c>
      <c r="D44" s="20">
        <v>14</v>
      </c>
      <c r="E44" s="20">
        <v>1320.9938</v>
      </c>
      <c r="F44" s="21">
        <v>1.61E-2</v>
      </c>
      <c r="G44" s="22">
        <v>7.9382000000000001</v>
      </c>
      <c r="H44" s="11"/>
      <c r="I44" s="12"/>
      <c r="J44" s="13">
        <v>45658</v>
      </c>
    </row>
    <row r="45" spans="1:10" s="2" customFormat="1" ht="19.649999999999999" customHeight="1" x14ac:dyDescent="0.25">
      <c r="A45" s="24" t="s">
        <v>64</v>
      </c>
      <c r="B45" s="25"/>
      <c r="C45" s="25"/>
      <c r="D45" s="24"/>
      <c r="E45" s="26">
        <v>6279.8771151000001</v>
      </c>
      <c r="F45" s="27">
        <v>7.6499999999999999E-2</v>
      </c>
      <c r="G45" s="25"/>
      <c r="H45" s="28"/>
      <c r="I45" s="29"/>
      <c r="J45" s="30"/>
    </row>
    <row r="46" spans="1:10" s="2" customFormat="1" ht="18.149999999999999" customHeight="1" x14ac:dyDescent="0.25">
      <c r="A46" s="14" t="s">
        <v>73</v>
      </c>
      <c r="B46" s="15"/>
      <c r="C46" s="15"/>
      <c r="D46" s="15"/>
      <c r="E46" s="15"/>
      <c r="F46" s="15"/>
      <c r="G46" s="15"/>
      <c r="H46" s="16"/>
      <c r="I46" s="17"/>
      <c r="J46" s="18"/>
    </row>
    <row r="47" spans="1:10" s="2" customFormat="1" ht="18.149999999999999" customHeight="1" x14ac:dyDescent="0.2">
      <c r="A47" s="19" t="s">
        <v>74</v>
      </c>
      <c r="B47" s="19" t="s">
        <v>75</v>
      </c>
      <c r="C47" s="19" t="s">
        <v>76</v>
      </c>
      <c r="D47" s="20">
        <v>16000000</v>
      </c>
      <c r="E47" s="20">
        <v>16286.6702222</v>
      </c>
      <c r="F47" s="21">
        <v>0.19850000000000001</v>
      </c>
      <c r="G47" s="22">
        <v>7.0521000000000003</v>
      </c>
      <c r="H47" s="11"/>
      <c r="I47" s="12"/>
      <c r="J47" s="13">
        <v>48805</v>
      </c>
    </row>
    <row r="48" spans="1:10" s="2" customFormat="1" ht="18.149999999999999" customHeight="1" x14ac:dyDescent="0.2">
      <c r="A48" s="19" t="s">
        <v>77</v>
      </c>
      <c r="B48" s="19" t="s">
        <v>78</v>
      </c>
      <c r="C48" s="19" t="s">
        <v>76</v>
      </c>
      <c r="D48" s="20">
        <v>11500000</v>
      </c>
      <c r="E48" s="20">
        <v>11740.9339444</v>
      </c>
      <c r="F48" s="21">
        <v>0.1431</v>
      </c>
      <c r="G48" s="22">
        <v>7.0892999999999997</v>
      </c>
      <c r="H48" s="11"/>
      <c r="I48" s="12"/>
      <c r="J48" s="13">
        <v>50245</v>
      </c>
    </row>
    <row r="49" spans="1:10" s="2" customFormat="1" ht="18.149999999999999" customHeight="1" x14ac:dyDescent="0.2">
      <c r="A49" s="19" t="s">
        <v>79</v>
      </c>
      <c r="B49" s="19" t="s">
        <v>80</v>
      </c>
      <c r="C49" s="19" t="s">
        <v>76</v>
      </c>
      <c r="D49" s="20">
        <v>5500000</v>
      </c>
      <c r="E49" s="20">
        <v>5622.9231667000004</v>
      </c>
      <c r="F49" s="21">
        <v>6.8500000000000005E-2</v>
      </c>
      <c r="G49" s="22">
        <v>7.0845000000000002</v>
      </c>
      <c r="H49" s="11"/>
      <c r="I49" s="12"/>
      <c r="J49" s="13">
        <v>48616</v>
      </c>
    </row>
    <row r="50" spans="1:10" s="2" customFormat="1" ht="18.149999999999999" customHeight="1" x14ac:dyDescent="0.2">
      <c r="A50" s="19" t="s">
        <v>81</v>
      </c>
      <c r="B50" s="19" t="s">
        <v>82</v>
      </c>
      <c r="C50" s="19" t="s">
        <v>76</v>
      </c>
      <c r="D50" s="20">
        <v>2500000</v>
      </c>
      <c r="E50" s="20">
        <v>2546.4974999999999</v>
      </c>
      <c r="F50" s="21">
        <v>3.1E-2</v>
      </c>
      <c r="G50" s="22">
        <v>7.0864000000000003</v>
      </c>
      <c r="H50" s="11"/>
      <c r="I50" s="12"/>
      <c r="J50" s="13">
        <v>48448</v>
      </c>
    </row>
    <row r="51" spans="1:10" s="2" customFormat="1" ht="19.649999999999999" customHeight="1" x14ac:dyDescent="0.25">
      <c r="A51" s="24" t="s">
        <v>64</v>
      </c>
      <c r="B51" s="25"/>
      <c r="C51" s="25"/>
      <c r="D51" s="24"/>
      <c r="E51" s="26">
        <v>36197.024833299998</v>
      </c>
      <c r="F51" s="27">
        <v>0.44109999999999999</v>
      </c>
      <c r="G51" s="25"/>
      <c r="H51" s="28"/>
      <c r="I51" s="29"/>
      <c r="J51" s="30"/>
    </row>
    <row r="52" spans="1:10" s="2" customFormat="1" ht="19.649999999999999" customHeight="1" x14ac:dyDescent="0.25">
      <c r="A52" s="24" t="s">
        <v>144</v>
      </c>
      <c r="B52" s="25"/>
      <c r="C52" s="25"/>
      <c r="D52" s="24"/>
      <c r="E52" s="26"/>
      <c r="F52" s="27"/>
      <c r="G52" s="25"/>
      <c r="H52" s="28"/>
      <c r="I52" s="29"/>
      <c r="J52" s="38"/>
    </row>
    <row r="53" spans="1:10" s="2" customFormat="1" ht="19.649999999999999" customHeight="1" x14ac:dyDescent="0.25">
      <c r="A53" s="19" t="s">
        <v>145</v>
      </c>
      <c r="B53" s="25"/>
      <c r="C53" s="25"/>
      <c r="D53" s="24"/>
      <c r="E53" s="20">
        <v>-5.96</v>
      </c>
      <c r="F53" s="21">
        <v>-1E-4</v>
      </c>
      <c r="G53" s="82">
        <v>6.4321000000000002</v>
      </c>
      <c r="H53" s="28"/>
      <c r="I53" s="29"/>
      <c r="J53" s="38"/>
    </row>
    <row r="54" spans="1:10" s="2" customFormat="1" ht="19.649999999999999" customHeight="1" x14ac:dyDescent="0.25">
      <c r="A54" s="19" t="s">
        <v>146</v>
      </c>
      <c r="B54" s="25"/>
      <c r="C54" s="25"/>
      <c r="D54" s="24"/>
      <c r="E54" s="20">
        <v>-4.8099999999999996</v>
      </c>
      <c r="F54" s="21">
        <v>-1E-4</v>
      </c>
      <c r="G54" s="82">
        <v>6.431</v>
      </c>
      <c r="H54" s="28"/>
      <c r="I54" s="29"/>
      <c r="J54" s="38"/>
    </row>
    <row r="55" spans="1:10" s="2" customFormat="1" ht="19.649999999999999" customHeight="1" x14ac:dyDescent="0.25">
      <c r="A55" s="24" t="s">
        <v>64</v>
      </c>
      <c r="B55" s="25"/>
      <c r="C55" s="25"/>
      <c r="D55" s="24"/>
      <c r="E55" s="26">
        <f>SUM(E53:E54)</f>
        <v>-10.77</v>
      </c>
      <c r="F55" s="27">
        <v>-2.0000000000000001E-4</v>
      </c>
      <c r="G55" s="25"/>
      <c r="H55" s="28"/>
      <c r="I55" s="29"/>
      <c r="J55" s="38"/>
    </row>
    <row r="56" spans="1:10" s="2" customFormat="1" ht="18.149999999999999" customHeight="1" x14ac:dyDescent="0.25">
      <c r="A56" s="14" t="s">
        <v>83</v>
      </c>
      <c r="B56" s="15"/>
      <c r="C56" s="15"/>
      <c r="D56" s="15"/>
      <c r="E56" s="15"/>
      <c r="F56" s="15"/>
      <c r="G56" s="15"/>
      <c r="H56" s="16"/>
      <c r="I56" s="17"/>
      <c r="J56" s="18"/>
    </row>
    <row r="57" spans="1:10" s="2" customFormat="1" ht="18.149999999999999" customHeight="1" x14ac:dyDescent="0.2">
      <c r="A57" s="19" t="s">
        <v>104</v>
      </c>
      <c r="B57" s="19" t="s">
        <v>84</v>
      </c>
      <c r="C57" s="19" t="s">
        <v>83</v>
      </c>
      <c r="D57" s="20">
        <v>1705.9483</v>
      </c>
      <c r="E57" s="20">
        <v>173.76092850000001</v>
      </c>
      <c r="F57" s="21">
        <v>2.0999999999999999E-3</v>
      </c>
      <c r="G57" s="62">
        <v>6.95</v>
      </c>
      <c r="H57" s="11"/>
      <c r="I57" s="12"/>
      <c r="J57" s="13"/>
    </row>
    <row r="58" spans="1:10" s="2" customFormat="1" ht="18.149999999999999" customHeight="1" x14ac:dyDescent="0.25">
      <c r="A58" s="24" t="s">
        <v>64</v>
      </c>
      <c r="B58" s="25"/>
      <c r="C58" s="25"/>
      <c r="D58" s="24"/>
      <c r="E58" s="26">
        <v>173.76092850000001</v>
      </c>
      <c r="F58" s="27">
        <v>2.0999999999999999E-3</v>
      </c>
      <c r="G58" s="25"/>
      <c r="H58" s="28"/>
      <c r="I58" s="29"/>
      <c r="J58" s="30"/>
    </row>
    <row r="59" spans="1:10" s="2" customFormat="1" ht="18.149999999999999" customHeight="1" x14ac:dyDescent="0.25">
      <c r="A59" s="24" t="s">
        <v>85</v>
      </c>
      <c r="B59" s="19"/>
      <c r="C59" s="19"/>
      <c r="D59" s="19"/>
      <c r="E59" s="26">
        <v>834.56109130000004</v>
      </c>
      <c r="F59" s="27">
        <v>1.0200000000000001E-2</v>
      </c>
      <c r="G59" s="31">
        <v>6.9664000000000001</v>
      </c>
      <c r="H59" s="11"/>
      <c r="I59" s="12"/>
      <c r="J59" s="13">
        <v>45384</v>
      </c>
    </row>
    <row r="60" spans="1:10" s="2" customFormat="1" ht="18.149999999999999" customHeight="1" x14ac:dyDescent="0.2">
      <c r="A60" s="19" t="s">
        <v>86</v>
      </c>
      <c r="B60" s="10"/>
      <c r="C60" s="10"/>
      <c r="D60" s="10"/>
      <c r="E60" s="20">
        <v>310.57</v>
      </c>
      <c r="F60" s="21">
        <v>3.5999999999999999E-3</v>
      </c>
      <c r="G60" s="22">
        <v>6.9664000000000001</v>
      </c>
      <c r="H60" s="11"/>
      <c r="I60" s="12"/>
      <c r="J60" s="13"/>
    </row>
    <row r="61" spans="1:10" s="2" customFormat="1" ht="18.149999999999999" customHeight="1" x14ac:dyDescent="0.25">
      <c r="A61" s="24" t="s">
        <v>87</v>
      </c>
      <c r="B61" s="10"/>
      <c r="C61" s="10"/>
      <c r="D61" s="10"/>
      <c r="E61" s="26">
        <v>82068.426668900007</v>
      </c>
      <c r="F61" s="27">
        <v>1</v>
      </c>
      <c r="G61" s="10"/>
      <c r="H61" s="11"/>
      <c r="I61" s="12"/>
      <c r="J61" s="13"/>
    </row>
    <row r="62" spans="1:10" s="2" customFormat="1" ht="18.149999999999999" customHeight="1" x14ac:dyDescent="0.2">
      <c r="A62" s="34" t="s">
        <v>105</v>
      </c>
      <c r="E62" s="68"/>
      <c r="F62" s="69"/>
      <c r="J62" s="33"/>
    </row>
    <row r="63" spans="1:10" s="2" customFormat="1" ht="18.149999999999999" customHeight="1" x14ac:dyDescent="0.2">
      <c r="A63" s="34" t="s">
        <v>106</v>
      </c>
      <c r="E63" s="68"/>
      <c r="J63" s="33"/>
    </row>
    <row r="64" spans="1:10" s="2" customFormat="1" ht="18.149999999999999" customHeight="1" x14ac:dyDescent="0.2">
      <c r="A64" s="34" t="s">
        <v>107</v>
      </c>
      <c r="J64" s="33"/>
    </row>
    <row r="65" spans="1:10" s="2" customFormat="1" ht="49.95" customHeight="1" x14ac:dyDescent="0.2">
      <c r="A65" s="70" t="s">
        <v>143</v>
      </c>
      <c r="B65" s="71"/>
      <c r="C65" s="71"/>
      <c r="D65" s="71"/>
      <c r="E65" s="71"/>
      <c r="F65" s="71"/>
      <c r="G65" s="71"/>
      <c r="H65" s="71"/>
      <c r="I65" s="71"/>
      <c r="J65" s="71"/>
    </row>
    <row r="66" spans="1:10" s="2" customFormat="1" ht="18.149999999999999" customHeight="1" x14ac:dyDescent="0.2">
      <c r="A66" s="34"/>
      <c r="J66" s="33"/>
    </row>
    <row r="67" spans="1:10" s="2" customFormat="1" ht="18.149999999999999" customHeight="1" x14ac:dyDescent="0.25">
      <c r="A67" s="32"/>
      <c r="J67" s="33"/>
    </row>
    <row r="68" spans="1:10" s="2" customFormat="1" ht="18.149999999999999" customHeight="1" x14ac:dyDescent="0.2">
      <c r="A68" s="39" t="s">
        <v>108</v>
      </c>
      <c r="B68" s="40">
        <v>7.8600000000000003E-2</v>
      </c>
      <c r="J68" s="33"/>
    </row>
    <row r="69" spans="1:10" s="2" customFormat="1" ht="18.149999999999999" customHeight="1" x14ac:dyDescent="0.2">
      <c r="A69" s="39" t="s">
        <v>109</v>
      </c>
      <c r="B69" s="41">
        <v>47.47</v>
      </c>
      <c r="J69" s="33"/>
    </row>
    <row r="70" spans="1:10" s="2" customFormat="1" ht="18.149999999999999" customHeight="1" x14ac:dyDescent="0.2">
      <c r="A70" s="39" t="s">
        <v>110</v>
      </c>
      <c r="B70" s="42"/>
      <c r="J70" s="33"/>
    </row>
    <row r="71" spans="1:10" s="2" customFormat="1" ht="18.149999999999999" customHeight="1" x14ac:dyDescent="0.25">
      <c r="A71" s="32"/>
      <c r="J71" s="33"/>
    </row>
    <row r="72" spans="1:10" s="2" customFormat="1" ht="18.149999999999999" customHeight="1" x14ac:dyDescent="0.25">
      <c r="A72" s="32"/>
      <c r="J72" s="33"/>
    </row>
    <row r="73" spans="1:10" s="2" customFormat="1" ht="18.149999999999999" customHeight="1" x14ac:dyDescent="0.25">
      <c r="A73" s="32"/>
      <c r="J73" s="33"/>
    </row>
    <row r="74" spans="1:10" s="2" customFormat="1" ht="18.149999999999999" customHeight="1" x14ac:dyDescent="0.25">
      <c r="A74" s="32"/>
      <c r="J74" s="33"/>
    </row>
    <row r="75" spans="1:10" s="2" customFormat="1" ht="18.149999999999999" customHeight="1" x14ac:dyDescent="0.25">
      <c r="A75" s="32"/>
      <c r="J75" s="33"/>
    </row>
    <row r="76" spans="1:10" s="2" customFormat="1" ht="18.149999999999999" customHeight="1" x14ac:dyDescent="0.25">
      <c r="A76" s="32"/>
      <c r="J76" s="33"/>
    </row>
    <row r="77" spans="1:10" s="2" customFormat="1" ht="18.149999999999999" customHeight="1" x14ac:dyDescent="0.25">
      <c r="A77" s="32"/>
      <c r="J77" s="33"/>
    </row>
    <row r="78" spans="1:10" s="2" customFormat="1" ht="18.149999999999999" customHeight="1" x14ac:dyDescent="0.25">
      <c r="A78" s="32"/>
      <c r="J78" s="33"/>
    </row>
    <row r="79" spans="1:10" s="2" customFormat="1" ht="18.149999999999999" customHeight="1" x14ac:dyDescent="0.25">
      <c r="A79" s="32"/>
      <c r="J79" s="33"/>
    </row>
    <row r="80" spans="1:10" s="2" customFormat="1" ht="18.149999999999999" customHeight="1" x14ac:dyDescent="0.25">
      <c r="A80" s="32"/>
      <c r="J80" s="33"/>
    </row>
    <row r="81" spans="1:10" s="2" customFormat="1" ht="18.149999999999999" customHeight="1" x14ac:dyDescent="0.25">
      <c r="A81" s="32"/>
      <c r="J81" s="33"/>
    </row>
    <row r="82" spans="1:10" s="2" customFormat="1" ht="18.149999999999999" customHeight="1" x14ac:dyDescent="0.25">
      <c r="A82" s="32"/>
      <c r="J82" s="33"/>
    </row>
    <row r="83" spans="1:10" s="2" customFormat="1" ht="18.149999999999999" customHeight="1" x14ac:dyDescent="0.25">
      <c r="A83" s="32"/>
      <c r="J83" s="33"/>
    </row>
    <row r="84" spans="1:10" s="2" customFormat="1" ht="18.149999999999999" customHeight="1" x14ac:dyDescent="0.25">
      <c r="A84" s="32"/>
      <c r="J84" s="33"/>
    </row>
    <row r="85" spans="1:10" s="2" customFormat="1" ht="18.149999999999999" customHeight="1" x14ac:dyDescent="0.25">
      <c r="A85" s="32"/>
      <c r="J85" s="33"/>
    </row>
    <row r="86" spans="1:10" s="2" customFormat="1" ht="18.149999999999999" customHeight="1" x14ac:dyDescent="0.25">
      <c r="A86" s="32"/>
      <c r="J86" s="33"/>
    </row>
    <row r="87" spans="1:10" s="2" customFormat="1" ht="18.149999999999999" customHeight="1" x14ac:dyDescent="0.25">
      <c r="A87" s="32"/>
      <c r="J87" s="33"/>
    </row>
    <row r="88" spans="1:10" s="2" customFormat="1" ht="18.149999999999999" customHeight="1" x14ac:dyDescent="0.25">
      <c r="A88" s="32"/>
      <c r="J88" s="33"/>
    </row>
    <row r="89" spans="1:10" s="2" customFormat="1" ht="18.149999999999999" customHeight="1" x14ac:dyDescent="0.25">
      <c r="A89" s="32"/>
      <c r="J89" s="33"/>
    </row>
    <row r="90" spans="1:10" s="2" customFormat="1" ht="18.149999999999999" customHeight="1" x14ac:dyDescent="0.25">
      <c r="A90" s="32"/>
      <c r="J90" s="33"/>
    </row>
    <row r="91" spans="1:10" s="2" customFormat="1" ht="18.149999999999999" customHeight="1" x14ac:dyDescent="0.25">
      <c r="A91" s="32"/>
      <c r="J91" s="33"/>
    </row>
    <row r="92" spans="1:10" s="2" customFormat="1" ht="18.149999999999999" customHeight="1" x14ac:dyDescent="0.25">
      <c r="A92" s="32"/>
      <c r="J92" s="33"/>
    </row>
    <row r="93" spans="1:10" s="2" customFormat="1" ht="18.149999999999999" customHeight="1" x14ac:dyDescent="0.25">
      <c r="A93" s="32"/>
      <c r="J93" s="33"/>
    </row>
    <row r="94" spans="1:10" s="2" customFormat="1" ht="18.149999999999999" customHeight="1" x14ac:dyDescent="0.25">
      <c r="A94" s="32"/>
      <c r="J94" s="33"/>
    </row>
    <row r="95" spans="1:10" s="2" customFormat="1" ht="18.149999999999999" customHeight="1" x14ac:dyDescent="0.25">
      <c r="A95" s="32"/>
      <c r="J95" s="33"/>
    </row>
    <row r="96" spans="1:10" s="2" customFormat="1" ht="18.149999999999999" customHeight="1" x14ac:dyDescent="0.25">
      <c r="A96" s="32"/>
      <c r="J96" s="33"/>
    </row>
    <row r="97" spans="1:10" s="2" customFormat="1" ht="18.149999999999999" customHeight="1" x14ac:dyDescent="0.25">
      <c r="A97" s="32"/>
      <c r="J97" s="33"/>
    </row>
    <row r="98" spans="1:10" s="2" customFormat="1" ht="18.149999999999999" customHeight="1" x14ac:dyDescent="0.25">
      <c r="A98" s="32"/>
      <c r="J98" s="33"/>
    </row>
    <row r="99" spans="1:10" s="2" customFormat="1" ht="18.149999999999999" customHeight="1" x14ac:dyDescent="0.25">
      <c r="A99" s="32"/>
      <c r="J99" s="33"/>
    </row>
    <row r="100" spans="1:10" s="2" customFormat="1" ht="18.149999999999999" customHeight="1" x14ac:dyDescent="0.25">
      <c r="A100" s="32"/>
      <c r="J100" s="33"/>
    </row>
    <row r="101" spans="1:10" s="2" customFormat="1" ht="18.149999999999999" customHeight="1" x14ac:dyDescent="0.25">
      <c r="A101" s="32"/>
      <c r="J101" s="33"/>
    </row>
    <row r="102" spans="1:10" s="2" customFormat="1" ht="18.149999999999999" customHeight="1" x14ac:dyDescent="0.25">
      <c r="A102" s="32"/>
      <c r="J102" s="33"/>
    </row>
    <row r="103" spans="1:10" s="2" customFormat="1" ht="18.149999999999999" customHeight="1" x14ac:dyDescent="0.25">
      <c r="A103" s="32"/>
      <c r="J103" s="33"/>
    </row>
    <row r="104" spans="1:10" s="2" customFormat="1" ht="18.149999999999999" customHeight="1" x14ac:dyDescent="0.25">
      <c r="A104" s="32"/>
      <c r="J104" s="33"/>
    </row>
    <row r="105" spans="1:10" s="2" customFormat="1" ht="18.149999999999999" customHeight="1" x14ac:dyDescent="0.25">
      <c r="A105" s="32"/>
      <c r="J105" s="33"/>
    </row>
    <row r="106" spans="1:10" s="2" customFormat="1" ht="18.149999999999999" customHeight="1" x14ac:dyDescent="0.25">
      <c r="A106" s="32"/>
      <c r="J106" s="33"/>
    </row>
    <row r="107" spans="1:10" s="2" customFormat="1" ht="18.149999999999999" customHeight="1" x14ac:dyDescent="0.25">
      <c r="A107" s="32"/>
      <c r="J107" s="33"/>
    </row>
    <row r="108" spans="1:10" s="2" customFormat="1" ht="18.149999999999999" customHeight="1" x14ac:dyDescent="0.25">
      <c r="A108" s="32"/>
      <c r="J108" s="33"/>
    </row>
    <row r="109" spans="1:10" s="2" customFormat="1" ht="18.149999999999999" customHeight="1" x14ac:dyDescent="0.25">
      <c r="A109" s="32"/>
      <c r="J109" s="33"/>
    </row>
    <row r="110" spans="1:10" s="2" customFormat="1" ht="18.149999999999999" customHeight="1" x14ac:dyDescent="0.25">
      <c r="A110" s="32"/>
      <c r="J110" s="33"/>
    </row>
    <row r="111" spans="1:10" s="2" customFormat="1" ht="18.149999999999999" customHeight="1" x14ac:dyDescent="0.25">
      <c r="A111" s="32"/>
      <c r="J111" s="33"/>
    </row>
    <row r="112" spans="1:10" s="2" customFormat="1" ht="18.149999999999999" customHeight="1" x14ac:dyDescent="0.25">
      <c r="A112" s="32"/>
      <c r="J112" s="33"/>
    </row>
    <row r="113" spans="1:10" s="2" customFormat="1" ht="18.149999999999999" customHeight="1" x14ac:dyDescent="0.25">
      <c r="A113" s="35"/>
      <c r="J113" s="33"/>
    </row>
    <row r="114" spans="1:10" s="2" customFormat="1" ht="28.8" customHeight="1" x14ac:dyDescent="0.2">
      <c r="J114" s="33"/>
    </row>
  </sheetData>
  <mergeCells count="14">
    <mergeCell ref="A65:J65"/>
    <mergeCell ref="F6:F7"/>
    <mergeCell ref="G6:G7"/>
    <mergeCell ref="J6:J7"/>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C82DE-CBEF-464C-B35F-7036D8B92FEE}">
  <dimension ref="A1:H33"/>
  <sheetViews>
    <sheetView showGridLines="0" workbookViewId="0"/>
  </sheetViews>
  <sheetFormatPr defaultRowHeight="13.2" x14ac:dyDescent="0.25"/>
  <cols>
    <col min="1" max="1" width="41.5546875" customWidth="1"/>
    <col min="2" max="2" width="17.5546875" customWidth="1"/>
    <col min="3" max="3" width="16.33203125" customWidth="1"/>
    <col min="4" max="4" width="14" customWidth="1"/>
  </cols>
  <sheetData>
    <row r="1" spans="1:8" x14ac:dyDescent="0.25">
      <c r="A1" s="43" t="s">
        <v>111</v>
      </c>
      <c r="B1" s="44"/>
      <c r="C1" s="44"/>
      <c r="D1" s="44"/>
      <c r="E1" s="44"/>
      <c r="F1" s="44"/>
      <c r="G1" s="44"/>
      <c r="H1" s="44"/>
    </row>
    <row r="2" spans="1:8" x14ac:dyDescent="0.25">
      <c r="A2" s="45" t="s">
        <v>88</v>
      </c>
      <c r="B2" s="44"/>
      <c r="C2" s="44"/>
      <c r="D2" s="44"/>
      <c r="E2" s="44"/>
      <c r="F2" s="44"/>
      <c r="G2" s="44"/>
      <c r="H2" s="44"/>
    </row>
    <row r="3" spans="1:8" x14ac:dyDescent="0.25">
      <c r="A3" s="45" t="s">
        <v>89</v>
      </c>
      <c r="B3" s="44"/>
      <c r="C3" s="44"/>
      <c r="D3" s="44"/>
      <c r="E3" s="44"/>
      <c r="F3" s="44"/>
      <c r="G3" s="44"/>
      <c r="H3" s="44"/>
    </row>
    <row r="4" spans="1:8" x14ac:dyDescent="0.25">
      <c r="A4" s="46" t="s">
        <v>90</v>
      </c>
      <c r="B4" s="46" t="s">
        <v>112</v>
      </c>
      <c r="C4" s="46" t="s">
        <v>113</v>
      </c>
      <c r="D4" s="44"/>
      <c r="E4" s="44"/>
      <c r="F4" s="44"/>
      <c r="G4" s="44"/>
      <c r="H4" s="44"/>
    </row>
    <row r="5" spans="1:8" x14ac:dyDescent="0.25">
      <c r="A5" s="47" t="s">
        <v>91</v>
      </c>
      <c r="B5" s="48">
        <v>11.545400000000001</v>
      </c>
      <c r="C5" s="49">
        <v>12.501799999999999</v>
      </c>
      <c r="D5" s="44"/>
      <c r="E5" s="44"/>
      <c r="F5" s="44"/>
      <c r="G5" s="44"/>
      <c r="H5" s="44"/>
    </row>
    <row r="6" spans="1:8" x14ac:dyDescent="0.25">
      <c r="A6" s="47" t="s">
        <v>92</v>
      </c>
      <c r="B6" s="48">
        <v>19.927299999999999</v>
      </c>
      <c r="C6" s="50">
        <v>19.854900000000001</v>
      </c>
      <c r="D6" s="44"/>
      <c r="E6" s="44"/>
      <c r="F6" s="44"/>
      <c r="G6" s="44"/>
      <c r="H6" s="44"/>
    </row>
    <row r="7" spans="1:8" x14ac:dyDescent="0.25">
      <c r="A7" s="47" t="s">
        <v>93</v>
      </c>
      <c r="B7" s="48">
        <v>11.481</v>
      </c>
      <c r="C7" s="50">
        <v>11.514200000000001</v>
      </c>
      <c r="D7" s="44"/>
      <c r="E7" s="44"/>
      <c r="F7" s="44"/>
      <c r="G7" s="44"/>
      <c r="H7" s="44"/>
    </row>
    <row r="8" spans="1:8" x14ac:dyDescent="0.25">
      <c r="A8" s="47" t="s">
        <v>94</v>
      </c>
      <c r="B8" s="48">
        <v>18.420300000000001</v>
      </c>
      <c r="C8" s="50">
        <v>18.359000000000002</v>
      </c>
      <c r="D8" s="44"/>
      <c r="E8" s="44"/>
      <c r="F8" s="44"/>
      <c r="G8" s="44"/>
      <c r="H8" s="44"/>
    </row>
    <row r="9" spans="1:8" x14ac:dyDescent="0.25">
      <c r="A9" s="47" t="s">
        <v>95</v>
      </c>
      <c r="B9" s="48">
        <v>10.5442</v>
      </c>
      <c r="C9" s="50">
        <v>10.579000000000001</v>
      </c>
      <c r="D9" s="44"/>
      <c r="E9" s="44"/>
      <c r="F9" s="44"/>
      <c r="G9" s="44"/>
      <c r="H9" s="44"/>
    </row>
    <row r="10" spans="1:8" x14ac:dyDescent="0.25">
      <c r="A10" s="51" t="s">
        <v>96</v>
      </c>
      <c r="B10" s="52">
        <v>10.652799999999999</v>
      </c>
      <c r="C10" s="53">
        <v>11.536</v>
      </c>
      <c r="D10" s="44"/>
      <c r="E10" s="44"/>
      <c r="F10" s="44"/>
      <c r="G10" s="44"/>
      <c r="H10" s="44"/>
    </row>
    <row r="11" spans="1:8" x14ac:dyDescent="0.25">
      <c r="A11" s="45" t="s">
        <v>120</v>
      </c>
      <c r="B11" s="44"/>
      <c r="C11" s="44"/>
      <c r="D11" s="44"/>
      <c r="E11" s="44"/>
      <c r="F11" s="44"/>
      <c r="G11" s="44"/>
      <c r="H11" s="44"/>
    </row>
    <row r="12" spans="1:8" ht="36" x14ac:dyDescent="0.25">
      <c r="A12" s="63" t="s">
        <v>121</v>
      </c>
      <c r="B12" s="63" t="s">
        <v>122</v>
      </c>
      <c r="C12" s="63" t="s">
        <v>123</v>
      </c>
      <c r="D12" s="63" t="s">
        <v>124</v>
      </c>
      <c r="E12" s="63" t="s">
        <v>125</v>
      </c>
      <c r="F12" s="44"/>
      <c r="G12" s="44"/>
      <c r="H12" s="44"/>
    </row>
    <row r="13" spans="1:8" x14ac:dyDescent="0.25">
      <c r="A13" s="81" t="s">
        <v>126</v>
      </c>
      <c r="B13" s="64" t="s">
        <v>127</v>
      </c>
      <c r="C13" s="64" t="s">
        <v>128</v>
      </c>
      <c r="D13" s="65">
        <v>47077</v>
      </c>
      <c r="E13" s="64">
        <v>-2500</v>
      </c>
      <c r="F13" s="44"/>
      <c r="G13" s="44"/>
      <c r="H13" s="44"/>
    </row>
    <row r="14" spans="1:8" x14ac:dyDescent="0.25">
      <c r="A14" s="81"/>
      <c r="B14" s="64" t="s">
        <v>129</v>
      </c>
      <c r="C14" s="64" t="s">
        <v>130</v>
      </c>
      <c r="D14" s="65">
        <v>45432</v>
      </c>
      <c r="E14" s="64">
        <v>2500</v>
      </c>
      <c r="F14" s="44"/>
      <c r="G14" s="44"/>
      <c r="H14" s="44"/>
    </row>
    <row r="15" spans="1:8" x14ac:dyDescent="0.25">
      <c r="A15" s="81" t="s">
        <v>126</v>
      </c>
      <c r="B15" s="64" t="s">
        <v>127</v>
      </c>
      <c r="C15" s="64" t="s">
        <v>128</v>
      </c>
      <c r="D15" s="65">
        <v>47164</v>
      </c>
      <c r="E15" s="64">
        <v>-2500</v>
      </c>
      <c r="F15" s="44"/>
      <c r="G15" s="44"/>
      <c r="H15" s="44"/>
    </row>
    <row r="16" spans="1:8" x14ac:dyDescent="0.25">
      <c r="A16" s="81"/>
      <c r="B16" s="64" t="s">
        <v>129</v>
      </c>
      <c r="C16" s="64" t="s">
        <v>130</v>
      </c>
      <c r="D16" s="65">
        <v>45519</v>
      </c>
      <c r="E16" s="64">
        <v>2500</v>
      </c>
      <c r="F16" s="44"/>
      <c r="G16" s="44"/>
      <c r="H16" s="44"/>
    </row>
    <row r="17" spans="1:8" x14ac:dyDescent="0.25">
      <c r="A17" s="66" t="s">
        <v>131</v>
      </c>
      <c r="B17" s="44"/>
      <c r="C17" s="44"/>
      <c r="D17" s="44"/>
      <c r="E17" s="44"/>
      <c r="F17" s="44"/>
      <c r="G17" s="44"/>
      <c r="H17" s="44"/>
    </row>
    <row r="18" spans="1:8" x14ac:dyDescent="0.25">
      <c r="A18" s="45" t="s">
        <v>114</v>
      </c>
      <c r="B18" s="44"/>
      <c r="C18" s="44"/>
      <c r="D18" s="44"/>
      <c r="E18" s="44"/>
      <c r="F18" s="44"/>
      <c r="G18" s="44"/>
      <c r="H18" s="44"/>
    </row>
    <row r="19" spans="1:8" x14ac:dyDescent="0.25">
      <c r="A19" s="45" t="s">
        <v>115</v>
      </c>
      <c r="B19" s="44"/>
      <c r="C19" s="44"/>
      <c r="D19" s="44"/>
      <c r="E19" s="44"/>
      <c r="F19" s="44"/>
      <c r="G19" s="44"/>
      <c r="H19" s="44"/>
    </row>
    <row r="20" spans="1:8" x14ac:dyDescent="0.25">
      <c r="A20" s="54" t="s">
        <v>90</v>
      </c>
      <c r="B20" s="55" t="s">
        <v>97</v>
      </c>
      <c r="C20" s="56"/>
      <c r="D20" s="44"/>
      <c r="E20" s="44"/>
      <c r="F20" s="44"/>
      <c r="G20" s="44"/>
      <c r="H20" s="44"/>
    </row>
    <row r="21" spans="1:8" x14ac:dyDescent="0.25">
      <c r="A21" s="57"/>
      <c r="B21" s="58" t="s">
        <v>98</v>
      </c>
      <c r="C21" s="58" t="s">
        <v>99</v>
      </c>
      <c r="D21" s="44"/>
      <c r="E21" s="44"/>
      <c r="F21" s="44"/>
      <c r="G21" s="44"/>
      <c r="H21" s="44"/>
    </row>
    <row r="22" spans="1:8" x14ac:dyDescent="0.25">
      <c r="A22" s="47" t="s">
        <v>91</v>
      </c>
      <c r="B22" s="59">
        <v>1</v>
      </c>
      <c r="C22" s="59">
        <v>1</v>
      </c>
      <c r="D22" s="44"/>
      <c r="E22" s="44"/>
      <c r="F22" s="44"/>
      <c r="G22" s="44"/>
      <c r="H22" s="44"/>
    </row>
    <row r="23" spans="1:8" x14ac:dyDescent="0.25">
      <c r="A23" s="47" t="s">
        <v>93</v>
      </c>
      <c r="B23" s="67">
        <v>7.4999999999999997E-2</v>
      </c>
      <c r="C23" s="67">
        <v>7.4999999999999997E-2</v>
      </c>
      <c r="D23" s="44"/>
      <c r="E23" s="44"/>
      <c r="F23" s="44"/>
      <c r="G23" s="44"/>
      <c r="H23" s="44"/>
    </row>
    <row r="24" spans="1:8" x14ac:dyDescent="0.25">
      <c r="A24" s="47" t="s">
        <v>95</v>
      </c>
      <c r="B24" s="60">
        <v>7.0000000000000007E-2</v>
      </c>
      <c r="C24" s="60">
        <v>7.0000000000000007E-2</v>
      </c>
      <c r="D24" s="44"/>
      <c r="E24" s="44"/>
      <c r="F24" s="44"/>
      <c r="G24" s="44"/>
      <c r="H24" s="44"/>
    </row>
    <row r="25" spans="1:8" x14ac:dyDescent="0.25">
      <c r="A25" s="51" t="s">
        <v>96</v>
      </c>
      <c r="B25" s="61">
        <v>0.92</v>
      </c>
      <c r="C25" s="61">
        <v>0.92</v>
      </c>
      <c r="D25" s="44"/>
      <c r="E25" s="44"/>
      <c r="F25" s="44"/>
      <c r="G25" s="44"/>
      <c r="H25" s="44"/>
    </row>
    <row r="26" spans="1:8" x14ac:dyDescent="0.25">
      <c r="A26" s="45" t="s">
        <v>116</v>
      </c>
      <c r="B26" s="44"/>
      <c r="C26" s="44"/>
      <c r="D26" s="44"/>
      <c r="E26" s="44"/>
      <c r="F26" s="44"/>
      <c r="G26" s="44"/>
      <c r="H26" s="44"/>
    </row>
    <row r="27" spans="1:8" x14ac:dyDescent="0.25">
      <c r="A27" s="45" t="s">
        <v>117</v>
      </c>
      <c r="B27" s="44"/>
      <c r="C27" s="44"/>
      <c r="D27" s="44"/>
      <c r="E27" s="44"/>
      <c r="F27" s="44"/>
      <c r="G27" s="44"/>
      <c r="H27" s="44"/>
    </row>
    <row r="28" spans="1:8" x14ac:dyDescent="0.25">
      <c r="A28" s="45" t="s">
        <v>118</v>
      </c>
      <c r="B28" s="44"/>
      <c r="C28" s="44"/>
      <c r="D28" s="44"/>
      <c r="E28" s="44"/>
      <c r="F28" s="44"/>
      <c r="G28" s="44"/>
      <c r="H28" s="44"/>
    </row>
    <row r="29" spans="1:8" x14ac:dyDescent="0.25">
      <c r="A29" s="45" t="s">
        <v>100</v>
      </c>
      <c r="B29" s="44"/>
      <c r="C29" s="44"/>
      <c r="D29" s="44"/>
      <c r="E29" s="44"/>
      <c r="F29" s="44"/>
      <c r="G29" s="44"/>
      <c r="H29" s="44"/>
    </row>
    <row r="30" spans="1:8" x14ac:dyDescent="0.25">
      <c r="A30" s="45" t="s">
        <v>101</v>
      </c>
      <c r="B30" s="44"/>
      <c r="C30" s="44"/>
      <c r="D30" s="44"/>
      <c r="E30" s="44"/>
      <c r="F30" s="44"/>
      <c r="G30" s="44"/>
      <c r="H30" s="44"/>
    </row>
    <row r="31" spans="1:8" x14ac:dyDescent="0.25">
      <c r="A31" s="45" t="s">
        <v>102</v>
      </c>
      <c r="B31" s="44"/>
      <c r="C31" s="44"/>
      <c r="D31" s="44"/>
      <c r="E31" s="44"/>
      <c r="F31" s="44"/>
      <c r="G31" s="44"/>
      <c r="H31" s="44"/>
    </row>
    <row r="32" spans="1:8" x14ac:dyDescent="0.25">
      <c r="A32" s="45" t="s">
        <v>119</v>
      </c>
      <c r="B32" s="44"/>
      <c r="C32" s="44"/>
      <c r="D32" s="44"/>
      <c r="E32" s="44"/>
      <c r="F32" s="44"/>
      <c r="G32" s="44"/>
      <c r="H32" s="44"/>
    </row>
    <row r="33" spans="1:8" x14ac:dyDescent="0.25">
      <c r="A33" s="45"/>
      <c r="B33" s="44"/>
      <c r="C33" s="44"/>
      <c r="D33" s="44"/>
      <c r="E33" s="44"/>
      <c r="F33" s="44"/>
      <c r="G33" s="44"/>
      <c r="H33" s="44"/>
    </row>
  </sheetData>
  <mergeCells count="2">
    <mergeCell ref="A13:A14"/>
    <mergeCell ref="A15:A16"/>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C0F2-3D55-45AF-A579-A82AC9CB2D66}">
  <dimension ref="A1"/>
  <sheetViews>
    <sheetView showGridLines="0" workbookViewId="0"/>
  </sheetViews>
  <sheetFormatPr defaultColWidth="8.77734375" defaultRowHeight="13.2" x14ac:dyDescent="0.25"/>
  <cols>
    <col min="1" max="1" width="125.5546875" style="37" bestFit="1" customWidth="1"/>
    <col min="2" max="16384" width="8.77734375" style="37"/>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31032024</dc:title>
  <dc:subject>HSBC Medium Duration Fund 31032024</dc:subject>
  <dc:creator>HSBC MUTUAL FUND</dc:creator>
  <cp:keywords>HSBC Medium Duration Fund 31032024</cp:keywords>
  <dcterms:created xsi:type="dcterms:W3CDTF">2024-03-31T08:45:05Z</dcterms:created>
  <dcterms:modified xsi:type="dcterms:W3CDTF">2024-04-02T04:43:04Z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2024-03-31T08:45:34Z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51e88e1e-10cf-4688-ad2e-1b0bf4ae29fa</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2024-04-01T16:15:02Z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9dabf4f1-ea9c-43da-8162-b3fe018312f6</vt:lpwstr>
  </property>
  <property fmtid="{D5CDD505-2E9C-101B-9397-08002B2CF9AE}" pid="16" name="MSIP_Label_3486a02c-2dfb-4efe-823f-aa2d1f0e6ab7_ContentBits">
    <vt:lpwstr>2</vt:lpwstr>
  </property>
  <property fmtid="{D5CDD505-2E9C-101B-9397-08002B2CF9AE}" pid="17" name="Classification">
    <vt:lpwstr>PUBLIC</vt:lpwstr>
  </property>
</Properties>
</file>