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45556E72-155B-4853-B50C-58288F0EA032}" xr6:coauthVersionLast="47" xr6:coauthVersionMax="47" xr10:uidLastSave="{00000000-0000-0000-0000-000000000000}"/>
  <bookViews>
    <workbookView xWindow="-110" yWindow="-110" windowWidth="19420" windowHeight="10420" xr2:uid="{ACF327C6-2F29-4363-BEB9-31D011035C3D}"/>
  </bookViews>
  <sheets>
    <sheet name="HEIO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2" i="1" l="1"/>
  <c r="E92" i="1"/>
</calcChain>
</file>

<file path=xl/sharedStrings.xml><?xml version="1.0" encoding="utf-8"?>
<sst xmlns="http://schemas.openxmlformats.org/spreadsheetml/2006/main" count="292" uniqueCount="244">
  <si>
    <t>HSBC Mutual Fund</t>
  </si>
  <si>
    <t>HSBC Flexi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</si>
  <si>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</si>
  <si>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</si>
  <si>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</si>
  <si>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</si>
  <si>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</si>
  <si>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</si>
  <si>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</si>
  <si>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</si>
  <si>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</si>
  <si>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</si>
  <si>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</si>
  <si>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</si>
  <si>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</si>
  <si>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</si>
  <si>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</si>
  <si>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</si>
  <si>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HDFC Bank Limited</t>
  </si>
  <si>
    <t>INE040A01034</t>
  </si>
  <si>
    <t>Banks</t>
  </si>
  <si>
    <t>ICICI Bank Limited</t>
  </si>
  <si>
    <t>INE090A01021</t>
  </si>
  <si>
    <t>Infosys Limited</t>
  </si>
  <si>
    <t>INE009A01021</t>
  </si>
  <si>
    <t>IT - Software</t>
  </si>
  <si>
    <t>Bharti Airtel Limited</t>
  </si>
  <si>
    <t>INE397D01024</t>
  </si>
  <si>
    <t>Telecom - Services</t>
  </si>
  <si>
    <t>Larsen &amp; Toubro Limited</t>
  </si>
  <si>
    <t>INE018A01030</t>
  </si>
  <si>
    <t>Construction</t>
  </si>
  <si>
    <t>ITC Limited</t>
  </si>
  <si>
    <t>INE154A01025</t>
  </si>
  <si>
    <t>Diversified FMCG</t>
  </si>
  <si>
    <t>Axis Bank Limited</t>
  </si>
  <si>
    <t>INE238A01034</t>
  </si>
  <si>
    <t>State Bank of India</t>
  </si>
  <si>
    <t>INE062A01020</t>
  </si>
  <si>
    <t>NTPC Limited</t>
  </si>
  <si>
    <t>INE733E01010</t>
  </si>
  <si>
    <t>Power</t>
  </si>
  <si>
    <t>Sun Pharmaceutical Industries Limited</t>
  </si>
  <si>
    <t>INE044A01036</t>
  </si>
  <si>
    <t>Pharmaceuticals &amp; Biotechnology</t>
  </si>
  <si>
    <t>Zomato Limited</t>
  </si>
  <si>
    <t>INE758T01015</t>
  </si>
  <si>
    <t>Retailing</t>
  </si>
  <si>
    <t>Siemens Limited</t>
  </si>
  <si>
    <t>INE003A01024</t>
  </si>
  <si>
    <t>Electrical Equipment</t>
  </si>
  <si>
    <t>Bharat Electronics Limited</t>
  </si>
  <si>
    <t>INE263A01024</t>
  </si>
  <si>
    <t>Aerospace &amp; Defense</t>
  </si>
  <si>
    <t>Bajaj Auto Limited</t>
  </si>
  <si>
    <t>INE917I01010</t>
  </si>
  <si>
    <t>Automobiles</t>
  </si>
  <si>
    <t>Varun Beverages Limited</t>
  </si>
  <si>
    <t>INE200M01021</t>
  </si>
  <si>
    <t>Beverages</t>
  </si>
  <si>
    <t>UltraTech Cement Limited</t>
  </si>
  <si>
    <t>INE481G01011</t>
  </si>
  <si>
    <t>Cement &amp; Cement Products</t>
  </si>
  <si>
    <t>Apar Industries Limited</t>
  </si>
  <si>
    <t>INE372A01015</t>
  </si>
  <si>
    <t>Tata Consultancy Services Limited</t>
  </si>
  <si>
    <t>INE467B01029</t>
  </si>
  <si>
    <t>DLF Limited</t>
  </si>
  <si>
    <t>INE271C01023</t>
  </si>
  <si>
    <t>Realty</t>
  </si>
  <si>
    <t>JSW Energy Limited</t>
  </si>
  <si>
    <t>INE121E01018</t>
  </si>
  <si>
    <t>Hindustan Unilever Limited</t>
  </si>
  <si>
    <t>INE030A01027</t>
  </si>
  <si>
    <t>Mahindra &amp; Mahindra Limited</t>
  </si>
  <si>
    <t>INE101A01026</t>
  </si>
  <si>
    <t>Tata Motors Limited</t>
  </si>
  <si>
    <t>INE155A01022</t>
  </si>
  <si>
    <t>Oil India Limited</t>
  </si>
  <si>
    <t>INE274J01014</t>
  </si>
  <si>
    <t>Oil</t>
  </si>
  <si>
    <t>Aegis Logistics Limited</t>
  </si>
  <si>
    <t>INE208C01025</t>
  </si>
  <si>
    <t>Gas</t>
  </si>
  <si>
    <t>Maharashtra Seamless Limited</t>
  </si>
  <si>
    <t>INE271B01025</t>
  </si>
  <si>
    <t>Industrial Products</t>
  </si>
  <si>
    <t>Tube Investments of India Limited</t>
  </si>
  <si>
    <t>INE974X01010</t>
  </si>
  <si>
    <t>Auto Components</t>
  </si>
  <si>
    <t>West Coast Paper Mills Limited</t>
  </si>
  <si>
    <t>INE976A01021</t>
  </si>
  <si>
    <t>Paper Forest &amp; Jute Products</t>
  </si>
  <si>
    <t>Indian Bank</t>
  </si>
  <si>
    <t>INE562A01011</t>
  </si>
  <si>
    <t>Lupin Limited</t>
  </si>
  <si>
    <t>INE326A01037</t>
  </si>
  <si>
    <t>Global Health Limited</t>
  </si>
  <si>
    <t>INE474Q01031</t>
  </si>
  <si>
    <t>Healthcare Services</t>
  </si>
  <si>
    <t>TD Power Systems Limited</t>
  </si>
  <si>
    <t>INE419M01027</t>
  </si>
  <si>
    <t>Bajaj Holdings &amp; Investments Limited</t>
  </si>
  <si>
    <t>INE118A01012</t>
  </si>
  <si>
    <t>Finance</t>
  </si>
  <si>
    <t>IndusInd Bank Limited</t>
  </si>
  <si>
    <t>INE095A01012</t>
  </si>
  <si>
    <t>Jindal Steel &amp; Power Limited</t>
  </si>
  <si>
    <t>INE749A01030</t>
  </si>
  <si>
    <t>Ferrous Metals</t>
  </si>
  <si>
    <t>Voltas Limited</t>
  </si>
  <si>
    <t>INE226A01021</t>
  </si>
  <si>
    <t>Consumer Durables</t>
  </si>
  <si>
    <t>Shriram Finance Limited</t>
  </si>
  <si>
    <t>INE721A01013</t>
  </si>
  <si>
    <t>Finolex Cables Limited</t>
  </si>
  <si>
    <t>INE235A01022</t>
  </si>
  <si>
    <t>Tech Mahindra Limited</t>
  </si>
  <si>
    <t>INE669C01036</t>
  </si>
  <si>
    <t>Jindal Stainless Limited</t>
  </si>
  <si>
    <t>INE220G01021</t>
  </si>
  <si>
    <t>The Karnataka Bank Limited</t>
  </si>
  <si>
    <t>INE614B01018</t>
  </si>
  <si>
    <t>Aarti Industries Limited</t>
  </si>
  <si>
    <t>INE769A01020</t>
  </si>
  <si>
    <t>Chemicals &amp; Petrochemicals</t>
  </si>
  <si>
    <t>TVS Holdings Limited</t>
  </si>
  <si>
    <t>INE105A01035</t>
  </si>
  <si>
    <t>PB Fintech Limited</t>
  </si>
  <si>
    <t>INE417T01026</t>
  </si>
  <si>
    <t>Financial Technology (Fintech)</t>
  </si>
  <si>
    <t>Zydus Lifesciences Limited</t>
  </si>
  <si>
    <t>INE010B01027</t>
  </si>
  <si>
    <t>Power Finance Corporation Limited</t>
  </si>
  <si>
    <t>INE134E01011</t>
  </si>
  <si>
    <t>KEI Industries Limited</t>
  </si>
  <si>
    <t>INE878B01027</t>
  </si>
  <si>
    <t>Trent Limited</t>
  </si>
  <si>
    <t>INE849A01020</t>
  </si>
  <si>
    <t>Cholamandalam Investment and Finance Company Limited</t>
  </si>
  <si>
    <t>INE121A01024</t>
  </si>
  <si>
    <t>CreditAccess Grameen Limited</t>
  </si>
  <si>
    <t>INE741K01010</t>
  </si>
  <si>
    <t>Brigade Enterprises Limited</t>
  </si>
  <si>
    <t>INE791I01019</t>
  </si>
  <si>
    <t>Samvardhana Motherson International Limited</t>
  </si>
  <si>
    <t>INE775A01035</t>
  </si>
  <si>
    <t>Emami Limited</t>
  </si>
  <si>
    <t>INE548C01032</t>
  </si>
  <si>
    <t>Personal Products</t>
  </si>
  <si>
    <t>Endurance Technologies Limited</t>
  </si>
  <si>
    <t>INE913H01037</t>
  </si>
  <si>
    <t>Coal India Limited</t>
  </si>
  <si>
    <t>INE522F01014</t>
  </si>
  <si>
    <t>Consumable Fuels</t>
  </si>
  <si>
    <t>Dishman Carbogen Amcis Limited</t>
  </si>
  <si>
    <t>INE385W01011</t>
  </si>
  <si>
    <t>Kaynes Technology India Ltd</t>
  </si>
  <si>
    <t>INE918Z01012</t>
  </si>
  <si>
    <t>Industrial Manufacturing</t>
  </si>
  <si>
    <t>PNC Infratech Limited</t>
  </si>
  <si>
    <t>INE195J01029</t>
  </si>
  <si>
    <t>PI Industries Litmited</t>
  </si>
  <si>
    <t>INE603J01030</t>
  </si>
  <si>
    <t>Fertilizers &amp; Agrochemicals</t>
  </si>
  <si>
    <t>Jsw Infrastructure Limited</t>
  </si>
  <si>
    <t>INE880J01026</t>
  </si>
  <si>
    <t>Transport Infrastructure</t>
  </si>
  <si>
    <t>Zensar Technologies Limited</t>
  </si>
  <si>
    <t>INE520A01027</t>
  </si>
  <si>
    <t>Sonata Software Limited</t>
  </si>
  <si>
    <t>INE269A01021</t>
  </si>
  <si>
    <t>Radico Khaitan Limited</t>
  </si>
  <si>
    <t>INE944F01028</t>
  </si>
  <si>
    <t>Godrej Consumer Products Limited</t>
  </si>
  <si>
    <t>INE102D01028</t>
  </si>
  <si>
    <t>Birla Corporation Limited</t>
  </si>
  <si>
    <t>INE340A01012</t>
  </si>
  <si>
    <t>MphasiS Limited</t>
  </si>
  <si>
    <t>INE356A01018</t>
  </si>
  <si>
    <t>Birlasoft Limited</t>
  </si>
  <si>
    <t>INE836A01035</t>
  </si>
  <si>
    <t>Jubilant Foodworks Limited</t>
  </si>
  <si>
    <t>INE797F01020</t>
  </si>
  <si>
    <t>Leisure Services</t>
  </si>
  <si>
    <t>Syngene International Limited</t>
  </si>
  <si>
    <t>INE398R01022</t>
  </si>
  <si>
    <t>Dalmia Bharat Limited</t>
  </si>
  <si>
    <t>INE00R701025</t>
  </si>
  <si>
    <t>Electronics Mart India Limited</t>
  </si>
  <si>
    <t>INE02YR01019</t>
  </si>
  <si>
    <t>Mahindra Lifespace Developers Limited</t>
  </si>
  <si>
    <t>INE813A01018</t>
  </si>
  <si>
    <t>CIE Automotive India Limited</t>
  </si>
  <si>
    <t>INE536H01010</t>
  </si>
  <si>
    <t>Mangalore Chemicals &amp; Fertilizers Limited</t>
  </si>
  <si>
    <t>INE558B01017</t>
  </si>
  <si>
    <t>IIFL Finance Limited</t>
  </si>
  <si>
    <t>INE530B01024</t>
  </si>
  <si>
    <t>Apollo Hospitals Enterprise Limited</t>
  </si>
  <si>
    <t>INE437A01024</t>
  </si>
  <si>
    <t>Pfizer Limited</t>
  </si>
  <si>
    <t>INE182A01018</t>
  </si>
  <si>
    <t>SBI Life Insurance Company Limited</t>
  </si>
  <si>
    <t>INE123W01016</t>
  </si>
  <si>
    <t>Insurance</t>
  </si>
  <si>
    <t>APL Apollo Tubes Limited</t>
  </si>
  <si>
    <t>INE702C01027</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</si>
  <si>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</si>
  <si>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</si>
  <si>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</si>
  <si>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</si>
  <si>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</si>
  <si>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</si>
  <si>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</si>
  <si>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</si>
  <si>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</si>
  <si>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</si>
  <si>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</si>
  <si>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</si>
  <si>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</si>
  <si>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</si>
  <si>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</si>
  <si>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</si>
  <si>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</si>
  <si>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</si>
  <si>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</si>
  <si>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</si>
  <si>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</si>
  <si>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</si>
  <si>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</si>
  <si>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</si>
  <si>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Flexi Cap Fund  (An open ended dynamic equity scheme investing across large cap, mid cap, small cap stocks.)</t>
  </si>
  <si>
    <t>Portfolio Statement as of April 30, 2024</t>
  </si>
  <si>
    <t>Notes: HSBC Flexi Cap Fund</t>
  </si>
  <si>
    <t>As on 30 APR 2024</t>
  </si>
  <si>
    <t>As on 31 MAR 2024</t>
  </si>
  <si>
    <t>(6) No bonus was declared  during the month ended  APR 30,2024 .</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</si>
  <si>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</si>
  <si>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</si>
  <si>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 30,2024  is 0.45 times.</t>
  </si>
  <si>
    <t>(5) No Dividend was declared during the month ended APR 30,2024  .</t>
  </si>
  <si>
    <t>IIFL Finance Limited - Rights</t>
  </si>
  <si>
    <t>INE530B20016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</si>
</sst>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6"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5">
    <xf numFmtId="0" fontId="0" fillId="0" borderId="0"/>
    <xf numFmtId="0" fontId="1" fillId="0" borderId="0"/>
    <xf numFmtId="0" fontId="5" fillId="0" borderId="0"/>
    <xf numFmtId="0" fontId="1" fillId="0" borderId="0"/>
    <xf numFmtId="9" fontId="1" fillId="0" borderId="0" applyFont="0" applyFill="0" applyBorder="0" applyAlignment="0" applyProtection="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1" fillId="0" borderId="0" xfId="1"/>
    <xf numFmtId="49" fontId="2"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9"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13" xfId="1" applyNumberFormat="1" applyFont="1" applyFill="1" applyBorder="1" applyAlignment="1">
      <alignment horizontal="left"/>
    </xf>
    <xf numFmtId="49" fontId="3" fillId="3" borderId="16" xfId="1" applyNumberFormat="1" applyFont="1" applyFill="1" applyBorder="1" applyAlignment="1">
      <alignment horizontal="left"/>
    </xf>
    <xf numFmtId="0" fontId="3" fillId="3" borderId="14" xfId="1" applyFont="1" applyFill="1" applyBorder="1" applyAlignment="1">
      <alignment horizontal="center"/>
    </xf>
    <xf numFmtId="0" fontId="3" fillId="3" borderId="15" xfId="1" applyFont="1" applyFill="1" applyBorder="1" applyAlignment="1">
      <alignment horizontal="center"/>
    </xf>
    <xf numFmtId="0" fontId="3" fillId="3" borderId="17" xfId="1" applyFont="1" applyFill="1" applyBorder="1" applyAlignment="1">
      <alignment horizontal="center"/>
    </xf>
    <xf numFmtId="0" fontId="3" fillId="3" borderId="18" xfId="1" applyFont="1" applyFill="1" applyBorder="1" applyAlignment="1">
      <alignment horizontal="center"/>
    </xf>
    <xf numFmtId="4" fontId="0" fillId="0" borderId="0" xfId="0" applyNumberFormat="1"/>
    <xf numFmtId="165" fontId="0" fillId="0" borderId="0" xfId="4" applyNumberFormat="1"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F642916E-73B4-48CE-8637-84360BC7DC73}"/>
    <cellStyle name="Normal 2 2" xfId="2" xr:uid="{14C387F5-CEDF-46B1-8A43-4062E9513996}"/>
    <cellStyle name="Normal 4" xfId="3" xr:uid="{D9F5D654-722D-4207-ADE9-B0E3C1A8D784}"/>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102</xdr:row>
      <xdr:rowOff>19050</xdr:rowOff>
    </xdr:from>
    <xdr:to>
      <xdr:col>5</xdr:col>
      <xdr:colOff>1172210</xdr:colOff>
      <xdr:row>120</xdr:row>
      <xdr:rowOff>61291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2936200"/>
          <a:ext cx="10878185" cy="2956891"/>
        </a:xfrm>
        <a:prstGeom prst="rect">
          <a:avLst/>
        </a:prstGeom>
        <a:noFill/>
        <a:ln>
          <a:noFill/>
        </a:ln>
      </xdr:spPr>
    </xdr:pic>
    <xdr:clientData/>
  </xdr:twoCellAnchor>
  <xdr:twoCellAnchor editAs="oneCell">
    <xdr:from>
      <xdr:col>2</xdr:col>
      <xdr:colOff>647700</xdr:colOff>
      <xdr:row>104</xdr:row>
      <xdr:rowOff>57150</xdr:rowOff>
    </xdr:from>
    <xdr:to>
      <xdr:col>3</xdr:col>
      <xdr:colOff>814705</xdr:colOff>
      <xdr:row>113</xdr:row>
      <xdr:rowOff>72390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23298150"/>
          <a:ext cx="2033905" cy="14725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104</xdr:row>
      <xdr:rowOff>66675</xdr:rowOff>
    </xdr:from>
    <xdr:to>
      <xdr:col>5</xdr:col>
      <xdr:colOff>983456</xdr:colOff>
      <xdr:row>112</xdr:row>
      <xdr:rowOff>153670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86775" y="23307675"/>
          <a:ext cx="2250281" cy="13823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3C2AD-A772-4727-93F3-BF9276251D7B}">
  <dimension ref="A1:I96"/>
  <sheetViews>
    <sheetView showGridLines="0" tabSelected="1" workbookViewId="0">
      <selection sqref="A1:I1"/>
    </sheetView>
  </sheetViews>
  <sheetFormatPr defaultRowHeight="13.2" x14ac:dyDescent="0.25"/>
  <cols>
    <col min="1" max="1" width="55.77734375" customWidth="1"/>
    <col min="2" max="2" width="20.77734375" customWidth="1"/>
    <col min="3" max="3" width="28" customWidth="1"/>
    <col min="4" max="7" width="20.77734375" customWidth="1"/>
    <col min="8" max="9" width="10.21875" customWidth="1"/>
    <col min="10" max="10" width="4.77734375" customWidth="1"/>
  </cols>
  <sheetData>
    <row r="1" spans="1:9" s="1" customFormat="1" ht="24" customHeight="1" x14ac:dyDescent="0.25">
      <c r="A1" s="41" t="s">
        <v>0</v>
      </c>
      <c r="B1" s="41"/>
      <c r="C1" s="41"/>
      <c r="D1" s="41"/>
      <c r="E1" s="41"/>
      <c r="F1" s="41"/>
      <c r="G1" s="41"/>
      <c r="H1" s="41"/>
      <c r="I1" s="41"/>
    </row>
    <row r="2" spans="1:9" s="1" customFormat="1" ht="24" customHeight="1" x14ac:dyDescent="0.25">
      <c r="A2" s="41" t="s">
        <v>1</v>
      </c>
      <c r="B2" s="41"/>
      <c r="C2" s="41"/>
      <c r="D2" s="41"/>
      <c r="E2" s="41"/>
      <c r="F2" s="41"/>
      <c r="G2" s="41"/>
      <c r="H2" s="41"/>
      <c r="I2" s="41"/>
    </row>
    <row r="3" spans="1:9" s="1" customFormat="1" ht="24" customHeight="1" x14ac:dyDescent="0.25">
      <c r="A3" s="42" t="s">
        <v>232</v>
      </c>
      <c r="B3" s="42"/>
      <c r="C3" s="42"/>
      <c r="D3" s="42"/>
      <c r="E3" s="42"/>
      <c r="F3" s="42"/>
      <c r="G3" s="42"/>
      <c r="H3" s="42"/>
      <c r="I3" s="42"/>
    </row>
    <row r="4" spans="1:9" s="1" customFormat="1" ht="18.3" customHeight="1" x14ac:dyDescent="0.25">
      <c r="A4" s="43" t="s">
        <v>233</v>
      </c>
      <c r="B4" s="43"/>
      <c r="C4" s="43"/>
      <c r="D4" s="43"/>
      <c r="E4" s="43"/>
      <c r="F4" s="43"/>
      <c r="G4" s="43"/>
      <c r="H4" s="43"/>
      <c r="I4" s="43"/>
    </row>
    <row r="5" spans="1:9" s="1" customFormat="1" ht="18.3" customHeight="1" x14ac:dyDescent="0.25">
      <c r="A5" s="44"/>
      <c r="B5" s="44"/>
      <c r="C5" s="44"/>
      <c r="D5" s="44"/>
      <c r="E5" s="44"/>
      <c r="F5" s="44"/>
      <c r="G5" s="44"/>
      <c r="H5" s="44"/>
      <c r="I5" s="44"/>
    </row>
    <row r="6" spans="1:9" s="1" customFormat="1" ht="18.3" customHeight="1" x14ac:dyDescent="0.25">
      <c r="A6" s="40" t="s">
        <v>2</v>
      </c>
      <c r="B6" s="40" t="s">
        <v>3</v>
      </c>
      <c r="C6" s="40" t="s">
        <v>4</v>
      </c>
      <c r="D6" s="40" t="s">
        <v>5</v>
      </c>
      <c r="E6" s="45" t="s">
        <v>6</v>
      </c>
      <c r="F6" s="40" t="s">
        <v>7</v>
      </c>
      <c r="G6" s="40" t="s">
        <v>8</v>
      </c>
      <c r="H6" s="2" t="s">
        <v>9</v>
      </c>
      <c r="I6" s="3"/>
    </row>
    <row r="7" spans="1:9" s="1" customFormat="1" ht="18.3" customHeight="1" x14ac:dyDescent="0.25">
      <c r="A7" s="40"/>
      <c r="B7" s="40"/>
      <c r="C7" s="40"/>
      <c r="D7" s="40"/>
      <c r="E7" s="45"/>
      <c r="F7" s="40"/>
      <c r="G7" s="4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780600</v>
      </c>
      <c r="E11" s="17">
        <v>22902.804</v>
      </c>
      <c r="F11" s="18">
        <v>5.21E-2</v>
      </c>
      <c r="G11" s="7"/>
      <c r="H11" s="11"/>
      <c r="I11" s="9"/>
    </row>
    <row r="12" spans="1:9" s="1" customFormat="1" ht="18.3" customHeight="1" x14ac:dyDescent="0.2">
      <c r="A12" s="16" t="s">
        <v>18</v>
      </c>
      <c r="B12" s="16" t="s">
        <v>19</v>
      </c>
      <c r="C12" s="16" t="s">
        <v>20</v>
      </c>
      <c r="D12" s="17">
        <v>1427200</v>
      </c>
      <c r="E12" s="17">
        <v>21694.867200000001</v>
      </c>
      <c r="F12" s="18">
        <v>4.9299999999999997E-2</v>
      </c>
      <c r="G12" s="7"/>
      <c r="H12" s="11"/>
      <c r="I12" s="9"/>
    </row>
    <row r="13" spans="1:9" s="1" customFormat="1" ht="18.3" customHeight="1" x14ac:dyDescent="0.2">
      <c r="A13" s="16" t="s">
        <v>21</v>
      </c>
      <c r="B13" s="16" t="s">
        <v>22</v>
      </c>
      <c r="C13" s="16" t="s">
        <v>20</v>
      </c>
      <c r="D13" s="17">
        <v>1620400</v>
      </c>
      <c r="E13" s="17">
        <v>18641.081600000001</v>
      </c>
      <c r="F13" s="18">
        <v>4.24E-2</v>
      </c>
      <c r="G13" s="7"/>
      <c r="H13" s="11"/>
      <c r="I13" s="9"/>
    </row>
    <row r="14" spans="1:9" s="1" customFormat="1" ht="18.3" customHeight="1" x14ac:dyDescent="0.2">
      <c r="A14" s="16" t="s">
        <v>23</v>
      </c>
      <c r="B14" s="16" t="s">
        <v>24</v>
      </c>
      <c r="C14" s="16" t="s">
        <v>25</v>
      </c>
      <c r="D14" s="17">
        <v>1038600</v>
      </c>
      <c r="E14" s="17">
        <v>14753.8323</v>
      </c>
      <c r="F14" s="18">
        <v>3.3500000000000002E-2</v>
      </c>
      <c r="G14" s="7"/>
      <c r="H14" s="11"/>
      <c r="I14" s="9"/>
    </row>
    <row r="15" spans="1:9" s="1" customFormat="1" ht="18.3" customHeight="1" x14ac:dyDescent="0.2">
      <c r="A15" s="16" t="s">
        <v>26</v>
      </c>
      <c r="B15" s="16" t="s">
        <v>27</v>
      </c>
      <c r="C15" s="16" t="s">
        <v>28</v>
      </c>
      <c r="D15" s="17">
        <v>887400</v>
      </c>
      <c r="E15" s="17">
        <v>11734.090200000001</v>
      </c>
      <c r="F15" s="18">
        <v>2.6700000000000002E-2</v>
      </c>
      <c r="G15" s="7"/>
      <c r="H15" s="11"/>
      <c r="I15" s="9"/>
    </row>
    <row r="16" spans="1:9" s="1" customFormat="1" ht="18.3" customHeight="1" x14ac:dyDescent="0.2">
      <c r="A16" s="16" t="s">
        <v>29</v>
      </c>
      <c r="B16" s="16" t="s">
        <v>30</v>
      </c>
      <c r="C16" s="16" t="s">
        <v>31</v>
      </c>
      <c r="D16" s="17">
        <v>301400</v>
      </c>
      <c r="E16" s="17">
        <v>10833.2202</v>
      </c>
      <c r="F16" s="18">
        <v>2.46E-2</v>
      </c>
      <c r="G16" s="7"/>
      <c r="H16" s="11"/>
      <c r="I16" s="9"/>
    </row>
    <row r="17" spans="1:9" s="1" customFormat="1" ht="18.3" customHeight="1" x14ac:dyDescent="0.2">
      <c r="A17" s="16" t="s">
        <v>32</v>
      </c>
      <c r="B17" s="16" t="s">
        <v>33</v>
      </c>
      <c r="C17" s="16" t="s">
        <v>34</v>
      </c>
      <c r="D17" s="17">
        <v>2254000</v>
      </c>
      <c r="E17" s="17">
        <v>9819.5509999999995</v>
      </c>
      <c r="F17" s="18">
        <v>2.23E-2</v>
      </c>
      <c r="G17" s="7"/>
      <c r="H17" s="11"/>
      <c r="I17" s="9"/>
    </row>
    <row r="18" spans="1:9" s="1" customFormat="1" ht="18.3" customHeight="1" x14ac:dyDescent="0.2">
      <c r="A18" s="16" t="s">
        <v>35</v>
      </c>
      <c r="B18" s="16" t="s">
        <v>36</v>
      </c>
      <c r="C18" s="16" t="s">
        <v>20</v>
      </c>
      <c r="D18" s="17">
        <v>769800</v>
      </c>
      <c r="E18" s="17">
        <v>8975.0982000000004</v>
      </c>
      <c r="F18" s="18">
        <v>2.0400000000000001E-2</v>
      </c>
      <c r="G18" s="7"/>
      <c r="H18" s="11"/>
      <c r="I18" s="9"/>
    </row>
    <row r="19" spans="1:9" s="1" customFormat="1" ht="18.3" customHeight="1" x14ac:dyDescent="0.2">
      <c r="A19" s="16" t="s">
        <v>37</v>
      </c>
      <c r="B19" s="16" t="s">
        <v>38</v>
      </c>
      <c r="C19" s="16" t="s">
        <v>20</v>
      </c>
      <c r="D19" s="17">
        <v>1056092</v>
      </c>
      <c r="E19" s="17">
        <v>8725.9601500000008</v>
      </c>
      <c r="F19" s="18">
        <v>1.9800000000000002E-2</v>
      </c>
      <c r="G19" s="7"/>
      <c r="H19" s="11"/>
      <c r="I19" s="9"/>
    </row>
    <row r="20" spans="1:9" s="1" customFormat="1" ht="18.3" customHeight="1" x14ac:dyDescent="0.2">
      <c r="A20" s="16" t="s">
        <v>39</v>
      </c>
      <c r="B20" s="16" t="s">
        <v>40</v>
      </c>
      <c r="C20" s="16" t="s">
        <v>41</v>
      </c>
      <c r="D20" s="17">
        <v>2331600</v>
      </c>
      <c r="E20" s="17">
        <v>8468.3711999999996</v>
      </c>
      <c r="F20" s="18">
        <v>1.9300000000000001E-2</v>
      </c>
      <c r="G20" s="7"/>
      <c r="H20" s="11"/>
      <c r="I20" s="9"/>
    </row>
    <row r="21" spans="1:9" s="1" customFormat="1" ht="18.3" customHeight="1" x14ac:dyDescent="0.2">
      <c r="A21" s="16" t="s">
        <v>42</v>
      </c>
      <c r="B21" s="16" t="s">
        <v>43</v>
      </c>
      <c r="C21" s="16" t="s">
        <v>44</v>
      </c>
      <c r="D21" s="17">
        <v>549700</v>
      </c>
      <c r="E21" s="17">
        <v>8257.0437000000002</v>
      </c>
      <c r="F21" s="18">
        <v>1.8800000000000001E-2</v>
      </c>
      <c r="G21" s="7"/>
      <c r="H21" s="11"/>
      <c r="I21" s="9"/>
    </row>
    <row r="22" spans="1:9" s="1" customFormat="1" ht="18.3" customHeight="1" x14ac:dyDescent="0.2">
      <c r="A22" s="16" t="s">
        <v>45</v>
      </c>
      <c r="B22" s="16" t="s">
        <v>46</v>
      </c>
      <c r="C22" s="16" t="s">
        <v>47</v>
      </c>
      <c r="D22" s="17">
        <v>4243800</v>
      </c>
      <c r="E22" s="17">
        <v>8196.8996999999999</v>
      </c>
      <c r="F22" s="18">
        <v>1.8599999999999998E-2</v>
      </c>
      <c r="G22" s="7"/>
      <c r="H22" s="11"/>
      <c r="I22" s="9"/>
    </row>
    <row r="23" spans="1:9" s="1" customFormat="1" ht="18.3" customHeight="1" x14ac:dyDescent="0.2">
      <c r="A23" s="16" t="s">
        <v>48</v>
      </c>
      <c r="B23" s="16" t="s">
        <v>49</v>
      </c>
      <c r="C23" s="16" t="s">
        <v>50</v>
      </c>
      <c r="D23" s="17">
        <v>129000</v>
      </c>
      <c r="E23" s="17">
        <v>7535.7929999999997</v>
      </c>
      <c r="F23" s="18">
        <v>1.7100000000000001E-2</v>
      </c>
      <c r="G23" s="7"/>
      <c r="H23" s="11"/>
      <c r="I23" s="9"/>
    </row>
    <row r="24" spans="1:9" s="1" customFormat="1" ht="18.3" customHeight="1" x14ac:dyDescent="0.2">
      <c r="A24" s="16" t="s">
        <v>51</v>
      </c>
      <c r="B24" s="16" t="s">
        <v>52</v>
      </c>
      <c r="C24" s="16" t="s">
        <v>53</v>
      </c>
      <c r="D24" s="17">
        <v>3205731</v>
      </c>
      <c r="E24" s="17">
        <v>7493.3962124999998</v>
      </c>
      <c r="F24" s="18">
        <v>1.7000000000000001E-2</v>
      </c>
      <c r="G24" s="7"/>
      <c r="H24" s="11"/>
      <c r="I24" s="9"/>
    </row>
    <row r="25" spans="1:9" s="1" customFormat="1" ht="18.3" customHeight="1" x14ac:dyDescent="0.2">
      <c r="A25" s="16" t="s">
        <v>54</v>
      </c>
      <c r="B25" s="16" t="s">
        <v>55</v>
      </c>
      <c r="C25" s="16" t="s">
        <v>56</v>
      </c>
      <c r="D25" s="17">
        <v>80130</v>
      </c>
      <c r="E25" s="17">
        <v>7134.494745</v>
      </c>
      <c r="F25" s="18">
        <v>1.6199999999999999E-2</v>
      </c>
      <c r="G25" s="7"/>
      <c r="H25" s="11"/>
      <c r="I25" s="9"/>
    </row>
    <row r="26" spans="1:9" s="1" customFormat="1" ht="18.3" customHeight="1" x14ac:dyDescent="0.2">
      <c r="A26" s="16" t="s">
        <v>57</v>
      </c>
      <c r="B26" s="16" t="s">
        <v>58</v>
      </c>
      <c r="C26" s="16" t="s">
        <v>59</v>
      </c>
      <c r="D26" s="17">
        <v>457500</v>
      </c>
      <c r="E26" s="17">
        <v>6768.4837500000003</v>
      </c>
      <c r="F26" s="18">
        <v>1.54E-2</v>
      </c>
      <c r="G26" s="7"/>
      <c r="H26" s="11"/>
      <c r="I26" s="9"/>
    </row>
    <row r="27" spans="1:9" s="1" customFormat="1" ht="18.3" customHeight="1" x14ac:dyDescent="0.2">
      <c r="A27" s="16" t="s">
        <v>60</v>
      </c>
      <c r="B27" s="16" t="s">
        <v>61</v>
      </c>
      <c r="C27" s="16" t="s">
        <v>62</v>
      </c>
      <c r="D27" s="17">
        <v>67714</v>
      </c>
      <c r="E27" s="17">
        <v>6752.3385090000002</v>
      </c>
      <c r="F27" s="18">
        <v>1.5299999999999999E-2</v>
      </c>
      <c r="G27" s="7"/>
      <c r="H27" s="11"/>
      <c r="I27" s="9"/>
    </row>
    <row r="28" spans="1:9" s="1" customFormat="1" ht="18.3" customHeight="1" x14ac:dyDescent="0.2">
      <c r="A28" s="16" t="s">
        <v>63</v>
      </c>
      <c r="B28" s="16" t="s">
        <v>64</v>
      </c>
      <c r="C28" s="16" t="s">
        <v>50</v>
      </c>
      <c r="D28" s="17">
        <v>84905</v>
      </c>
      <c r="E28" s="17">
        <v>6690.5989049999998</v>
      </c>
      <c r="F28" s="18">
        <v>1.52E-2</v>
      </c>
      <c r="G28" s="7"/>
      <c r="H28" s="11"/>
      <c r="I28" s="9"/>
    </row>
    <row r="29" spans="1:9" s="1" customFormat="1" ht="18.3" customHeight="1" x14ac:dyDescent="0.2">
      <c r="A29" s="16" t="s">
        <v>65</v>
      </c>
      <c r="B29" s="16" t="s">
        <v>66</v>
      </c>
      <c r="C29" s="16" t="s">
        <v>25</v>
      </c>
      <c r="D29" s="17">
        <v>169000</v>
      </c>
      <c r="E29" s="17">
        <v>6456.8985000000002</v>
      </c>
      <c r="F29" s="18">
        <v>1.47E-2</v>
      </c>
      <c r="G29" s="7"/>
      <c r="H29" s="11"/>
      <c r="I29" s="9"/>
    </row>
    <row r="30" spans="1:9" s="1" customFormat="1" ht="18.3" customHeight="1" x14ac:dyDescent="0.2">
      <c r="A30" s="16" t="s">
        <v>67</v>
      </c>
      <c r="B30" s="16" t="s">
        <v>68</v>
      </c>
      <c r="C30" s="16" t="s">
        <v>69</v>
      </c>
      <c r="D30" s="17">
        <v>713698</v>
      </c>
      <c r="E30" s="17">
        <v>6365.1156129999999</v>
      </c>
      <c r="F30" s="18">
        <v>1.4500000000000001E-2</v>
      </c>
      <c r="G30" s="7"/>
      <c r="H30" s="11"/>
      <c r="I30" s="9"/>
    </row>
    <row r="31" spans="1:9" s="1" customFormat="1" ht="18.3" customHeight="1" x14ac:dyDescent="0.2">
      <c r="A31" s="16" t="s">
        <v>70</v>
      </c>
      <c r="B31" s="16" t="s">
        <v>71</v>
      </c>
      <c r="C31" s="16" t="s">
        <v>41</v>
      </c>
      <c r="D31" s="17">
        <v>931423</v>
      </c>
      <c r="E31" s="17">
        <v>5863.7734965</v>
      </c>
      <c r="F31" s="18">
        <v>1.3299999999999999E-2</v>
      </c>
      <c r="G31" s="7"/>
      <c r="H31" s="11"/>
      <c r="I31" s="9"/>
    </row>
    <row r="32" spans="1:9" s="1" customFormat="1" ht="18.3" customHeight="1" x14ac:dyDescent="0.2">
      <c r="A32" s="16" t="s">
        <v>72</v>
      </c>
      <c r="B32" s="16" t="s">
        <v>73</v>
      </c>
      <c r="C32" s="16" t="s">
        <v>34</v>
      </c>
      <c r="D32" s="17">
        <v>260446</v>
      </c>
      <c r="E32" s="17">
        <v>5809.1178069999996</v>
      </c>
      <c r="F32" s="18">
        <v>1.32E-2</v>
      </c>
      <c r="G32" s="7"/>
      <c r="H32" s="11"/>
      <c r="I32" s="9"/>
    </row>
    <row r="33" spans="1:9" s="1" customFormat="1" ht="18.3" customHeight="1" x14ac:dyDescent="0.2">
      <c r="A33" s="16" t="s">
        <v>74</v>
      </c>
      <c r="B33" s="16" t="s">
        <v>75</v>
      </c>
      <c r="C33" s="16" t="s">
        <v>56</v>
      </c>
      <c r="D33" s="17">
        <v>268278</v>
      </c>
      <c r="E33" s="17">
        <v>5785.0126529999998</v>
      </c>
      <c r="F33" s="18">
        <v>1.32E-2</v>
      </c>
      <c r="G33" s="7"/>
      <c r="H33" s="11"/>
      <c r="I33" s="9"/>
    </row>
    <row r="34" spans="1:9" s="1" customFormat="1" ht="18.3" customHeight="1" x14ac:dyDescent="0.2">
      <c r="A34" s="16" t="s">
        <v>76</v>
      </c>
      <c r="B34" s="16" t="s">
        <v>77</v>
      </c>
      <c r="C34" s="16" t="s">
        <v>56</v>
      </c>
      <c r="D34" s="17">
        <v>565200</v>
      </c>
      <c r="E34" s="17">
        <v>5696.6508000000003</v>
      </c>
      <c r="F34" s="18">
        <v>1.29E-2</v>
      </c>
      <c r="G34" s="7"/>
      <c r="H34" s="11"/>
      <c r="I34" s="9"/>
    </row>
    <row r="35" spans="1:9" s="1" customFormat="1" ht="18.3" customHeight="1" x14ac:dyDescent="0.2">
      <c r="A35" s="16" t="s">
        <v>78</v>
      </c>
      <c r="B35" s="16" t="s">
        <v>79</v>
      </c>
      <c r="C35" s="16" t="s">
        <v>80</v>
      </c>
      <c r="D35" s="17">
        <v>869000</v>
      </c>
      <c r="E35" s="17">
        <v>5389.1035000000002</v>
      </c>
      <c r="F35" s="18">
        <v>1.23E-2</v>
      </c>
      <c r="G35" s="7"/>
      <c r="H35" s="11"/>
      <c r="I35" s="9"/>
    </row>
    <row r="36" spans="1:9" s="1" customFormat="1" ht="18.3" customHeight="1" x14ac:dyDescent="0.2">
      <c r="A36" s="16" t="s">
        <v>81</v>
      </c>
      <c r="B36" s="16" t="s">
        <v>82</v>
      </c>
      <c r="C36" s="16" t="s">
        <v>83</v>
      </c>
      <c r="D36" s="17">
        <v>765800</v>
      </c>
      <c r="E36" s="17">
        <v>5262.5775999999996</v>
      </c>
      <c r="F36" s="18">
        <v>1.2E-2</v>
      </c>
      <c r="G36" s="7"/>
      <c r="H36" s="11"/>
      <c r="I36" s="9"/>
    </row>
    <row r="37" spans="1:9" s="1" customFormat="1" ht="18.3" customHeight="1" x14ac:dyDescent="0.2">
      <c r="A37" s="16" t="s">
        <v>84</v>
      </c>
      <c r="B37" s="16" t="s">
        <v>85</v>
      </c>
      <c r="C37" s="16" t="s">
        <v>86</v>
      </c>
      <c r="D37" s="17">
        <v>553300</v>
      </c>
      <c r="E37" s="17">
        <v>5004.3218500000003</v>
      </c>
      <c r="F37" s="18">
        <v>1.14E-2</v>
      </c>
      <c r="G37" s="7"/>
      <c r="H37" s="11"/>
      <c r="I37" s="9"/>
    </row>
    <row r="38" spans="1:9" s="1" customFormat="1" ht="18.3" customHeight="1" x14ac:dyDescent="0.2">
      <c r="A38" s="16" t="s">
        <v>87</v>
      </c>
      <c r="B38" s="16" t="s">
        <v>88</v>
      </c>
      <c r="C38" s="16" t="s">
        <v>89</v>
      </c>
      <c r="D38" s="17">
        <v>132600</v>
      </c>
      <c r="E38" s="17">
        <v>4962.6876000000002</v>
      </c>
      <c r="F38" s="18">
        <v>1.1299999999999999E-2</v>
      </c>
      <c r="G38" s="7"/>
      <c r="H38" s="11"/>
      <c r="I38" s="9"/>
    </row>
    <row r="39" spans="1:9" s="1" customFormat="1" ht="18.3" customHeight="1" x14ac:dyDescent="0.2">
      <c r="A39" s="16" t="s">
        <v>90</v>
      </c>
      <c r="B39" s="16" t="s">
        <v>91</v>
      </c>
      <c r="C39" s="16" t="s">
        <v>92</v>
      </c>
      <c r="D39" s="17">
        <v>743800</v>
      </c>
      <c r="E39" s="17">
        <v>4961.1459999999997</v>
      </c>
      <c r="F39" s="18">
        <v>1.1299999999999999E-2</v>
      </c>
      <c r="G39" s="7"/>
      <c r="H39" s="11"/>
      <c r="I39" s="9"/>
    </row>
    <row r="40" spans="1:9" s="1" customFormat="1" ht="18.3" customHeight="1" x14ac:dyDescent="0.2">
      <c r="A40" s="16" t="s">
        <v>93</v>
      </c>
      <c r="B40" s="16" t="s">
        <v>94</v>
      </c>
      <c r="C40" s="16" t="s">
        <v>20</v>
      </c>
      <c r="D40" s="17">
        <v>896700</v>
      </c>
      <c r="E40" s="17">
        <v>4916.1577500000003</v>
      </c>
      <c r="F40" s="18">
        <v>1.12E-2</v>
      </c>
      <c r="G40" s="7"/>
      <c r="H40" s="11"/>
      <c r="I40" s="9"/>
    </row>
    <row r="41" spans="1:9" s="1" customFormat="1" ht="18.3" customHeight="1" x14ac:dyDescent="0.2">
      <c r="A41" s="16" t="s">
        <v>95</v>
      </c>
      <c r="B41" s="16" t="s">
        <v>96</v>
      </c>
      <c r="C41" s="16" t="s">
        <v>44</v>
      </c>
      <c r="D41" s="17">
        <v>297400</v>
      </c>
      <c r="E41" s="17">
        <v>4894.9066000000003</v>
      </c>
      <c r="F41" s="18">
        <v>1.11E-2</v>
      </c>
      <c r="G41" s="7"/>
      <c r="H41" s="11"/>
      <c r="I41" s="9"/>
    </row>
    <row r="42" spans="1:9" s="1" customFormat="1" ht="18.3" customHeight="1" x14ac:dyDescent="0.2">
      <c r="A42" s="16" t="s">
        <v>97</v>
      </c>
      <c r="B42" s="16" t="s">
        <v>98</v>
      </c>
      <c r="C42" s="16" t="s">
        <v>99</v>
      </c>
      <c r="D42" s="17">
        <v>338207</v>
      </c>
      <c r="E42" s="17">
        <v>4887.7675639999998</v>
      </c>
      <c r="F42" s="18">
        <v>1.11E-2</v>
      </c>
      <c r="G42" s="7"/>
      <c r="H42" s="11"/>
      <c r="I42" s="9"/>
    </row>
    <row r="43" spans="1:9" s="1" customFormat="1" ht="18.3" customHeight="1" x14ac:dyDescent="0.2">
      <c r="A43" s="16" t="s">
        <v>100</v>
      </c>
      <c r="B43" s="16" t="s">
        <v>101</v>
      </c>
      <c r="C43" s="16" t="s">
        <v>50</v>
      </c>
      <c r="D43" s="17">
        <v>1455196</v>
      </c>
      <c r="E43" s="17">
        <v>4881.4549820000002</v>
      </c>
      <c r="F43" s="18">
        <v>1.11E-2</v>
      </c>
      <c r="G43" s="7"/>
      <c r="H43" s="11"/>
      <c r="I43" s="9"/>
    </row>
    <row r="44" spans="1:9" s="1" customFormat="1" ht="18.3" customHeight="1" x14ac:dyDescent="0.2">
      <c r="A44" s="16" t="s">
        <v>102</v>
      </c>
      <c r="B44" s="16" t="s">
        <v>103</v>
      </c>
      <c r="C44" s="16" t="s">
        <v>104</v>
      </c>
      <c r="D44" s="17">
        <v>59964</v>
      </c>
      <c r="E44" s="17">
        <v>4866.7681860000002</v>
      </c>
      <c r="F44" s="18">
        <v>1.11E-2</v>
      </c>
      <c r="G44" s="7"/>
      <c r="H44" s="11"/>
      <c r="I44" s="9"/>
    </row>
    <row r="45" spans="1:9" s="1" customFormat="1" ht="18.3" customHeight="1" x14ac:dyDescent="0.2">
      <c r="A45" s="16" t="s">
        <v>105</v>
      </c>
      <c r="B45" s="16" t="s">
        <v>106</v>
      </c>
      <c r="C45" s="16" t="s">
        <v>20</v>
      </c>
      <c r="D45" s="17">
        <v>316400</v>
      </c>
      <c r="E45" s="17">
        <v>4795.6747999999998</v>
      </c>
      <c r="F45" s="18">
        <v>1.09E-2</v>
      </c>
      <c r="G45" s="7"/>
      <c r="H45" s="11"/>
      <c r="I45" s="9"/>
    </row>
    <row r="46" spans="1:9" s="1" customFormat="1" ht="18.3" customHeight="1" x14ac:dyDescent="0.2">
      <c r="A46" s="16" t="s">
        <v>107</v>
      </c>
      <c r="B46" s="16" t="s">
        <v>108</v>
      </c>
      <c r="C46" s="16" t="s">
        <v>109</v>
      </c>
      <c r="D46" s="17">
        <v>515000</v>
      </c>
      <c r="E46" s="17">
        <v>4787.6975000000002</v>
      </c>
      <c r="F46" s="18">
        <v>1.09E-2</v>
      </c>
      <c r="G46" s="7"/>
      <c r="H46" s="11"/>
      <c r="I46" s="9"/>
    </row>
    <row r="47" spans="1:9" s="1" customFormat="1" ht="18.3" customHeight="1" x14ac:dyDescent="0.2">
      <c r="A47" s="16" t="s">
        <v>110</v>
      </c>
      <c r="B47" s="16" t="s">
        <v>111</v>
      </c>
      <c r="C47" s="16" t="s">
        <v>112</v>
      </c>
      <c r="D47" s="17">
        <v>318600</v>
      </c>
      <c r="E47" s="17">
        <v>4698.5535</v>
      </c>
      <c r="F47" s="18">
        <v>1.0699999999999999E-2</v>
      </c>
      <c r="G47" s="7"/>
      <c r="H47" s="11"/>
      <c r="I47" s="9"/>
    </row>
    <row r="48" spans="1:9" s="1" customFormat="1" ht="18.3" customHeight="1" x14ac:dyDescent="0.2">
      <c r="A48" s="16" t="s">
        <v>113</v>
      </c>
      <c r="B48" s="16" t="s">
        <v>114</v>
      </c>
      <c r="C48" s="16" t="s">
        <v>104</v>
      </c>
      <c r="D48" s="17">
        <v>182100</v>
      </c>
      <c r="E48" s="17">
        <v>4646.6457</v>
      </c>
      <c r="F48" s="18">
        <v>1.06E-2</v>
      </c>
      <c r="G48" s="7"/>
      <c r="H48" s="11"/>
      <c r="I48" s="9"/>
    </row>
    <row r="49" spans="1:9" s="1" customFormat="1" ht="18.3" customHeight="1" x14ac:dyDescent="0.2">
      <c r="A49" s="16" t="s">
        <v>115</v>
      </c>
      <c r="B49" s="16" t="s">
        <v>116</v>
      </c>
      <c r="C49" s="16" t="s">
        <v>86</v>
      </c>
      <c r="D49" s="17">
        <v>431787</v>
      </c>
      <c r="E49" s="17">
        <v>4547.7965775000002</v>
      </c>
      <c r="F49" s="18">
        <v>1.03E-2</v>
      </c>
      <c r="G49" s="7"/>
      <c r="H49" s="11"/>
      <c r="I49" s="9"/>
    </row>
    <row r="50" spans="1:9" s="1" customFormat="1" ht="18.3" customHeight="1" x14ac:dyDescent="0.2">
      <c r="A50" s="16" t="s">
        <v>117</v>
      </c>
      <c r="B50" s="16" t="s">
        <v>118</v>
      </c>
      <c r="C50" s="16" t="s">
        <v>25</v>
      </c>
      <c r="D50" s="17">
        <v>357800</v>
      </c>
      <c r="E50" s="17">
        <v>4520.8029999999999</v>
      </c>
      <c r="F50" s="18">
        <v>1.03E-2</v>
      </c>
      <c r="G50" s="7"/>
      <c r="H50" s="11"/>
      <c r="I50" s="9"/>
    </row>
    <row r="51" spans="1:9" s="1" customFormat="1" ht="18.3" customHeight="1" x14ac:dyDescent="0.2">
      <c r="A51" s="16" t="s">
        <v>119</v>
      </c>
      <c r="B51" s="16" t="s">
        <v>120</v>
      </c>
      <c r="C51" s="16" t="s">
        <v>109</v>
      </c>
      <c r="D51" s="17">
        <v>621000</v>
      </c>
      <c r="E51" s="17">
        <v>4390.1594999999998</v>
      </c>
      <c r="F51" s="18">
        <v>0.01</v>
      </c>
      <c r="G51" s="7"/>
      <c r="H51" s="11"/>
      <c r="I51" s="9"/>
    </row>
    <row r="52" spans="1:9" s="1" customFormat="1" ht="18.3" customHeight="1" x14ac:dyDescent="0.2">
      <c r="A52" s="16" t="s">
        <v>121</v>
      </c>
      <c r="B52" s="16" t="s">
        <v>122</v>
      </c>
      <c r="C52" s="16" t="s">
        <v>20</v>
      </c>
      <c r="D52" s="17">
        <v>1897260</v>
      </c>
      <c r="E52" s="17">
        <v>4387.4137499999997</v>
      </c>
      <c r="F52" s="18">
        <v>0.01</v>
      </c>
      <c r="G52" s="7"/>
      <c r="H52" s="11"/>
      <c r="I52" s="9"/>
    </row>
    <row r="53" spans="1:9" s="1" customFormat="1" ht="18.3" customHeight="1" x14ac:dyDescent="0.2">
      <c r="A53" s="16" t="s">
        <v>123</v>
      </c>
      <c r="B53" s="16" t="s">
        <v>124</v>
      </c>
      <c r="C53" s="16" t="s">
        <v>125</v>
      </c>
      <c r="D53" s="17">
        <v>591200</v>
      </c>
      <c r="E53" s="17">
        <v>4385.2259999999997</v>
      </c>
      <c r="F53" s="18">
        <v>0.01</v>
      </c>
      <c r="G53" s="7"/>
      <c r="H53" s="11"/>
      <c r="I53" s="9"/>
    </row>
    <row r="54" spans="1:9" s="1" customFormat="1" ht="18.3" customHeight="1" x14ac:dyDescent="0.2">
      <c r="A54" s="16" t="s">
        <v>126</v>
      </c>
      <c r="B54" s="16" t="s">
        <v>127</v>
      </c>
      <c r="C54" s="16" t="s">
        <v>89</v>
      </c>
      <c r="D54" s="17">
        <v>50000</v>
      </c>
      <c r="E54" s="17">
        <v>4344.5</v>
      </c>
      <c r="F54" s="18">
        <v>9.9000000000000008E-3</v>
      </c>
      <c r="G54" s="7"/>
      <c r="H54" s="11"/>
      <c r="I54" s="9"/>
    </row>
    <row r="55" spans="1:9" s="1" customFormat="1" ht="18.3" customHeight="1" x14ac:dyDescent="0.2">
      <c r="A55" s="16" t="s">
        <v>128</v>
      </c>
      <c r="B55" s="16" t="s">
        <v>129</v>
      </c>
      <c r="C55" s="16" t="s">
        <v>130</v>
      </c>
      <c r="D55" s="17">
        <v>342178</v>
      </c>
      <c r="E55" s="17">
        <v>4328.2095220000001</v>
      </c>
      <c r="F55" s="18">
        <v>9.7999999999999997E-3</v>
      </c>
      <c r="G55" s="7"/>
      <c r="H55" s="11"/>
      <c r="I55" s="9"/>
    </row>
    <row r="56" spans="1:9" s="1" customFormat="1" ht="18.3" customHeight="1" x14ac:dyDescent="0.2">
      <c r="A56" s="16" t="s">
        <v>131</v>
      </c>
      <c r="B56" s="16" t="s">
        <v>132</v>
      </c>
      <c r="C56" s="16" t="s">
        <v>44</v>
      </c>
      <c r="D56" s="17">
        <v>453800</v>
      </c>
      <c r="E56" s="17">
        <v>4327.2098999999998</v>
      </c>
      <c r="F56" s="18">
        <v>9.7999999999999997E-3</v>
      </c>
      <c r="G56" s="7"/>
      <c r="H56" s="11"/>
      <c r="I56" s="9"/>
    </row>
    <row r="57" spans="1:9" s="1" customFormat="1" ht="18.3" customHeight="1" x14ac:dyDescent="0.2">
      <c r="A57" s="16" t="s">
        <v>133</v>
      </c>
      <c r="B57" s="16" t="s">
        <v>134</v>
      </c>
      <c r="C57" s="16" t="s">
        <v>104</v>
      </c>
      <c r="D57" s="17">
        <v>953592</v>
      </c>
      <c r="E57" s="17">
        <v>4210.5854760000002</v>
      </c>
      <c r="F57" s="18">
        <v>9.5999999999999992E-3</v>
      </c>
      <c r="G57" s="7"/>
      <c r="H57" s="11"/>
      <c r="I57" s="9"/>
    </row>
    <row r="58" spans="1:9" s="1" customFormat="1" ht="18.3" customHeight="1" x14ac:dyDescent="0.2">
      <c r="A58" s="16" t="s">
        <v>135</v>
      </c>
      <c r="B58" s="16" t="s">
        <v>136</v>
      </c>
      <c r="C58" s="16" t="s">
        <v>86</v>
      </c>
      <c r="D58" s="17">
        <v>103700</v>
      </c>
      <c r="E58" s="17">
        <v>4143.4372000000003</v>
      </c>
      <c r="F58" s="18">
        <v>9.4000000000000004E-3</v>
      </c>
      <c r="G58" s="7"/>
      <c r="H58" s="11"/>
      <c r="I58" s="9"/>
    </row>
    <row r="59" spans="1:9" s="1" customFormat="1" ht="18.3" customHeight="1" x14ac:dyDescent="0.2">
      <c r="A59" s="16" t="s">
        <v>137</v>
      </c>
      <c r="B59" s="16" t="s">
        <v>138</v>
      </c>
      <c r="C59" s="16" t="s">
        <v>47</v>
      </c>
      <c r="D59" s="17">
        <v>93300</v>
      </c>
      <c r="E59" s="17">
        <v>4114.4367000000002</v>
      </c>
      <c r="F59" s="18">
        <v>9.4000000000000004E-3</v>
      </c>
      <c r="G59" s="7"/>
      <c r="H59" s="11"/>
      <c r="I59" s="9"/>
    </row>
    <row r="60" spans="1:9" s="1" customFormat="1" ht="18.3" customHeight="1" x14ac:dyDescent="0.2">
      <c r="A60" s="16" t="s">
        <v>139</v>
      </c>
      <c r="B60" s="16" t="s">
        <v>140</v>
      </c>
      <c r="C60" s="16" t="s">
        <v>104</v>
      </c>
      <c r="D60" s="17">
        <v>318300</v>
      </c>
      <c r="E60" s="17">
        <v>3798.2739000000001</v>
      </c>
      <c r="F60" s="18">
        <v>8.6E-3</v>
      </c>
      <c r="G60" s="7"/>
      <c r="H60" s="11"/>
      <c r="I60" s="9"/>
    </row>
    <row r="61" spans="1:9" s="1" customFormat="1" ht="18.3" customHeight="1" x14ac:dyDescent="0.2">
      <c r="A61" s="16" t="s">
        <v>141</v>
      </c>
      <c r="B61" s="16" t="s">
        <v>142</v>
      </c>
      <c r="C61" s="16" t="s">
        <v>104</v>
      </c>
      <c r="D61" s="17">
        <v>248200</v>
      </c>
      <c r="E61" s="17">
        <v>3743.9729000000002</v>
      </c>
      <c r="F61" s="18">
        <v>8.5000000000000006E-3</v>
      </c>
      <c r="G61" s="7"/>
      <c r="H61" s="11"/>
      <c r="I61" s="9"/>
    </row>
    <row r="62" spans="1:9" s="1" customFormat="1" ht="18.3" customHeight="1" x14ac:dyDescent="0.2">
      <c r="A62" s="16" t="s">
        <v>143</v>
      </c>
      <c r="B62" s="16" t="s">
        <v>144</v>
      </c>
      <c r="C62" s="16" t="s">
        <v>69</v>
      </c>
      <c r="D62" s="17">
        <v>353000</v>
      </c>
      <c r="E62" s="17">
        <v>3646.1370000000002</v>
      </c>
      <c r="F62" s="18">
        <v>8.3000000000000001E-3</v>
      </c>
      <c r="G62" s="7"/>
      <c r="H62" s="11"/>
      <c r="I62" s="9"/>
    </row>
    <row r="63" spans="1:9" s="1" customFormat="1" ht="18.3" customHeight="1" x14ac:dyDescent="0.2">
      <c r="A63" s="16" t="s">
        <v>145</v>
      </c>
      <c r="B63" s="16" t="s">
        <v>146</v>
      </c>
      <c r="C63" s="16" t="s">
        <v>89</v>
      </c>
      <c r="D63" s="17">
        <v>2718481</v>
      </c>
      <c r="E63" s="17">
        <v>3566.6470720000002</v>
      </c>
      <c r="F63" s="18">
        <v>8.0999999999999996E-3</v>
      </c>
      <c r="G63" s="7"/>
      <c r="H63" s="11"/>
      <c r="I63" s="9"/>
    </row>
    <row r="64" spans="1:9" s="1" customFormat="1" ht="18.3" customHeight="1" x14ac:dyDescent="0.2">
      <c r="A64" s="16" t="s">
        <v>147</v>
      </c>
      <c r="B64" s="16" t="s">
        <v>148</v>
      </c>
      <c r="C64" s="16" t="s">
        <v>149</v>
      </c>
      <c r="D64" s="17">
        <v>712100</v>
      </c>
      <c r="E64" s="17">
        <v>3467.2148999999999</v>
      </c>
      <c r="F64" s="18">
        <v>7.9000000000000008E-3</v>
      </c>
      <c r="G64" s="7"/>
      <c r="H64" s="11"/>
      <c r="I64" s="9"/>
    </row>
    <row r="65" spans="1:9" s="1" customFormat="1" ht="18.3" customHeight="1" x14ac:dyDescent="0.2">
      <c r="A65" s="16" t="s">
        <v>150</v>
      </c>
      <c r="B65" s="16" t="s">
        <v>151</v>
      </c>
      <c r="C65" s="16" t="s">
        <v>89</v>
      </c>
      <c r="D65" s="17">
        <v>174914</v>
      </c>
      <c r="E65" s="17">
        <v>3460.586033</v>
      </c>
      <c r="F65" s="18">
        <v>7.9000000000000008E-3</v>
      </c>
      <c r="G65" s="7"/>
      <c r="H65" s="11"/>
      <c r="I65" s="9"/>
    </row>
    <row r="66" spans="1:9" s="1" customFormat="1" ht="18.3" customHeight="1" x14ac:dyDescent="0.2">
      <c r="A66" s="16" t="s">
        <v>152</v>
      </c>
      <c r="B66" s="16" t="s">
        <v>153</v>
      </c>
      <c r="C66" s="16" t="s">
        <v>154</v>
      </c>
      <c r="D66" s="17">
        <v>758000</v>
      </c>
      <c r="E66" s="17">
        <v>3443.5940000000001</v>
      </c>
      <c r="F66" s="18">
        <v>7.7999999999999996E-3</v>
      </c>
      <c r="G66" s="7"/>
      <c r="H66" s="11"/>
      <c r="I66" s="9"/>
    </row>
    <row r="67" spans="1:9" s="1" customFormat="1" ht="18.3" customHeight="1" x14ac:dyDescent="0.2">
      <c r="A67" s="16" t="s">
        <v>155</v>
      </c>
      <c r="B67" s="16" t="s">
        <v>156</v>
      </c>
      <c r="C67" s="16" t="s">
        <v>44</v>
      </c>
      <c r="D67" s="17">
        <v>1476000</v>
      </c>
      <c r="E67" s="17">
        <v>3426.5340000000001</v>
      </c>
      <c r="F67" s="18">
        <v>7.7999999999999996E-3</v>
      </c>
      <c r="G67" s="7"/>
      <c r="H67" s="11"/>
      <c r="I67" s="9"/>
    </row>
    <row r="68" spans="1:9" s="1" customFormat="1" ht="18.3" customHeight="1" x14ac:dyDescent="0.2">
      <c r="A68" s="16" t="s">
        <v>157</v>
      </c>
      <c r="B68" s="16" t="s">
        <v>158</v>
      </c>
      <c r="C68" s="16" t="s">
        <v>159</v>
      </c>
      <c r="D68" s="17">
        <v>128200</v>
      </c>
      <c r="E68" s="17">
        <v>3415.8890000000001</v>
      </c>
      <c r="F68" s="18">
        <v>7.7999999999999996E-3</v>
      </c>
      <c r="G68" s="7"/>
      <c r="H68" s="11"/>
      <c r="I68" s="9"/>
    </row>
    <row r="69" spans="1:9" s="1" customFormat="1" ht="18.3" customHeight="1" x14ac:dyDescent="0.2">
      <c r="A69" s="16" t="s">
        <v>160</v>
      </c>
      <c r="B69" s="16" t="s">
        <v>161</v>
      </c>
      <c r="C69" s="16" t="s">
        <v>31</v>
      </c>
      <c r="D69" s="17">
        <v>736100</v>
      </c>
      <c r="E69" s="17">
        <v>3301.77655</v>
      </c>
      <c r="F69" s="18">
        <v>7.4999999999999997E-3</v>
      </c>
      <c r="G69" s="7"/>
      <c r="H69" s="11"/>
      <c r="I69" s="9"/>
    </row>
    <row r="70" spans="1:9" s="1" customFormat="1" ht="18.3" customHeight="1" x14ac:dyDescent="0.2">
      <c r="A70" s="16" t="s">
        <v>162</v>
      </c>
      <c r="B70" s="16" t="s">
        <v>163</v>
      </c>
      <c r="C70" s="16" t="s">
        <v>164</v>
      </c>
      <c r="D70" s="17">
        <v>88000</v>
      </c>
      <c r="E70" s="17">
        <v>3215.6080000000002</v>
      </c>
      <c r="F70" s="18">
        <v>7.3000000000000001E-3</v>
      </c>
      <c r="G70" s="7"/>
      <c r="H70" s="11"/>
      <c r="I70" s="9"/>
    </row>
    <row r="71" spans="1:9" s="1" customFormat="1" ht="18.3" customHeight="1" x14ac:dyDescent="0.2">
      <c r="A71" s="16" t="s">
        <v>165</v>
      </c>
      <c r="B71" s="16" t="s">
        <v>166</v>
      </c>
      <c r="C71" s="16" t="s">
        <v>167</v>
      </c>
      <c r="D71" s="17">
        <v>1285000</v>
      </c>
      <c r="E71" s="17">
        <v>3212.5</v>
      </c>
      <c r="F71" s="18">
        <v>7.3000000000000001E-3</v>
      </c>
      <c r="G71" s="7"/>
      <c r="H71" s="11"/>
      <c r="I71" s="9"/>
    </row>
    <row r="72" spans="1:9" s="1" customFormat="1" ht="18.3" customHeight="1" x14ac:dyDescent="0.2">
      <c r="A72" s="16" t="s">
        <v>168</v>
      </c>
      <c r="B72" s="16" t="s">
        <v>169</v>
      </c>
      <c r="C72" s="16" t="s">
        <v>25</v>
      </c>
      <c r="D72" s="17">
        <v>519000</v>
      </c>
      <c r="E72" s="17">
        <v>3182.7674999999999</v>
      </c>
      <c r="F72" s="18">
        <v>7.1999999999999998E-3</v>
      </c>
      <c r="G72" s="7"/>
      <c r="H72" s="11"/>
      <c r="I72" s="9"/>
    </row>
    <row r="73" spans="1:9" s="1" customFormat="1" ht="18.3" customHeight="1" x14ac:dyDescent="0.2">
      <c r="A73" s="16" t="s">
        <v>170</v>
      </c>
      <c r="B73" s="16" t="s">
        <v>171</v>
      </c>
      <c r="C73" s="16" t="s">
        <v>25</v>
      </c>
      <c r="D73" s="17">
        <v>456600</v>
      </c>
      <c r="E73" s="17">
        <v>3155.7909</v>
      </c>
      <c r="F73" s="18">
        <v>7.1999999999999998E-3</v>
      </c>
      <c r="G73" s="7"/>
      <c r="H73" s="11"/>
      <c r="I73" s="9"/>
    </row>
    <row r="74" spans="1:9" s="1" customFormat="1" ht="18.3" customHeight="1" x14ac:dyDescent="0.2">
      <c r="A74" s="16" t="s">
        <v>172</v>
      </c>
      <c r="B74" s="16" t="s">
        <v>173</v>
      </c>
      <c r="C74" s="16" t="s">
        <v>59</v>
      </c>
      <c r="D74" s="17">
        <v>170200</v>
      </c>
      <c r="E74" s="17">
        <v>2990.5841999999998</v>
      </c>
      <c r="F74" s="18">
        <v>6.7999999999999996E-3</v>
      </c>
      <c r="G74" s="7"/>
      <c r="H74" s="11"/>
      <c r="I74" s="9"/>
    </row>
    <row r="75" spans="1:9" s="1" customFormat="1" ht="18.3" customHeight="1" x14ac:dyDescent="0.2">
      <c r="A75" s="16" t="s">
        <v>174</v>
      </c>
      <c r="B75" s="16" t="s">
        <v>175</v>
      </c>
      <c r="C75" s="16" t="s">
        <v>149</v>
      </c>
      <c r="D75" s="17">
        <v>239400</v>
      </c>
      <c r="E75" s="17">
        <v>2919.4830000000002</v>
      </c>
      <c r="F75" s="18">
        <v>6.6E-3</v>
      </c>
      <c r="G75" s="7"/>
      <c r="H75" s="11"/>
      <c r="I75" s="9"/>
    </row>
    <row r="76" spans="1:9" s="1" customFormat="1" ht="18.3" customHeight="1" x14ac:dyDescent="0.2">
      <c r="A76" s="16" t="s">
        <v>176</v>
      </c>
      <c r="B76" s="16" t="s">
        <v>177</v>
      </c>
      <c r="C76" s="16" t="s">
        <v>62</v>
      </c>
      <c r="D76" s="17">
        <v>202000</v>
      </c>
      <c r="E76" s="17">
        <v>2913.143</v>
      </c>
      <c r="F76" s="18">
        <v>6.6E-3</v>
      </c>
      <c r="G76" s="7"/>
      <c r="H76" s="11"/>
      <c r="I76" s="9"/>
    </row>
    <row r="77" spans="1:9" s="1" customFormat="1" ht="18.3" customHeight="1" x14ac:dyDescent="0.2">
      <c r="A77" s="16" t="s">
        <v>178</v>
      </c>
      <c r="B77" s="16" t="s">
        <v>179</v>
      </c>
      <c r="C77" s="16" t="s">
        <v>25</v>
      </c>
      <c r="D77" s="17">
        <v>125200</v>
      </c>
      <c r="E77" s="17">
        <v>2898.1922</v>
      </c>
      <c r="F77" s="18">
        <v>6.6E-3</v>
      </c>
      <c r="G77" s="7"/>
      <c r="H77" s="11"/>
      <c r="I77" s="9"/>
    </row>
    <row r="78" spans="1:9" s="1" customFormat="1" ht="18.3" customHeight="1" x14ac:dyDescent="0.2">
      <c r="A78" s="16" t="s">
        <v>180</v>
      </c>
      <c r="B78" s="16" t="s">
        <v>181</v>
      </c>
      <c r="C78" s="16" t="s">
        <v>25</v>
      </c>
      <c r="D78" s="17">
        <v>425000</v>
      </c>
      <c r="E78" s="17">
        <v>2762.9250000000002</v>
      </c>
      <c r="F78" s="18">
        <v>6.3E-3</v>
      </c>
      <c r="G78" s="7"/>
      <c r="H78" s="11"/>
      <c r="I78" s="9"/>
    </row>
    <row r="79" spans="1:9" s="1" customFormat="1" ht="18.3" customHeight="1" x14ac:dyDescent="0.2">
      <c r="A79" s="16" t="s">
        <v>182</v>
      </c>
      <c r="B79" s="16" t="s">
        <v>183</v>
      </c>
      <c r="C79" s="16" t="s">
        <v>184</v>
      </c>
      <c r="D79" s="17">
        <v>595500</v>
      </c>
      <c r="E79" s="17">
        <v>2758.3560000000002</v>
      </c>
      <c r="F79" s="18">
        <v>6.3E-3</v>
      </c>
      <c r="G79" s="7"/>
      <c r="H79" s="11"/>
      <c r="I79" s="9"/>
    </row>
    <row r="80" spans="1:9" s="1" customFormat="1" ht="18.3" customHeight="1" x14ac:dyDescent="0.2">
      <c r="A80" s="16" t="s">
        <v>185</v>
      </c>
      <c r="B80" s="16" t="s">
        <v>186</v>
      </c>
      <c r="C80" s="16" t="s">
        <v>99</v>
      </c>
      <c r="D80" s="17">
        <v>378213</v>
      </c>
      <c r="E80" s="17">
        <v>2606.4548894999998</v>
      </c>
      <c r="F80" s="18">
        <v>5.8999999999999999E-3</v>
      </c>
      <c r="G80" s="7"/>
      <c r="H80" s="11"/>
      <c r="I80" s="9"/>
    </row>
    <row r="81" spans="1:9" s="1" customFormat="1" ht="18.3" customHeight="1" x14ac:dyDescent="0.2">
      <c r="A81" s="16" t="s">
        <v>187</v>
      </c>
      <c r="B81" s="16" t="s">
        <v>188</v>
      </c>
      <c r="C81" s="16" t="s">
        <v>62</v>
      </c>
      <c r="D81" s="17">
        <v>139700</v>
      </c>
      <c r="E81" s="17">
        <v>2567.8955500000002</v>
      </c>
      <c r="F81" s="18">
        <v>5.7999999999999996E-3</v>
      </c>
      <c r="G81" s="7"/>
      <c r="H81" s="11"/>
      <c r="I81" s="9"/>
    </row>
    <row r="82" spans="1:9" s="1" customFormat="1" ht="18.3" customHeight="1" x14ac:dyDescent="0.2">
      <c r="A82" s="16" t="s">
        <v>189</v>
      </c>
      <c r="B82" s="16" t="s">
        <v>190</v>
      </c>
      <c r="C82" s="16" t="s">
        <v>47</v>
      </c>
      <c r="D82" s="17">
        <v>1138400</v>
      </c>
      <c r="E82" s="17">
        <v>2391.2091999999998</v>
      </c>
      <c r="F82" s="18">
        <v>5.4000000000000003E-3</v>
      </c>
      <c r="G82" s="7"/>
      <c r="H82" s="11"/>
      <c r="I82" s="9"/>
    </row>
    <row r="83" spans="1:9" s="1" customFormat="1" ht="18.3" customHeight="1" x14ac:dyDescent="0.2">
      <c r="A83" s="16" t="s">
        <v>191</v>
      </c>
      <c r="B83" s="16" t="s">
        <v>192</v>
      </c>
      <c r="C83" s="16" t="s">
        <v>69</v>
      </c>
      <c r="D83" s="17">
        <v>341100</v>
      </c>
      <c r="E83" s="17">
        <v>2173.6597499999998</v>
      </c>
      <c r="F83" s="18">
        <v>4.8999999999999998E-3</v>
      </c>
      <c r="G83" s="7"/>
      <c r="H83" s="11"/>
      <c r="I83" s="9"/>
    </row>
    <row r="84" spans="1:9" s="1" customFormat="1" ht="18.3" customHeight="1" x14ac:dyDescent="0.2">
      <c r="A84" s="16" t="s">
        <v>193</v>
      </c>
      <c r="B84" s="16" t="s">
        <v>194</v>
      </c>
      <c r="C84" s="16" t="s">
        <v>89</v>
      </c>
      <c r="D84" s="17">
        <v>437100</v>
      </c>
      <c r="E84" s="17">
        <v>2145.5053499999999</v>
      </c>
      <c r="F84" s="18">
        <v>4.8999999999999998E-3</v>
      </c>
      <c r="G84" s="7"/>
      <c r="H84" s="11"/>
      <c r="I84" s="9"/>
    </row>
    <row r="85" spans="1:9" s="1" customFormat="1" ht="18.3" customHeight="1" x14ac:dyDescent="0.2">
      <c r="A85" s="16" t="s">
        <v>195</v>
      </c>
      <c r="B85" s="16" t="s">
        <v>196</v>
      </c>
      <c r="C85" s="16" t="s">
        <v>164</v>
      </c>
      <c r="D85" s="17">
        <v>1765153</v>
      </c>
      <c r="E85" s="17">
        <v>2055.5206684999998</v>
      </c>
      <c r="F85" s="18">
        <v>4.7000000000000002E-3</v>
      </c>
      <c r="G85" s="7"/>
      <c r="H85" s="11"/>
      <c r="I85" s="9"/>
    </row>
    <row r="86" spans="1:9" s="1" customFormat="1" ht="18.3" customHeight="1" x14ac:dyDescent="0.2">
      <c r="A86" s="16" t="s">
        <v>197</v>
      </c>
      <c r="B86" s="16" t="s">
        <v>198</v>
      </c>
      <c r="C86" s="16" t="s">
        <v>104</v>
      </c>
      <c r="D86" s="17">
        <v>457100</v>
      </c>
      <c r="E86" s="17">
        <v>1855.826</v>
      </c>
      <c r="F86" s="18">
        <v>4.1999999999999997E-3</v>
      </c>
      <c r="G86" s="7"/>
      <c r="H86" s="11"/>
      <c r="I86" s="9"/>
    </row>
    <row r="87" spans="1:9" s="1" customFormat="1" ht="18.3" customHeight="1" x14ac:dyDescent="0.2">
      <c r="A87" s="16" t="s">
        <v>199</v>
      </c>
      <c r="B87" s="16" t="s">
        <v>200</v>
      </c>
      <c r="C87" s="16" t="s">
        <v>99</v>
      </c>
      <c r="D87" s="17">
        <v>31100</v>
      </c>
      <c r="E87" s="17">
        <v>1849.5481</v>
      </c>
      <c r="F87" s="18">
        <v>4.1999999999999997E-3</v>
      </c>
      <c r="G87" s="7"/>
      <c r="H87" s="11"/>
      <c r="I87" s="9"/>
    </row>
    <row r="88" spans="1:9" s="1" customFormat="1" ht="18.3" customHeight="1" x14ac:dyDescent="0.2">
      <c r="A88" s="16" t="s">
        <v>201</v>
      </c>
      <c r="B88" s="16" t="s">
        <v>202</v>
      </c>
      <c r="C88" s="16" t="s">
        <v>44</v>
      </c>
      <c r="D88" s="17">
        <v>36100</v>
      </c>
      <c r="E88" s="17">
        <v>1536.8492000000001</v>
      </c>
      <c r="F88" s="18">
        <v>3.5000000000000001E-3</v>
      </c>
      <c r="G88" s="7"/>
      <c r="H88" s="11"/>
      <c r="I88" s="9"/>
    </row>
    <row r="89" spans="1:9" s="1" customFormat="1" ht="18.3" customHeight="1" x14ac:dyDescent="0.2">
      <c r="A89" s="16" t="s">
        <v>203</v>
      </c>
      <c r="B89" s="16" t="s">
        <v>204</v>
      </c>
      <c r="C89" s="16" t="s">
        <v>205</v>
      </c>
      <c r="D89" s="17">
        <v>103750</v>
      </c>
      <c r="E89" s="17">
        <v>1490.420625</v>
      </c>
      <c r="F89" s="18">
        <v>3.3999999999999998E-3</v>
      </c>
      <c r="G89" s="7"/>
      <c r="H89" s="11"/>
      <c r="I89" s="9"/>
    </row>
    <row r="90" spans="1:9" s="1" customFormat="1" ht="18.3" customHeight="1" x14ac:dyDescent="0.2">
      <c r="A90" s="16" t="s">
        <v>206</v>
      </c>
      <c r="B90" s="16" t="s">
        <v>207</v>
      </c>
      <c r="C90" s="16" t="s">
        <v>86</v>
      </c>
      <c r="D90" s="17">
        <v>40000</v>
      </c>
      <c r="E90" s="17">
        <v>622.9</v>
      </c>
      <c r="F90" s="18">
        <v>1.4E-3</v>
      </c>
      <c r="G90" s="7"/>
      <c r="H90" s="11"/>
      <c r="I90" s="9"/>
    </row>
    <row r="91" spans="1:9" s="1" customFormat="1" ht="18.3" customHeight="1" x14ac:dyDescent="0.2">
      <c r="A91" s="16" t="s">
        <v>242</v>
      </c>
      <c r="B91" s="16" t="s">
        <v>243</v>
      </c>
      <c r="C91" s="16" t="s">
        <v>104</v>
      </c>
      <c r="D91" s="17">
        <v>50788</v>
      </c>
      <c r="E91" s="17">
        <v>48.578721999999999</v>
      </c>
      <c r="F91" s="18">
        <v>1.1E-4</v>
      </c>
      <c r="G91" s="7"/>
      <c r="H91" s="11"/>
      <c r="I91" s="9"/>
    </row>
    <row r="92" spans="1:9" s="1" customFormat="1" ht="19.8" customHeight="1" x14ac:dyDescent="0.25">
      <c r="A92" s="10" t="s">
        <v>208</v>
      </c>
      <c r="B92" s="19"/>
      <c r="C92" s="19"/>
      <c r="D92" s="10"/>
      <c r="E92" s="20">
        <f>SUM(E11:E91)</f>
        <v>434634.07740850019</v>
      </c>
      <c r="F92" s="21">
        <f>SUM(F11:F91)</f>
        <v>0.98811000000000004</v>
      </c>
      <c r="G92" s="19"/>
      <c r="H92" s="22"/>
      <c r="I92" s="23"/>
    </row>
    <row r="93" spans="1:9" s="1" customFormat="1" ht="18.3" customHeight="1" x14ac:dyDescent="0.25">
      <c r="A93" s="10" t="s">
        <v>209</v>
      </c>
      <c r="B93" s="16"/>
      <c r="C93" s="16"/>
      <c r="D93" s="16"/>
      <c r="E93" s="20">
        <v>6085.9197224</v>
      </c>
      <c r="F93" s="21">
        <v>1.38E-2</v>
      </c>
      <c r="G93" s="24">
        <v>6.6258999999999997</v>
      </c>
      <c r="H93" s="11"/>
      <c r="I93" s="9"/>
    </row>
    <row r="94" spans="1:9" s="1" customFormat="1" ht="18.3" customHeight="1" x14ac:dyDescent="0.2">
      <c r="A94" s="16" t="s">
        <v>210</v>
      </c>
      <c r="B94" s="7"/>
      <c r="C94" s="7"/>
      <c r="D94" s="7"/>
      <c r="E94" s="17">
        <v>-811.97220000000004</v>
      </c>
      <c r="F94" s="18">
        <v>-1.91E-3</v>
      </c>
      <c r="G94" s="25">
        <v>6.6258999999999997</v>
      </c>
      <c r="H94" s="11"/>
      <c r="I94" s="9"/>
    </row>
    <row r="95" spans="1:9" s="1" customFormat="1" ht="18.3" customHeight="1" x14ac:dyDescent="0.25">
      <c r="A95" s="10" t="s">
        <v>211</v>
      </c>
      <c r="B95" s="7"/>
      <c r="C95" s="7"/>
      <c r="D95" s="7"/>
      <c r="E95" s="20">
        <v>439908.02496459999</v>
      </c>
      <c r="F95" s="21">
        <v>1</v>
      </c>
      <c r="G95" s="7"/>
      <c r="H95" s="11"/>
      <c r="I95" s="9"/>
    </row>
    <row r="96" spans="1:9" x14ac:dyDescent="0.25">
      <c r="E96" s="38"/>
      <c r="F96" s="3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D0B67-9D3F-45AA-A9A0-69E16F611CC6}">
  <dimension ref="A1:J26"/>
  <sheetViews>
    <sheetView showGridLines="0" workbookViewId="0"/>
  </sheetViews>
  <sheetFormatPr defaultRowHeight="13.2" x14ac:dyDescent="0.25"/>
  <cols>
    <col min="1" max="1" width="24.44140625" customWidth="1"/>
    <col min="2" max="2" width="16.77734375" customWidth="1"/>
    <col min="3" max="3" width="16.21875" customWidth="1"/>
  </cols>
  <sheetData>
    <row r="1" spans="1:10" x14ac:dyDescent="0.25">
      <c r="A1" s="27" t="s">
        <v>234</v>
      </c>
      <c r="B1" s="28"/>
      <c r="C1" s="28"/>
      <c r="D1" s="28"/>
      <c r="E1" s="28"/>
      <c r="F1" s="28"/>
      <c r="G1" s="28"/>
      <c r="H1" s="28"/>
      <c r="I1" s="28"/>
      <c r="J1" s="28"/>
    </row>
    <row r="2" spans="1:10" x14ac:dyDescent="0.25">
      <c r="A2" s="29" t="s">
        <v>212</v>
      </c>
      <c r="B2" s="28"/>
      <c r="C2" s="28"/>
      <c r="D2" s="28"/>
      <c r="E2" s="28"/>
      <c r="F2" s="28"/>
      <c r="G2" s="28"/>
      <c r="H2" s="28"/>
      <c r="I2" s="28"/>
      <c r="J2" s="28"/>
    </row>
    <row r="3" spans="1:10" x14ac:dyDescent="0.25">
      <c r="A3" s="29" t="s">
        <v>213</v>
      </c>
      <c r="B3" s="28"/>
      <c r="C3" s="28"/>
      <c r="D3" s="28"/>
      <c r="E3" s="28"/>
      <c r="F3" s="28"/>
      <c r="G3" s="28"/>
      <c r="H3" s="28"/>
      <c r="I3" s="28"/>
      <c r="J3" s="28"/>
    </row>
    <row r="4" spans="1:10" x14ac:dyDescent="0.25">
      <c r="A4" s="29" t="s">
        <v>214</v>
      </c>
      <c r="B4" s="28"/>
      <c r="C4" s="28"/>
      <c r="D4" s="28"/>
      <c r="E4" s="28"/>
      <c r="F4" s="28"/>
      <c r="G4" s="28"/>
      <c r="H4" s="28"/>
      <c r="I4" s="28"/>
      <c r="J4" s="28"/>
    </row>
    <row r="5" spans="1:10" x14ac:dyDescent="0.25">
      <c r="A5" s="30" t="s">
        <v>215</v>
      </c>
      <c r="B5" s="31" t="s">
        <v>235</v>
      </c>
      <c r="C5" s="31" t="s">
        <v>236</v>
      </c>
      <c r="D5" s="28"/>
      <c r="E5" s="28"/>
      <c r="F5" s="28"/>
      <c r="G5" s="28"/>
      <c r="H5" s="28"/>
      <c r="I5" s="28"/>
      <c r="J5" s="28"/>
    </row>
    <row r="6" spans="1:10" x14ac:dyDescent="0.25">
      <c r="A6" s="32" t="s">
        <v>216</v>
      </c>
      <c r="B6" s="34">
        <v>210.58930000000001</v>
      </c>
      <c r="C6" s="35">
        <v>202.37360000000001</v>
      </c>
      <c r="D6" s="28"/>
      <c r="E6" s="28"/>
      <c r="F6" s="28"/>
      <c r="G6" s="28"/>
      <c r="H6" s="28"/>
      <c r="I6" s="28"/>
      <c r="J6" s="28"/>
    </row>
    <row r="7" spans="1:10" x14ac:dyDescent="0.25">
      <c r="A7" s="32" t="s">
        <v>217</v>
      </c>
      <c r="B7" s="34">
        <v>45.898000000000003</v>
      </c>
      <c r="C7" s="35">
        <v>44.107399999999998</v>
      </c>
      <c r="D7" s="28"/>
      <c r="E7" s="28"/>
      <c r="F7" s="28"/>
      <c r="G7" s="28"/>
      <c r="H7" s="28"/>
      <c r="I7" s="28"/>
      <c r="J7" s="28"/>
    </row>
    <row r="8" spans="1:10" x14ac:dyDescent="0.25">
      <c r="A8" s="32" t="s">
        <v>218</v>
      </c>
      <c r="B8" s="34">
        <v>190.58369999999999</v>
      </c>
      <c r="C8" s="35">
        <v>183.26740000000001</v>
      </c>
      <c r="D8" s="28"/>
      <c r="E8" s="28"/>
      <c r="F8" s="28"/>
      <c r="G8" s="28"/>
      <c r="H8" s="28"/>
      <c r="I8" s="28"/>
      <c r="J8" s="28"/>
    </row>
    <row r="9" spans="1:10" x14ac:dyDescent="0.25">
      <c r="A9" s="33" t="s">
        <v>219</v>
      </c>
      <c r="B9" s="36">
        <v>42.948099999999997</v>
      </c>
      <c r="C9" s="37">
        <v>41.299399999999999</v>
      </c>
      <c r="D9" s="28"/>
      <c r="E9" s="28"/>
      <c r="F9" s="28"/>
      <c r="G9" s="28"/>
      <c r="H9" s="28"/>
      <c r="I9" s="28"/>
      <c r="J9" s="28"/>
    </row>
    <row r="10" spans="1:10" x14ac:dyDescent="0.25">
      <c r="A10" s="29" t="s">
        <v>220</v>
      </c>
      <c r="B10" s="28"/>
      <c r="C10" s="28"/>
      <c r="D10" s="28"/>
      <c r="E10" s="28"/>
      <c r="F10" s="28"/>
      <c r="G10" s="28"/>
      <c r="H10" s="28"/>
      <c r="I10" s="28"/>
      <c r="J10" s="28"/>
    </row>
    <row r="11" spans="1:10" x14ac:dyDescent="0.25">
      <c r="A11" s="29" t="s">
        <v>221</v>
      </c>
      <c r="B11" s="28"/>
      <c r="C11" s="28"/>
      <c r="D11" s="28"/>
      <c r="E11" s="28"/>
      <c r="F11" s="28"/>
      <c r="G11" s="28"/>
      <c r="H11" s="28"/>
      <c r="I11" s="28"/>
      <c r="J11" s="28"/>
    </row>
    <row r="12" spans="1:10" x14ac:dyDescent="0.25">
      <c r="A12" s="29" t="s">
        <v>222</v>
      </c>
      <c r="B12" s="28"/>
      <c r="C12" s="28"/>
      <c r="D12" s="28"/>
      <c r="E12" s="28"/>
      <c r="F12" s="28"/>
      <c r="G12" s="28"/>
      <c r="H12" s="28"/>
      <c r="I12" s="28"/>
      <c r="J12" s="28"/>
    </row>
    <row r="13" spans="1:10" x14ac:dyDescent="0.25">
      <c r="A13" s="29" t="s">
        <v>223</v>
      </c>
      <c r="B13" s="28"/>
      <c r="C13" s="28"/>
      <c r="D13" s="28"/>
      <c r="E13" s="28"/>
      <c r="F13" s="28"/>
      <c r="G13" s="28"/>
      <c r="H13" s="28"/>
      <c r="I13" s="28"/>
      <c r="J13" s="28"/>
    </row>
    <row r="14" spans="1:10" x14ac:dyDescent="0.25">
      <c r="A14" s="29" t="s">
        <v>224</v>
      </c>
      <c r="B14" s="28"/>
      <c r="C14" s="28"/>
      <c r="D14" s="28"/>
      <c r="E14" s="28"/>
      <c r="F14" s="28"/>
      <c r="G14" s="28"/>
      <c r="H14" s="28"/>
      <c r="I14" s="28"/>
      <c r="J14" s="28"/>
    </row>
    <row r="15" spans="1:10" x14ac:dyDescent="0.25">
      <c r="A15" s="29" t="s">
        <v>225</v>
      </c>
      <c r="B15" s="28"/>
      <c r="C15" s="28"/>
      <c r="D15" s="28"/>
      <c r="E15" s="28"/>
      <c r="F15" s="28"/>
      <c r="G15" s="28"/>
      <c r="H15" s="28"/>
      <c r="I15" s="28"/>
      <c r="J15" s="28"/>
    </row>
    <row r="16" spans="1:10" x14ac:dyDescent="0.25">
      <c r="A16" s="29" t="s">
        <v>226</v>
      </c>
      <c r="B16" s="28"/>
      <c r="C16" s="28"/>
      <c r="D16" s="28"/>
      <c r="E16" s="28"/>
      <c r="F16" s="28"/>
      <c r="G16" s="28"/>
      <c r="H16" s="28"/>
      <c r="I16" s="28"/>
      <c r="J16" s="28"/>
    </row>
    <row r="17" spans="1:10" x14ac:dyDescent="0.25">
      <c r="A17" s="29" t="s">
        <v>227</v>
      </c>
      <c r="B17" s="28"/>
      <c r="C17" s="28"/>
      <c r="D17" s="28"/>
      <c r="E17" s="28"/>
      <c r="F17" s="28"/>
      <c r="G17" s="28"/>
      <c r="H17" s="28"/>
      <c r="I17" s="28"/>
      <c r="J17" s="28"/>
    </row>
    <row r="18" spans="1:10" x14ac:dyDescent="0.25">
      <c r="A18" s="29" t="s">
        <v>241</v>
      </c>
      <c r="B18" s="28"/>
      <c r="C18" s="28"/>
      <c r="D18" s="28"/>
      <c r="E18" s="28"/>
      <c r="F18" s="28"/>
      <c r="G18" s="28"/>
      <c r="H18" s="28"/>
      <c r="I18" s="28"/>
      <c r="J18" s="28"/>
    </row>
    <row r="19" spans="1:10" x14ac:dyDescent="0.25">
      <c r="A19" s="29" t="s">
        <v>237</v>
      </c>
      <c r="B19" s="28"/>
      <c r="C19" s="28"/>
      <c r="D19" s="28"/>
      <c r="E19" s="28"/>
      <c r="F19" s="28"/>
      <c r="G19" s="28"/>
      <c r="H19" s="28"/>
      <c r="I19" s="28"/>
      <c r="J19" s="28"/>
    </row>
    <row r="20" spans="1:10" x14ac:dyDescent="0.25">
      <c r="A20" s="29" t="s">
        <v>228</v>
      </c>
      <c r="B20" s="28"/>
      <c r="C20" s="28"/>
      <c r="D20" s="28"/>
      <c r="E20" s="28"/>
      <c r="F20" s="28"/>
      <c r="G20" s="28"/>
      <c r="H20" s="28"/>
      <c r="I20" s="28"/>
      <c r="J20" s="28"/>
    </row>
    <row r="21" spans="1:10" x14ac:dyDescent="0.25">
      <c r="A21" s="29" t="s">
        <v>240</v>
      </c>
      <c r="B21" s="28"/>
      <c r="C21" s="28"/>
      <c r="D21" s="28"/>
      <c r="E21" s="28"/>
      <c r="F21" s="28"/>
      <c r="G21" s="28"/>
      <c r="H21" s="28"/>
      <c r="I21" s="28"/>
      <c r="J21" s="28"/>
    </row>
    <row r="22" spans="1:10" x14ac:dyDescent="0.25">
      <c r="A22" s="29" t="s">
        <v>238</v>
      </c>
      <c r="B22" s="28"/>
      <c r="C22" s="28"/>
      <c r="D22" s="28"/>
      <c r="E22" s="28"/>
      <c r="F22" s="28"/>
      <c r="G22" s="28"/>
      <c r="H22" s="28"/>
      <c r="I22" s="28"/>
      <c r="J22" s="28"/>
    </row>
    <row r="23" spans="1:10" x14ac:dyDescent="0.25">
      <c r="A23" s="29" t="s">
        <v>229</v>
      </c>
      <c r="B23" s="28"/>
      <c r="C23" s="28"/>
      <c r="D23" s="28"/>
      <c r="E23" s="28"/>
      <c r="F23" s="28"/>
      <c r="G23" s="28"/>
      <c r="H23" s="28"/>
      <c r="I23" s="28"/>
      <c r="J23" s="28"/>
    </row>
    <row r="24" spans="1:10" x14ac:dyDescent="0.25">
      <c r="A24" s="29" t="s">
        <v>230</v>
      </c>
      <c r="B24" s="28"/>
      <c r="C24" s="28"/>
      <c r="D24" s="28"/>
      <c r="E24" s="28"/>
      <c r="F24" s="28"/>
      <c r="G24" s="28"/>
      <c r="H24" s="28"/>
      <c r="I24" s="28"/>
      <c r="J24" s="28"/>
    </row>
    <row r="25" spans="1:10" x14ac:dyDescent="0.25">
      <c r="A25" s="29" t="s">
        <v>231</v>
      </c>
      <c r="B25" s="28"/>
      <c r="C25" s="28"/>
      <c r="D25" s="28"/>
      <c r="E25" s="28"/>
      <c r="F25" s="28"/>
      <c r="G25" s="28"/>
      <c r="H25" s="28"/>
      <c r="I25" s="28"/>
      <c r="J25" s="28"/>
    </row>
    <row r="26" spans="1:10" x14ac:dyDescent="0.25">
      <c r="A26" s="29" t="s">
        <v>239</v>
      </c>
      <c r="B26" s="28"/>
      <c r="C26" s="28"/>
      <c r="D26" s="28"/>
      <c r="E26" s="28"/>
      <c r="F26" s="28"/>
      <c r="G26" s="28"/>
      <c r="H26" s="28"/>
      <c r="I26" s="28"/>
      <c r="J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325B3-9226-4D67-AABD-6574A203C879}">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30042024</dc:title>
  <dc:subject>HSBC Flexi Cap Fund 30042024</dc:subject>
  <cp:keywords>HSBC Flexi Cap Fund 30042024</cp:keywords>
  <dcterms:created xsi:type="dcterms:W3CDTF">2024-05-01T07:31:32Z</dcterms:created>
  <dcterms:modified xsi:type="dcterms:W3CDTF">2024-05-03T15:08:57Z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2024-05-01T07:32:14Z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00cb7837-368d-478b-aee8-a72e050ea48c</vt:lpwstr>
  </property>
  <property fmtid="{D5CDD505-2E9C-101B-9397-08002B2CF9AE}" pid="8" name="MSIP_Label_d291669d-c62a-41f9-9790-e463798003d8_ContentBits">
    <vt:lpwstr>0</vt:lpwstr>
  </property>
  <property fmtid="{D5CDD505-2E9C-101B-9397-08002B2CF9AE}" pid="9" name="_AdHocReviewCycleID">
    <vt:i4>1902582580</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2024-05-03T15:08:53Z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0e6bec0a-d5c3-4ebd-b4fb-bdf0a5b4be94</vt:lpwstr>
  </property>
  <property fmtid="{D5CDD505-2E9C-101B-9397-08002B2CF9AE}" pid="21" name="MSIP_Label_3486a02c-2dfb-4efe-823f-aa2d1f0e6ab7_ContentBits">
    <vt:lpwstr>2</vt:lpwstr>
  </property>
  <property fmtid="{D5CDD505-2E9C-101B-9397-08002B2CF9AE}" pid="22" name="Classification">
    <vt:lpwstr>PUBLIC</vt:lpwstr>
  </property>
</Properties>
</file>