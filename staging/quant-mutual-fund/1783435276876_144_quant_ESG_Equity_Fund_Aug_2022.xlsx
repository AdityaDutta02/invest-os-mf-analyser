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0730" windowHeight="11760"/>
  </bookViews>
  <sheets>
    <sheet name="qESG" sheetId="1" r:id="rId1"/>
  </sheets>
  <calcPr calcId="144525"/>
</workbook>
</file>

<file path=xl/calcChain.xml><?xml version="1.0" encoding="utf-8"?>
<calcChain xmlns="http://schemas.openxmlformats.org/spreadsheetml/2006/main">
  <c r="D36" i="1" l="1"/>
</calcChain>
</file>

<file path=xl/sharedStrings.xml><?xml version="1.0" encoding="utf-8"?>
<sst xmlns="http://schemas.openxmlformats.org/spreadsheetml/2006/main" count="566" uniqueCount="182">
  <si>
    <t>quant Mutual Fund</t>
  </si>
  <si>
    <t>quant ESG Equity Fund</t>
  </si>
  <si>
    <t xml:space="preserve"> </t>
  </si>
  <si>
    <t>MONTHLY PORTFOLIO STATEMENT AS ON 30 Aug 2022</t>
  </si>
  <si>
    <t/>
  </si>
  <si>
    <t>Risk-o-meter of the Scheme</t>
  </si>
  <si>
    <t>Risk-o-meter of the Benchmark</t>
  </si>
  <si>
    <t>SR</t>
  </si>
  <si>
    <t>ISIN</t>
  </si>
  <si>
    <t>NAME OF THE INSTRUMENT</t>
  </si>
  <si>
    <t>ESG 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</si>
  <si>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</si>
  <si>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</si>
  <si>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</si>
  <si>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</si>
  <si>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</si>
  <si>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</si>
  <si>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INE062A01020</t>
  </si>
  <si>
    <t>State Bank of India</t>
  </si>
  <si>
    <t>Banks</t>
  </si>
  <si>
    <t>INE397D01024</t>
  </si>
  <si>
    <t>Bharti Airtel Limited</t>
  </si>
  <si>
    <t>Telecom - Services</t>
  </si>
  <si>
    <t>INE765G01017</t>
  </si>
  <si>
    <t>ICICI Lombard General Insurance Company Ltd.</t>
  </si>
  <si>
    <t>Insurance</t>
  </si>
  <si>
    <t>INE053A01029</t>
  </si>
  <si>
    <t>Indian Hotels Co Ltd</t>
  </si>
  <si>
    <t>Leisure Services</t>
  </si>
  <si>
    <t>INE423A01024</t>
  </si>
  <si>
    <t>Adani Enterprises Limited</t>
  </si>
  <si>
    <t>Metals &amp; Minerals Trading</t>
  </si>
  <si>
    <t>INE619A01035</t>
  </si>
  <si>
    <t>Patanjali Foods Limited</t>
  </si>
  <si>
    <t>Agricultural Food &amp; other Products</t>
  </si>
  <si>
    <t>INE192A01025</t>
  </si>
  <si>
    <t>Tata Consumer Products Ltd</t>
  </si>
  <si>
    <t>INE742F01042</t>
  </si>
  <si>
    <t>Adani Ports &amp; Special Economic Zone Ltd</t>
  </si>
  <si>
    <t>Transport Infrastructure</t>
  </si>
  <si>
    <t>INE003A01024</t>
  </si>
  <si>
    <t>Siemens Ltd</t>
  </si>
  <si>
    <t>Electrical Equipment</t>
  </si>
  <si>
    <t>INE079A01024</t>
  </si>
  <si>
    <t>Ambuja Cements Ltd</t>
  </si>
  <si>
    <t>Cement &amp; Cement Products</t>
  </si>
  <si>
    <t>INE047A01021</t>
  </si>
  <si>
    <t>Grasim Industries Ltd</t>
  </si>
  <si>
    <t>INE061F01013</t>
  </si>
  <si>
    <t>Fortis Healthcare Ltd</t>
  </si>
  <si>
    <t>Healthcare Services</t>
  </si>
  <si>
    <t>INE881D01027</t>
  </si>
  <si>
    <t>Oracle Financial Services Software Ltd</t>
  </si>
  <si>
    <t>IT - Software</t>
  </si>
  <si>
    <t>INE018A01030</t>
  </si>
  <si>
    <t>Larsen &amp; Toubro Limited</t>
  </si>
  <si>
    <t>Construction</t>
  </si>
  <si>
    <t>INE151A01013</t>
  </si>
  <si>
    <t>Tata Communications Limited</t>
  </si>
  <si>
    <t>INE548A01028</t>
  </si>
  <si>
    <t>HFCL Limited</t>
  </si>
  <si>
    <t>INE237A01028</t>
  </si>
  <si>
    <t>Kotak Mahindra Bank Limited</t>
  </si>
  <si>
    <t>INE140A01024</t>
  </si>
  <si>
    <t>Piramal Enterprises Limited</t>
  </si>
  <si>
    <t>Finance</t>
  </si>
  <si>
    <t>INPIRAPHARMA</t>
  </si>
  <si>
    <t>Piramal Pharma Limited</t>
  </si>
  <si>
    <t>N.A.</t>
  </si>
  <si>
    <t>INE424H01027</t>
  </si>
  <si>
    <t>SUN TV Network Limited</t>
  </si>
  <si>
    <t>Entertainment</t>
  </si>
  <si>
    <t>INE002A01018</t>
  </si>
  <si>
    <t>Reliance Industries Limited</t>
  </si>
  <si>
    <t>Petroleum Products</t>
  </si>
  <si>
    <t>INE795G01014</t>
  </si>
  <si>
    <t>HDFC Life Insurance Co Ltd</t>
  </si>
  <si>
    <t>INE208A01029</t>
  </si>
  <si>
    <t>Ashok Leyland Limited</t>
  </si>
  <si>
    <t>Agricultural, Commercial &amp; Construction Vehicles</t>
  </si>
  <si>
    <t>INE585B01010</t>
  </si>
  <si>
    <t>Maruti Suzuki India Limited</t>
  </si>
  <si>
    <t>Automobiles</t>
  </si>
  <si>
    <t>INE042A01014</t>
  </si>
  <si>
    <t>Escorts Kubota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</si>
  <si>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</si>
  <si>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</si>
  <si>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</si>
  <si>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</si>
  <si>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</si>
  <si>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</si>
  <si>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</si>
  <si>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</si>
  <si>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</si>
  <si>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</si>
  <si>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</si>
  <si>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</si>
  <si>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</si>
  <si>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</si>
  <si>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</si>
  <si>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</si>
  <si>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</si>
  <si>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INCBLO010922</t>
  </si>
  <si>
    <t>TREPS 01-Sep-2022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</si>
  <si>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</si>
  <si>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</si>
  <si>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</si>
  <si>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</si>
  <si>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</si>
  <si>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</si>
  <si>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</si>
  <si>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</si>
  <si>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</si>
  <si>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</si>
  <si>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</si>
  <si>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</si>
  <si>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</si>
  <si>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</si>
  <si>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</si>
  <si>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</si>
  <si>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30/08/2022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</si>
  <si>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</si>
  <si>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</si>
  <si>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</si>
  <si>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</si>
  <si>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</si>
  <si>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</si>
  <si>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</si>
  <si>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</si>
  <si>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</si>
  <si>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</si>
  <si>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</si>
  <si>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</si>
  <si>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</si>
  <si>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</si>
  <si>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</si>
  <si>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</si>
  <si>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</si>
  <si>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</si>
  <si>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</si>
  <si>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</si>
  <si>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30 Aug 2022</t>
  </si>
  <si>
    <t>quant ESG Equity Fund - Growth - Direct Plan 21.9533</t>
  </si>
  <si>
    <t>quant ESG Equity Fund - IDCW - Direct Plan 21.9284</t>
  </si>
  <si>
    <t>quant ESG Equity Fund - Regular Plan - Growth 21.4054</t>
  </si>
  <si>
    <t>quant ESG Equity Fund - Regular Plan - IDCW 21.3368</t>
  </si>
  <si>
    <t>NAV as on 29 Jul 2022</t>
  </si>
  <si>
    <t>quant ESG Equity Fund - Growth - Direct Plan 20.5825</t>
  </si>
  <si>
    <t>quant ESG Equity Fund - IDCW - Direct Plan 20.5591</t>
  </si>
  <si>
    <t>quant ESG Equity Fund - Regular Plan - Growth 20.1032</t>
  </si>
  <si>
    <t>quant ESG Equity Fund - Regular Plan - IDCW 20.0405</t>
  </si>
  <si>
    <t>Dividend declared during the period  is NIL</t>
  </si>
  <si>
    <t>Bonus declared during the period is NIL</t>
  </si>
  <si>
    <t>Total outstanding exposure in derivatives instruments as on 30-Aug-2022 is NIL</t>
  </si>
  <si>
    <t>Total Investments in foreign securities/ADRs / GDRs as on  30-Aug-2022 is NIL</t>
  </si>
  <si>
    <t>The Portfolio Turnover Ratio is 0.33 times / The Average Maturity period is 0 Days</t>
  </si>
  <si>
    <t>The funds parked in short term deposit(s) as on 30-Aug-2022  were NIL</t>
  </si>
  <si>
    <t>Weighted Average ESG Score : ESG Score of Unrated Securities, TREPS / Reverse Repo Investments and Other Current Assets / (Liabilities) is considered as 0 for calculation of Weighted Average ESG Score.</t>
  </si>
  <si>
    <t>Link to BRSR:</t>
  </si>
  <si>
    <t>https://www.bseindia.com/bseplus/AnnualReport/500112/73059500112.pdf</t>
  </si>
  <si>
    <t>https://www.bseindia.com/bseplus/AnnualReport/532454/73851532454.pdf</t>
  </si>
  <si>
    <t>https://www.icicilombard.com/docs/default-source/esg/icici-lombard-business-responsibility-and-sustainability-reporting-fy2022.pdf</t>
  </si>
  <si>
    <t>https://www.ihcltata.com/content/dam/tajhotels/ihcl/sustainabilities/IHCL-Sustainability-Report-20-2</t>
  </si>
  <si>
    <t>https://www.bseindia.com/bseplus/AnnualReport/532921/73447532921.pdf</t>
  </si>
  <si>
    <t>http://www.ruchisoya.com/investors_policies.php</t>
  </si>
  <si>
    <t>https://www.bseindia.com/bseplus/AnnualReport/500800/73101500800.pdf</t>
  </si>
  <si>
    <t>Not Available</t>
  </si>
  <si>
    <t>https://www.bseindia.com/bseplus/AnnualReport/500425/72960500425.pdf</t>
  </si>
  <si>
    <t>https://www.grasim.com/Upload/PDF/grasim-sustainability-report-2019-20.pdf</t>
  </si>
  <si>
    <t>https://www.bseindia.com/bseplus/AnnualReport/532843/73572532843.pdf</t>
  </si>
  <si>
    <t>https://www.bseindia.com/bseplus/AnnualReport/500510/73655500510.pdf</t>
  </si>
  <si>
    <t>https://www.bseindia.com/bseplus/AnnualReport/500483/73164500483.pdf</t>
  </si>
  <si>
    <t>https://www.hfcl.com/archive/#corporate-covernance-arc</t>
  </si>
  <si>
    <t>https://www.bseindia.com/bseplus/AnnualReport/500247/73932500247.pdf</t>
  </si>
  <si>
    <t>https://www.bseindia.com/bseplus/AnnualReport/500302/73518500302.pdf</t>
  </si>
  <si>
    <t>https://www.bseindia.com/bseplus/AnnualReport/532733/69945532733.pdf</t>
  </si>
  <si>
    <t>https://www.bseindia.com/bseplus/AnnualReport/500325/74185500325.pdf</t>
  </si>
  <si>
    <t>https://www.bseindia.com/bseplus/AnnualReport/540777/73107540777.pdf</t>
  </si>
  <si>
    <t>https://www.bseindia.com/bseplus/AnnualReport/500477/73509500477.pdf</t>
  </si>
  <si>
    <t>https://www.bseindia.com/bseplus/AnnualReport/532500/74208532500.pdf</t>
  </si>
  <si>
    <t>https://www.bseindia.com/bseplus/AnnualReport/500495/73261500495.pdf</t>
  </si>
  <si>
    <t>For the period ended 30/08/2022 Specify the following for  hedging transactions through options which have been execised/expired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</si>
</sst>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16" xfId="0" applyFont="1" applyFill="1" applyBorder="1"/>
    <xf numFmtId="0" fontId="7" fillId="0" borderId="0" xfId="0" applyFont="1"/>
    <xf numFmtId="0" fontId="1" fillId="0" borderId="0" xfId="0" applyFont="1"/>
    <xf numFmtId="0" fontId="4" fillId="2" borderId="8" xfId="0" applyFont="1" applyFill="1" applyBorder="1" applyAlignment="1">
      <alignment wrapText="1"/>
    </xf>
    <xf numFmtId="0" fontId="0" fillId="0" borderId="17" xfId="0" applyBorder="1" applyAlignment="1">
      <alignment wrapText="1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4</xdr:col>
      <xdr:colOff>108682</xdr:colOff>
      <xdr:row>4</xdr:row>
      <xdr:rowOff>172529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8725" y="0"/>
          <a:ext cx="1927957" cy="108692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3907</xdr:colOff>
      <xdr:row>4</xdr:row>
      <xdr:rowOff>172529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0" y="0"/>
          <a:ext cx="1927957" cy="1086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bseindia.com/bseplus/AnnualReport/500247/73932500247.pdf" TargetMode="External"/><Relationship Id="rId7" Type="http://schemas.openxmlformats.org/officeDocument/2006/relationships/hyperlink" Target="https://www.bseindia.com/bseplus/AnnualReport/500495/73261500495.pdf" TargetMode="External"/><Relationship Id="rId2" Type="http://schemas.openxmlformats.org/officeDocument/2006/relationships/hyperlink" Target="https://www.bseindia.com/bseplus/AnnualReport/532843/73572532843.pdf" TargetMode="External"/><Relationship Id="rId1" Type="http://schemas.openxmlformats.org/officeDocument/2006/relationships/hyperlink" Target="https://www.bseindia.com/bseplus/AnnualReport/500425/72960500425.pdf" TargetMode="External"/><Relationship Id="rId6" Type="http://schemas.openxmlformats.org/officeDocument/2006/relationships/hyperlink" Target="https://www.bseindia.com/bseplus/AnnualReport/532500/74208532500.pdf" TargetMode="External"/><Relationship Id="rId5" Type="http://schemas.openxmlformats.org/officeDocument/2006/relationships/hyperlink" Target="https://www.bseindia.com/bseplus/AnnualReport/540777/73107540777.pdf" TargetMode="External"/><Relationship Id="rId4" Type="http://schemas.openxmlformats.org/officeDocument/2006/relationships/hyperlink" Target="https://www.bseindia.com/bseplus/AnnualReport/500325/741855003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2"/>
  <sheetViews>
    <sheetView tabSelected="1" workbookViewId="0">
      <selection activeCell="C117" sqref="C117"/>
    </sheetView>
  </sheetViews>
  <sheetFormatPr defaultRowHeight="15" x14ac:dyDescent="0.25"/>
  <cols>
    <col min="1" max="1" width="9.140625" style="1" customWidth="1"/>
    <col min="2" max="2" width="37.28515625" customWidth="1"/>
    <col min="3" max="3" width="49.710937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>
        <v>69.91</v>
      </c>
      <c r="E11" s="8" t="s">
        <v>19</v>
      </c>
      <c r="F11" s="8">
        <v>151600</v>
      </c>
      <c r="G11" s="8">
        <v>805.38</v>
      </c>
      <c r="H11" s="9">
        <v>8.09</v>
      </c>
    </row>
    <row r="12" spans="1:8" ht="15.75" x14ac:dyDescent="0.25">
      <c r="A12" s="7">
        <v>2</v>
      </c>
      <c r="B12" s="8" t="s">
        <v>20</v>
      </c>
      <c r="C12" s="8" t="s">
        <v>21</v>
      </c>
      <c r="D12" s="8">
        <v>39.83</v>
      </c>
      <c r="E12" s="8" t="s">
        <v>22</v>
      </c>
      <c r="F12" s="8">
        <v>98500</v>
      </c>
      <c r="G12" s="8">
        <v>715.7</v>
      </c>
      <c r="H12" s="9">
        <v>7.19</v>
      </c>
    </row>
    <row r="13" spans="1:8" ht="15.75" x14ac:dyDescent="0.25">
      <c r="A13" s="7">
        <v>3</v>
      </c>
      <c r="B13" s="8" t="s">
        <v>23</v>
      </c>
      <c r="C13" s="8" t="s">
        <v>24</v>
      </c>
      <c r="D13" s="8">
        <v>74.290000000000006</v>
      </c>
      <c r="E13" s="8" t="s">
        <v>25</v>
      </c>
      <c r="F13" s="8">
        <v>49700</v>
      </c>
      <c r="G13" s="8">
        <v>640.29</v>
      </c>
      <c r="H13" s="9">
        <v>6.43</v>
      </c>
    </row>
    <row r="14" spans="1:8" ht="15.75" x14ac:dyDescent="0.25">
      <c r="A14" s="7">
        <v>4</v>
      </c>
      <c r="B14" s="8" t="s">
        <v>26</v>
      </c>
      <c r="C14" s="8" t="s">
        <v>27</v>
      </c>
      <c r="D14" s="8">
        <v>54.79</v>
      </c>
      <c r="E14" s="8" t="s">
        <v>28</v>
      </c>
      <c r="F14" s="8">
        <v>222762</v>
      </c>
      <c r="G14" s="8">
        <v>635.87</v>
      </c>
      <c r="H14" s="9">
        <v>6.38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>
        <v>53.35</v>
      </c>
      <c r="E15" s="8" t="s">
        <v>31</v>
      </c>
      <c r="F15" s="8">
        <v>19650</v>
      </c>
      <c r="G15" s="8">
        <v>627.69000000000005</v>
      </c>
      <c r="H15" s="9">
        <v>6.3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>
        <v>53.66</v>
      </c>
      <c r="E16" s="8" t="s">
        <v>34</v>
      </c>
      <c r="F16" s="8">
        <v>46930</v>
      </c>
      <c r="G16" s="8">
        <v>573.05999999999995</v>
      </c>
      <c r="H16" s="9">
        <v>5.75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>
        <v>61.08</v>
      </c>
      <c r="E17" s="8" t="s">
        <v>34</v>
      </c>
      <c r="F17" s="8">
        <v>69750</v>
      </c>
      <c r="G17" s="8">
        <v>564.73</v>
      </c>
      <c r="H17" s="9">
        <v>5.67</v>
      </c>
    </row>
    <row r="18" spans="1:8" ht="15.75" x14ac:dyDescent="0.25">
      <c r="A18" s="7">
        <v>8</v>
      </c>
      <c r="B18" s="8" t="s">
        <v>37</v>
      </c>
      <c r="C18" s="8" t="s">
        <v>38</v>
      </c>
      <c r="D18" s="8">
        <v>51.85</v>
      </c>
      <c r="E18" s="8" t="s">
        <v>39</v>
      </c>
      <c r="F18" s="8">
        <v>63600</v>
      </c>
      <c r="G18" s="8">
        <v>535.61</v>
      </c>
      <c r="H18" s="9">
        <v>5.38</v>
      </c>
    </row>
    <row r="19" spans="1:8" ht="15.75" x14ac:dyDescent="0.25">
      <c r="A19" s="7">
        <v>9</v>
      </c>
      <c r="B19" s="8" t="s">
        <v>40</v>
      </c>
      <c r="C19" s="8" t="s">
        <v>41</v>
      </c>
      <c r="D19" s="8">
        <v>33.35</v>
      </c>
      <c r="E19" s="8" t="s">
        <v>42</v>
      </c>
      <c r="F19" s="8">
        <v>17100</v>
      </c>
      <c r="G19" s="8">
        <v>493.1</v>
      </c>
      <c r="H19" s="9">
        <v>4.95</v>
      </c>
    </row>
    <row r="20" spans="1:8" ht="15.75" x14ac:dyDescent="0.25">
      <c r="A20" s="7">
        <v>10</v>
      </c>
      <c r="B20" s="8" t="s">
        <v>43</v>
      </c>
      <c r="C20" s="8" t="s">
        <v>44</v>
      </c>
      <c r="D20" s="9">
        <v>41.340176581354775</v>
      </c>
      <c r="E20" s="8" t="s">
        <v>45</v>
      </c>
      <c r="F20" s="8">
        <v>116500</v>
      </c>
      <c r="G20" s="8">
        <v>479.11</v>
      </c>
      <c r="H20" s="9">
        <v>4.8099999999999996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>
        <v>55.44</v>
      </c>
      <c r="E21" s="8" t="s">
        <v>45</v>
      </c>
      <c r="F21" s="8">
        <v>27750</v>
      </c>
      <c r="G21" s="8">
        <v>465.83</v>
      </c>
      <c r="H21" s="9">
        <v>4.68</v>
      </c>
    </row>
    <row r="22" spans="1:8" ht="15.75" x14ac:dyDescent="0.25">
      <c r="A22" s="7">
        <v>12</v>
      </c>
      <c r="B22" s="8" t="s">
        <v>48</v>
      </c>
      <c r="C22" s="8" t="s">
        <v>49</v>
      </c>
      <c r="D22" s="8">
        <v>40.24</v>
      </c>
      <c r="E22" s="8" t="s">
        <v>50</v>
      </c>
      <c r="F22" s="8">
        <v>150000</v>
      </c>
      <c r="G22" s="8">
        <v>441.45</v>
      </c>
      <c r="H22" s="9">
        <v>4.43</v>
      </c>
    </row>
    <row r="23" spans="1:8" ht="15.75" x14ac:dyDescent="0.25">
      <c r="A23" s="7">
        <v>13</v>
      </c>
      <c r="B23" s="8" t="s">
        <v>51</v>
      </c>
      <c r="C23" s="8" t="s">
        <v>52</v>
      </c>
      <c r="D23" s="8">
        <v>82.22</v>
      </c>
      <c r="E23" s="8" t="s">
        <v>53</v>
      </c>
      <c r="F23" s="8">
        <v>13650</v>
      </c>
      <c r="G23" s="8">
        <v>432.68</v>
      </c>
      <c r="H23" s="9">
        <v>4.34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>
        <v>48.16</v>
      </c>
      <c r="E24" s="8" t="s">
        <v>56</v>
      </c>
      <c r="F24" s="8">
        <v>20450</v>
      </c>
      <c r="G24" s="8">
        <v>393.15</v>
      </c>
      <c r="H24" s="9">
        <v>3.95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>
        <v>69.52</v>
      </c>
      <c r="E25" s="8" t="s">
        <v>22</v>
      </c>
      <c r="F25" s="8">
        <v>28530</v>
      </c>
      <c r="G25" s="8">
        <v>343</v>
      </c>
      <c r="H25" s="9">
        <v>3.44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>
        <v>37.06</v>
      </c>
      <c r="E26" s="8" t="s">
        <v>22</v>
      </c>
      <c r="F26" s="8">
        <v>453368</v>
      </c>
      <c r="G26" s="8">
        <v>336.85</v>
      </c>
      <c r="H26" s="9">
        <v>3.38</v>
      </c>
    </row>
    <row r="27" spans="1:8" ht="15.75" x14ac:dyDescent="0.25">
      <c r="A27" s="7">
        <v>17</v>
      </c>
      <c r="B27" s="8" t="s">
        <v>61</v>
      </c>
      <c r="C27" s="8" t="s">
        <v>62</v>
      </c>
      <c r="D27" s="8">
        <v>70.66</v>
      </c>
      <c r="E27" s="8" t="s">
        <v>19</v>
      </c>
      <c r="F27" s="8">
        <v>16650</v>
      </c>
      <c r="G27" s="8">
        <v>318.92</v>
      </c>
      <c r="H27" s="9">
        <v>3.2</v>
      </c>
    </row>
    <row r="28" spans="1:8" ht="15.75" x14ac:dyDescent="0.25">
      <c r="A28" s="7">
        <v>18</v>
      </c>
      <c r="B28" s="8" t="s">
        <v>63</v>
      </c>
      <c r="C28" s="8" t="s">
        <v>64</v>
      </c>
      <c r="D28" s="8">
        <v>77.89</v>
      </c>
      <c r="E28" s="8" t="s">
        <v>65</v>
      </c>
      <c r="F28" s="8">
        <v>25375</v>
      </c>
      <c r="G28" s="8">
        <v>269.88</v>
      </c>
      <c r="H28" s="9">
        <v>2.71</v>
      </c>
    </row>
    <row r="29" spans="1:8" ht="15.75" x14ac:dyDescent="0.25">
      <c r="A29" s="7">
        <v>19</v>
      </c>
      <c r="B29" s="8" t="s">
        <v>66</v>
      </c>
      <c r="C29" s="8" t="s">
        <v>67</v>
      </c>
      <c r="D29" s="8">
        <v>0</v>
      </c>
      <c r="E29" s="8" t="s">
        <v>68</v>
      </c>
      <c r="F29" s="8">
        <v>101500</v>
      </c>
      <c r="G29" s="8">
        <v>218.97</v>
      </c>
      <c r="H29" s="9">
        <v>2.2000000000000002</v>
      </c>
    </row>
    <row r="30" spans="1:8" ht="15.75" x14ac:dyDescent="0.25">
      <c r="A30" s="7">
        <v>20</v>
      </c>
      <c r="B30" s="8" t="s">
        <v>69</v>
      </c>
      <c r="C30" s="8" t="s">
        <v>70</v>
      </c>
      <c r="D30" s="8">
        <v>55.1</v>
      </c>
      <c r="E30" s="8" t="s">
        <v>71</v>
      </c>
      <c r="F30" s="8">
        <v>42000</v>
      </c>
      <c r="G30" s="8">
        <v>210.84</v>
      </c>
      <c r="H30" s="9">
        <v>2.12</v>
      </c>
    </row>
    <row r="31" spans="1:8" ht="15.75" x14ac:dyDescent="0.25">
      <c r="A31" s="7">
        <v>21</v>
      </c>
      <c r="B31" s="8" t="s">
        <v>72</v>
      </c>
      <c r="C31" s="8" t="s">
        <v>73</v>
      </c>
      <c r="D31" s="8">
        <v>39</v>
      </c>
      <c r="E31" s="8" t="s">
        <v>74</v>
      </c>
      <c r="F31" s="8">
        <v>6850</v>
      </c>
      <c r="G31" s="8">
        <v>180.7</v>
      </c>
      <c r="H31" s="9">
        <v>1.81</v>
      </c>
    </row>
    <row r="32" spans="1:8" ht="15.75" x14ac:dyDescent="0.25">
      <c r="A32" s="7">
        <v>22</v>
      </c>
      <c r="B32" s="8" t="s">
        <v>75</v>
      </c>
      <c r="C32" s="8" t="s">
        <v>76</v>
      </c>
      <c r="D32" s="8">
        <v>83.7</v>
      </c>
      <c r="E32" s="8" t="s">
        <v>25</v>
      </c>
      <c r="F32" s="8">
        <v>25000</v>
      </c>
      <c r="G32" s="8">
        <v>143.80000000000001</v>
      </c>
      <c r="H32" s="9">
        <v>1.44</v>
      </c>
    </row>
    <row r="33" spans="1:8" ht="15.75" x14ac:dyDescent="0.25">
      <c r="A33" s="7">
        <v>23</v>
      </c>
      <c r="B33" s="8" t="s">
        <v>77</v>
      </c>
      <c r="C33" s="8" t="s">
        <v>78</v>
      </c>
      <c r="D33" s="8">
        <v>48.98</v>
      </c>
      <c r="E33" s="8" t="s">
        <v>79</v>
      </c>
      <c r="F33" s="8">
        <v>88200</v>
      </c>
      <c r="G33" s="8">
        <v>135.83000000000001</v>
      </c>
      <c r="H33" s="9">
        <v>1.36</v>
      </c>
    </row>
    <row r="34" spans="1:8" ht="15.75" x14ac:dyDescent="0.25">
      <c r="A34" s="7">
        <v>24</v>
      </c>
      <c r="B34" s="8" t="s">
        <v>80</v>
      </c>
      <c r="C34" s="8" t="s">
        <v>81</v>
      </c>
      <c r="D34" s="8">
        <v>64.3</v>
      </c>
      <c r="E34" s="8" t="s">
        <v>82</v>
      </c>
      <c r="F34" s="8">
        <v>300</v>
      </c>
      <c r="G34" s="8">
        <v>27.25</v>
      </c>
      <c r="H34" s="9">
        <v>0.27</v>
      </c>
    </row>
    <row r="35" spans="1:8" ht="15.75" x14ac:dyDescent="0.25">
      <c r="A35" s="7">
        <v>25</v>
      </c>
      <c r="B35" s="8" t="s">
        <v>83</v>
      </c>
      <c r="C35" s="8" t="s">
        <v>84</v>
      </c>
      <c r="D35" s="8">
        <v>40.4</v>
      </c>
      <c r="E35" s="8" t="s">
        <v>79</v>
      </c>
      <c r="F35" s="8">
        <v>1000</v>
      </c>
      <c r="G35" s="8">
        <v>19.95</v>
      </c>
      <c r="H35" s="9">
        <v>0.2</v>
      </c>
    </row>
    <row r="36" spans="1:8" ht="15.75" x14ac:dyDescent="0.25">
      <c r="A36" s="4"/>
      <c r="B36" s="5" t="s">
        <v>4</v>
      </c>
      <c r="C36" s="5" t="s">
        <v>85</v>
      </c>
      <c r="D36" s="6">
        <f>+SUMPRODUCT(D11:D35,H11:H35)/100</f>
        <v>54.994283493563174</v>
      </c>
      <c r="E36" s="5" t="s">
        <v>4</v>
      </c>
      <c r="F36" s="5" t="s">
        <v>4</v>
      </c>
      <c r="G36" s="5">
        <v>10009.629999999999</v>
      </c>
      <c r="H36" s="6">
        <v>100.49</v>
      </c>
    </row>
    <row r="37" spans="1:8" ht="15.75" x14ac:dyDescent="0.25">
      <c r="A37" s="4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86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85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87</v>
      </c>
      <c r="D40" s="5" t="s">
        <v>4</v>
      </c>
      <c r="E40" s="5" t="s">
        <v>4</v>
      </c>
      <c r="F40" s="5" t="s">
        <v>4</v>
      </c>
      <c r="G40" s="5">
        <v>10009.629999999999</v>
      </c>
      <c r="H40" s="6">
        <v>100.49</v>
      </c>
    </row>
    <row r="41" spans="1:8" ht="15.75" x14ac:dyDescent="0.25">
      <c r="A41" s="4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88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89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85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90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85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87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91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92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85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93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85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94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85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87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95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96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85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97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85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98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85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87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99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100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85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101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7">
        <v>26</v>
      </c>
      <c r="B77" s="8" t="s">
        <v>102</v>
      </c>
      <c r="C77" s="8" t="s">
        <v>103</v>
      </c>
      <c r="D77" s="8" t="s">
        <v>68</v>
      </c>
      <c r="E77" s="8" t="s">
        <v>68</v>
      </c>
      <c r="F77" s="8">
        <v>717.4</v>
      </c>
      <c r="G77" s="8">
        <v>71.73</v>
      </c>
      <c r="H77" s="9">
        <v>0.72</v>
      </c>
    </row>
    <row r="78" spans="1:8" ht="15.75" x14ac:dyDescent="0.25">
      <c r="A78" s="4"/>
      <c r="B78" s="5" t="s">
        <v>4</v>
      </c>
      <c r="C78" s="5" t="s">
        <v>85</v>
      </c>
      <c r="D78" s="5" t="s">
        <v>4</v>
      </c>
      <c r="E78" s="5" t="s">
        <v>4</v>
      </c>
      <c r="F78" s="5" t="s">
        <v>4</v>
      </c>
      <c r="G78" s="5">
        <v>71.73</v>
      </c>
      <c r="H78" s="6">
        <v>0.72</v>
      </c>
    </row>
    <row r="79" spans="1:8" ht="15.75" x14ac:dyDescent="0.25">
      <c r="A79" s="4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104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7">
        <v>27</v>
      </c>
      <c r="B81" s="8" t="s">
        <v>4</v>
      </c>
      <c r="C81" s="8" t="s">
        <v>105</v>
      </c>
      <c r="D81" s="8" t="s">
        <v>68</v>
      </c>
      <c r="E81" s="8" t="s">
        <v>68</v>
      </c>
      <c r="F81" s="8" t="s">
        <v>4</v>
      </c>
      <c r="G81" s="8">
        <v>-120.44</v>
      </c>
      <c r="H81" s="9">
        <v>-1.21</v>
      </c>
    </row>
    <row r="82" spans="1:8" ht="15.75" x14ac:dyDescent="0.25">
      <c r="A82" s="4"/>
      <c r="B82" s="5" t="s">
        <v>4</v>
      </c>
      <c r="C82" s="5" t="s">
        <v>85</v>
      </c>
      <c r="D82" s="5" t="s">
        <v>4</v>
      </c>
      <c r="E82" s="5" t="s">
        <v>4</v>
      </c>
      <c r="F82" s="5" t="s">
        <v>4</v>
      </c>
      <c r="G82" s="5">
        <v>-120.44</v>
      </c>
      <c r="H82" s="6">
        <v>-1.21</v>
      </c>
    </row>
    <row r="83" spans="1:8" ht="15.75" x14ac:dyDescent="0.25">
      <c r="A83" s="4"/>
      <c r="B83" s="5" t="s">
        <v>4</v>
      </c>
      <c r="C83" s="5" t="s">
        <v>87</v>
      </c>
      <c r="D83" s="5" t="s">
        <v>4</v>
      </c>
      <c r="E83" s="5" t="s">
        <v>4</v>
      </c>
      <c r="F83" s="5" t="s">
        <v>4</v>
      </c>
      <c r="G83" s="5">
        <v>-48.71</v>
      </c>
      <c r="H83" s="6">
        <v>-0.49</v>
      </c>
    </row>
    <row r="84" spans="1:8" ht="15.75" x14ac:dyDescent="0.25">
      <c r="A84" s="4"/>
      <c r="B84" s="5" t="s">
        <v>4</v>
      </c>
      <c r="C84" s="5" t="s">
        <v>106</v>
      </c>
      <c r="D84" s="5" t="s">
        <v>4</v>
      </c>
      <c r="E84" s="5" t="s">
        <v>4</v>
      </c>
      <c r="F84" s="5" t="s">
        <v>4</v>
      </c>
      <c r="G84" s="5">
        <v>9960.92</v>
      </c>
      <c r="H84" s="5">
        <v>100</v>
      </c>
    </row>
    <row r="86" spans="1:8" x14ac:dyDescent="0.25">
      <c r="B86" t="s">
        <v>4</v>
      </c>
      <c r="C86" t="s">
        <v>4</v>
      </c>
      <c r="D86" t="s">
        <v>4</v>
      </c>
      <c r="E86" t="s">
        <v>4</v>
      </c>
      <c r="F86" t="s">
        <v>4</v>
      </c>
    </row>
    <row r="87" spans="1:8" x14ac:dyDescent="0.25">
      <c r="B87" s="10" t="s">
        <v>107</v>
      </c>
      <c r="C87" s="10" t="s">
        <v>108</v>
      </c>
      <c r="D87" s="10" t="s">
        <v>109</v>
      </c>
      <c r="E87" s="10" t="s">
        <v>110</v>
      </c>
      <c r="F87" s="10" t="s">
        <v>111</v>
      </c>
    </row>
    <row r="88" spans="1:8" x14ac:dyDescent="0.25">
      <c r="B88" s="10"/>
      <c r="C88" s="10"/>
      <c r="D88" s="10"/>
      <c r="E88" s="10"/>
      <c r="F88" s="10"/>
    </row>
    <row r="89" spans="1:8" x14ac:dyDescent="0.25">
      <c r="B89" s="10" t="s">
        <v>112</v>
      </c>
      <c r="C89" s="10"/>
      <c r="D89" s="10"/>
      <c r="E89" s="10"/>
      <c r="F89" s="10"/>
    </row>
    <row r="90" spans="1:8" x14ac:dyDescent="0.25">
      <c r="B90" s="10" t="s">
        <v>113</v>
      </c>
      <c r="C90" s="10"/>
      <c r="D90" s="10"/>
      <c r="E90" s="10"/>
      <c r="F90" s="10"/>
    </row>
    <row r="91" spans="1:8" x14ac:dyDescent="0.25">
      <c r="B91" s="10" t="s">
        <v>114</v>
      </c>
      <c r="C91" s="10"/>
      <c r="D91" s="10"/>
      <c r="E91" s="10"/>
      <c r="F91" s="10"/>
    </row>
    <row r="92" spans="1:8" x14ac:dyDescent="0.25">
      <c r="B92" s="10" t="s">
        <v>115</v>
      </c>
      <c r="C92" s="10"/>
      <c r="D92" s="10"/>
      <c r="E92" s="10"/>
      <c r="F92" s="10"/>
    </row>
    <row r="93" spans="1:8" x14ac:dyDescent="0.25">
      <c r="B93" s="10" t="s">
        <v>116</v>
      </c>
      <c r="C93" s="10"/>
      <c r="D93" s="10"/>
      <c r="E93" s="10"/>
      <c r="F93" s="10"/>
    </row>
    <row r="94" spans="1:8" x14ac:dyDescent="0.25">
      <c r="B94" s="10" t="s">
        <v>117</v>
      </c>
      <c r="C94" s="10"/>
      <c r="D94" s="10"/>
      <c r="E94" s="10"/>
      <c r="F94" s="10"/>
    </row>
    <row r="95" spans="1:8" x14ac:dyDescent="0.25">
      <c r="B95" s="10" t="s">
        <v>118</v>
      </c>
      <c r="C95" s="10"/>
      <c r="D95" s="10"/>
      <c r="E95" s="10"/>
      <c r="F95" s="10"/>
    </row>
    <row r="96" spans="1:8" x14ac:dyDescent="0.25">
      <c r="B96" s="10"/>
      <c r="C96" s="10"/>
      <c r="D96" s="10"/>
      <c r="E96" s="10"/>
      <c r="F96" s="10"/>
    </row>
    <row r="97" spans="2:6" x14ac:dyDescent="0.25">
      <c r="B97" s="10" t="s">
        <v>119</v>
      </c>
      <c r="C97" s="10"/>
      <c r="D97" s="10" t="s">
        <v>120</v>
      </c>
      <c r="E97" s="10"/>
      <c r="F97" s="10"/>
    </row>
    <row r="98" spans="2:6" x14ac:dyDescent="0.25">
      <c r="B98" s="10" t="s">
        <v>107</v>
      </c>
      <c r="C98" s="10" t="s">
        <v>108</v>
      </c>
      <c r="D98" s="10" t="s">
        <v>109</v>
      </c>
      <c r="E98" s="10" t="s">
        <v>110</v>
      </c>
      <c r="F98" s="10" t="s">
        <v>111</v>
      </c>
    </row>
    <row r="99" spans="2:6" x14ac:dyDescent="0.25">
      <c r="B99" s="10"/>
      <c r="C99" s="10"/>
      <c r="D99" s="10"/>
      <c r="E99" s="10"/>
      <c r="F99" s="10"/>
    </row>
    <row r="100" spans="2:6" x14ac:dyDescent="0.25">
      <c r="B100" s="10" t="s">
        <v>121</v>
      </c>
      <c r="C100" s="10"/>
      <c r="D100" s="10"/>
      <c r="E100" s="10"/>
      <c r="F100" s="10"/>
    </row>
    <row r="101" spans="2:6" x14ac:dyDescent="0.25">
      <c r="B101" s="10" t="s">
        <v>122</v>
      </c>
      <c r="C101" s="10"/>
      <c r="D101" s="10"/>
      <c r="E101" s="10"/>
      <c r="F101" s="10"/>
    </row>
    <row r="102" spans="2:6" x14ac:dyDescent="0.25">
      <c r="B102" s="10" t="s">
        <v>123</v>
      </c>
      <c r="C102" s="10"/>
      <c r="D102" s="10"/>
      <c r="E102" s="10"/>
      <c r="F102" s="10"/>
    </row>
    <row r="103" spans="2:6" x14ac:dyDescent="0.25">
      <c r="B103" s="10" t="s">
        <v>124</v>
      </c>
      <c r="C103" s="10"/>
      <c r="D103" s="10"/>
      <c r="E103" s="10"/>
      <c r="F103" s="10"/>
    </row>
    <row r="104" spans="2:6" x14ac:dyDescent="0.25">
      <c r="B104" s="10" t="s">
        <v>125</v>
      </c>
      <c r="C104" s="10"/>
      <c r="D104" s="10"/>
      <c r="E104" s="10"/>
      <c r="F104" s="10"/>
    </row>
    <row r="105" spans="2:6" x14ac:dyDescent="0.25">
      <c r="B105" s="10" t="s">
        <v>117</v>
      </c>
      <c r="C105" s="10"/>
      <c r="D105" s="10"/>
      <c r="E105" s="10"/>
      <c r="F105" s="10"/>
    </row>
    <row r="106" spans="2:6" x14ac:dyDescent="0.25">
      <c r="B106" s="10" t="s">
        <v>118</v>
      </c>
      <c r="C106" s="10"/>
      <c r="D106" s="10"/>
      <c r="E106" s="10"/>
      <c r="F106" s="10"/>
    </row>
    <row r="107" spans="2:6" x14ac:dyDescent="0.25">
      <c r="B107" s="10"/>
      <c r="C107" s="10"/>
      <c r="D107" s="10"/>
      <c r="E107" s="10"/>
      <c r="F107" s="10"/>
    </row>
    <row r="108" spans="2:6" x14ac:dyDescent="0.25">
      <c r="B108" s="10" t="s">
        <v>126</v>
      </c>
      <c r="C108" s="10"/>
      <c r="D108" s="10" t="s">
        <v>120</v>
      </c>
      <c r="E108" s="10"/>
      <c r="F108" s="10"/>
    </row>
    <row r="109" spans="2:6" x14ac:dyDescent="0.25">
      <c r="B109" s="10" t="s">
        <v>107</v>
      </c>
      <c r="C109" s="10" t="s">
        <v>127</v>
      </c>
      <c r="D109" s="10" t="s">
        <v>128</v>
      </c>
      <c r="E109" s="10" t="s">
        <v>129</v>
      </c>
      <c r="F109" s="10"/>
    </row>
    <row r="110" spans="2:6" x14ac:dyDescent="0.25">
      <c r="B110" s="10"/>
      <c r="C110" s="10"/>
      <c r="D110" s="10"/>
      <c r="E110" s="10"/>
      <c r="F110" s="10"/>
    </row>
    <row r="111" spans="2:6" ht="15.75" thickBot="1" x14ac:dyDescent="0.3">
      <c r="B111" s="11" t="s">
        <v>130</v>
      </c>
      <c r="C111" s="11"/>
      <c r="D111" s="11"/>
      <c r="E111" s="11"/>
      <c r="F111" s="11"/>
    </row>
    <row r="112" spans="2:6" x14ac:dyDescent="0.25">
      <c r="B112" s="12" t="s">
        <v>181</v>
      </c>
      <c r="C112" s="13"/>
      <c r="D112" s="13"/>
      <c r="E112" s="13"/>
      <c r="F112" s="14"/>
    </row>
    <row r="113" spans="1:6" x14ac:dyDescent="0.25">
      <c r="B113" s="20" t="s">
        <v>131</v>
      </c>
      <c r="C113" s="21"/>
      <c r="D113" s="22">
        <v>350</v>
      </c>
      <c r="E113" s="23"/>
      <c r="F113" s="24"/>
    </row>
    <row r="114" spans="1:6" x14ac:dyDescent="0.25">
      <c r="B114" s="20" t="s">
        <v>132</v>
      </c>
      <c r="C114" s="21"/>
      <c r="D114" s="22">
        <v>3038402.5</v>
      </c>
      <c r="E114" s="23"/>
      <c r="F114" s="24"/>
    </row>
    <row r="115" spans="1:6" ht="15.75" thickBot="1" x14ac:dyDescent="0.3">
      <c r="B115" s="25" t="s">
        <v>133</v>
      </c>
      <c r="C115" s="26"/>
      <c r="D115" s="27">
        <v>249849.25</v>
      </c>
      <c r="E115" s="28"/>
      <c r="F115" s="29"/>
    </row>
    <row r="116" spans="1:6" x14ac:dyDescent="0.25">
      <c r="B116" s="15"/>
      <c r="C116" s="15"/>
      <c r="D116" s="15"/>
      <c r="E116" s="15"/>
      <c r="F116" s="15"/>
    </row>
    <row r="117" spans="1:6" x14ac:dyDescent="0.25">
      <c r="B117" s="10" t="s">
        <v>134</v>
      </c>
      <c r="C117" s="10"/>
      <c r="D117" s="10" t="s">
        <v>120</v>
      </c>
      <c r="E117" s="10"/>
      <c r="F117" s="10"/>
    </row>
    <row r="118" spans="1:6" x14ac:dyDescent="0.25">
      <c r="B118" s="10" t="s">
        <v>107</v>
      </c>
      <c r="C118" s="10" t="s">
        <v>135</v>
      </c>
      <c r="D118" s="10" t="s">
        <v>127</v>
      </c>
      <c r="E118" s="10" t="s">
        <v>128</v>
      </c>
      <c r="F118" s="10" t="s">
        <v>129</v>
      </c>
    </row>
    <row r="119" spans="1:6" x14ac:dyDescent="0.25">
      <c r="B119" s="10"/>
      <c r="C119" s="10"/>
      <c r="D119" s="10"/>
      <c r="E119" s="10"/>
      <c r="F119" s="10"/>
    </row>
    <row r="120" spans="1:6" x14ac:dyDescent="0.25">
      <c r="B120" s="10" t="s">
        <v>136</v>
      </c>
      <c r="C120" s="10"/>
      <c r="D120" s="10"/>
      <c r="E120" s="10"/>
      <c r="F120" s="10"/>
    </row>
    <row r="121" spans="1:6" x14ac:dyDescent="0.25">
      <c r="B121" s="10" t="s">
        <v>137</v>
      </c>
      <c r="C121" s="10"/>
      <c r="D121" s="10"/>
      <c r="E121" s="10"/>
      <c r="F121" s="10"/>
    </row>
    <row r="122" spans="1:6" x14ac:dyDescent="0.25">
      <c r="B122" s="10" t="s">
        <v>131</v>
      </c>
      <c r="C122" s="10"/>
      <c r="D122" s="10"/>
      <c r="E122" s="10"/>
      <c r="F122" s="10"/>
    </row>
    <row r="123" spans="1:6" x14ac:dyDescent="0.25">
      <c r="B123" s="10" t="s">
        <v>138</v>
      </c>
      <c r="C123" s="10"/>
      <c r="D123" s="10"/>
      <c r="E123" s="10"/>
      <c r="F123" s="10"/>
    </row>
    <row r="124" spans="1:6" x14ac:dyDescent="0.25">
      <c r="B124" s="10" t="s">
        <v>133</v>
      </c>
      <c r="C124" s="10"/>
      <c r="D124" s="10"/>
      <c r="E124" s="10"/>
      <c r="F124" s="10"/>
    </row>
    <row r="125" spans="1:6" x14ac:dyDescent="0.25">
      <c r="B125" s="10"/>
      <c r="C125" s="10"/>
      <c r="D125" s="10"/>
      <c r="E125" s="10"/>
      <c r="F125" s="10"/>
    </row>
    <row r="127" spans="1:6" ht="15.75" x14ac:dyDescent="0.25">
      <c r="A127" s="1" t="s">
        <v>4</v>
      </c>
      <c r="B127" s="16" t="s">
        <v>139</v>
      </c>
    </row>
    <row r="128" spans="1:6" x14ac:dyDescent="0.25">
      <c r="A128" s="1" t="s">
        <v>4</v>
      </c>
      <c r="B128" t="s">
        <v>4</v>
      </c>
    </row>
    <row r="129" spans="1:2" x14ac:dyDescent="0.25">
      <c r="A129" s="1">
        <v>1</v>
      </c>
      <c r="B129" t="s">
        <v>140</v>
      </c>
    </row>
    <row r="130" spans="1:2" x14ac:dyDescent="0.25">
      <c r="A130" s="1">
        <v>2</v>
      </c>
      <c r="B130" t="s">
        <v>141</v>
      </c>
    </row>
    <row r="131" spans="1:2" x14ac:dyDescent="0.25">
      <c r="A131" s="1" t="s">
        <v>4</v>
      </c>
      <c r="B131" t="s">
        <v>142</v>
      </c>
    </row>
    <row r="132" spans="1:2" x14ac:dyDescent="0.25">
      <c r="A132" s="1" t="s">
        <v>4</v>
      </c>
      <c r="B132" t="s">
        <v>143</v>
      </c>
    </row>
    <row r="133" spans="1:2" x14ac:dyDescent="0.25">
      <c r="A133" s="1" t="s">
        <v>4</v>
      </c>
      <c r="B133" t="s">
        <v>144</v>
      </c>
    </row>
    <row r="134" spans="1:2" x14ac:dyDescent="0.25">
      <c r="A134" s="1" t="s">
        <v>4</v>
      </c>
      <c r="B134" t="s">
        <v>145</v>
      </c>
    </row>
    <row r="135" spans="1:2" x14ac:dyDescent="0.25">
      <c r="A135" s="1">
        <v>3</v>
      </c>
      <c r="B135" t="s">
        <v>146</v>
      </c>
    </row>
    <row r="136" spans="1:2" x14ac:dyDescent="0.25">
      <c r="A136" s="1" t="s">
        <v>4</v>
      </c>
      <c r="B136" t="s">
        <v>147</v>
      </c>
    </row>
    <row r="137" spans="1:2" x14ac:dyDescent="0.25">
      <c r="A137" s="1" t="s">
        <v>4</v>
      </c>
      <c r="B137" t="s">
        <v>148</v>
      </c>
    </row>
    <row r="138" spans="1:2" x14ac:dyDescent="0.25">
      <c r="A138" s="1" t="s">
        <v>4</v>
      </c>
      <c r="B138" t="s">
        <v>149</v>
      </c>
    </row>
    <row r="139" spans="1:2" x14ac:dyDescent="0.25">
      <c r="A139" s="1" t="s">
        <v>4</v>
      </c>
      <c r="B139" t="s">
        <v>150</v>
      </c>
    </row>
    <row r="140" spans="1:2" x14ac:dyDescent="0.25">
      <c r="A140" s="1">
        <v>4</v>
      </c>
      <c r="B140" t="s">
        <v>151</v>
      </c>
    </row>
    <row r="141" spans="1:2" x14ac:dyDescent="0.25">
      <c r="A141" s="1">
        <v>5</v>
      </c>
      <c r="B141" t="s">
        <v>152</v>
      </c>
    </row>
    <row r="142" spans="1:2" x14ac:dyDescent="0.25">
      <c r="A142" s="1">
        <v>6</v>
      </c>
      <c r="B142" t="s">
        <v>153</v>
      </c>
    </row>
    <row r="143" spans="1:2" x14ac:dyDescent="0.25">
      <c r="A143" s="1">
        <v>7</v>
      </c>
      <c r="B143" t="s">
        <v>154</v>
      </c>
    </row>
    <row r="144" spans="1:2" x14ac:dyDescent="0.25">
      <c r="A144" s="1">
        <v>8</v>
      </c>
      <c r="B144" t="s">
        <v>155</v>
      </c>
    </row>
    <row r="145" spans="1:3" x14ac:dyDescent="0.25">
      <c r="A145" s="1">
        <v>9</v>
      </c>
      <c r="B145" t="s">
        <v>156</v>
      </c>
    </row>
    <row r="146" spans="1:3" x14ac:dyDescent="0.25">
      <c r="A146" s="1">
        <v>10</v>
      </c>
      <c r="B146" s="17" t="s">
        <v>157</v>
      </c>
    </row>
    <row r="147" spans="1:3" x14ac:dyDescent="0.25">
      <c r="A147" s="1">
        <v>11</v>
      </c>
      <c r="B147" s="17" t="s">
        <v>158</v>
      </c>
    </row>
    <row r="148" spans="1:3" ht="30" x14ac:dyDescent="0.25">
      <c r="B148" s="18" t="s">
        <v>18</v>
      </c>
      <c r="C148" s="19" t="s">
        <v>159</v>
      </c>
    </row>
    <row r="149" spans="1:3" ht="30" x14ac:dyDescent="0.25">
      <c r="B149" s="18" t="s">
        <v>21</v>
      </c>
      <c r="C149" s="19" t="s">
        <v>160</v>
      </c>
    </row>
    <row r="150" spans="1:3" ht="45" x14ac:dyDescent="0.25">
      <c r="B150" s="18" t="s">
        <v>24</v>
      </c>
      <c r="C150" s="19" t="s">
        <v>161</v>
      </c>
    </row>
    <row r="151" spans="1:3" ht="30" x14ac:dyDescent="0.25">
      <c r="B151" s="18" t="s">
        <v>27</v>
      </c>
      <c r="C151" s="19" t="s">
        <v>162</v>
      </c>
    </row>
    <row r="152" spans="1:3" ht="30" x14ac:dyDescent="0.25">
      <c r="B152" s="18" t="s">
        <v>30</v>
      </c>
      <c r="C152" s="19" t="s">
        <v>163</v>
      </c>
    </row>
    <row r="153" spans="1:3" ht="15.75" x14ac:dyDescent="0.25">
      <c r="B153" s="18" t="s">
        <v>33</v>
      </c>
      <c r="C153" s="19" t="s">
        <v>164</v>
      </c>
    </row>
    <row r="154" spans="1:3" ht="30" x14ac:dyDescent="0.25">
      <c r="B154" s="18" t="s">
        <v>36</v>
      </c>
      <c r="C154" s="19" t="s">
        <v>165</v>
      </c>
    </row>
    <row r="155" spans="1:3" ht="31.5" x14ac:dyDescent="0.25">
      <c r="B155" s="18" t="s">
        <v>38</v>
      </c>
      <c r="C155" s="19" t="s">
        <v>163</v>
      </c>
    </row>
    <row r="156" spans="1:3" ht="15.75" x14ac:dyDescent="0.25">
      <c r="B156" s="18" t="s">
        <v>41</v>
      </c>
      <c r="C156" s="19" t="s">
        <v>166</v>
      </c>
    </row>
    <row r="157" spans="1:3" ht="30" x14ac:dyDescent="0.25">
      <c r="B157" s="18" t="s">
        <v>44</v>
      </c>
      <c r="C157" s="19" t="s">
        <v>167</v>
      </c>
    </row>
    <row r="158" spans="1:3" ht="30" x14ac:dyDescent="0.25">
      <c r="B158" s="18" t="s">
        <v>47</v>
      </c>
      <c r="C158" s="19" t="s">
        <v>168</v>
      </c>
    </row>
    <row r="159" spans="1:3" ht="30" x14ac:dyDescent="0.25">
      <c r="B159" s="18" t="s">
        <v>49</v>
      </c>
      <c r="C159" s="19" t="s">
        <v>169</v>
      </c>
    </row>
    <row r="160" spans="1:3" ht="15.75" x14ac:dyDescent="0.25">
      <c r="B160" s="18" t="s">
        <v>52</v>
      </c>
      <c r="C160" s="19" t="s">
        <v>166</v>
      </c>
    </row>
    <row r="161" spans="2:3" ht="30" x14ac:dyDescent="0.25">
      <c r="B161" s="18" t="s">
        <v>55</v>
      </c>
      <c r="C161" s="19" t="s">
        <v>170</v>
      </c>
    </row>
    <row r="162" spans="2:3" ht="30" x14ac:dyDescent="0.25">
      <c r="B162" s="18" t="s">
        <v>58</v>
      </c>
      <c r="C162" s="19" t="s">
        <v>171</v>
      </c>
    </row>
    <row r="163" spans="2:3" ht="30" x14ac:dyDescent="0.25">
      <c r="B163" s="18" t="s">
        <v>60</v>
      </c>
      <c r="C163" s="19" t="s">
        <v>172</v>
      </c>
    </row>
    <row r="164" spans="2:3" ht="30" x14ac:dyDescent="0.25">
      <c r="B164" s="18" t="s">
        <v>62</v>
      </c>
      <c r="C164" s="19" t="s">
        <v>173</v>
      </c>
    </row>
    <row r="165" spans="2:3" ht="30" x14ac:dyDescent="0.25">
      <c r="B165" s="18" t="s">
        <v>64</v>
      </c>
      <c r="C165" s="19" t="s">
        <v>174</v>
      </c>
    </row>
    <row r="166" spans="2:3" ht="15.75" x14ac:dyDescent="0.25">
      <c r="B166" s="18" t="s">
        <v>67</v>
      </c>
      <c r="C166" s="19" t="s">
        <v>166</v>
      </c>
    </row>
    <row r="167" spans="2:3" ht="30" x14ac:dyDescent="0.25">
      <c r="B167" s="18" t="s">
        <v>70</v>
      </c>
      <c r="C167" s="19" t="s">
        <v>175</v>
      </c>
    </row>
    <row r="168" spans="2:3" ht="30" x14ac:dyDescent="0.25">
      <c r="B168" s="18" t="s">
        <v>73</v>
      </c>
      <c r="C168" s="19" t="s">
        <v>176</v>
      </c>
    </row>
    <row r="169" spans="2:3" ht="30" x14ac:dyDescent="0.25">
      <c r="B169" s="18" t="s">
        <v>76</v>
      </c>
      <c r="C169" s="19" t="s">
        <v>177</v>
      </c>
    </row>
    <row r="170" spans="2:3" ht="30" x14ac:dyDescent="0.25">
      <c r="B170" s="18" t="s">
        <v>78</v>
      </c>
      <c r="C170" s="19" t="s">
        <v>178</v>
      </c>
    </row>
    <row r="171" spans="2:3" ht="30" x14ac:dyDescent="0.25">
      <c r="B171" s="18" t="s">
        <v>81</v>
      </c>
      <c r="C171" s="19" t="s">
        <v>179</v>
      </c>
    </row>
    <row r="172" spans="2:3" ht="30" x14ac:dyDescent="0.25">
      <c r="B172" s="18" t="s">
        <v>84</v>
      </c>
      <c r="C172" s="19" t="s">
        <v>180</v>
      </c>
    </row>
  </sheetData>
  <mergeCells count="6">
    <mergeCell ref="B113:C113"/>
    <mergeCell ref="D113:F113"/>
    <mergeCell ref="B114:C114"/>
    <mergeCell ref="D114:F114"/>
    <mergeCell ref="B115:C115"/>
    <mergeCell ref="D115:F115"/>
  </mergeCells>
  <hyperlinks>
    <hyperlink ref="C157" r:id="rId1"/>
    <hyperlink ref="C159" r:id="rId2"/>
    <hyperlink ref="C164" r:id="rId3"/>
    <hyperlink ref="C168" r:id="rId4"/>
    <hyperlink ref="C169" r:id="rId5"/>
    <hyperlink ref="C171" r:id="rId6"/>
    <hyperlink ref="C172" r:id="rId7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qESG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Sagar Shah</cp:lastModifiedBy>
  <dcterms:created xsi:type="dcterms:W3CDTF">2022-09-05T09:04:09Z</dcterms:created>
  <dcterms:modified xsi:type="dcterms:W3CDTF">2022-09-06T09:17:53Z</dcterms:modified>
</cp:coreProperties>
</file>