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440" windowHeight="12600"/>
  </bookViews>
  <sheets>
    <sheet name="qMDA" sheetId="1" r:id="rId1"/>
  </sheets>
  <calcPr calcId="144525"/>
</workbook>
</file>

<file path=xl/calcChain.xml><?xml version="1.0" encoding="utf-8"?>
<calcChain xmlns="http://schemas.openxmlformats.org/spreadsheetml/2006/main">
  <c r="D99" i="1" l="1"/>
</calcChain>
</file>

<file path=xl/sharedStrings.xml><?xml version="1.0" encoding="utf-8"?>
<sst xmlns="http://schemas.openxmlformats.org/spreadsheetml/2006/main" count="538" uniqueCount="153">
  <si>
    <t>quant Mutual Fund</t>
  </si>
  <si>
    <t>quant Dynamic Asset Allocation Fund</t>
  </si>
  <si>
    <t xml:space="preserve"> </t>
  </si>
  <si>
    <t>MONTHLY PORTFOLIO STATEMENT AS ON 31 May 2023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</si>
  <si>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</si>
  <si>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</si>
  <si>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</si>
  <si>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</si>
  <si>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</si>
  <si>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</si>
  <si>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</si>
  <si>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</si>
  <si>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</si>
  <si>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</si>
  <si>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</si>
  <si>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</si>
  <si>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</si>
  <si>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INE214T01019</t>
  </si>
  <si>
    <t>LTIMindtree Limited</t>
  </si>
  <si>
    <t>N.A.</t>
  </si>
  <si>
    <t>IT - Software</t>
  </si>
  <si>
    <t>INE075A01022</t>
  </si>
  <si>
    <t>Wipro Ltd</t>
  </si>
  <si>
    <t>INE018A01030</t>
  </si>
  <si>
    <t>Larsen &amp; Toubro Limited</t>
  </si>
  <si>
    <t>Construction</t>
  </si>
  <si>
    <t>INE733E01010</t>
  </si>
  <si>
    <t>NTPC Limited</t>
  </si>
  <si>
    <t>Power</t>
  </si>
  <si>
    <t>INE002A01018</t>
  </si>
  <si>
    <t>Reliance Industries Limited</t>
  </si>
  <si>
    <t>Petroleum Products</t>
  </si>
  <si>
    <t>INE040A01034</t>
  </si>
  <si>
    <t>HDFC Bank Limited</t>
  </si>
  <si>
    <t>Banks</t>
  </si>
  <si>
    <t>INE397D01024</t>
  </si>
  <si>
    <t>Bharti Airtel Limited</t>
  </si>
  <si>
    <t>Telecom - Services</t>
  </si>
  <si>
    <t>INE239A01016</t>
  </si>
  <si>
    <t>Nestle India Limited</t>
  </si>
  <si>
    <t>Food Products</t>
  </si>
  <si>
    <t>INE042A01014</t>
  </si>
  <si>
    <t>Escorts Kubota Limited</t>
  </si>
  <si>
    <t>Agricultural, Commercial &amp; Construction Vehicles</t>
  </si>
  <si>
    <t>INE047A01021</t>
  </si>
  <si>
    <t>Grasim Industries Ltd</t>
  </si>
  <si>
    <t>Cement &amp; Cement Products</t>
  </si>
  <si>
    <t>INE009A01021</t>
  </si>
  <si>
    <t>Infosys Limited</t>
  </si>
  <si>
    <t>INE0NDH25011</t>
  </si>
  <si>
    <t>Nexus Select Mall Management Pvt Ltd</t>
  </si>
  <si>
    <t>Realty</t>
  </si>
  <si>
    <t>INE030A01027</t>
  </si>
  <si>
    <t>Hindustan Unilever Limited</t>
  </si>
  <si>
    <t>Diversified FMCG</t>
  </si>
  <si>
    <t>Sub Total</t>
  </si>
  <si>
    <t>(b) Unlisted</t>
  </si>
  <si>
    <t>Total</t>
  </si>
  <si>
    <t>DERIVATIVES</t>
  </si>
  <si>
    <t>(a) Index / Stock Futures</t>
  </si>
  <si>
    <t>BHARTIARTL290623</t>
  </si>
  <si>
    <t>Bharti Airtel Limited 29/06/2023</t>
  </si>
  <si>
    <t>TATACOMM290623</t>
  </si>
  <si>
    <t>Tata Communications Limited 29/06/2023</t>
  </si>
  <si>
    <t>ESCORTS290623</t>
  </si>
  <si>
    <t>Escorts Kubota Limited 29/06/2023</t>
  </si>
  <si>
    <t>GRASIM290623</t>
  </si>
  <si>
    <t>Grasim Industries Ltd 29/06/2023</t>
  </si>
  <si>
    <t>NESTLEIND290623</t>
  </si>
  <si>
    <t>Nestle India Limited 29/06/2023</t>
  </si>
  <si>
    <t>HDFCBANK290623</t>
  </si>
  <si>
    <t>HDFC Bank Limited 29/06/2023</t>
  </si>
  <si>
    <t>NTPC290623</t>
  </si>
  <si>
    <t>NTPC Limited 29/06/2023</t>
  </si>
  <si>
    <t>LT290623</t>
  </si>
  <si>
    <t>Larsen &amp; Toubro Limited 29/06/2023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</si>
  <si>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</si>
  <si>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</si>
  <si>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</si>
  <si>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</si>
  <si>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</si>
  <si>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</si>
  <si>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</si>
  <si>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</si>
  <si>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</si>
  <si>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IN002023X088</t>
  </si>
  <si>
    <t>91 Days Treasury Bill 24-Aug-2023</t>
  </si>
  <si>
    <t>SOV</t>
  </si>
  <si>
    <t>IN002022Y484</t>
  </si>
  <si>
    <t>182 Days Treasury Bill  24-Aug-2023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</si>
  <si>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</si>
  <si>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</si>
  <si>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</si>
  <si>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</si>
  <si>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</si>
  <si>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</si>
  <si>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</si>
  <si>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</si>
  <si>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</si>
  <si>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</si>
  <si>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</si>
  <si>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</si>
  <si>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</si>
  <si>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</si>
  <si>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</si>
  <si>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</si>
  <si>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</si>
  <si>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</si>
  <si>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</si>
  <si>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</si>
  <si>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</si>
  <si>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</si>
  <si>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</si>
  <si>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</si>
  <si>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</si>
  <si>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Long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</si>
  <si>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</si>
  <si>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</si>
  <si>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</si>
  <si>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</si>
  <si>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</si>
  <si>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</si>
  <si>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</si>
  <si>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</si>
  <si>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</si>
  <si>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</si>
  <si>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</si>
  <si>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</si>
  <si>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</si>
  <si>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</si>
  <si>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</si>
  <si>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</si>
  <si>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</si>
  <si>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</si>
  <si>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</si>
  <si>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</si>
  <si>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</si>
  <si>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</si>
  <si>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Dynamic Asset Allocation Fund - Growth - Direct Plan 10.1158</t>
  </si>
  <si>
    <t>Quant Dynamic Asset Allocation Fund - Growth 10.0911</t>
  </si>
  <si>
    <t>Quant Dynamic Asset Allocation Fund - IDCW - Direct Plan 10.1151</t>
  </si>
  <si>
    <t>Quant Dynamic Asset Allocation Fund - IDCW 10.0905</t>
  </si>
  <si>
    <t>NAV as on 28 Apr 2023</t>
  </si>
  <si>
    <t>Quant Dynamic Asset Allocation Fund - Growth - Direct Plan 10.0934</t>
  </si>
  <si>
    <t>Quant Dynamic Asset Allocation Fund - Growth 10.085</t>
  </si>
  <si>
    <t>Quant Dynamic Asset Allocation Fund - IDCW - Direct Plan 10.0934</t>
  </si>
  <si>
    <t>Quant Dynamic Asset Allocation Fund - IDCW 10.0844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</si>
  <si>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</si>
  <si>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</si>
  <si>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</si>
  <si>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</si>
  <si>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0.93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</si>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</sst>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6" fillId="2" borderId="5" xfId="0" applyFont="1" applyFill="1" applyBorder="1"/>
    <xf numFmtId="0" fontId="6" fillId="2" borderId="1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4" fontId="0" fillId="0" borderId="0" xfId="0" applyNumberFormat="1"/>
    <xf numFmtId="0" fontId="3" fillId="2" borderId="5" xfId="0" applyFont="1" applyFill="1" applyBorder="1"/>
    <xf numFmtId="0" fontId="5" fillId="2" borderId="1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3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3" fillId="2" borderId="17" xfId="0" applyFont="1" applyFill="1" applyBorder="1"/>
    <xf numFmtId="0" fontId="5" fillId="2" borderId="17" xfId="0" applyFont="1" applyFill="1" applyBorder="1"/>
    <xf numFmtId="10" fontId="6" fillId="2" borderId="21" xfId="0" applyNumberFormat="1" applyFont="1" applyFill="1" applyBorder="1"/>
    <xf numFmtId="0" fontId="6" fillId="2" borderId="17" xfId="0" applyFont="1" applyFill="1" applyBorder="1"/>
    <xf numFmtId="0" fontId="5" fillId="2" borderId="22" xfId="0" applyFont="1" applyFill="1" applyBorder="1"/>
    <xf numFmtId="0" fontId="5" fillId="2" borderId="25" xfId="0" applyFont="1" applyFill="1" applyBorder="1"/>
    <xf numFmtId="0" fontId="5" fillId="2" borderId="5" xfId="0" applyFont="1" applyFill="1" applyBorder="1" applyAlignment="1">
      <alignment horizontal="left"/>
    </xf>
    <xf numFmtId="0" fontId="5" fillId="2" borderId="26" xfId="0" applyFont="1" applyFill="1" applyBorder="1"/>
    <xf numFmtId="0" fontId="5" fillId="2" borderId="12" xfId="0" applyFont="1" applyFill="1" applyBorder="1" applyAlignment="1">
      <alignment horizontal="left"/>
    </xf>
    <xf numFmtId="0" fontId="5" fillId="2" borderId="27" xfId="0" applyFont="1" applyFill="1" applyBorder="1"/>
    <xf numFmtId="0" fontId="5" fillId="2" borderId="6" xfId="0" applyFont="1" applyFill="1" applyBorder="1"/>
    <xf numFmtId="0" fontId="6" fillId="2" borderId="22" xfId="0" applyFont="1" applyFill="1" applyBorder="1"/>
    <xf numFmtId="0" fontId="5" fillId="2" borderId="4" xfId="0" applyNumberFormat="1" applyFont="1" applyFill="1" applyBorder="1"/>
    <xf numFmtId="0" fontId="5" fillId="2" borderId="26" xfId="0" applyNumberFormat="1" applyFont="1" applyFill="1" applyBorder="1"/>
    <xf numFmtId="0" fontId="5" fillId="2" borderId="27" xfId="0" applyNumberFormat="1" applyFont="1" applyFill="1" applyBorder="1"/>
    <xf numFmtId="0" fontId="7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left"/>
    </xf>
    <xf numFmtId="0" fontId="5" fillId="2" borderId="20" xfId="0" applyFont="1" applyFill="1" applyBorder="1" applyAlignment="1">
      <alignment horizontal="left"/>
    </xf>
    <xf numFmtId="0" fontId="5" fillId="2" borderId="23" xfId="0" applyFont="1" applyFill="1" applyBorder="1" applyAlignment="1">
      <alignment horizontal="left"/>
    </xf>
    <xf numFmtId="0" fontId="5" fillId="2" borderId="24" xfId="0" applyFont="1" applyFill="1" applyBorder="1" applyAlignment="1">
      <alignment horizontal="left"/>
    </xf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8242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0</xdr:row>
      <xdr:rowOff>47625</xdr:rowOff>
    </xdr:from>
    <xdr:to>
      <xdr:col>3</xdr:col>
      <xdr:colOff>1657350</xdr:colOff>
      <xdr:row>4</xdr:row>
      <xdr:rowOff>47625</xdr:rowOff>
    </xdr:to>
    <xdr:pic>
      <xdr:nvPicPr>
        <xdr:cNvPr id="5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67525" y="47625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workbookViewId="0">
      <pane ySplit="6" topLeftCell="A133" activePane="bottomLeft" state="frozen"/>
      <selection pane="bottomLeft" activeCell="G4" sqref="G4"/>
    </sheetView>
  </sheetViews>
  <sheetFormatPr defaultRowHeight="15" x14ac:dyDescent="0.25"/>
  <cols>
    <col min="1" max="1" width="9.140625" style="1" customWidth="1"/>
    <col min="2" max="2" width="40" customWidth="1"/>
    <col min="3" max="3" width="50.42578125" customWidth="1"/>
    <col min="4" max="4" width="27.28515625" customWidth="1"/>
    <col min="5" max="5" width="48.5703125" customWidth="1"/>
    <col min="6" max="6" width="63.28515625" customWidth="1"/>
    <col min="7" max="7" width="29.140625" customWidth="1"/>
    <col min="8" max="8" width="15.855468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21500</v>
      </c>
      <c r="G11" s="8">
        <v>1074.6600000000001</v>
      </c>
      <c r="H11" s="9">
        <v>9.1999999999999993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253000</v>
      </c>
      <c r="G12" s="8">
        <v>1021.23</v>
      </c>
      <c r="H12" s="9">
        <v>8.74</v>
      </c>
    </row>
    <row r="13" spans="1:8" ht="15.75" x14ac:dyDescent="0.25">
      <c r="A13" s="7">
        <v>3</v>
      </c>
      <c r="B13" s="8" t="s">
        <v>23</v>
      </c>
      <c r="C13" s="8" t="s">
        <v>24</v>
      </c>
      <c r="D13" s="8" t="s">
        <v>19</v>
      </c>
      <c r="E13" s="8" t="s">
        <v>25</v>
      </c>
      <c r="F13" s="8">
        <v>46000</v>
      </c>
      <c r="G13" s="8">
        <v>1014.6</v>
      </c>
      <c r="H13" s="9">
        <v>8.68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540000</v>
      </c>
      <c r="G14" s="8">
        <v>938.79</v>
      </c>
      <c r="H14" s="9">
        <v>8.0299999999999994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35900</v>
      </c>
      <c r="G15" s="8">
        <v>886.69</v>
      </c>
      <c r="H15" s="9">
        <v>7.59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51500</v>
      </c>
      <c r="G16" s="8">
        <v>829.59</v>
      </c>
      <c r="H16" s="9">
        <v>7.1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80000</v>
      </c>
      <c r="G17" s="8">
        <v>679.92</v>
      </c>
      <c r="H17" s="9">
        <v>5.82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2000</v>
      </c>
      <c r="G18" s="8">
        <v>433.46</v>
      </c>
      <c r="H18" s="9">
        <v>3.71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17922</v>
      </c>
      <c r="G19" s="8">
        <v>390.04</v>
      </c>
      <c r="H19" s="9">
        <v>3.34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19000</v>
      </c>
      <c r="G20" s="8">
        <v>326.49</v>
      </c>
      <c r="H20" s="9">
        <v>2.79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20</v>
      </c>
      <c r="F21" s="8">
        <v>22000</v>
      </c>
      <c r="G21" s="8">
        <v>290.02999999999997</v>
      </c>
      <c r="H21" s="9">
        <v>2.48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236706</v>
      </c>
      <c r="G22" s="8">
        <v>246.17</v>
      </c>
      <c r="H22" s="9">
        <v>2.11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2200</v>
      </c>
      <c r="G23" s="8">
        <v>58.69</v>
      </c>
      <c r="H23" s="9">
        <v>0.5</v>
      </c>
    </row>
    <row r="24" spans="1:8" ht="15.75" x14ac:dyDescent="0.25">
      <c r="A24" s="4"/>
      <c r="B24" s="5" t="s">
        <v>4</v>
      </c>
      <c r="C24" s="5" t="s">
        <v>55</v>
      </c>
      <c r="D24" s="5" t="s">
        <v>4</v>
      </c>
      <c r="E24" s="5" t="s">
        <v>4</v>
      </c>
      <c r="F24" s="5" t="s">
        <v>4</v>
      </c>
      <c r="G24" s="5">
        <v>8190.35</v>
      </c>
      <c r="H24" s="6">
        <v>70.09</v>
      </c>
    </row>
    <row r="25" spans="1:8" ht="15.75" x14ac:dyDescent="0.25">
      <c r="A25" s="4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56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55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>
        <v>8190.35</v>
      </c>
      <c r="H28" s="6">
        <v>70.09</v>
      </c>
    </row>
    <row r="29" spans="1:8" ht="15.75" x14ac:dyDescent="0.25">
      <c r="A29" s="4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58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7">
        <v>14</v>
      </c>
      <c r="B32" s="8" t="s">
        <v>60</v>
      </c>
      <c r="C32" s="8" t="s">
        <v>61</v>
      </c>
      <c r="D32" s="8" t="s">
        <v>19</v>
      </c>
      <c r="E32" s="8" t="s">
        <v>19</v>
      </c>
      <c r="F32" s="8">
        <v>56050</v>
      </c>
      <c r="G32" s="8">
        <v>473.62</v>
      </c>
      <c r="H32" s="9">
        <v>4.05</v>
      </c>
    </row>
    <row r="33" spans="1:8" ht="15.75" x14ac:dyDescent="0.25">
      <c r="A33" s="7">
        <v>15</v>
      </c>
      <c r="B33" s="8" t="s">
        <v>62</v>
      </c>
      <c r="C33" s="8" t="s">
        <v>63</v>
      </c>
      <c r="D33" s="8" t="s">
        <v>19</v>
      </c>
      <c r="E33" s="8" t="s">
        <v>19</v>
      </c>
      <c r="F33" s="8">
        <v>13500</v>
      </c>
      <c r="G33" s="8">
        <v>174.64</v>
      </c>
      <c r="H33" s="9">
        <v>1.49</v>
      </c>
    </row>
    <row r="34" spans="1:8" ht="15.75" x14ac:dyDescent="0.25">
      <c r="A34" s="7">
        <v>16</v>
      </c>
      <c r="B34" s="8" t="s">
        <v>64</v>
      </c>
      <c r="C34" s="8" t="s">
        <v>65</v>
      </c>
      <c r="D34" s="8" t="s">
        <v>19</v>
      </c>
      <c r="E34" s="8" t="s">
        <v>19</v>
      </c>
      <c r="F34" s="8">
        <v>7700</v>
      </c>
      <c r="G34" s="8">
        <v>168.14</v>
      </c>
      <c r="H34" s="9">
        <v>1.44</v>
      </c>
    </row>
    <row r="35" spans="1:8" ht="15.75" x14ac:dyDescent="0.25">
      <c r="A35" s="7">
        <v>17</v>
      </c>
      <c r="B35" s="8" t="s">
        <v>66</v>
      </c>
      <c r="C35" s="8" t="s">
        <v>67</v>
      </c>
      <c r="D35" s="8" t="s">
        <v>19</v>
      </c>
      <c r="E35" s="8" t="s">
        <v>19</v>
      </c>
      <c r="F35" s="8">
        <v>-19000</v>
      </c>
      <c r="G35" s="8">
        <v>-327.94</v>
      </c>
      <c r="H35" s="9">
        <v>-2.81</v>
      </c>
    </row>
    <row r="36" spans="1:8" ht="15.75" x14ac:dyDescent="0.25">
      <c r="A36" s="7">
        <v>18</v>
      </c>
      <c r="B36" s="8" t="s">
        <v>68</v>
      </c>
      <c r="C36" s="8" t="s">
        <v>69</v>
      </c>
      <c r="D36" s="8" t="s">
        <v>19</v>
      </c>
      <c r="E36" s="8" t="s">
        <v>19</v>
      </c>
      <c r="F36" s="8">
        <v>-2000</v>
      </c>
      <c r="G36" s="8">
        <v>-436.97</v>
      </c>
      <c r="H36" s="9">
        <v>-3.74</v>
      </c>
    </row>
    <row r="37" spans="1:8" ht="15.75" x14ac:dyDescent="0.25">
      <c r="A37" s="7">
        <v>19</v>
      </c>
      <c r="B37" s="8" t="s">
        <v>70</v>
      </c>
      <c r="C37" s="8" t="s">
        <v>71</v>
      </c>
      <c r="D37" s="8" t="s">
        <v>19</v>
      </c>
      <c r="E37" s="8" t="s">
        <v>19</v>
      </c>
      <c r="F37" s="8">
        <v>-51150</v>
      </c>
      <c r="G37" s="8">
        <v>-830.42</v>
      </c>
      <c r="H37" s="9">
        <v>-7.11</v>
      </c>
    </row>
    <row r="38" spans="1:8" ht="15.75" x14ac:dyDescent="0.25">
      <c r="A38" s="7">
        <v>20</v>
      </c>
      <c r="B38" s="8" t="s">
        <v>72</v>
      </c>
      <c r="C38" s="8" t="s">
        <v>73</v>
      </c>
      <c r="D38" s="8" t="s">
        <v>19</v>
      </c>
      <c r="E38" s="8" t="s">
        <v>19</v>
      </c>
      <c r="F38" s="8">
        <v>-535800</v>
      </c>
      <c r="G38" s="8">
        <v>-935.51</v>
      </c>
      <c r="H38" s="9">
        <v>-8.01</v>
      </c>
    </row>
    <row r="39" spans="1:8" ht="15.75" x14ac:dyDescent="0.25">
      <c r="A39" s="7">
        <v>21</v>
      </c>
      <c r="B39" s="8" t="s">
        <v>74</v>
      </c>
      <c r="C39" s="8" t="s">
        <v>75</v>
      </c>
      <c r="D39" s="8" t="s">
        <v>19</v>
      </c>
      <c r="E39" s="8" t="s">
        <v>19</v>
      </c>
      <c r="F39" s="8">
        <v>-45900</v>
      </c>
      <c r="G39" s="8">
        <v>-1020.1</v>
      </c>
      <c r="H39" s="9">
        <v>-8.73</v>
      </c>
    </row>
    <row r="40" spans="1:8" ht="15.75" x14ac:dyDescent="0.25">
      <c r="A40" s="4"/>
      <c r="B40" s="5" t="s">
        <v>4</v>
      </c>
      <c r="C40" s="5" t="s">
        <v>55</v>
      </c>
      <c r="D40" s="5" t="s">
        <v>4</v>
      </c>
      <c r="E40" s="5" t="s">
        <v>4</v>
      </c>
      <c r="F40" s="5" t="s">
        <v>4</v>
      </c>
      <c r="G40" s="5">
        <v>-2734.54</v>
      </c>
      <c r="H40" s="6">
        <v>-23.4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76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55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57</v>
      </c>
      <c r="D44" s="5" t="s">
        <v>4</v>
      </c>
      <c r="E44" s="5" t="s">
        <v>4</v>
      </c>
      <c r="F44" s="5" t="s">
        <v>4</v>
      </c>
      <c r="G44" s="5">
        <v>-2734.54</v>
      </c>
      <c r="H44" s="6">
        <v>-23.4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55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55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55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57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55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55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7">
        <v>22</v>
      </c>
      <c r="B65" s="8" t="s">
        <v>85</v>
      </c>
      <c r="C65" s="8" t="s">
        <v>86</v>
      </c>
      <c r="D65" s="8" t="s">
        <v>87</v>
      </c>
      <c r="E65" s="8" t="s">
        <v>19</v>
      </c>
      <c r="F65" s="8">
        <v>1000000</v>
      </c>
      <c r="G65" s="8">
        <v>984.69</v>
      </c>
      <c r="H65" s="9">
        <v>8.43</v>
      </c>
    </row>
    <row r="66" spans="1:8" ht="15.75" x14ac:dyDescent="0.25">
      <c r="A66" s="7">
        <v>23</v>
      </c>
      <c r="B66" s="8" t="s">
        <v>88</v>
      </c>
      <c r="C66" s="8" t="s">
        <v>89</v>
      </c>
      <c r="D66" s="8" t="s">
        <v>87</v>
      </c>
      <c r="E66" s="8" t="s">
        <v>19</v>
      </c>
      <c r="F66" s="8">
        <v>700000</v>
      </c>
      <c r="G66" s="8">
        <v>689.29</v>
      </c>
      <c r="H66" s="9">
        <v>5.9</v>
      </c>
    </row>
    <row r="67" spans="1:8" ht="15.75" x14ac:dyDescent="0.25">
      <c r="A67" s="4"/>
      <c r="B67" s="5" t="s">
        <v>4</v>
      </c>
      <c r="C67" s="5" t="s">
        <v>55</v>
      </c>
      <c r="D67" s="5" t="s">
        <v>4</v>
      </c>
      <c r="E67" s="5" t="s">
        <v>4</v>
      </c>
      <c r="F67" s="5" t="s">
        <v>4</v>
      </c>
      <c r="G67" s="5">
        <v>1673.98</v>
      </c>
      <c r="H67" s="6">
        <v>14.32</v>
      </c>
    </row>
    <row r="68" spans="1:8" ht="15.75" x14ac:dyDescent="0.25">
      <c r="A68" s="4"/>
      <c r="B68" s="5" t="s">
        <v>4</v>
      </c>
      <c r="C68" s="5" t="s">
        <v>57</v>
      </c>
      <c r="D68" s="5" t="s">
        <v>4</v>
      </c>
      <c r="E68" s="5" t="s">
        <v>4</v>
      </c>
      <c r="F68" s="5" t="s">
        <v>4</v>
      </c>
      <c r="G68" s="5">
        <v>1673.98</v>
      </c>
      <c r="H68" s="6">
        <v>14.32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90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55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7">
        <v>24</v>
      </c>
      <c r="B75" s="8" t="s">
        <v>93</v>
      </c>
      <c r="C75" s="8" t="s">
        <v>94</v>
      </c>
      <c r="D75" s="8" t="s">
        <v>19</v>
      </c>
      <c r="E75" s="8" t="s">
        <v>19</v>
      </c>
      <c r="F75" s="8">
        <v>1624.9</v>
      </c>
      <c r="G75" s="8">
        <v>162.49</v>
      </c>
      <c r="H75" s="9">
        <v>1.39</v>
      </c>
    </row>
    <row r="76" spans="1:8" ht="15.75" x14ac:dyDescent="0.25">
      <c r="A76" s="4"/>
      <c r="B76" s="5" t="s">
        <v>4</v>
      </c>
      <c r="C76" s="5" t="s">
        <v>55</v>
      </c>
      <c r="D76" s="5" t="s">
        <v>4</v>
      </c>
      <c r="E76" s="5" t="s">
        <v>4</v>
      </c>
      <c r="F76" s="5" t="s">
        <v>4</v>
      </c>
      <c r="G76" s="5">
        <v>162.49</v>
      </c>
      <c r="H76" s="6">
        <v>1.39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95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25</v>
      </c>
      <c r="B79" s="8" t="s">
        <v>4</v>
      </c>
      <c r="C79" s="8" t="s">
        <v>96</v>
      </c>
      <c r="D79" s="8" t="s">
        <v>19</v>
      </c>
      <c r="E79" s="8" t="s">
        <v>19</v>
      </c>
      <c r="F79" s="8" t="s">
        <v>4</v>
      </c>
      <c r="G79" s="8">
        <v>4393.95</v>
      </c>
      <c r="H79" s="9">
        <v>37.6</v>
      </c>
    </row>
    <row r="80" spans="1:8" ht="15.75" x14ac:dyDescent="0.25">
      <c r="A80" s="4"/>
      <c r="B80" s="5" t="s">
        <v>4</v>
      </c>
      <c r="C80" s="5" t="s">
        <v>55</v>
      </c>
      <c r="D80" s="5" t="s">
        <v>4</v>
      </c>
      <c r="E80" s="5" t="s">
        <v>4</v>
      </c>
      <c r="F80" s="5" t="s">
        <v>4</v>
      </c>
      <c r="G80" s="5">
        <v>4393.95</v>
      </c>
      <c r="H80" s="6">
        <v>37.6</v>
      </c>
    </row>
    <row r="81" spans="1:8" ht="15.75" x14ac:dyDescent="0.25">
      <c r="A81" s="4"/>
      <c r="B81" s="5" t="s">
        <v>4</v>
      </c>
      <c r="C81" s="5" t="s">
        <v>57</v>
      </c>
      <c r="D81" s="5" t="s">
        <v>4</v>
      </c>
      <c r="E81" s="5" t="s">
        <v>4</v>
      </c>
      <c r="F81" s="5" t="s">
        <v>4</v>
      </c>
      <c r="G81" s="5">
        <v>4556.4399999999996</v>
      </c>
      <c r="H81" s="6">
        <v>38.99</v>
      </c>
    </row>
    <row r="82" spans="1:8" ht="15.75" x14ac:dyDescent="0.25">
      <c r="A82" s="4"/>
      <c r="B82" s="5" t="s">
        <v>4</v>
      </c>
      <c r="C82" s="5" t="s">
        <v>97</v>
      </c>
      <c r="D82" s="5" t="s">
        <v>4</v>
      </c>
      <c r="E82" s="5" t="s">
        <v>4</v>
      </c>
      <c r="F82" s="5" t="s">
        <v>4</v>
      </c>
      <c r="G82" s="5">
        <v>11686.24</v>
      </c>
      <c r="H82" s="5">
        <v>100</v>
      </c>
    </row>
    <row r="84" spans="1:8" ht="15.75" thickBot="1" x14ac:dyDescent="0.3">
      <c r="B84" s="10" t="s">
        <v>98</v>
      </c>
    </row>
    <row r="85" spans="1:8" x14ac:dyDescent="0.25">
      <c r="B85" s="11" t="s">
        <v>99</v>
      </c>
      <c r="C85" s="12"/>
      <c r="D85" s="12" t="s">
        <v>100</v>
      </c>
      <c r="E85" s="12"/>
      <c r="F85" s="13"/>
    </row>
    <row r="86" spans="1:8" x14ac:dyDescent="0.25">
      <c r="B86" s="14" t="s">
        <v>101</v>
      </c>
      <c r="C86" s="15" t="s">
        <v>102</v>
      </c>
      <c r="D86" s="15" t="s">
        <v>103</v>
      </c>
      <c r="E86" s="16" t="s">
        <v>104</v>
      </c>
      <c r="F86" s="17" t="s">
        <v>105</v>
      </c>
      <c r="H86" s="18"/>
    </row>
    <row r="87" spans="1:8" ht="15.75" x14ac:dyDescent="0.25">
      <c r="B87" s="19" t="s">
        <v>67</v>
      </c>
      <c r="C87" s="20" t="s">
        <v>106</v>
      </c>
      <c r="D87" s="21">
        <v>1713.3487</v>
      </c>
      <c r="E87" s="22">
        <v>1726</v>
      </c>
      <c r="F87" s="43">
        <v>65908540.002390221</v>
      </c>
    </row>
    <row r="88" spans="1:8" ht="15.75" x14ac:dyDescent="0.25">
      <c r="B88" s="19" t="s">
        <v>69</v>
      </c>
      <c r="C88" s="20" t="s">
        <v>106</v>
      </c>
      <c r="D88" s="21">
        <v>21432.764999999999</v>
      </c>
      <c r="E88" s="22">
        <v>21848.35</v>
      </c>
      <c r="F88" s="44"/>
    </row>
    <row r="89" spans="1:8" ht="15.75" x14ac:dyDescent="0.25">
      <c r="B89" s="19" t="s">
        <v>71</v>
      </c>
      <c r="C89" s="20" t="s">
        <v>106</v>
      </c>
      <c r="D89" s="21">
        <v>1632.5849000000001</v>
      </c>
      <c r="E89" s="22">
        <v>1623.5</v>
      </c>
      <c r="F89" s="44"/>
    </row>
    <row r="90" spans="1:8" ht="15.75" x14ac:dyDescent="0.25">
      <c r="B90" s="19" t="s">
        <v>73</v>
      </c>
      <c r="C90" s="20" t="s">
        <v>106</v>
      </c>
      <c r="D90" s="21">
        <v>176.02180000000001</v>
      </c>
      <c r="E90" s="22">
        <v>174.6</v>
      </c>
      <c r="F90" s="44"/>
    </row>
    <row r="91" spans="1:8" ht="16.5" thickBot="1" x14ac:dyDescent="0.3">
      <c r="B91" s="23" t="s">
        <v>75</v>
      </c>
      <c r="C91" s="24" t="s">
        <v>106</v>
      </c>
      <c r="D91" s="25">
        <v>2197.1441</v>
      </c>
      <c r="E91" s="26">
        <v>2222.4499999999998</v>
      </c>
      <c r="F91" s="45"/>
    </row>
    <row r="92" spans="1:8" ht="16.5" thickBot="1" x14ac:dyDescent="0.3">
      <c r="B92" s="27"/>
      <c r="C92" s="28"/>
      <c r="D92" s="28"/>
      <c r="E92" s="28"/>
      <c r="F92" s="28"/>
    </row>
    <row r="93" spans="1:8" ht="15.75" thickBot="1" x14ac:dyDescent="0.3">
      <c r="B93" s="46" t="s">
        <v>107</v>
      </c>
      <c r="C93" s="47"/>
      <c r="D93" s="47"/>
      <c r="E93" s="48"/>
      <c r="F93" s="29">
        <v>0.3039</v>
      </c>
    </row>
    <row r="94" spans="1:8" ht="15.75" thickBot="1" x14ac:dyDescent="0.3">
      <c r="B94" s="30" t="s">
        <v>108</v>
      </c>
      <c r="C94" s="28"/>
      <c r="D94" s="28"/>
      <c r="E94" s="31"/>
      <c r="F94" s="31"/>
    </row>
    <row r="95" spans="1:8" x14ac:dyDescent="0.25">
      <c r="B95" s="49" t="s">
        <v>109</v>
      </c>
      <c r="C95" s="50"/>
      <c r="D95" s="13">
        <v>143</v>
      </c>
      <c r="E95" s="32"/>
      <c r="F95" s="20"/>
    </row>
    <row r="96" spans="1:8" x14ac:dyDescent="0.25">
      <c r="B96" s="33" t="s">
        <v>110</v>
      </c>
      <c r="C96" s="20"/>
      <c r="D96" s="34">
        <v>143</v>
      </c>
      <c r="E96" s="32"/>
      <c r="F96" s="20"/>
    </row>
    <row r="97" spans="2:6" x14ac:dyDescent="0.25">
      <c r="B97" s="33" t="s">
        <v>111</v>
      </c>
      <c r="C97" s="20"/>
      <c r="D97" s="34">
        <v>90629274.450000003</v>
      </c>
      <c r="E97" s="32"/>
      <c r="F97" s="20"/>
    </row>
    <row r="98" spans="2:6" x14ac:dyDescent="0.25">
      <c r="B98" s="33" t="s">
        <v>112</v>
      </c>
      <c r="C98" s="20"/>
      <c r="D98" s="34">
        <v>88075412.424999997</v>
      </c>
      <c r="E98" s="32"/>
      <c r="F98" s="20"/>
    </row>
    <row r="99" spans="2:6" ht="15.75" thickBot="1" x14ac:dyDescent="0.3">
      <c r="B99" s="35" t="s">
        <v>113</v>
      </c>
      <c r="C99" s="24"/>
      <c r="D99" s="36">
        <f>+D98-D97</f>
        <v>-2553862.025000006</v>
      </c>
      <c r="E99" s="32"/>
      <c r="F99" s="20"/>
    </row>
    <row r="100" spans="2:6" ht="15.75" thickBot="1" x14ac:dyDescent="0.3">
      <c r="B100" s="28"/>
      <c r="C100" s="28"/>
      <c r="D100" s="28"/>
      <c r="E100" s="37"/>
      <c r="F100" s="37"/>
    </row>
    <row r="101" spans="2:6" x14ac:dyDescent="0.25">
      <c r="B101" s="11" t="s">
        <v>114</v>
      </c>
      <c r="C101" s="12"/>
      <c r="D101" s="12" t="s">
        <v>100</v>
      </c>
      <c r="E101" s="12"/>
      <c r="F101" s="13"/>
    </row>
    <row r="102" spans="2:6" x14ac:dyDescent="0.25">
      <c r="B102" s="14" t="s">
        <v>101</v>
      </c>
      <c r="C102" s="15" t="s">
        <v>102</v>
      </c>
      <c r="D102" s="15" t="s">
        <v>103</v>
      </c>
      <c r="E102" s="16" t="s">
        <v>104</v>
      </c>
      <c r="F102" s="17" t="s">
        <v>105</v>
      </c>
    </row>
    <row r="103" spans="2:6" ht="15.75" x14ac:dyDescent="0.25">
      <c r="B103" s="19" t="s">
        <v>61</v>
      </c>
      <c r="C103" s="20" t="s">
        <v>115</v>
      </c>
      <c r="D103" s="21">
        <v>822.22619999999995</v>
      </c>
      <c r="E103" s="22">
        <v>845</v>
      </c>
      <c r="F103" s="43">
        <v>7786854.3476097649</v>
      </c>
    </row>
    <row r="104" spans="2:6" ht="15.75" x14ac:dyDescent="0.25">
      <c r="B104" s="19" t="s">
        <v>63</v>
      </c>
      <c r="C104" s="20" t="s">
        <v>115</v>
      </c>
      <c r="D104" s="21">
        <v>1281.0481</v>
      </c>
      <c r="E104" s="22">
        <v>1293.5999999999999</v>
      </c>
      <c r="F104" s="44"/>
    </row>
    <row r="105" spans="2:6" ht="16.5" thickBot="1" x14ac:dyDescent="0.3">
      <c r="B105" s="23" t="s">
        <v>65</v>
      </c>
      <c r="C105" s="24" t="s">
        <v>115</v>
      </c>
      <c r="D105" s="25">
        <v>2183.8802999999998</v>
      </c>
      <c r="E105" s="26">
        <v>2183.65</v>
      </c>
      <c r="F105" s="45"/>
    </row>
    <row r="106" spans="2:6" ht="15.75" thickBot="1" x14ac:dyDescent="0.3">
      <c r="B106" s="28"/>
      <c r="C106" s="28"/>
      <c r="D106" s="28"/>
      <c r="E106" s="28"/>
      <c r="F106" s="28"/>
    </row>
    <row r="107" spans="2:6" ht="15.75" thickBot="1" x14ac:dyDescent="0.3">
      <c r="B107" s="46" t="s">
        <v>116</v>
      </c>
      <c r="C107" s="47"/>
      <c r="D107" s="47"/>
      <c r="E107" s="48"/>
      <c r="F107" s="29">
        <v>6.9800000000000001E-2</v>
      </c>
    </row>
    <row r="108" spans="2:6" x14ac:dyDescent="0.25">
      <c r="B108" s="38" t="s">
        <v>117</v>
      </c>
      <c r="C108" s="31"/>
      <c r="D108" s="31"/>
      <c r="E108" s="31"/>
      <c r="F108" s="31"/>
    </row>
    <row r="109" spans="2:6" x14ac:dyDescent="0.25">
      <c r="B109" s="20" t="s">
        <v>118</v>
      </c>
      <c r="C109" s="20"/>
      <c r="D109" s="20"/>
      <c r="E109" s="20"/>
      <c r="F109" s="20"/>
    </row>
    <row r="110" spans="2:6" x14ac:dyDescent="0.25">
      <c r="B110" s="20" t="s">
        <v>119</v>
      </c>
      <c r="C110" s="20"/>
      <c r="D110" s="20"/>
      <c r="E110" s="20"/>
      <c r="F110" s="20"/>
    </row>
    <row r="111" spans="2:6" x14ac:dyDescent="0.25">
      <c r="B111" s="20" t="s">
        <v>120</v>
      </c>
      <c r="C111" s="20"/>
      <c r="D111" s="20"/>
      <c r="E111" s="20"/>
      <c r="F111" s="20"/>
    </row>
    <row r="112" spans="2:6" x14ac:dyDescent="0.25">
      <c r="B112" s="20" t="s">
        <v>112</v>
      </c>
      <c r="C112" s="20"/>
      <c r="D112" s="20"/>
      <c r="E112" s="20"/>
      <c r="F112" s="20"/>
    </row>
    <row r="113" spans="2:6" x14ac:dyDescent="0.25">
      <c r="B113" s="20" t="s">
        <v>113</v>
      </c>
      <c r="C113" s="20"/>
      <c r="D113" s="20"/>
      <c r="E113" s="20"/>
      <c r="F113" s="20"/>
    </row>
    <row r="114" spans="2:6" x14ac:dyDescent="0.25">
      <c r="B114" s="20"/>
      <c r="C114" s="20"/>
      <c r="D114" s="20"/>
      <c r="E114" s="20"/>
      <c r="F114" s="20"/>
    </row>
    <row r="115" spans="2:6" x14ac:dyDescent="0.25">
      <c r="B115" s="20" t="s">
        <v>121</v>
      </c>
      <c r="C115" s="20"/>
      <c r="D115" s="20" t="s">
        <v>100</v>
      </c>
      <c r="E115" s="20"/>
      <c r="F115" s="20"/>
    </row>
    <row r="116" spans="2:6" x14ac:dyDescent="0.25">
      <c r="B116" s="20" t="s">
        <v>101</v>
      </c>
      <c r="C116" s="20" t="s">
        <v>122</v>
      </c>
      <c r="D116" s="20" t="s">
        <v>123</v>
      </c>
      <c r="E116" s="20" t="s">
        <v>124</v>
      </c>
      <c r="F116" s="20"/>
    </row>
    <row r="117" spans="2:6" x14ac:dyDescent="0.25">
      <c r="B117" s="20"/>
      <c r="C117" s="20"/>
      <c r="D117" s="20"/>
      <c r="E117" s="20"/>
      <c r="F117" s="20"/>
    </row>
    <row r="118" spans="2:6" x14ac:dyDescent="0.25">
      <c r="B118" s="20" t="s">
        <v>125</v>
      </c>
      <c r="C118" s="20"/>
      <c r="D118" s="20"/>
      <c r="E118" s="20"/>
      <c r="F118" s="20"/>
    </row>
    <row r="119" spans="2:6" ht="15.75" thickBot="1" x14ac:dyDescent="0.3">
      <c r="B119" s="16" t="s">
        <v>126</v>
      </c>
      <c r="C119" s="37"/>
      <c r="D119" s="37"/>
      <c r="E119" s="20"/>
      <c r="F119" s="20"/>
    </row>
    <row r="120" spans="2:6" x14ac:dyDescent="0.25">
      <c r="B120" s="49" t="s">
        <v>127</v>
      </c>
      <c r="C120" s="50"/>
      <c r="D120" s="39">
        <v>420</v>
      </c>
      <c r="E120" s="32"/>
      <c r="F120" s="20"/>
    </row>
    <row r="121" spans="2:6" x14ac:dyDescent="0.25">
      <c r="B121" s="33" t="s">
        <v>128</v>
      </c>
      <c r="C121" s="20"/>
      <c r="D121" s="40">
        <v>430875000</v>
      </c>
      <c r="E121" s="32"/>
      <c r="F121" s="20"/>
    </row>
    <row r="122" spans="2:6" ht="15.75" thickBot="1" x14ac:dyDescent="0.3">
      <c r="B122" s="35" t="s">
        <v>129</v>
      </c>
      <c r="C122" s="24"/>
      <c r="D122" s="41">
        <v>-1458689.77</v>
      </c>
      <c r="E122" s="32"/>
      <c r="F122" s="20"/>
    </row>
    <row r="123" spans="2:6" x14ac:dyDescent="0.25">
      <c r="B123" s="31"/>
      <c r="C123" s="31"/>
      <c r="D123" s="31"/>
      <c r="E123" s="20"/>
      <c r="F123" s="20"/>
    </row>
    <row r="124" spans="2:6" x14ac:dyDescent="0.25">
      <c r="B124" s="20" t="s">
        <v>130</v>
      </c>
      <c r="C124" s="20"/>
      <c r="D124" s="20" t="s">
        <v>100</v>
      </c>
      <c r="E124" s="20"/>
      <c r="F124" s="20"/>
    </row>
    <row r="125" spans="2:6" x14ac:dyDescent="0.25">
      <c r="B125" s="20" t="s">
        <v>101</v>
      </c>
      <c r="C125" s="20" t="s">
        <v>131</v>
      </c>
      <c r="D125" s="20" t="s">
        <v>122</v>
      </c>
      <c r="E125" s="20" t="s">
        <v>123</v>
      </c>
      <c r="F125" s="20" t="s">
        <v>124</v>
      </c>
    </row>
    <row r="126" spans="2:6" x14ac:dyDescent="0.25">
      <c r="B126" s="20"/>
      <c r="C126" s="20"/>
      <c r="D126" s="20"/>
      <c r="E126" s="20"/>
      <c r="F126" s="20"/>
    </row>
    <row r="127" spans="2:6" x14ac:dyDescent="0.25">
      <c r="B127" s="20" t="s">
        <v>132</v>
      </c>
      <c r="C127" s="20"/>
      <c r="D127" s="20"/>
      <c r="E127" s="20"/>
      <c r="F127" s="20"/>
    </row>
    <row r="128" spans="2:6" x14ac:dyDescent="0.25">
      <c r="B128" s="15" t="s">
        <v>133</v>
      </c>
      <c r="C128" s="20"/>
      <c r="D128" s="20"/>
      <c r="E128" s="20"/>
      <c r="F128" s="20"/>
    </row>
    <row r="129" spans="1:6" x14ac:dyDescent="0.25">
      <c r="B129" s="20" t="s">
        <v>127</v>
      </c>
      <c r="C129" s="20"/>
      <c r="D129" s="20"/>
      <c r="E129" s="20"/>
      <c r="F129" s="20"/>
    </row>
    <row r="130" spans="1:6" x14ac:dyDescent="0.25">
      <c r="B130" s="20" t="s">
        <v>134</v>
      </c>
      <c r="C130" s="20"/>
      <c r="D130" s="20"/>
      <c r="E130" s="20"/>
      <c r="F130" s="20"/>
    </row>
    <row r="131" spans="1:6" x14ac:dyDescent="0.25">
      <c r="B131" s="20" t="s">
        <v>129</v>
      </c>
      <c r="C131" s="20"/>
      <c r="D131" s="20"/>
      <c r="E131" s="20"/>
      <c r="F131" s="20"/>
    </row>
    <row r="132" spans="1:6" x14ac:dyDescent="0.25">
      <c r="B132" s="20"/>
      <c r="C132" s="20"/>
      <c r="D132" s="20"/>
      <c r="E132" s="20"/>
      <c r="F132" s="20"/>
    </row>
    <row r="134" spans="1:6" ht="15.75" x14ac:dyDescent="0.25">
      <c r="A134" s="1" t="s">
        <v>4</v>
      </c>
      <c r="B134" s="42" t="s">
        <v>135</v>
      </c>
    </row>
    <row r="135" spans="1:6" x14ac:dyDescent="0.25">
      <c r="A135" s="1" t="s">
        <v>4</v>
      </c>
      <c r="B135" t="s">
        <v>4</v>
      </c>
    </row>
    <row r="136" spans="1:6" x14ac:dyDescent="0.25">
      <c r="A136" s="1">
        <v>1</v>
      </c>
      <c r="B136" t="s">
        <v>136</v>
      </c>
    </row>
    <row r="137" spans="1:6" x14ac:dyDescent="0.25">
      <c r="A137" s="1">
        <v>2</v>
      </c>
      <c r="B137" t="s">
        <v>137</v>
      </c>
    </row>
    <row r="138" spans="1:6" x14ac:dyDescent="0.25">
      <c r="A138" s="1" t="s">
        <v>4</v>
      </c>
      <c r="B138" t="s">
        <v>138</v>
      </c>
    </row>
    <row r="139" spans="1:6" x14ac:dyDescent="0.25">
      <c r="A139" s="1" t="s">
        <v>4</v>
      </c>
      <c r="B139" t="s">
        <v>139</v>
      </c>
    </row>
    <row r="140" spans="1:6" x14ac:dyDescent="0.25">
      <c r="A140" s="1" t="s">
        <v>4</v>
      </c>
      <c r="B140" t="s">
        <v>140</v>
      </c>
    </row>
    <row r="141" spans="1:6" x14ac:dyDescent="0.25">
      <c r="A141" s="1" t="s">
        <v>4</v>
      </c>
      <c r="B141" t="s">
        <v>141</v>
      </c>
    </row>
    <row r="142" spans="1:6" x14ac:dyDescent="0.25">
      <c r="A142" s="1">
        <v>3</v>
      </c>
      <c r="B142" t="s">
        <v>142</v>
      </c>
    </row>
    <row r="143" spans="1:6" x14ac:dyDescent="0.25">
      <c r="A143" s="1" t="s">
        <v>4</v>
      </c>
      <c r="B143" t="s">
        <v>143</v>
      </c>
    </row>
    <row r="144" spans="1:6" x14ac:dyDescent="0.25">
      <c r="A144" s="1" t="s">
        <v>4</v>
      </c>
      <c r="B144" t="s">
        <v>144</v>
      </c>
    </row>
    <row r="145" spans="1:2" x14ac:dyDescent="0.25">
      <c r="A145" s="1" t="s">
        <v>4</v>
      </c>
      <c r="B145" t="s">
        <v>145</v>
      </c>
    </row>
    <row r="146" spans="1:2" x14ac:dyDescent="0.25">
      <c r="A146" s="1" t="s">
        <v>4</v>
      </c>
      <c r="B146" t="s">
        <v>146</v>
      </c>
    </row>
    <row r="147" spans="1:2" x14ac:dyDescent="0.25">
      <c r="A147" s="1">
        <v>4</v>
      </c>
      <c r="B147" t="s">
        <v>147</v>
      </c>
    </row>
    <row r="148" spans="1:2" x14ac:dyDescent="0.25">
      <c r="A148" s="1">
        <v>5</v>
      </c>
      <c r="B148" t="s">
        <v>148</v>
      </c>
    </row>
    <row r="149" spans="1:2" x14ac:dyDescent="0.25">
      <c r="A149" s="1">
        <v>6</v>
      </c>
      <c r="B149" t="s">
        <v>149</v>
      </c>
    </row>
    <row r="150" spans="1:2" x14ac:dyDescent="0.25">
      <c r="A150" s="1">
        <v>7</v>
      </c>
      <c r="B150" t="s">
        <v>150</v>
      </c>
    </row>
    <row r="151" spans="1:2" x14ac:dyDescent="0.25">
      <c r="A151" s="1">
        <v>8</v>
      </c>
      <c r="B151" t="s">
        <v>151</v>
      </c>
    </row>
    <row r="152" spans="1:2" x14ac:dyDescent="0.25">
      <c r="A152" s="1">
        <v>9</v>
      </c>
      <c r="B152" t="s">
        <v>152</v>
      </c>
    </row>
  </sheetData>
  <mergeCells count="6">
    <mergeCell ref="B120:C120"/>
    <mergeCell ref="F87:F91"/>
    <mergeCell ref="B93:E93"/>
    <mergeCell ref="B95:C95"/>
    <mergeCell ref="F103:F105"/>
    <mergeCell ref="B107:E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2023-06-07T11:59:18Z</dcterms:created>
  <dcterms:modified xsi:type="dcterms:W3CDTF">2023-06-07T12:23:52Z</dcterms:modified>
</cp:coreProperties>
</file>