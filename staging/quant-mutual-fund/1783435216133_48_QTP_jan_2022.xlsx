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TP" sheetId="1" r:id="rId1"/>
  </sheets>
  <calcPr calcId="145621"/>
</workbook>
</file>

<file path=xl/calcChain.xml><?xml version="1.0" encoding="utf-8"?>
<calcChain xmlns="http://schemas.openxmlformats.org/spreadsheetml/2006/main">
  <c r="G63" i="1" l="1"/>
  <c r="H63" i="1"/>
  <c r="G66" i="1"/>
  <c r="H66" i="1"/>
  <c r="G67" i="1"/>
  <c r="G108" i="1" s="1"/>
  <c r="H67" i="1"/>
  <c r="G71" i="1"/>
  <c r="H71" i="1"/>
  <c r="G74" i="1"/>
  <c r="G75" i="1" s="1"/>
  <c r="H74" i="1"/>
  <c r="H75" i="1" s="1"/>
  <c r="G79" i="1"/>
  <c r="G86" i="1" s="1"/>
  <c r="H79" i="1"/>
  <c r="H86" i="1" s="1"/>
  <c r="G82" i="1"/>
  <c r="H82" i="1"/>
  <c r="G85" i="1"/>
  <c r="H85" i="1"/>
  <c r="G90" i="1"/>
  <c r="H90" i="1"/>
  <c r="G93" i="1"/>
  <c r="H93" i="1"/>
  <c r="G94" i="1"/>
  <c r="H94" i="1"/>
  <c r="G98" i="1"/>
  <c r="H98" i="1"/>
  <c r="G102" i="1"/>
  <c r="H102" i="1"/>
  <c r="G106" i="1"/>
  <c r="H106" i="1"/>
  <c r="G107" i="1"/>
  <c r="H107" i="1"/>
  <c r="H108" i="1" l="1"/>
</calcChain>
</file>

<file path=xl/sharedStrings.xml><?xml version="1.0" encoding="utf-8"?>
<sst xmlns="http://schemas.openxmlformats.org/spreadsheetml/2006/main" count="333" uniqueCount="194">
  <si>
    <t>The funds parked in short term deposit(s) as on  31 Jan 2022  were NIL</t>
  </si>
  <si>
    <t>9</t>
  </si>
  <si>
    <t>The Portfolio Turnover Ratio is 2.39 times / The Average Maturity period is  0 Days</t>
  </si>
  <si>
    <t>8</t>
  </si>
  <si>
    <t>Total Investments in foreign securities/ADRs / GDRs as on 31 Jan 2022  is NIL</t>
  </si>
  <si>
    <t>7</t>
  </si>
  <si>
    <t>Total outstanding exposure in derivatives instruments as on 31 Jan 2022  is NIL</t>
  </si>
  <si>
    <t>6</t>
  </si>
  <si>
    <t>Bonus declared during the period is NIL</t>
  </si>
  <si>
    <t>Dividend declared during the period is NIL</t>
  </si>
  <si>
    <t>5</t>
  </si>
  <si>
    <t>Quant Tax Plan - Dividend - Direct Plan is Rs. 31.4522</t>
  </si>
  <si>
    <t>Quant Tax Plan - Growth - Direct Plan is Rs. 235.9061</t>
  </si>
  <si>
    <t>Quant Tax Plan - Growth is Rs. 220.703</t>
  </si>
  <si>
    <t>Quant Tax Plan - Dividend is Rs. 30.6056</t>
  </si>
  <si>
    <t>NAV as on 31 Dec 2021</t>
  </si>
  <si>
    <t>4</t>
  </si>
  <si>
    <t>Quant Tax Plan - Dividend - Direct Plan is Rs. 31.7965</t>
  </si>
  <si>
    <t>Quant Tax Plan - Growth - Direct Plan is Rs. 238.4884</t>
  </si>
  <si>
    <t>Quant Tax Plan - Growth is Rs. 222.7525</t>
  </si>
  <si>
    <t>Quant Tax Plan - Dividend is Rs. 30.8895</t>
  </si>
  <si>
    <t>NAV as on 31 Jan 2022</t>
  </si>
  <si>
    <t>3</t>
  </si>
  <si>
    <t>Total value and percentage of illiquid equity shares is NIL.</t>
  </si>
  <si>
    <t>2</t>
  </si>
  <si>
    <t xml:space="preserve">Total NPA provided for is NIL. </t>
  </si>
  <si>
    <t>1</t>
  </si>
  <si>
    <t>Notes :-</t>
  </si>
  <si>
    <t>Grand Total</t>
  </si>
  <si>
    <t>Total</t>
  </si>
  <si>
    <t>Sub - total</t>
  </si>
  <si>
    <t>N.A.</t>
  </si>
  <si>
    <t/>
  </si>
  <si>
    <t>NCA-NET CURRENT ASSETS</t>
  </si>
  <si>
    <t>(c) Other Receivables (Payables)</t>
  </si>
  <si>
    <t>TREPS 01-Feb-2022 DEPO 10</t>
  </si>
  <si>
    <t>INCBLO010222</t>
  </si>
  <si>
    <t>(b) Tri Party Repo (TREPs)</t>
  </si>
  <si>
    <t>Nil</t>
  </si>
  <si>
    <t>(a) Mutual Fund Units</t>
  </si>
  <si>
    <t>OTHERS</t>
  </si>
  <si>
    <t>b) Treasury Bills</t>
  </si>
  <si>
    <t>a) Commercial Paper</t>
  </si>
  <si>
    <t>MONEY MARKET INSTRUMENTS</t>
  </si>
  <si>
    <t>(c) Securitised Debt Instruments</t>
  </si>
  <si>
    <t>(b) Unlisted / Privately Placed</t>
  </si>
  <si>
    <t>(a) Listed / awaited listed on Stock Exchanges</t>
  </si>
  <si>
    <t>DEBT INSTRUMENTS</t>
  </si>
  <si>
    <t>(b) Index / Stock Options</t>
  </si>
  <si>
    <t>(a) Index / Stock Futures</t>
  </si>
  <si>
    <t>DERIVATIVES</t>
  </si>
  <si>
    <t>(b) Unlisted</t>
  </si>
  <si>
    <t>ENTERTAINMENT</t>
  </si>
  <si>
    <t>TV Today Network Limited</t>
  </si>
  <si>
    <t>INE038F01029</t>
  </si>
  <si>
    <t>BANKS</t>
  </si>
  <si>
    <t>Indian Bank</t>
  </si>
  <si>
    <t>INE562A01011</t>
  </si>
  <si>
    <t>HEALTHCARE SERVICES</t>
  </si>
  <si>
    <t>Nureca Limited</t>
  </si>
  <si>
    <t>INE0DSF01015</t>
  </si>
  <si>
    <t>PAPER</t>
  </si>
  <si>
    <t>Century Textiles &amp; Industries Limited</t>
  </si>
  <si>
    <t>INE055A01016</t>
  </si>
  <si>
    <t>CONSUMER NON DURABLES</t>
  </si>
  <si>
    <t>EID Parry (India) Ltd</t>
  </si>
  <si>
    <t>INE126A01031</t>
  </si>
  <si>
    <t>Bank of Baroda</t>
  </si>
  <si>
    <t>INE028A01039</t>
  </si>
  <si>
    <t>PESTICIDES</t>
  </si>
  <si>
    <t>India Pesticides Limited</t>
  </si>
  <si>
    <t>INE0D6701023</t>
  </si>
  <si>
    <t>CEMENT &amp; CEMENT PRODUCTS</t>
  </si>
  <si>
    <t>The India Cements Limited</t>
  </si>
  <si>
    <t>INE383A01012</t>
  </si>
  <si>
    <t>FERROUS METALS</t>
  </si>
  <si>
    <t>Welspun Corp Limited</t>
  </si>
  <si>
    <t>INE191B01025</t>
  </si>
  <si>
    <t>TEXTILE PRODUCTS</t>
  </si>
  <si>
    <t>Himatsingka Seide Limited</t>
  </si>
  <si>
    <t>INE049A01027</t>
  </si>
  <si>
    <t>HDFC Bank Limited</t>
  </si>
  <si>
    <t>INE040A01034</t>
  </si>
  <si>
    <t>NON - FERROUS METALS</t>
  </si>
  <si>
    <t>National Aluminium Company Limited</t>
  </si>
  <si>
    <t>INE139A01034</t>
  </si>
  <si>
    <t>FINANCE</t>
  </si>
  <si>
    <t>CRISIL Limited</t>
  </si>
  <si>
    <t>INE007A01025</t>
  </si>
  <si>
    <t>S. P. Apparels Limited</t>
  </si>
  <si>
    <t>INE212I01016</t>
  </si>
  <si>
    <t>CONSTRUCTION</t>
  </si>
  <si>
    <t>Macrotech Developers Limited</t>
  </si>
  <si>
    <t>INE670K01029</t>
  </si>
  <si>
    <t>SUN TV Network Limited</t>
  </si>
  <si>
    <t>INE424H01027</t>
  </si>
  <si>
    <t>Canara Bank</t>
  </si>
  <si>
    <t>INE476A01014</t>
  </si>
  <si>
    <t>Piramal Enterprises Limited</t>
  </si>
  <si>
    <t>INE140A01024</t>
  </si>
  <si>
    <t>Union Bank of India</t>
  </si>
  <si>
    <t>INE692A01016</t>
  </si>
  <si>
    <t>Hindustan Copper Limited</t>
  </si>
  <si>
    <t>INE531E01026</t>
  </si>
  <si>
    <t>CONSTRUCTION PROJECT</t>
  </si>
  <si>
    <t>GMR Infrastructure Ltd</t>
  </si>
  <si>
    <t>INE776C01039</t>
  </si>
  <si>
    <t>SOFTWARE</t>
  </si>
  <si>
    <t>Wipro Ltd</t>
  </si>
  <si>
    <t>INE075A01022</t>
  </si>
  <si>
    <t>HCL Technologies Limited</t>
  </si>
  <si>
    <t>INE860A01027</t>
  </si>
  <si>
    <t>POWER</t>
  </si>
  <si>
    <t>Power Grid Corporation of India Limited</t>
  </si>
  <si>
    <t>INE752E01010</t>
  </si>
  <si>
    <t>CONSUMER DURABLES</t>
  </si>
  <si>
    <t>Stylam Industries Limited</t>
  </si>
  <si>
    <t>INE239C01020</t>
  </si>
  <si>
    <t>CHEMICALS</t>
  </si>
  <si>
    <t>Linde India Ltd.</t>
  </si>
  <si>
    <t>INE473A01011</t>
  </si>
  <si>
    <t>PHARMACEUTICALS</t>
  </si>
  <si>
    <t>Caplin Point Laboratories Ltd</t>
  </si>
  <si>
    <t>INE475E01026</t>
  </si>
  <si>
    <t>Fortis Healthcare Ltd</t>
  </si>
  <si>
    <t>INE061F01013</t>
  </si>
  <si>
    <t>Arvind Limited</t>
  </si>
  <si>
    <t>INE034A01011</t>
  </si>
  <si>
    <t>Gokaldas Exports Ltd</t>
  </si>
  <si>
    <t>INE887G01027</t>
  </si>
  <si>
    <t>Prestige Estates Projects Ltd</t>
  </si>
  <si>
    <t>INE811K01011</t>
  </si>
  <si>
    <t>RETAILING</t>
  </si>
  <si>
    <t>Just Dial Limited</t>
  </si>
  <si>
    <t>INE599M01018</t>
  </si>
  <si>
    <t>TRANSPORTATION</t>
  </si>
  <si>
    <t>Container Corporation of India Ltd</t>
  </si>
  <si>
    <t>INE111A01025</t>
  </si>
  <si>
    <t>NTPC Limited</t>
  </si>
  <si>
    <t>INE733E01010</t>
  </si>
  <si>
    <t>Indiabulls Housing Finance Ltd</t>
  </si>
  <si>
    <t>INE148I01020</t>
  </si>
  <si>
    <t>VRL Logistics Limited</t>
  </si>
  <si>
    <t>INE366I01010</t>
  </si>
  <si>
    <t>TELECOM - SERVICES</t>
  </si>
  <si>
    <t>Bharti Airtel Limited</t>
  </si>
  <si>
    <t>INE397D01024</t>
  </si>
  <si>
    <t>Divi's Laboratories Limited</t>
  </si>
  <si>
    <t>INE361B01024</t>
  </si>
  <si>
    <t>Indiabulls Real Estate Ltd</t>
  </si>
  <si>
    <t>INE069I01010</t>
  </si>
  <si>
    <t>United Spirits Limited</t>
  </si>
  <si>
    <t>INE854D01024</t>
  </si>
  <si>
    <t>ICICI Bank Limited</t>
  </si>
  <si>
    <t>INE090A01021</t>
  </si>
  <si>
    <t>IRB Infrastructure Developers Limited</t>
  </si>
  <si>
    <t>INE821I01014</t>
  </si>
  <si>
    <t>HFCL Limited</t>
  </si>
  <si>
    <t>INE548A01028</t>
  </si>
  <si>
    <t>State Bank of India</t>
  </si>
  <si>
    <t>INE062A01020</t>
  </si>
  <si>
    <t>PETROLEUM PRODUCTS</t>
  </si>
  <si>
    <t>Reliance Industries Limited</t>
  </si>
  <si>
    <t>INE002A01018</t>
  </si>
  <si>
    <t>Larsen &amp; Toubro Limited</t>
  </si>
  <si>
    <t>INE018A01030</t>
  </si>
  <si>
    <t>Vedanta Limited</t>
  </si>
  <si>
    <t>INE205A01025</t>
  </si>
  <si>
    <t>Adani Ports &amp; Special Economic Zone Ltd</t>
  </si>
  <si>
    <t>INE742F01042</t>
  </si>
  <si>
    <t>ITC Limited</t>
  </si>
  <si>
    <t>INE154A01025</t>
  </si>
  <si>
    <t>MINERALS/MINING</t>
  </si>
  <si>
    <t>Adani Enterprises Limited</t>
  </si>
  <si>
    <t>INE423A01024</t>
  </si>
  <si>
    <t>(a) Listed / awaiting listing on Stock Exchanges</t>
  </si>
  <si>
    <t>EQUITY &amp; EQUITY RELATED</t>
  </si>
  <si>
    <t>% to NAV</t>
  </si>
  <si>
    <t>MARKET VALUE(Rs.in Lakhs)</t>
  </si>
  <si>
    <t>QUANTITY</t>
  </si>
  <si>
    <t>INDUSTRY</t>
  </si>
  <si>
    <t>RATING</t>
  </si>
  <si>
    <t>NAME OF THE INSTRUMENT</t>
  </si>
  <si>
    <t>ISIN</t>
  </si>
  <si>
    <t>SR. NO.</t>
  </si>
  <si>
    <t>BONUS - INF966L01143</t>
  </si>
  <si>
    <t>Risk-o-meter of the Benchmark</t>
  </si>
  <si>
    <t>Risk-o-meter of the Scheme</t>
  </si>
  <si>
    <t>GROWTH - INF966L01135</t>
  </si>
  <si>
    <t>DIVIDEND RE-INVESTMENT - INF966L01127</t>
  </si>
  <si>
    <t>DIVIDEND PAYOUT - INF966L01119</t>
  </si>
  <si>
    <t>MONTHLY PORTFOLIO STATEMENT AS ON 31 Jan 2022</t>
  </si>
  <si>
    <t>QUANT TAX PLAN</t>
  </si>
  <si>
    <t>quant Mutual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</si>
</sst>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6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2" fontId="2" fillId="0" borderId="1" xfId="0" applyNumberFormat="1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1" xfId="0" applyFont="1" applyBorder="1"/>
    <xf numFmtId="0" fontId="2" fillId="0" borderId="4" xfId="0" applyFont="1" applyBorder="1"/>
    <xf numFmtId="0" fontId="2" fillId="0" borderId="5" xfId="0" applyFont="1" applyBorder="1"/>
    <xf numFmtId="2" fontId="2" fillId="0" borderId="6" xfId="0" applyNumberFormat="1" applyFont="1" applyBorder="1"/>
    <xf numFmtId="2" fontId="3" fillId="0" borderId="6" xfId="0" applyNumberFormat="1" applyFont="1" applyBorder="1"/>
    <xf numFmtId="49" fontId="3" fillId="0" borderId="4" xfId="0" applyNumberFormat="1" applyFont="1" applyBorder="1"/>
    <xf numFmtId="0" fontId="3" fillId="0" borderId="4" xfId="0" applyFont="1" applyBorder="1"/>
    <xf numFmtId="0" fontId="3" fillId="0" borderId="5" xfId="0" applyFont="1" applyBorder="1"/>
    <xf numFmtId="0" fontId="2" fillId="0" borderId="6" xfId="0" applyFont="1" applyBorder="1"/>
    <xf numFmtId="2" fontId="2" fillId="0" borderId="4" xfId="0" applyNumberFormat="1" applyFont="1" applyBorder="1"/>
    <xf numFmtId="2" fontId="3" fillId="0" borderId="4" xfId="0" applyNumberFormat="1" applyFont="1" applyBorder="1"/>
    <xf numFmtId="0" fontId="2" fillId="0" borderId="7" xfId="0" applyFont="1" applyBorder="1"/>
    <xf numFmtId="2" fontId="2" fillId="0" borderId="8" xfId="0" applyNumberFormat="1" applyFont="1" applyBorder="1"/>
    <xf numFmtId="0" fontId="2" fillId="0" borderId="8" xfId="0" applyFont="1" applyBorder="1"/>
    <xf numFmtId="0" fontId="2" fillId="0" borderId="9" xfId="0" applyFont="1" applyBorder="1"/>
    <xf numFmtId="0" fontId="4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1905000" cy="1028700"/>
    <xdr:pic>
      <xdr:nvPicPr>
        <xdr:cNvPr id="2" name="Riskometer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38400" y="190500"/>
          <a:ext cx="1905000" cy="10287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</xdr:row>
      <xdr:rowOff>0</xdr:rowOff>
    </xdr:from>
    <xdr:ext cx="1905000" cy="1028700"/>
    <xdr:pic>
      <xdr:nvPicPr>
        <xdr:cNvPr id="3" name="BenchMark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190500"/>
          <a:ext cx="1905000" cy="1028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0"/>
  <sheetViews>
    <sheetView tabSelected="1" topLeftCell="A97" workbookViewId="0">
      <selection activeCell="C125" sqref="C125"/>
    </sheetView>
  </sheetViews>
  <sheetFormatPr defaultRowHeight="15" x14ac:dyDescent="0.25"/>
  <cols>
    <col min="1" max="1" width="6.7109375" customWidth="1"/>
    <col min="2" max="2" width="26.85546875" customWidth="1"/>
    <col min="3" max="3" width="66" customWidth="1"/>
    <col min="4" max="4" width="15" customWidth="1"/>
    <col min="5" max="5" width="39.42578125" customWidth="1"/>
    <col min="6" max="6" width="13.28515625" customWidth="1"/>
    <col min="7" max="7" width="21.85546875" customWidth="1"/>
    <col min="8" max="8" width="14.5703125" customWidth="1"/>
  </cols>
  <sheetData>
    <row r="1" spans="1:8" ht="21" x14ac:dyDescent="0.35">
      <c r="C1" s="21" t="s">
        <v>193</v>
      </c>
    </row>
    <row r="2" spans="1:8" ht="21" x14ac:dyDescent="0.35">
      <c r="C2" s="20" t="s">
        <v>192</v>
      </c>
    </row>
    <row r="3" spans="1:8" x14ac:dyDescent="0.25">
      <c r="C3" t="s">
        <v>191</v>
      </c>
    </row>
    <row r="5" spans="1:8" x14ac:dyDescent="0.25">
      <c r="C5" t="s">
        <v>190</v>
      </c>
    </row>
    <row r="6" spans="1:8" x14ac:dyDescent="0.25">
      <c r="C6" t="s">
        <v>189</v>
      </c>
    </row>
    <row r="7" spans="1:8" x14ac:dyDescent="0.25">
      <c r="C7" t="s">
        <v>188</v>
      </c>
      <c r="E7" t="s">
        <v>187</v>
      </c>
      <c r="G7" t="s">
        <v>186</v>
      </c>
    </row>
    <row r="8" spans="1:8" ht="15.75" thickBot="1" x14ac:dyDescent="0.3">
      <c r="C8" t="s">
        <v>185</v>
      </c>
    </row>
    <row r="9" spans="1:8" ht="16.5" thickTop="1" x14ac:dyDescent="0.25">
      <c r="A9" s="19" t="s">
        <v>184</v>
      </c>
      <c r="B9" s="18" t="s">
        <v>183</v>
      </c>
      <c r="C9" s="18" t="s">
        <v>182</v>
      </c>
      <c r="D9" s="18" t="s">
        <v>181</v>
      </c>
      <c r="E9" s="18" t="s">
        <v>180</v>
      </c>
      <c r="F9" s="18" t="s">
        <v>179</v>
      </c>
      <c r="G9" s="17" t="s">
        <v>178</v>
      </c>
      <c r="H9" s="16" t="s">
        <v>177</v>
      </c>
    </row>
    <row r="10" spans="1:8" ht="15.75" x14ac:dyDescent="0.25">
      <c r="A10" s="7"/>
      <c r="B10" s="6"/>
      <c r="C10" s="6"/>
      <c r="D10" s="6"/>
      <c r="E10" s="6"/>
      <c r="F10" s="6"/>
      <c r="G10" s="14"/>
      <c r="H10" s="13"/>
    </row>
    <row r="11" spans="1:8" ht="15.75" x14ac:dyDescent="0.25">
      <c r="A11" s="7"/>
      <c r="B11" s="6"/>
      <c r="C11" s="6" t="s">
        <v>176</v>
      </c>
      <c r="D11" s="6"/>
      <c r="E11" s="6"/>
      <c r="F11" s="6"/>
      <c r="G11" s="14"/>
      <c r="H11" s="13"/>
    </row>
    <row r="12" spans="1:8" ht="15.75" x14ac:dyDescent="0.25">
      <c r="A12" s="7"/>
      <c r="B12" s="6"/>
      <c r="C12" s="6" t="s">
        <v>175</v>
      </c>
      <c r="D12" s="6"/>
      <c r="E12" s="6"/>
      <c r="F12" s="6"/>
      <c r="G12" s="14"/>
      <c r="H12" s="13"/>
    </row>
    <row r="13" spans="1:8" ht="15.75" x14ac:dyDescent="0.25">
      <c r="A13" s="12">
        <v>1</v>
      </c>
      <c r="B13" s="11" t="s">
        <v>174</v>
      </c>
      <c r="C13" s="11" t="s">
        <v>173</v>
      </c>
      <c r="D13" s="11" t="s">
        <v>31</v>
      </c>
      <c r="E13" s="11" t="s">
        <v>172</v>
      </c>
      <c r="F13" s="11">
        <v>335550</v>
      </c>
      <c r="G13" s="15">
        <v>5754.5147200000001</v>
      </c>
      <c r="H13" s="9">
        <v>7.2969189999999999</v>
      </c>
    </row>
    <row r="14" spans="1:8" ht="15.75" x14ac:dyDescent="0.25">
      <c r="A14" s="12">
        <v>2</v>
      </c>
      <c r="B14" s="11" t="s">
        <v>171</v>
      </c>
      <c r="C14" s="11" t="s">
        <v>170</v>
      </c>
      <c r="D14" s="11" t="s">
        <v>31</v>
      </c>
      <c r="E14" s="11" t="s">
        <v>64</v>
      </c>
      <c r="F14" s="11">
        <v>2463659</v>
      </c>
      <c r="G14" s="15">
        <v>5424.9771199999996</v>
      </c>
      <c r="H14" s="9">
        <v>6.879054</v>
      </c>
    </row>
    <row r="15" spans="1:8" ht="15.75" x14ac:dyDescent="0.25">
      <c r="A15" s="12">
        <v>3</v>
      </c>
      <c r="B15" s="11" t="s">
        <v>169</v>
      </c>
      <c r="C15" s="11" t="s">
        <v>168</v>
      </c>
      <c r="D15" s="11" t="s">
        <v>31</v>
      </c>
      <c r="E15" s="11" t="s">
        <v>135</v>
      </c>
      <c r="F15" s="11">
        <v>745300</v>
      </c>
      <c r="G15" s="15">
        <v>5338.5838999999996</v>
      </c>
      <c r="H15" s="9">
        <v>6.7695049999999997</v>
      </c>
    </row>
    <row r="16" spans="1:8" ht="15.75" x14ac:dyDescent="0.25">
      <c r="A16" s="12">
        <v>4</v>
      </c>
      <c r="B16" s="11" t="s">
        <v>167</v>
      </c>
      <c r="C16" s="11" t="s">
        <v>166</v>
      </c>
      <c r="D16" s="11" t="s">
        <v>31</v>
      </c>
      <c r="E16" s="11" t="s">
        <v>83</v>
      </c>
      <c r="F16" s="11">
        <v>1649100</v>
      </c>
      <c r="G16" s="15">
        <v>5305.9792500000003</v>
      </c>
      <c r="H16" s="9">
        <v>6.7281610000000001</v>
      </c>
    </row>
    <row r="17" spans="1:8" ht="15.75" x14ac:dyDescent="0.25">
      <c r="A17" s="12">
        <v>5</v>
      </c>
      <c r="B17" s="11" t="s">
        <v>165</v>
      </c>
      <c r="C17" s="11" t="s">
        <v>164</v>
      </c>
      <c r="D17" s="11" t="s">
        <v>31</v>
      </c>
      <c r="E17" s="11" t="s">
        <v>104</v>
      </c>
      <c r="F17" s="11">
        <v>242507</v>
      </c>
      <c r="G17" s="15">
        <v>4629.9436400000004</v>
      </c>
      <c r="H17" s="9">
        <v>5.8709249999999997</v>
      </c>
    </row>
    <row r="18" spans="1:8" ht="15.75" x14ac:dyDescent="0.25">
      <c r="A18" s="12">
        <v>6</v>
      </c>
      <c r="B18" s="11" t="s">
        <v>163</v>
      </c>
      <c r="C18" s="11" t="s">
        <v>162</v>
      </c>
      <c r="D18" s="11" t="s">
        <v>31</v>
      </c>
      <c r="E18" s="11" t="s">
        <v>161</v>
      </c>
      <c r="F18" s="11">
        <v>186600</v>
      </c>
      <c r="G18" s="15">
        <v>4453.3955999999998</v>
      </c>
      <c r="H18" s="9">
        <v>5.6470560000000001</v>
      </c>
    </row>
    <row r="19" spans="1:8" ht="15.75" x14ac:dyDescent="0.25">
      <c r="A19" s="12">
        <v>7</v>
      </c>
      <c r="B19" s="11" t="s">
        <v>160</v>
      </c>
      <c r="C19" s="11" t="s">
        <v>159</v>
      </c>
      <c r="D19" s="11" t="s">
        <v>31</v>
      </c>
      <c r="E19" s="11" t="s">
        <v>55</v>
      </c>
      <c r="F19" s="11">
        <v>686500</v>
      </c>
      <c r="G19" s="15">
        <v>3695.4295000000002</v>
      </c>
      <c r="H19" s="9">
        <v>4.6859299999999999</v>
      </c>
    </row>
    <row r="20" spans="1:8" ht="15.75" x14ac:dyDescent="0.25">
      <c r="A20" s="12">
        <v>8</v>
      </c>
      <c r="B20" s="11" t="s">
        <v>158</v>
      </c>
      <c r="C20" s="11" t="s">
        <v>157</v>
      </c>
      <c r="D20" s="11" t="s">
        <v>31</v>
      </c>
      <c r="E20" s="11" t="s">
        <v>144</v>
      </c>
      <c r="F20" s="11">
        <v>3921816</v>
      </c>
      <c r="G20" s="15">
        <v>3111.9609999999998</v>
      </c>
      <c r="H20" s="9">
        <v>3.946072</v>
      </c>
    </row>
    <row r="21" spans="1:8" ht="15.75" x14ac:dyDescent="0.25">
      <c r="A21" s="12">
        <v>9</v>
      </c>
      <c r="B21" s="11" t="s">
        <v>156</v>
      </c>
      <c r="C21" s="11" t="s">
        <v>155</v>
      </c>
      <c r="D21" s="11" t="s">
        <v>31</v>
      </c>
      <c r="E21" s="11" t="s">
        <v>91</v>
      </c>
      <c r="F21" s="11">
        <v>1101400</v>
      </c>
      <c r="G21" s="15">
        <v>2799.7588000000001</v>
      </c>
      <c r="H21" s="9">
        <v>3.550189</v>
      </c>
    </row>
    <row r="22" spans="1:8" ht="15.75" x14ac:dyDescent="0.25">
      <c r="A22" s="12">
        <v>10</v>
      </c>
      <c r="B22" s="11" t="s">
        <v>154</v>
      </c>
      <c r="C22" s="11" t="s">
        <v>153</v>
      </c>
      <c r="D22" s="11" t="s">
        <v>31</v>
      </c>
      <c r="E22" s="11" t="s">
        <v>55</v>
      </c>
      <c r="F22" s="11">
        <v>350000</v>
      </c>
      <c r="G22" s="15">
        <v>2760.8</v>
      </c>
      <c r="H22" s="9">
        <v>3.500788</v>
      </c>
    </row>
    <row r="23" spans="1:8" ht="15.75" x14ac:dyDescent="0.25">
      <c r="A23" s="12">
        <v>11</v>
      </c>
      <c r="B23" s="11" t="s">
        <v>152</v>
      </c>
      <c r="C23" s="11" t="s">
        <v>151</v>
      </c>
      <c r="D23" s="11" t="s">
        <v>31</v>
      </c>
      <c r="E23" s="11" t="s">
        <v>64</v>
      </c>
      <c r="F23" s="11">
        <v>252700</v>
      </c>
      <c r="G23" s="15">
        <v>2189.3928000000001</v>
      </c>
      <c r="H23" s="9">
        <v>2.776224</v>
      </c>
    </row>
    <row r="24" spans="1:8" ht="15.75" x14ac:dyDescent="0.25">
      <c r="A24" s="12">
        <v>12</v>
      </c>
      <c r="B24" s="11" t="s">
        <v>150</v>
      </c>
      <c r="C24" s="11" t="s">
        <v>149</v>
      </c>
      <c r="D24" s="11" t="s">
        <v>31</v>
      </c>
      <c r="E24" s="11" t="s">
        <v>91</v>
      </c>
      <c r="F24" s="11">
        <v>1475000</v>
      </c>
      <c r="G24" s="15">
        <v>2121.7874999999999</v>
      </c>
      <c r="H24" s="9">
        <v>2.6904979999999998</v>
      </c>
    </row>
    <row r="25" spans="1:8" ht="15.75" x14ac:dyDescent="0.25">
      <c r="A25" s="12">
        <v>13</v>
      </c>
      <c r="B25" s="11" t="s">
        <v>148</v>
      </c>
      <c r="C25" s="11" t="s">
        <v>147</v>
      </c>
      <c r="D25" s="11" t="s">
        <v>31</v>
      </c>
      <c r="E25" s="11" t="s">
        <v>121</v>
      </c>
      <c r="F25" s="11">
        <v>52200</v>
      </c>
      <c r="G25" s="15">
        <v>2106.8442</v>
      </c>
      <c r="H25" s="9">
        <v>2.6715499999999999</v>
      </c>
    </row>
    <row r="26" spans="1:8" ht="15.75" x14ac:dyDescent="0.25">
      <c r="A26" s="12">
        <v>14</v>
      </c>
      <c r="B26" s="11" t="s">
        <v>146</v>
      </c>
      <c r="C26" s="11" t="s">
        <v>145</v>
      </c>
      <c r="D26" s="11" t="s">
        <v>31</v>
      </c>
      <c r="E26" s="11" t="s">
        <v>144</v>
      </c>
      <c r="F26" s="11">
        <v>278300</v>
      </c>
      <c r="G26" s="15">
        <v>2029.6419000000001</v>
      </c>
      <c r="H26" s="9">
        <v>2.573655</v>
      </c>
    </row>
    <row r="27" spans="1:8" ht="15.75" x14ac:dyDescent="0.25">
      <c r="A27" s="12">
        <v>15</v>
      </c>
      <c r="B27" s="11" t="s">
        <v>143</v>
      </c>
      <c r="C27" s="11" t="s">
        <v>142</v>
      </c>
      <c r="D27" s="11" t="s">
        <v>31</v>
      </c>
      <c r="E27" s="11" t="s">
        <v>135</v>
      </c>
      <c r="F27" s="11">
        <v>325612</v>
      </c>
      <c r="G27" s="15">
        <v>1445.7172800000001</v>
      </c>
      <c r="H27" s="9">
        <v>1.833218</v>
      </c>
    </row>
    <row r="28" spans="1:8" ht="15.75" x14ac:dyDescent="0.25">
      <c r="A28" s="12">
        <v>16</v>
      </c>
      <c r="B28" s="11" t="s">
        <v>141</v>
      </c>
      <c r="C28" s="11" t="s">
        <v>140</v>
      </c>
      <c r="D28" s="11" t="s">
        <v>31</v>
      </c>
      <c r="E28" s="11" t="s">
        <v>86</v>
      </c>
      <c r="F28" s="11">
        <v>686100</v>
      </c>
      <c r="G28" s="15">
        <v>1445.6126999999999</v>
      </c>
      <c r="H28" s="9">
        <v>1.833086</v>
      </c>
    </row>
    <row r="29" spans="1:8" ht="15.75" x14ac:dyDescent="0.25">
      <c r="A29" s="12">
        <v>17</v>
      </c>
      <c r="B29" s="11" t="s">
        <v>139</v>
      </c>
      <c r="C29" s="11" t="s">
        <v>138</v>
      </c>
      <c r="D29" s="11" t="s">
        <v>31</v>
      </c>
      <c r="E29" s="11" t="s">
        <v>112</v>
      </c>
      <c r="F29" s="11">
        <v>967000</v>
      </c>
      <c r="G29" s="15">
        <v>1373.6234999999999</v>
      </c>
      <c r="H29" s="9">
        <v>1.7418009999999999</v>
      </c>
    </row>
    <row r="30" spans="1:8" ht="15.75" x14ac:dyDescent="0.25">
      <c r="A30" s="12">
        <v>18</v>
      </c>
      <c r="B30" s="11" t="s">
        <v>137</v>
      </c>
      <c r="C30" s="11" t="s">
        <v>136</v>
      </c>
      <c r="D30" s="11" t="s">
        <v>31</v>
      </c>
      <c r="E30" s="11" t="s">
        <v>135</v>
      </c>
      <c r="F30" s="11">
        <v>204750</v>
      </c>
      <c r="G30" s="15">
        <v>1323.19688</v>
      </c>
      <c r="H30" s="9">
        <v>1.6778580000000001</v>
      </c>
    </row>
    <row r="31" spans="1:8" ht="15.75" x14ac:dyDescent="0.25">
      <c r="A31" s="12">
        <v>19</v>
      </c>
      <c r="B31" s="11" t="s">
        <v>134</v>
      </c>
      <c r="C31" s="11" t="s">
        <v>133</v>
      </c>
      <c r="D31" s="11" t="s">
        <v>31</v>
      </c>
      <c r="E31" s="11" t="s">
        <v>132</v>
      </c>
      <c r="F31" s="11">
        <v>138800</v>
      </c>
      <c r="G31" s="15">
        <v>1257.8055999999999</v>
      </c>
      <c r="H31" s="9">
        <v>1.59494</v>
      </c>
    </row>
    <row r="32" spans="1:8" ht="15.75" x14ac:dyDescent="0.25">
      <c r="A32" s="12">
        <v>20</v>
      </c>
      <c r="B32" s="11" t="s">
        <v>131</v>
      </c>
      <c r="C32" s="11" t="s">
        <v>130</v>
      </c>
      <c r="D32" s="11" t="s">
        <v>31</v>
      </c>
      <c r="E32" s="11" t="s">
        <v>91</v>
      </c>
      <c r="F32" s="11">
        <v>220000</v>
      </c>
      <c r="G32" s="15">
        <v>1074.26</v>
      </c>
      <c r="H32" s="9">
        <v>1.362198</v>
      </c>
    </row>
    <row r="33" spans="1:8" ht="15.75" x14ac:dyDescent="0.25">
      <c r="A33" s="12">
        <v>21</v>
      </c>
      <c r="B33" s="11" t="s">
        <v>129</v>
      </c>
      <c r="C33" s="11" t="s">
        <v>128</v>
      </c>
      <c r="D33" s="11" t="s">
        <v>31</v>
      </c>
      <c r="E33" s="11" t="s">
        <v>78</v>
      </c>
      <c r="F33" s="11">
        <v>260825</v>
      </c>
      <c r="G33" s="15">
        <v>1020.3474</v>
      </c>
      <c r="H33" s="9">
        <v>1.2938350000000001</v>
      </c>
    </row>
    <row r="34" spans="1:8" ht="15.75" x14ac:dyDescent="0.25">
      <c r="A34" s="12">
        <v>22</v>
      </c>
      <c r="B34" s="11" t="s">
        <v>127</v>
      </c>
      <c r="C34" s="11" t="s">
        <v>126</v>
      </c>
      <c r="D34" s="11" t="s">
        <v>31</v>
      </c>
      <c r="E34" s="11" t="s">
        <v>78</v>
      </c>
      <c r="F34" s="11">
        <v>698500</v>
      </c>
      <c r="G34" s="15">
        <v>1013.17425</v>
      </c>
      <c r="H34" s="9">
        <v>1.2847390000000001</v>
      </c>
    </row>
    <row r="35" spans="1:8" ht="15.75" x14ac:dyDescent="0.25">
      <c r="A35" s="12">
        <v>23</v>
      </c>
      <c r="B35" s="11" t="s">
        <v>125</v>
      </c>
      <c r="C35" s="11" t="s">
        <v>124</v>
      </c>
      <c r="D35" s="11" t="s">
        <v>31</v>
      </c>
      <c r="E35" s="11" t="s">
        <v>58</v>
      </c>
      <c r="F35" s="11">
        <v>368915</v>
      </c>
      <c r="G35" s="15">
        <v>997.17723999999998</v>
      </c>
      <c r="H35" s="9">
        <v>1.264454</v>
      </c>
    </row>
    <row r="36" spans="1:8" ht="15.75" x14ac:dyDescent="0.25">
      <c r="A36" s="12">
        <v>24</v>
      </c>
      <c r="B36" s="11" t="s">
        <v>123</v>
      </c>
      <c r="C36" s="11" t="s">
        <v>122</v>
      </c>
      <c r="D36" s="11" t="s">
        <v>31</v>
      </c>
      <c r="E36" s="11" t="s">
        <v>121</v>
      </c>
      <c r="F36" s="11">
        <v>123500</v>
      </c>
      <c r="G36" s="15">
        <v>982.01025000000004</v>
      </c>
      <c r="H36" s="9">
        <v>1.2452220000000001</v>
      </c>
    </row>
    <row r="37" spans="1:8" ht="15.75" x14ac:dyDescent="0.25">
      <c r="A37" s="12">
        <v>25</v>
      </c>
      <c r="B37" s="11" t="s">
        <v>120</v>
      </c>
      <c r="C37" s="11" t="s">
        <v>119</v>
      </c>
      <c r="D37" s="11" t="s">
        <v>31</v>
      </c>
      <c r="E37" s="11" t="s">
        <v>118</v>
      </c>
      <c r="F37" s="11">
        <v>35550</v>
      </c>
      <c r="G37" s="15">
        <v>972.02588000000003</v>
      </c>
      <c r="H37" s="9">
        <v>1.2325619999999999</v>
      </c>
    </row>
    <row r="38" spans="1:8" ht="15.75" x14ac:dyDescent="0.25">
      <c r="A38" s="12">
        <v>26</v>
      </c>
      <c r="B38" s="11" t="s">
        <v>117</v>
      </c>
      <c r="C38" s="11" t="s">
        <v>116</v>
      </c>
      <c r="D38" s="11" t="s">
        <v>31</v>
      </c>
      <c r="E38" s="11" t="s">
        <v>115</v>
      </c>
      <c r="F38" s="11">
        <v>95894</v>
      </c>
      <c r="G38" s="15">
        <v>944.17232000000001</v>
      </c>
      <c r="H38" s="9">
        <v>1.1972419999999999</v>
      </c>
    </row>
    <row r="39" spans="1:8" ht="15.75" x14ac:dyDescent="0.25">
      <c r="A39" s="12">
        <v>27</v>
      </c>
      <c r="B39" s="11" t="s">
        <v>114</v>
      </c>
      <c r="C39" s="11" t="s">
        <v>113</v>
      </c>
      <c r="D39" s="11" t="s">
        <v>31</v>
      </c>
      <c r="E39" s="11" t="s">
        <v>112</v>
      </c>
      <c r="F39" s="11">
        <v>435000</v>
      </c>
      <c r="G39" s="15">
        <v>936.99</v>
      </c>
      <c r="H39" s="9">
        <v>1.1881349999999999</v>
      </c>
    </row>
    <row r="40" spans="1:8" ht="15.75" x14ac:dyDescent="0.25">
      <c r="A40" s="12">
        <v>28</v>
      </c>
      <c r="B40" s="11" t="s">
        <v>111</v>
      </c>
      <c r="C40" s="11" t="s">
        <v>110</v>
      </c>
      <c r="D40" s="11" t="s">
        <v>31</v>
      </c>
      <c r="E40" s="11" t="s">
        <v>107</v>
      </c>
      <c r="F40" s="11">
        <v>79900</v>
      </c>
      <c r="G40" s="15">
        <v>878.42060000000004</v>
      </c>
      <c r="H40" s="9">
        <v>1.1138669999999999</v>
      </c>
    </row>
    <row r="41" spans="1:8" ht="15.75" x14ac:dyDescent="0.25">
      <c r="A41" s="12">
        <v>29</v>
      </c>
      <c r="B41" s="11" t="s">
        <v>109</v>
      </c>
      <c r="C41" s="11" t="s">
        <v>108</v>
      </c>
      <c r="D41" s="11" t="s">
        <v>31</v>
      </c>
      <c r="E41" s="11" t="s">
        <v>107</v>
      </c>
      <c r="F41" s="11">
        <v>151500</v>
      </c>
      <c r="G41" s="15">
        <v>867.48900000000003</v>
      </c>
      <c r="H41" s="9">
        <v>1.1000049999999999</v>
      </c>
    </row>
    <row r="42" spans="1:8" ht="15.75" x14ac:dyDescent="0.25">
      <c r="A42" s="12">
        <v>30</v>
      </c>
      <c r="B42" s="11" t="s">
        <v>106</v>
      </c>
      <c r="C42" s="11" t="s">
        <v>105</v>
      </c>
      <c r="D42" s="11" t="s">
        <v>31</v>
      </c>
      <c r="E42" s="11" t="s">
        <v>104</v>
      </c>
      <c r="F42" s="11">
        <v>2040000</v>
      </c>
      <c r="G42" s="15">
        <v>858.84</v>
      </c>
      <c r="H42" s="9">
        <v>1.089038</v>
      </c>
    </row>
    <row r="43" spans="1:8" ht="15.75" x14ac:dyDescent="0.25">
      <c r="A43" s="12">
        <v>31</v>
      </c>
      <c r="B43" s="11" t="s">
        <v>103</v>
      </c>
      <c r="C43" s="11" t="s">
        <v>102</v>
      </c>
      <c r="D43" s="11" t="s">
        <v>31</v>
      </c>
      <c r="E43" s="11" t="s">
        <v>83</v>
      </c>
      <c r="F43" s="11">
        <v>626050</v>
      </c>
      <c r="G43" s="15">
        <v>773.48478</v>
      </c>
      <c r="H43" s="9">
        <v>0.98080500000000004</v>
      </c>
    </row>
    <row r="44" spans="1:8" ht="15.75" x14ac:dyDescent="0.25">
      <c r="A44" s="12">
        <v>32</v>
      </c>
      <c r="B44" s="11" t="s">
        <v>101</v>
      </c>
      <c r="C44" s="11" t="s">
        <v>100</v>
      </c>
      <c r="D44" s="11" t="s">
        <v>31</v>
      </c>
      <c r="E44" s="11" t="s">
        <v>55</v>
      </c>
      <c r="F44" s="11">
        <v>1487500</v>
      </c>
      <c r="G44" s="15">
        <v>705.07500000000005</v>
      </c>
      <c r="H44" s="9">
        <v>0.89405900000000005</v>
      </c>
    </row>
    <row r="45" spans="1:8" ht="15.75" x14ac:dyDescent="0.25">
      <c r="A45" s="12">
        <v>33</v>
      </c>
      <c r="B45" s="11" t="s">
        <v>99</v>
      </c>
      <c r="C45" s="11" t="s">
        <v>98</v>
      </c>
      <c r="D45" s="11" t="s">
        <v>31</v>
      </c>
      <c r="E45" s="11" t="s">
        <v>86</v>
      </c>
      <c r="F45" s="11">
        <v>28800</v>
      </c>
      <c r="G45" s="15">
        <v>688.76639999999998</v>
      </c>
      <c r="H45" s="9">
        <v>0.87337900000000002</v>
      </c>
    </row>
    <row r="46" spans="1:8" ht="15.75" x14ac:dyDescent="0.25">
      <c r="A46" s="12">
        <v>34</v>
      </c>
      <c r="B46" s="11" t="s">
        <v>97</v>
      </c>
      <c r="C46" s="11" t="s">
        <v>96</v>
      </c>
      <c r="D46" s="11" t="s">
        <v>31</v>
      </c>
      <c r="E46" s="11" t="s">
        <v>55</v>
      </c>
      <c r="F46" s="11">
        <v>255000</v>
      </c>
      <c r="G46" s="15">
        <v>645.02250000000004</v>
      </c>
      <c r="H46" s="9">
        <v>0.81791000000000003</v>
      </c>
    </row>
    <row r="47" spans="1:8" ht="15.75" x14ac:dyDescent="0.25">
      <c r="A47" s="12">
        <v>35</v>
      </c>
      <c r="B47" s="11" t="s">
        <v>95</v>
      </c>
      <c r="C47" s="11" t="s">
        <v>94</v>
      </c>
      <c r="D47" s="11" t="s">
        <v>31</v>
      </c>
      <c r="E47" s="11" t="s">
        <v>52</v>
      </c>
      <c r="F47" s="11">
        <v>128800</v>
      </c>
      <c r="G47" s="15">
        <v>641.16639999999995</v>
      </c>
      <c r="H47" s="9">
        <v>0.81302099999999999</v>
      </c>
    </row>
    <row r="48" spans="1:8" ht="15.75" x14ac:dyDescent="0.25">
      <c r="A48" s="12">
        <v>36</v>
      </c>
      <c r="B48" s="11" t="s">
        <v>93</v>
      </c>
      <c r="C48" s="11" t="s">
        <v>92</v>
      </c>
      <c r="D48" s="11" t="s">
        <v>31</v>
      </c>
      <c r="E48" s="11" t="s">
        <v>91</v>
      </c>
      <c r="F48" s="11">
        <v>44500</v>
      </c>
      <c r="G48" s="15">
        <v>575.89675</v>
      </c>
      <c r="H48" s="9">
        <v>0.73025700000000004</v>
      </c>
    </row>
    <row r="49" spans="1:8" ht="15.75" x14ac:dyDescent="0.25">
      <c r="A49" s="12">
        <v>37</v>
      </c>
      <c r="B49" s="11" t="s">
        <v>90</v>
      </c>
      <c r="C49" s="11" t="s">
        <v>89</v>
      </c>
      <c r="D49" s="11" t="s">
        <v>31</v>
      </c>
      <c r="E49" s="11" t="s">
        <v>78</v>
      </c>
      <c r="F49" s="11">
        <v>116340</v>
      </c>
      <c r="G49" s="15">
        <v>561.28233</v>
      </c>
      <c r="H49" s="9">
        <v>0.71172500000000005</v>
      </c>
    </row>
    <row r="50" spans="1:8" ht="15.75" x14ac:dyDescent="0.25">
      <c r="A50" s="12">
        <v>38</v>
      </c>
      <c r="B50" s="11" t="s">
        <v>88</v>
      </c>
      <c r="C50" s="11" t="s">
        <v>87</v>
      </c>
      <c r="D50" s="11" t="s">
        <v>31</v>
      </c>
      <c r="E50" s="11" t="s">
        <v>86</v>
      </c>
      <c r="F50" s="11">
        <v>20000</v>
      </c>
      <c r="G50" s="15">
        <v>558.6</v>
      </c>
      <c r="H50" s="9">
        <v>0.70832399999999995</v>
      </c>
    </row>
    <row r="51" spans="1:8" ht="15.75" x14ac:dyDescent="0.25">
      <c r="A51" s="12">
        <v>39</v>
      </c>
      <c r="B51" s="11" t="s">
        <v>85</v>
      </c>
      <c r="C51" s="11" t="s">
        <v>84</v>
      </c>
      <c r="D51" s="11" t="s">
        <v>31</v>
      </c>
      <c r="E51" s="11" t="s">
        <v>83</v>
      </c>
      <c r="F51" s="11">
        <v>455000</v>
      </c>
      <c r="G51" s="15">
        <v>495.26749999999998</v>
      </c>
      <c r="H51" s="9">
        <v>0.62801600000000002</v>
      </c>
    </row>
    <row r="52" spans="1:8" ht="15.75" x14ac:dyDescent="0.25">
      <c r="A52" s="12">
        <v>40</v>
      </c>
      <c r="B52" s="11" t="s">
        <v>82</v>
      </c>
      <c r="C52" s="11" t="s">
        <v>81</v>
      </c>
      <c r="D52" s="11" t="s">
        <v>31</v>
      </c>
      <c r="E52" s="11" t="s">
        <v>55</v>
      </c>
      <c r="F52" s="11">
        <v>33000</v>
      </c>
      <c r="G52" s="15">
        <v>490.28100000000001</v>
      </c>
      <c r="H52" s="9">
        <v>0.62169300000000005</v>
      </c>
    </row>
    <row r="53" spans="1:8" ht="15.75" x14ac:dyDescent="0.25">
      <c r="A53" s="12">
        <v>41</v>
      </c>
      <c r="B53" s="11" t="s">
        <v>80</v>
      </c>
      <c r="C53" s="11" t="s">
        <v>79</v>
      </c>
      <c r="D53" s="11" t="s">
        <v>31</v>
      </c>
      <c r="E53" s="11" t="s">
        <v>78</v>
      </c>
      <c r="F53" s="11">
        <v>205000</v>
      </c>
      <c r="G53" s="15">
        <v>473.755</v>
      </c>
      <c r="H53" s="9">
        <v>0.60073699999999997</v>
      </c>
    </row>
    <row r="54" spans="1:8" ht="15.75" x14ac:dyDescent="0.25">
      <c r="A54" s="12">
        <v>42</v>
      </c>
      <c r="B54" s="11" t="s">
        <v>77</v>
      </c>
      <c r="C54" s="11" t="s">
        <v>76</v>
      </c>
      <c r="D54" s="11" t="s">
        <v>31</v>
      </c>
      <c r="E54" s="11" t="s">
        <v>75</v>
      </c>
      <c r="F54" s="11">
        <v>243670</v>
      </c>
      <c r="G54" s="15">
        <v>449.20564999999999</v>
      </c>
      <c r="H54" s="9">
        <v>0.569608</v>
      </c>
    </row>
    <row r="55" spans="1:8" ht="15.75" x14ac:dyDescent="0.25">
      <c r="A55" s="12">
        <v>43</v>
      </c>
      <c r="B55" s="11" t="s">
        <v>74</v>
      </c>
      <c r="C55" s="11" t="s">
        <v>73</v>
      </c>
      <c r="D55" s="11" t="s">
        <v>31</v>
      </c>
      <c r="E55" s="11" t="s">
        <v>72</v>
      </c>
      <c r="F55" s="11">
        <v>187500</v>
      </c>
      <c r="G55" s="15">
        <v>418.03125</v>
      </c>
      <c r="H55" s="9">
        <v>0.53007800000000005</v>
      </c>
    </row>
    <row r="56" spans="1:8" ht="15.75" x14ac:dyDescent="0.25">
      <c r="A56" s="12">
        <v>44</v>
      </c>
      <c r="B56" s="11" t="s">
        <v>71</v>
      </c>
      <c r="C56" s="11" t="s">
        <v>70</v>
      </c>
      <c r="D56" s="11" t="s">
        <v>31</v>
      </c>
      <c r="E56" s="11" t="s">
        <v>69</v>
      </c>
      <c r="F56" s="11">
        <v>124650</v>
      </c>
      <c r="G56" s="15">
        <v>376.50533000000001</v>
      </c>
      <c r="H56" s="9">
        <v>0.47742099999999998</v>
      </c>
    </row>
    <row r="57" spans="1:8" ht="15.75" x14ac:dyDescent="0.25">
      <c r="A57" s="12">
        <v>45</v>
      </c>
      <c r="B57" s="11" t="s">
        <v>68</v>
      </c>
      <c r="C57" s="11" t="s">
        <v>67</v>
      </c>
      <c r="D57" s="11" t="s">
        <v>31</v>
      </c>
      <c r="E57" s="11" t="s">
        <v>55</v>
      </c>
      <c r="F57" s="11">
        <v>340000</v>
      </c>
      <c r="G57" s="15">
        <v>365.67</v>
      </c>
      <c r="H57" s="9">
        <v>0.46368199999999998</v>
      </c>
    </row>
    <row r="58" spans="1:8" ht="15.75" x14ac:dyDescent="0.25">
      <c r="A58" s="12">
        <v>46</v>
      </c>
      <c r="B58" s="11" t="s">
        <v>66</v>
      </c>
      <c r="C58" s="11" t="s">
        <v>65</v>
      </c>
      <c r="D58" s="11" t="s">
        <v>31</v>
      </c>
      <c r="E58" s="11" t="s">
        <v>64</v>
      </c>
      <c r="F58" s="11">
        <v>68553</v>
      </c>
      <c r="G58" s="15">
        <v>332.4135</v>
      </c>
      <c r="H58" s="9">
        <v>0.421512</v>
      </c>
    </row>
    <row r="59" spans="1:8" ht="15.75" x14ac:dyDescent="0.25">
      <c r="A59" s="12">
        <v>47</v>
      </c>
      <c r="B59" s="11" t="s">
        <v>63</v>
      </c>
      <c r="C59" s="11" t="s">
        <v>62</v>
      </c>
      <c r="D59" s="11" t="s">
        <v>31</v>
      </c>
      <c r="E59" s="11" t="s">
        <v>61</v>
      </c>
      <c r="F59" s="11">
        <v>37000</v>
      </c>
      <c r="G59" s="15">
        <v>320.43849999999998</v>
      </c>
      <c r="H59" s="9">
        <v>0.40632699999999999</v>
      </c>
    </row>
    <row r="60" spans="1:8" ht="15.75" x14ac:dyDescent="0.25">
      <c r="A60" s="12">
        <v>48</v>
      </c>
      <c r="B60" s="11" t="s">
        <v>60</v>
      </c>
      <c r="C60" s="11" t="s">
        <v>59</v>
      </c>
      <c r="D60" s="11" t="s">
        <v>31</v>
      </c>
      <c r="E60" s="11" t="s">
        <v>58</v>
      </c>
      <c r="F60" s="11">
        <v>18000</v>
      </c>
      <c r="G60" s="15">
        <v>312.59699999999998</v>
      </c>
      <c r="H60" s="9">
        <v>0.39638400000000001</v>
      </c>
    </row>
    <row r="61" spans="1:8" ht="15.75" x14ac:dyDescent="0.25">
      <c r="A61" s="12">
        <v>49</v>
      </c>
      <c r="B61" s="11" t="s">
        <v>57</v>
      </c>
      <c r="C61" s="11" t="s">
        <v>56</v>
      </c>
      <c r="D61" s="11" t="s">
        <v>31</v>
      </c>
      <c r="E61" s="11" t="s">
        <v>55</v>
      </c>
      <c r="F61" s="11">
        <v>175000</v>
      </c>
      <c r="G61" s="15">
        <v>274.22500000000002</v>
      </c>
      <c r="H61" s="9">
        <v>0.34772700000000001</v>
      </c>
    </row>
    <row r="62" spans="1:8" ht="15.75" x14ac:dyDescent="0.25">
      <c r="A62" s="12">
        <v>50</v>
      </c>
      <c r="B62" s="11" t="s">
        <v>54</v>
      </c>
      <c r="C62" s="11" t="s">
        <v>53</v>
      </c>
      <c r="D62" s="11" t="s">
        <v>31</v>
      </c>
      <c r="E62" s="11" t="s">
        <v>52</v>
      </c>
      <c r="F62" s="11">
        <v>68000</v>
      </c>
      <c r="G62" s="15">
        <v>266.35599999999999</v>
      </c>
      <c r="H62" s="9">
        <v>0.33774799999999999</v>
      </c>
    </row>
    <row r="63" spans="1:8" ht="15.75" x14ac:dyDescent="0.25">
      <c r="A63" s="7"/>
      <c r="B63" s="6"/>
      <c r="C63" s="6" t="s">
        <v>30</v>
      </c>
      <c r="D63" s="6"/>
      <c r="E63" s="6"/>
      <c r="F63" s="6"/>
      <c r="G63" s="14">
        <f>SUM(G13:G62)</f>
        <v>78837.912720000022</v>
      </c>
      <c r="H63" s="8">
        <f>SUM(H13:H62)</f>
        <v>99.969139000000027</v>
      </c>
    </row>
    <row r="64" spans="1:8" ht="15.75" x14ac:dyDescent="0.25">
      <c r="A64" s="7"/>
      <c r="B64" s="6"/>
      <c r="C64" s="6"/>
      <c r="D64" s="6"/>
      <c r="E64" s="6"/>
      <c r="F64" s="6"/>
      <c r="G64" s="14"/>
      <c r="H64" s="13"/>
    </row>
    <row r="65" spans="1:8" ht="15.75" x14ac:dyDescent="0.25">
      <c r="A65" s="7"/>
      <c r="B65" s="6"/>
      <c r="C65" s="6" t="s">
        <v>51</v>
      </c>
      <c r="D65" s="6" t="s">
        <v>38</v>
      </c>
      <c r="E65" s="6" t="s">
        <v>38</v>
      </c>
      <c r="F65" s="6" t="s">
        <v>38</v>
      </c>
      <c r="G65" s="14" t="s">
        <v>38</v>
      </c>
      <c r="H65" s="13" t="s">
        <v>38</v>
      </c>
    </row>
    <row r="66" spans="1:8" ht="16.5" thickBot="1" x14ac:dyDescent="0.3">
      <c r="A66" s="7"/>
      <c r="B66" s="6"/>
      <c r="C66" s="6" t="s">
        <v>30</v>
      </c>
      <c r="D66" s="6"/>
      <c r="E66" s="6"/>
      <c r="F66" s="6"/>
      <c r="G66" s="14">
        <f>SUM(G65:G65)</f>
        <v>0</v>
      </c>
      <c r="H66" s="8">
        <f>SUM(H65:H65)</f>
        <v>0</v>
      </c>
    </row>
    <row r="67" spans="1:8" ht="17.25" thickTop="1" thickBot="1" x14ac:dyDescent="0.3">
      <c r="A67" s="7"/>
      <c r="B67" s="6"/>
      <c r="C67" s="6" t="s">
        <v>29</v>
      </c>
      <c r="D67" s="6"/>
      <c r="E67" s="6"/>
      <c r="F67" s="6"/>
      <c r="G67" s="2">
        <f>SUM(G63,G66)</f>
        <v>78837.912720000022</v>
      </c>
      <c r="H67" s="2">
        <f>SUM(H63,H66)</f>
        <v>99.969139000000027</v>
      </c>
    </row>
    <row r="68" spans="1:8" ht="16.5" thickTop="1" x14ac:dyDescent="0.25">
      <c r="A68" s="7"/>
      <c r="B68" s="6"/>
      <c r="C68" s="6"/>
      <c r="D68" s="6"/>
      <c r="E68" s="6"/>
      <c r="F68" s="6"/>
      <c r="G68" s="14"/>
      <c r="H68" s="13"/>
    </row>
    <row r="69" spans="1:8" ht="15.75" x14ac:dyDescent="0.25">
      <c r="A69" s="7"/>
      <c r="B69" s="6"/>
      <c r="C69" s="6" t="s">
        <v>50</v>
      </c>
      <c r="D69" s="6"/>
      <c r="E69" s="6"/>
      <c r="F69" s="6"/>
      <c r="G69" s="14"/>
      <c r="H69" s="13"/>
    </row>
    <row r="70" spans="1:8" ht="15.75" x14ac:dyDescent="0.25">
      <c r="A70" s="7"/>
      <c r="B70" s="6"/>
      <c r="C70" s="6" t="s">
        <v>49</v>
      </c>
      <c r="D70" s="6" t="s">
        <v>38</v>
      </c>
      <c r="E70" s="6" t="s">
        <v>38</v>
      </c>
      <c r="F70" s="6" t="s">
        <v>38</v>
      </c>
      <c r="G70" s="14" t="s">
        <v>38</v>
      </c>
      <c r="H70" s="13" t="s">
        <v>38</v>
      </c>
    </row>
    <row r="71" spans="1:8" ht="15.75" x14ac:dyDescent="0.25">
      <c r="A71" s="7"/>
      <c r="B71" s="6"/>
      <c r="C71" s="6" t="s">
        <v>30</v>
      </c>
      <c r="D71" s="6"/>
      <c r="E71" s="6"/>
      <c r="F71" s="6"/>
      <c r="G71" s="14">
        <f>SUM(G70:G70)</f>
        <v>0</v>
      </c>
      <c r="H71" s="8">
        <f>SUM(H70:H70)</f>
        <v>0</v>
      </c>
    </row>
    <row r="72" spans="1:8" ht="15.75" x14ac:dyDescent="0.25">
      <c r="A72" s="7"/>
      <c r="B72" s="6"/>
      <c r="C72" s="6"/>
      <c r="D72" s="6"/>
      <c r="E72" s="6"/>
      <c r="F72" s="6"/>
      <c r="G72" s="14"/>
      <c r="H72" s="13"/>
    </row>
    <row r="73" spans="1:8" ht="15.75" x14ac:dyDescent="0.25">
      <c r="A73" s="7"/>
      <c r="B73" s="6"/>
      <c r="C73" s="6" t="s">
        <v>48</v>
      </c>
      <c r="D73" s="6" t="s">
        <v>38</v>
      </c>
      <c r="E73" s="6" t="s">
        <v>38</v>
      </c>
      <c r="F73" s="6" t="s">
        <v>38</v>
      </c>
      <c r="G73" s="14" t="s">
        <v>38</v>
      </c>
      <c r="H73" s="13" t="s">
        <v>38</v>
      </c>
    </row>
    <row r="74" spans="1:8" ht="16.5" thickBot="1" x14ac:dyDescent="0.3">
      <c r="A74" s="7"/>
      <c r="B74" s="6"/>
      <c r="C74" s="6" t="s">
        <v>30</v>
      </c>
      <c r="D74" s="6"/>
      <c r="E74" s="6"/>
      <c r="F74" s="6"/>
      <c r="G74" s="14">
        <f>SUM(G73:G73)</f>
        <v>0</v>
      </c>
      <c r="H74" s="8">
        <f>SUM(H73:H73)</f>
        <v>0</v>
      </c>
    </row>
    <row r="75" spans="1:8" ht="17.25" thickTop="1" thickBot="1" x14ac:dyDescent="0.3">
      <c r="A75" s="7"/>
      <c r="B75" s="6"/>
      <c r="C75" s="6" t="s">
        <v>29</v>
      </c>
      <c r="D75" s="6"/>
      <c r="E75" s="6"/>
      <c r="F75" s="6"/>
      <c r="G75" s="2">
        <f>SUM(G71,G74)</f>
        <v>0</v>
      </c>
      <c r="H75" s="2">
        <f>SUM(H71,H74)</f>
        <v>0</v>
      </c>
    </row>
    <row r="76" spans="1:8" ht="16.5" thickTop="1" x14ac:dyDescent="0.25">
      <c r="A76" s="7"/>
      <c r="B76" s="6"/>
      <c r="C76" s="6"/>
      <c r="D76" s="6"/>
      <c r="E76" s="6"/>
      <c r="F76" s="6"/>
      <c r="G76" s="14"/>
      <c r="H76" s="13"/>
    </row>
    <row r="77" spans="1:8" ht="15.75" x14ac:dyDescent="0.25">
      <c r="A77" s="7"/>
      <c r="B77" s="6"/>
      <c r="C77" s="6" t="s">
        <v>47</v>
      </c>
      <c r="D77" s="6"/>
      <c r="E77" s="6"/>
      <c r="F77" s="6"/>
      <c r="G77" s="14"/>
      <c r="H77" s="13"/>
    </row>
    <row r="78" spans="1:8" ht="15.75" x14ac:dyDescent="0.25">
      <c r="A78" s="7"/>
      <c r="B78" s="6"/>
      <c r="C78" s="6" t="s">
        <v>46</v>
      </c>
      <c r="D78" s="6" t="s">
        <v>38</v>
      </c>
      <c r="E78" s="6" t="s">
        <v>38</v>
      </c>
      <c r="F78" s="6" t="s">
        <v>38</v>
      </c>
      <c r="G78" s="14" t="s">
        <v>38</v>
      </c>
      <c r="H78" s="13" t="s">
        <v>38</v>
      </c>
    </row>
    <row r="79" spans="1:8" ht="15.75" x14ac:dyDescent="0.25">
      <c r="A79" s="7"/>
      <c r="B79" s="6"/>
      <c r="C79" s="6" t="s">
        <v>30</v>
      </c>
      <c r="D79" s="6"/>
      <c r="E79" s="6"/>
      <c r="F79" s="6"/>
      <c r="G79" s="14">
        <f>SUM(G78:G78)</f>
        <v>0</v>
      </c>
      <c r="H79" s="8">
        <f>SUM(H78:H78)</f>
        <v>0</v>
      </c>
    </row>
    <row r="80" spans="1:8" ht="15.75" x14ac:dyDescent="0.25">
      <c r="A80" s="7"/>
      <c r="B80" s="6"/>
      <c r="C80" s="6"/>
      <c r="D80" s="6"/>
      <c r="E80" s="6"/>
      <c r="F80" s="6"/>
      <c r="G80" s="14"/>
      <c r="H80" s="13"/>
    </row>
    <row r="81" spans="1:8" ht="15.75" x14ac:dyDescent="0.25">
      <c r="A81" s="7"/>
      <c r="B81" s="6"/>
      <c r="C81" s="6" t="s">
        <v>45</v>
      </c>
      <c r="D81" s="6" t="s">
        <v>38</v>
      </c>
      <c r="E81" s="6" t="s">
        <v>38</v>
      </c>
      <c r="F81" s="6" t="s">
        <v>38</v>
      </c>
      <c r="G81" s="14" t="s">
        <v>38</v>
      </c>
      <c r="H81" s="13" t="s">
        <v>38</v>
      </c>
    </row>
    <row r="82" spans="1:8" ht="15.75" x14ac:dyDescent="0.25">
      <c r="A82" s="7"/>
      <c r="B82" s="6"/>
      <c r="C82" s="6" t="s">
        <v>30</v>
      </c>
      <c r="D82" s="6"/>
      <c r="E82" s="6"/>
      <c r="F82" s="6"/>
      <c r="G82" s="14">
        <f>SUM(G81:G81)</f>
        <v>0</v>
      </c>
      <c r="H82" s="8">
        <f>SUM(H81:H81)</f>
        <v>0</v>
      </c>
    </row>
    <row r="83" spans="1:8" ht="15.75" x14ac:dyDescent="0.25">
      <c r="A83" s="7"/>
      <c r="B83" s="6"/>
      <c r="C83" s="6"/>
      <c r="D83" s="6"/>
      <c r="E83" s="6"/>
      <c r="F83" s="6"/>
      <c r="G83" s="14"/>
      <c r="H83" s="13"/>
    </row>
    <row r="84" spans="1:8" ht="15.75" x14ac:dyDescent="0.25">
      <c r="A84" s="7"/>
      <c r="B84" s="6"/>
      <c r="C84" s="6" t="s">
        <v>44</v>
      </c>
      <c r="D84" s="6" t="s">
        <v>38</v>
      </c>
      <c r="E84" s="6" t="s">
        <v>38</v>
      </c>
      <c r="F84" s="6" t="s">
        <v>38</v>
      </c>
      <c r="G84" s="14" t="s">
        <v>38</v>
      </c>
      <c r="H84" s="13" t="s">
        <v>38</v>
      </c>
    </row>
    <row r="85" spans="1:8" ht="16.5" thickBot="1" x14ac:dyDescent="0.3">
      <c r="A85" s="7"/>
      <c r="B85" s="6"/>
      <c r="C85" s="6" t="s">
        <v>30</v>
      </c>
      <c r="D85" s="6"/>
      <c r="E85" s="6"/>
      <c r="F85" s="6"/>
      <c r="G85" s="14">
        <f>SUM(G84:G84)</f>
        <v>0</v>
      </c>
      <c r="H85" s="8">
        <f>SUM(H84:H84)</f>
        <v>0</v>
      </c>
    </row>
    <row r="86" spans="1:8" ht="17.25" thickTop="1" thickBot="1" x14ac:dyDescent="0.3">
      <c r="A86" s="7"/>
      <c r="B86" s="6"/>
      <c r="C86" s="6" t="s">
        <v>29</v>
      </c>
      <c r="D86" s="6"/>
      <c r="E86" s="6"/>
      <c r="F86" s="6"/>
      <c r="G86" s="2">
        <f>SUM(G79,G82,G85)</f>
        <v>0</v>
      </c>
      <c r="H86" s="2">
        <f>SUM(H79,H82,H85)</f>
        <v>0</v>
      </c>
    </row>
    <row r="87" spans="1:8" ht="16.5" thickTop="1" x14ac:dyDescent="0.25">
      <c r="A87" s="7"/>
      <c r="B87" s="6"/>
      <c r="C87" s="6"/>
      <c r="D87" s="6"/>
      <c r="E87" s="6"/>
      <c r="F87" s="6"/>
      <c r="G87" s="14"/>
      <c r="H87" s="13"/>
    </row>
    <row r="88" spans="1:8" ht="15.75" x14ac:dyDescent="0.25">
      <c r="A88" s="7"/>
      <c r="B88" s="6"/>
      <c r="C88" s="6" t="s">
        <v>43</v>
      </c>
      <c r="D88" s="6"/>
      <c r="E88" s="6"/>
      <c r="F88" s="6"/>
      <c r="G88" s="14"/>
      <c r="H88" s="13"/>
    </row>
    <row r="89" spans="1:8" ht="15.75" x14ac:dyDescent="0.25">
      <c r="A89" s="7"/>
      <c r="B89" s="6"/>
      <c r="C89" s="6" t="s">
        <v>42</v>
      </c>
      <c r="D89" s="6" t="s">
        <v>38</v>
      </c>
      <c r="E89" s="6" t="s">
        <v>38</v>
      </c>
      <c r="F89" s="6" t="s">
        <v>38</v>
      </c>
      <c r="G89" s="14" t="s">
        <v>38</v>
      </c>
      <c r="H89" s="13" t="s">
        <v>38</v>
      </c>
    </row>
    <row r="90" spans="1:8" ht="15.75" x14ac:dyDescent="0.25">
      <c r="A90" s="7"/>
      <c r="B90" s="6"/>
      <c r="C90" s="6" t="s">
        <v>30</v>
      </c>
      <c r="D90" s="6"/>
      <c r="E90" s="6"/>
      <c r="F90" s="6"/>
      <c r="G90" s="14">
        <f>SUM(G89:G89)</f>
        <v>0</v>
      </c>
      <c r="H90" s="8">
        <f>SUM(H89:H89)</f>
        <v>0</v>
      </c>
    </row>
    <row r="91" spans="1:8" ht="15.75" x14ac:dyDescent="0.25">
      <c r="A91" s="7"/>
      <c r="B91" s="6"/>
      <c r="C91" s="6"/>
      <c r="D91" s="6"/>
      <c r="E91" s="6"/>
      <c r="F91" s="6"/>
      <c r="G91" s="14"/>
      <c r="H91" s="13"/>
    </row>
    <row r="92" spans="1:8" ht="15.75" x14ac:dyDescent="0.25">
      <c r="A92" s="7"/>
      <c r="B92" s="6"/>
      <c r="C92" s="6" t="s">
        <v>41</v>
      </c>
      <c r="D92" s="6" t="s">
        <v>38</v>
      </c>
      <c r="E92" s="6" t="s">
        <v>38</v>
      </c>
      <c r="F92" s="6" t="s">
        <v>38</v>
      </c>
      <c r="G92" s="14" t="s">
        <v>38</v>
      </c>
      <c r="H92" s="13" t="s">
        <v>38</v>
      </c>
    </row>
    <row r="93" spans="1:8" ht="16.5" thickBot="1" x14ac:dyDescent="0.3">
      <c r="A93" s="7"/>
      <c r="B93" s="6"/>
      <c r="C93" s="6" t="s">
        <v>30</v>
      </c>
      <c r="D93" s="6"/>
      <c r="E93" s="6"/>
      <c r="F93" s="6"/>
      <c r="G93" s="14">
        <f>SUM(G92:G92)</f>
        <v>0</v>
      </c>
      <c r="H93" s="8">
        <f>SUM(H92:H92)</f>
        <v>0</v>
      </c>
    </row>
    <row r="94" spans="1:8" ht="17.25" thickTop="1" thickBot="1" x14ac:dyDescent="0.3">
      <c r="A94" s="7"/>
      <c r="B94" s="6"/>
      <c r="C94" s="6" t="s">
        <v>29</v>
      </c>
      <c r="D94" s="6"/>
      <c r="E94" s="6"/>
      <c r="F94" s="6"/>
      <c r="G94" s="2">
        <f>SUM(G90,G93)</f>
        <v>0</v>
      </c>
      <c r="H94" s="2">
        <f>SUM(H90,H93)</f>
        <v>0</v>
      </c>
    </row>
    <row r="95" spans="1:8" ht="16.5" thickTop="1" x14ac:dyDescent="0.25">
      <c r="A95" s="7"/>
      <c r="B95" s="6"/>
      <c r="C95" s="6"/>
      <c r="D95" s="6"/>
      <c r="E95" s="6"/>
      <c r="F95" s="6"/>
      <c r="G95" s="14"/>
      <c r="H95" s="13"/>
    </row>
    <row r="96" spans="1:8" ht="15.75" x14ac:dyDescent="0.25">
      <c r="A96" s="7"/>
      <c r="B96" s="6"/>
      <c r="C96" s="6" t="s">
        <v>40</v>
      </c>
      <c r="D96" s="6"/>
      <c r="E96" s="6"/>
      <c r="F96" s="6"/>
      <c r="G96" s="14"/>
      <c r="H96" s="13"/>
    </row>
    <row r="97" spans="1:8" ht="15.75" x14ac:dyDescent="0.25">
      <c r="A97" s="7"/>
      <c r="B97" s="6"/>
      <c r="C97" s="6" t="s">
        <v>39</v>
      </c>
      <c r="D97" s="6" t="s">
        <v>38</v>
      </c>
      <c r="E97" s="6" t="s">
        <v>38</v>
      </c>
      <c r="F97" s="6" t="s">
        <v>38</v>
      </c>
      <c r="G97" s="14" t="s">
        <v>38</v>
      </c>
      <c r="H97" s="13" t="s">
        <v>38</v>
      </c>
    </row>
    <row r="98" spans="1:8" ht="15.75" x14ac:dyDescent="0.25">
      <c r="A98" s="7"/>
      <c r="B98" s="6"/>
      <c r="C98" s="6" t="s">
        <v>30</v>
      </c>
      <c r="D98" s="6"/>
      <c r="E98" s="6"/>
      <c r="F98" s="6"/>
      <c r="G98" s="14">
        <f>SUM(G97:G97)</f>
        <v>0</v>
      </c>
      <c r="H98" s="8">
        <f>SUM(H97:H97)</f>
        <v>0</v>
      </c>
    </row>
    <row r="99" spans="1:8" ht="15.75" x14ac:dyDescent="0.25">
      <c r="A99" s="7"/>
      <c r="B99" s="6"/>
      <c r="C99" s="6"/>
      <c r="D99" s="6"/>
      <c r="E99" s="6"/>
      <c r="F99" s="6"/>
      <c r="G99" s="14"/>
      <c r="H99" s="13"/>
    </row>
    <row r="100" spans="1:8" ht="15.75" x14ac:dyDescent="0.25">
      <c r="A100" s="7"/>
      <c r="B100" s="6"/>
      <c r="C100" s="6" t="s">
        <v>37</v>
      </c>
      <c r="D100" s="6"/>
      <c r="E100" s="6"/>
      <c r="F100" s="6"/>
      <c r="G100" s="14"/>
      <c r="H100" s="13"/>
    </row>
    <row r="101" spans="1:8" ht="15.75" x14ac:dyDescent="0.25">
      <c r="A101" s="12">
        <v>51</v>
      </c>
      <c r="B101" s="11" t="s">
        <v>36</v>
      </c>
      <c r="C101" s="11" t="s">
        <v>35</v>
      </c>
      <c r="D101" s="11" t="s">
        <v>32</v>
      </c>
      <c r="E101" s="11" t="s">
        <v>31</v>
      </c>
      <c r="F101" s="11">
        <v>5914.4</v>
      </c>
      <c r="G101" s="10">
        <v>591.44000000000005</v>
      </c>
      <c r="H101" s="9">
        <v>0.74996600000000002</v>
      </c>
    </row>
    <row r="102" spans="1:8" ht="15.75" x14ac:dyDescent="0.25">
      <c r="A102" s="7"/>
      <c r="B102" s="6"/>
      <c r="C102" s="6" t="s">
        <v>30</v>
      </c>
      <c r="D102" s="6"/>
      <c r="E102" s="6"/>
      <c r="F102" s="6"/>
      <c r="G102" s="6">
        <f>SUM(G101:G101)</f>
        <v>591.44000000000005</v>
      </c>
      <c r="H102" s="8">
        <f>SUM(H101:H101)</f>
        <v>0.74996600000000002</v>
      </c>
    </row>
    <row r="103" spans="1:8" ht="15.75" x14ac:dyDescent="0.25">
      <c r="A103" s="7"/>
      <c r="B103" s="6"/>
      <c r="C103" s="6"/>
      <c r="D103" s="6"/>
      <c r="E103" s="6"/>
      <c r="F103" s="6"/>
      <c r="G103" s="6"/>
      <c r="H103" s="13"/>
    </row>
    <row r="104" spans="1:8" ht="15.75" x14ac:dyDescent="0.25">
      <c r="A104" s="7"/>
      <c r="B104" s="6"/>
      <c r="C104" s="6" t="s">
        <v>34</v>
      </c>
      <c r="D104" s="6"/>
      <c r="E104" s="6"/>
      <c r="F104" s="6"/>
      <c r="G104" s="6"/>
      <c r="H104" s="13"/>
    </row>
    <row r="105" spans="1:8" ht="15.75" x14ac:dyDescent="0.25">
      <c r="A105" s="12">
        <v>52</v>
      </c>
      <c r="B105" s="11" t="s">
        <v>32</v>
      </c>
      <c r="C105" s="11" t="s">
        <v>33</v>
      </c>
      <c r="D105" s="11" t="s">
        <v>32</v>
      </c>
      <c r="E105" s="11" t="s">
        <v>31</v>
      </c>
      <c r="F105" s="11">
        <v>0</v>
      </c>
      <c r="G105" s="10">
        <v>-567.10208999999998</v>
      </c>
      <c r="H105" s="9">
        <v>-0.71910499999999999</v>
      </c>
    </row>
    <row r="106" spans="1:8" ht="16.5" thickBot="1" x14ac:dyDescent="0.3">
      <c r="A106" s="7"/>
      <c r="B106" s="6"/>
      <c r="C106" s="6" t="s">
        <v>30</v>
      </c>
      <c r="D106" s="6"/>
      <c r="E106" s="6"/>
      <c r="F106" s="6"/>
      <c r="G106" s="6">
        <f>SUM(G105:G105)</f>
        <v>-567.10208999999998</v>
      </c>
      <c r="H106" s="8">
        <f>SUM(H105:H105)</f>
        <v>-0.71910499999999999</v>
      </c>
    </row>
    <row r="107" spans="1:8" ht="17.25" thickTop="1" thickBot="1" x14ac:dyDescent="0.3">
      <c r="A107" s="7"/>
      <c r="B107" s="6"/>
      <c r="C107" s="6" t="s">
        <v>29</v>
      </c>
      <c r="D107" s="6"/>
      <c r="E107" s="6"/>
      <c r="F107" s="6"/>
      <c r="G107" s="5">
        <f>SUM(G98,G102,G106)</f>
        <v>24.337910000000079</v>
      </c>
      <c r="H107" s="2">
        <f>SUM(H98,H102,H106)</f>
        <v>3.0861000000000027E-2</v>
      </c>
    </row>
    <row r="108" spans="1:8" ht="17.25" thickTop="1" thickBot="1" x14ac:dyDescent="0.3">
      <c r="A108" s="4"/>
      <c r="B108" s="3"/>
      <c r="C108" s="3" t="s">
        <v>28</v>
      </c>
      <c r="D108" s="3"/>
      <c r="E108" s="3"/>
      <c r="F108" s="3"/>
      <c r="G108" s="2">
        <f>SUM(G67,G75,G86,G94,G107)</f>
        <v>78862.250630000024</v>
      </c>
      <c r="H108" s="2">
        <f>SUM(H67,H75,H86,H94,H107)</f>
        <v>100.00000000000003</v>
      </c>
    </row>
    <row r="111" spans="1:8" x14ac:dyDescent="0.25">
      <c r="C111" t="s">
        <v>27</v>
      </c>
    </row>
    <row r="113" spans="2:3" x14ac:dyDescent="0.25">
      <c r="B113" t="s">
        <v>26</v>
      </c>
      <c r="C113" t="s">
        <v>25</v>
      </c>
    </row>
    <row r="114" spans="2:3" x14ac:dyDescent="0.25">
      <c r="B114" t="s">
        <v>24</v>
      </c>
      <c r="C114" t="s">
        <v>23</v>
      </c>
    </row>
    <row r="115" spans="2:3" x14ac:dyDescent="0.25">
      <c r="B115" t="s">
        <v>22</v>
      </c>
      <c r="C115" t="s">
        <v>21</v>
      </c>
    </row>
    <row r="116" spans="2:3" x14ac:dyDescent="0.25">
      <c r="C116" t="s">
        <v>20</v>
      </c>
    </row>
    <row r="117" spans="2:3" x14ac:dyDescent="0.25">
      <c r="C117" t="s">
        <v>19</v>
      </c>
    </row>
    <row r="118" spans="2:3" x14ac:dyDescent="0.25">
      <c r="C118" t="s">
        <v>18</v>
      </c>
    </row>
    <row r="119" spans="2:3" x14ac:dyDescent="0.25">
      <c r="C119" t="s">
        <v>17</v>
      </c>
    </row>
    <row r="120" spans="2:3" x14ac:dyDescent="0.25">
      <c r="B120" t="s">
        <v>16</v>
      </c>
      <c r="C120" t="s">
        <v>15</v>
      </c>
    </row>
    <row r="121" spans="2:3" x14ac:dyDescent="0.25">
      <c r="C121" t="s">
        <v>14</v>
      </c>
    </row>
    <row r="122" spans="2:3" x14ac:dyDescent="0.25">
      <c r="C122" t="s">
        <v>13</v>
      </c>
    </row>
    <row r="123" spans="2:3" x14ac:dyDescent="0.25">
      <c r="C123" t="s">
        <v>12</v>
      </c>
    </row>
    <row r="124" spans="2:3" x14ac:dyDescent="0.25">
      <c r="C124" t="s">
        <v>11</v>
      </c>
    </row>
    <row r="125" spans="2:3" x14ac:dyDescent="0.25">
      <c r="B125" t="s">
        <v>10</v>
      </c>
      <c r="C125" s="1" t="s">
        <v>9</v>
      </c>
    </row>
    <row r="126" spans="2:3" x14ac:dyDescent="0.25">
      <c r="C126" t="s">
        <v>8</v>
      </c>
    </row>
    <row r="127" spans="2:3" x14ac:dyDescent="0.25">
      <c r="B127" t="s">
        <v>7</v>
      </c>
      <c r="C127" s="1" t="s">
        <v>6</v>
      </c>
    </row>
    <row r="128" spans="2:3" x14ac:dyDescent="0.25">
      <c r="B128" t="s">
        <v>5</v>
      </c>
      <c r="C128" s="1" t="s">
        <v>4</v>
      </c>
    </row>
    <row r="129" spans="2:3" x14ac:dyDescent="0.25">
      <c r="B129" t="s">
        <v>3</v>
      </c>
      <c r="C129" s="1" t="s">
        <v>2</v>
      </c>
    </row>
    <row r="130" spans="2:3" x14ac:dyDescent="0.25">
      <c r="B130" t="s">
        <v>1</v>
      </c>
      <c r="C130" s="1" t="s">
        <v>0</v>
      </c>
    </row>
  </sheetData>
  <sheetProtection selectLockedCells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QTP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2022-06-24T10:35:48Z</dcterms:created>
  <dcterms:modified xsi:type="dcterms:W3CDTF">2022-06-24T10:35:59Z</dcterms:modified>
</cp:coreProperties>
</file>