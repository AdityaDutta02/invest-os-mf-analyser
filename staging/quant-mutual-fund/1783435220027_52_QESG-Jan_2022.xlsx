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QESG" sheetId="1" r:id="rId1"/>
  </sheets>
  <calcPr calcId="145621"/>
</workbook>
</file>

<file path=xl/calcChain.xml><?xml version="1.0" encoding="utf-8"?>
<calcChain xmlns="http://schemas.openxmlformats.org/spreadsheetml/2006/main">
  <c r="G40" i="1" l="1"/>
  <c r="H40" i="1"/>
  <c r="G43" i="1"/>
  <c r="H43" i="1"/>
  <c r="H44" i="1" s="1"/>
  <c r="G44" i="1"/>
  <c r="G48" i="1"/>
  <c r="H48" i="1"/>
  <c r="G51" i="1"/>
  <c r="G52" i="1" s="1"/>
  <c r="G85" i="1" s="1"/>
  <c r="H51" i="1"/>
  <c r="H52" i="1"/>
  <c r="G56" i="1"/>
  <c r="G63" i="1" s="1"/>
  <c r="H56" i="1"/>
  <c r="G59" i="1"/>
  <c r="H59" i="1"/>
  <c r="G62" i="1"/>
  <c r="H62" i="1"/>
  <c r="H63" i="1"/>
  <c r="G67" i="1"/>
  <c r="H67" i="1"/>
  <c r="G70" i="1"/>
  <c r="H70" i="1"/>
  <c r="H71" i="1" s="1"/>
  <c r="G71" i="1"/>
  <c r="G75" i="1"/>
  <c r="H75" i="1"/>
  <c r="H84" i="1" s="1"/>
  <c r="G79" i="1"/>
  <c r="H79" i="1"/>
  <c r="G83" i="1"/>
  <c r="H83" i="1"/>
  <c r="G84" i="1"/>
  <c r="H85" i="1" l="1"/>
</calcChain>
</file>

<file path=xl/sharedStrings.xml><?xml version="1.0" encoding="utf-8"?>
<sst xmlns="http://schemas.openxmlformats.org/spreadsheetml/2006/main" count="235" uniqueCount="139">
  <si>
    <t>The funds parked in short term deposit(s) as on 31 Jan 2022    were NIL</t>
  </si>
  <si>
    <t>9</t>
  </si>
  <si>
    <t>The Portfolio Turnover Ratio is 4.13 times / The Average Maturity period is  0  Days</t>
  </si>
  <si>
    <t>8</t>
  </si>
  <si>
    <t>Total Investments in foreign securities/ADRs / GDRs as on 31 Jan 2022   is NIL</t>
  </si>
  <si>
    <t>7</t>
  </si>
  <si>
    <t>Total outstanding exposure in derivatives instruments as on 31 Jan 2022   is NIL</t>
  </si>
  <si>
    <t>6</t>
  </si>
  <si>
    <t>Bonus declared during the period is NIL</t>
  </si>
  <si>
    <t>Dividend declared during the period is NIL</t>
  </si>
  <si>
    <t>5</t>
  </si>
  <si>
    <t>Quant ESG Equity Fund - IDCW - Direct Plan is Rs. 19.4838</t>
  </si>
  <si>
    <t>Quant ESG Equity Fund - Growth - Direct Plan is Rs. 19.5126</t>
  </si>
  <si>
    <t>Quant ESG Equity Fund - Regular Plan - IDCW is Rs. 19.208</t>
  </si>
  <si>
    <t>Quant ESG Equity Fund - Regular Plan - Growth is Rs. 19.2314</t>
  </si>
  <si>
    <t>NAV as on 31 Dec 2021</t>
  </si>
  <si>
    <t>4</t>
  </si>
  <si>
    <t>Quant ESG Equity Fund - IDCW - Direct Plan is Rs. 19.4966</t>
  </si>
  <si>
    <t>Quant ESG Equity Fund - Growth - Direct Plan is Rs. 19.527</t>
  </si>
  <si>
    <t>Quant ESG Equity Fund - Regular Plan - IDCW is Rs. 19.201</t>
  </si>
  <si>
    <t>Quant ESG Equity Fund - Regular Plan - Growth is Rs. 19.2215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</si>
  <si>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</si>
  <si>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</si>
  <si>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</si>
  <si>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</si>
  <si>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</si>
  <si>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</si>
  <si>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</si>
  <si>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</si>
  <si>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</si>
  <si>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</si>
  <si>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</si>
  <si>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</si>
  <si>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</si>
  <si>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</si>
  <si>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</si>
  <si>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</si>
  <si>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</si>
  <si>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</si>
  <si>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</si>
  <si>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</si>
  <si>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</si>
  <si>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</si>
  <si>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</si>
  <si>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</si>
  <si>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</si>
  <si>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</si>
  <si>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</si>
  <si>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</si>
  <si>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</si>
  <si>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</si>
  <si>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</si>
  <si>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ENTERTAINMENT</t>
  </si>
  <si>
    <t>TV18 Broadcast Ltd</t>
  </si>
  <si>
    <t>INE886H01027</t>
  </si>
  <si>
    <t>CONSTRUCTION</t>
  </si>
  <si>
    <t>Macrotech Developers Limited</t>
  </si>
  <si>
    <t>INE670K01029</t>
  </si>
  <si>
    <t>BANKS</t>
  </si>
  <si>
    <t>State Bank of India</t>
  </si>
  <si>
    <t>INE062A01020</t>
  </si>
  <si>
    <t>HEALTHCARE SERVICES</t>
  </si>
  <si>
    <t>Tarsons Products Limited</t>
  </si>
  <si>
    <t>INE144Z01023</t>
  </si>
  <si>
    <t>HDFC Bank Limited</t>
  </si>
  <si>
    <t>INE040A01034</t>
  </si>
  <si>
    <t>TV Today Network Limited</t>
  </si>
  <si>
    <t>INE038F01029</t>
  </si>
  <si>
    <t>PHARMACEUTICALS</t>
  </si>
  <si>
    <t>Natco Pharma Ltd</t>
  </si>
  <si>
    <t>INE987B01026</t>
  </si>
  <si>
    <t>Divi's Laboratories Limited</t>
  </si>
  <si>
    <t>INE361B01024</t>
  </si>
  <si>
    <t>SOFTWARE</t>
  </si>
  <si>
    <t>HCL Technologies Limited</t>
  </si>
  <si>
    <t>INE860A01027</t>
  </si>
  <si>
    <t>CAPITAL MARKETS</t>
  </si>
  <si>
    <t>BSE Ltd</t>
  </si>
  <si>
    <t>INE118H01025</t>
  </si>
  <si>
    <t>CONSTRUCTION PROJECT</t>
  </si>
  <si>
    <t>Larsen &amp; Toubro Limited</t>
  </si>
  <si>
    <t>INE018A01030</t>
  </si>
  <si>
    <t>Sun Pharma Advanced Research Co. Ltd</t>
  </si>
  <si>
    <t>INE232I01014</t>
  </si>
  <si>
    <t>Network18 Media &amp; Investments Limited</t>
  </si>
  <si>
    <t>INE870H01013</t>
  </si>
  <si>
    <t>FINANCE</t>
  </si>
  <si>
    <t>Piramal Enterprises Limited</t>
  </si>
  <si>
    <t>INE140A01024</t>
  </si>
  <si>
    <t>TELECOM - SERVICES</t>
  </si>
  <si>
    <t>Tata Communications Limited</t>
  </si>
  <si>
    <t>INE151A01013</t>
  </si>
  <si>
    <t>Bharti Airtel Limited</t>
  </si>
  <si>
    <t>INE397D01024</t>
  </si>
  <si>
    <t>Prestige Estates Projects Ltd</t>
  </si>
  <si>
    <t>INE811K01011</t>
  </si>
  <si>
    <t>SUN TV Network Limited</t>
  </si>
  <si>
    <t>INE424H01027</t>
  </si>
  <si>
    <t>CEMENT &amp; CEMENT PRODUCTS</t>
  </si>
  <si>
    <t>UltraTech Cement Limited</t>
  </si>
  <si>
    <t>INE481G01011</t>
  </si>
  <si>
    <t>PETROLEUM PRODUCTS</t>
  </si>
  <si>
    <t>Reliance Industries Limited</t>
  </si>
  <si>
    <t>INE002A01018</t>
  </si>
  <si>
    <t>RETAILING</t>
  </si>
  <si>
    <t>Just Dial Limited</t>
  </si>
  <si>
    <t>INE599M01018</t>
  </si>
  <si>
    <t>HFCL Limited</t>
  </si>
  <si>
    <t>INE548A01028</t>
  </si>
  <si>
    <t>CHEMICALS</t>
  </si>
  <si>
    <t>Linde India Ltd.</t>
  </si>
  <si>
    <t>INE473A01011</t>
  </si>
  <si>
    <t>TRANSPORTATION</t>
  </si>
  <si>
    <t>Adani Ports &amp; Special Economic Zone Ltd</t>
  </si>
  <si>
    <t>INE742F01042</t>
  </si>
  <si>
    <t>MINERALS/MINING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</si>
  <si>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</si>
  <si>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</si>
  <si>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</si>
  <si>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</si>
  <si>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</si>
  <si>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</si>
  <si>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</si>
  <si>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</si>
  <si>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</si>
  <si>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</si>
  <si>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</si>
  <si>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</si>
  <si>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DIRECT PLAN-GROWTH - INF966L01AD4</t>
  </si>
  <si>
    <t>DIRECT DIVIDEND REINVESTMENT - INF966L01AG7</t>
  </si>
  <si>
    <t>DIRECT PLAN-DIVIDEND PAYOUT - INF966L01AE2</t>
  </si>
  <si>
    <t>Risk-o-meter of the Benchmark</t>
  </si>
  <si>
    <t>Risk-o-meter of the Scheme</t>
  </si>
  <si>
    <t>GROWTH - INF966L01AB8</t>
  </si>
  <si>
    <t>DIVIDEND RE-INVESTMENT - INF966L01AF9</t>
  </si>
  <si>
    <t>DIVIDEND PAYOUT - INF966L01AC6</t>
  </si>
  <si>
    <t>MONTHLY PORTFOLIO STATEMENT AS ON 31 Jan 2022</t>
  </si>
  <si>
    <t>QUANT ESG EQUITY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</si>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</sst>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topLeftCell="A68" workbookViewId="0">
      <selection activeCell="C97" sqref="C97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138</v>
      </c>
    </row>
    <row r="2" spans="1:8" ht="21" x14ac:dyDescent="0.35">
      <c r="C2" s="19" t="s">
        <v>137</v>
      </c>
    </row>
    <row r="3" spans="1:8" x14ac:dyDescent="0.25">
      <c r="C3" t="s">
        <v>136</v>
      </c>
    </row>
    <row r="5" spans="1:8" x14ac:dyDescent="0.25">
      <c r="C5" t="s">
        <v>135</v>
      </c>
    </row>
    <row r="6" spans="1:8" x14ac:dyDescent="0.25">
      <c r="C6" t="s">
        <v>134</v>
      </c>
    </row>
    <row r="7" spans="1:8" x14ac:dyDescent="0.25">
      <c r="C7" t="s">
        <v>133</v>
      </c>
      <c r="E7" t="s">
        <v>132</v>
      </c>
      <c r="G7" t="s">
        <v>131</v>
      </c>
    </row>
    <row r="8" spans="1:8" x14ac:dyDescent="0.25">
      <c r="C8" t="s">
        <v>130</v>
      </c>
    </row>
    <row r="9" spans="1:8" x14ac:dyDescent="0.25">
      <c r="C9" t="s">
        <v>129</v>
      </c>
    </row>
    <row r="10" spans="1:8" ht="15.75" thickBot="1" x14ac:dyDescent="0.3">
      <c r="C10" t="s">
        <v>128</v>
      </c>
    </row>
    <row r="11" spans="1:8" ht="16.5" thickTop="1" x14ac:dyDescent="0.25">
      <c r="A11" s="18" t="s">
        <v>127</v>
      </c>
      <c r="B11" s="17" t="s">
        <v>126</v>
      </c>
      <c r="C11" s="17" t="s">
        <v>125</v>
      </c>
      <c r="D11" s="17" t="s">
        <v>124</v>
      </c>
      <c r="E11" s="17" t="s">
        <v>123</v>
      </c>
      <c r="F11" s="17" t="s">
        <v>122</v>
      </c>
      <c r="G11" s="16" t="s">
        <v>121</v>
      </c>
      <c r="H11" s="15" t="s">
        <v>120</v>
      </c>
    </row>
    <row r="12" spans="1:8" ht="15.75" x14ac:dyDescent="0.25">
      <c r="A12" s="7"/>
      <c r="B12" s="6"/>
      <c r="C12" s="6"/>
      <c r="D12" s="6"/>
      <c r="E12" s="6"/>
      <c r="F12" s="6"/>
      <c r="G12" s="9"/>
      <c r="H12" s="14"/>
    </row>
    <row r="13" spans="1:8" ht="15.75" x14ac:dyDescent="0.25">
      <c r="A13" s="7"/>
      <c r="B13" s="6"/>
      <c r="C13" s="6" t="s">
        <v>119</v>
      </c>
      <c r="D13" s="6"/>
      <c r="E13" s="6"/>
      <c r="F13" s="6"/>
      <c r="G13" s="9"/>
      <c r="H13" s="14"/>
    </row>
    <row r="14" spans="1:8" ht="15.75" x14ac:dyDescent="0.25">
      <c r="A14" s="7"/>
      <c r="B14" s="6"/>
      <c r="C14" s="6" t="s">
        <v>118</v>
      </c>
      <c r="D14" s="6"/>
      <c r="E14" s="6"/>
      <c r="F14" s="6"/>
      <c r="G14" s="9"/>
      <c r="H14" s="14"/>
    </row>
    <row r="15" spans="1:8" ht="15.75" x14ac:dyDescent="0.25">
      <c r="A15" s="13">
        <v>1</v>
      </c>
      <c r="B15" s="12" t="s">
        <v>117</v>
      </c>
      <c r="C15" s="12" t="s">
        <v>116</v>
      </c>
      <c r="D15" s="12" t="s">
        <v>31</v>
      </c>
      <c r="E15" s="12" t="s">
        <v>115</v>
      </c>
      <c r="F15" s="12">
        <v>19650</v>
      </c>
      <c r="G15" s="11">
        <v>336.98768000000001</v>
      </c>
      <c r="H15" s="10">
        <v>8.090014</v>
      </c>
    </row>
    <row r="16" spans="1:8" ht="15.75" x14ac:dyDescent="0.25">
      <c r="A16" s="13">
        <v>2</v>
      </c>
      <c r="B16" s="12" t="s">
        <v>114</v>
      </c>
      <c r="C16" s="12" t="s">
        <v>113</v>
      </c>
      <c r="D16" s="12" t="s">
        <v>31</v>
      </c>
      <c r="E16" s="12" t="s">
        <v>112</v>
      </c>
      <c r="F16" s="12">
        <v>47000</v>
      </c>
      <c r="G16" s="11">
        <v>336.661</v>
      </c>
      <c r="H16" s="10">
        <v>8.0821710000000007</v>
      </c>
    </row>
    <row r="17" spans="1:8" ht="15.75" x14ac:dyDescent="0.25">
      <c r="A17" s="13">
        <v>3</v>
      </c>
      <c r="B17" s="12" t="s">
        <v>111</v>
      </c>
      <c r="C17" s="12" t="s">
        <v>110</v>
      </c>
      <c r="D17" s="12" t="s">
        <v>31</v>
      </c>
      <c r="E17" s="12" t="s">
        <v>109</v>
      </c>
      <c r="F17" s="12">
        <v>10890</v>
      </c>
      <c r="G17" s="11">
        <v>297.75981999999999</v>
      </c>
      <c r="H17" s="10">
        <v>7.1482760000000001</v>
      </c>
    </row>
    <row r="18" spans="1:8" ht="15.75" x14ac:dyDescent="0.25">
      <c r="A18" s="13">
        <v>4</v>
      </c>
      <c r="B18" s="12" t="s">
        <v>108</v>
      </c>
      <c r="C18" s="12" t="s">
        <v>107</v>
      </c>
      <c r="D18" s="12" t="s">
        <v>31</v>
      </c>
      <c r="E18" s="12" t="s">
        <v>89</v>
      </c>
      <c r="F18" s="12">
        <v>365368</v>
      </c>
      <c r="G18" s="11">
        <v>289.91951</v>
      </c>
      <c r="H18" s="10">
        <v>6.9600549999999997</v>
      </c>
    </row>
    <row r="19" spans="1:8" ht="15.75" x14ac:dyDescent="0.25">
      <c r="A19" s="13">
        <v>5</v>
      </c>
      <c r="B19" s="12" t="s">
        <v>106</v>
      </c>
      <c r="C19" s="12" t="s">
        <v>105</v>
      </c>
      <c r="D19" s="12" t="s">
        <v>31</v>
      </c>
      <c r="E19" s="12" t="s">
        <v>104</v>
      </c>
      <c r="F19" s="12">
        <v>31670</v>
      </c>
      <c r="G19" s="11">
        <v>286.99354</v>
      </c>
      <c r="H19" s="10">
        <v>6.889812</v>
      </c>
    </row>
    <row r="20" spans="1:8" ht="15.75" x14ac:dyDescent="0.25">
      <c r="A20" s="13">
        <v>6</v>
      </c>
      <c r="B20" s="12" t="s">
        <v>103</v>
      </c>
      <c r="C20" s="12" t="s">
        <v>102</v>
      </c>
      <c r="D20" s="12" t="s">
        <v>31</v>
      </c>
      <c r="E20" s="12" t="s">
        <v>101</v>
      </c>
      <c r="F20" s="12">
        <v>9300</v>
      </c>
      <c r="G20" s="11">
        <v>221.9538</v>
      </c>
      <c r="H20" s="10">
        <v>5.3284120000000001</v>
      </c>
    </row>
    <row r="21" spans="1:8" ht="15.75" x14ac:dyDescent="0.25">
      <c r="A21" s="13">
        <v>7</v>
      </c>
      <c r="B21" s="12" t="s">
        <v>100</v>
      </c>
      <c r="C21" s="12" t="s">
        <v>99</v>
      </c>
      <c r="D21" s="12" t="s">
        <v>31</v>
      </c>
      <c r="E21" s="12" t="s">
        <v>98</v>
      </c>
      <c r="F21" s="12">
        <v>2900</v>
      </c>
      <c r="G21" s="11">
        <v>209.2756</v>
      </c>
      <c r="H21" s="10">
        <v>5.0240489999999998</v>
      </c>
    </row>
    <row r="22" spans="1:8" ht="15.75" x14ac:dyDescent="0.25">
      <c r="A22" s="13">
        <v>8</v>
      </c>
      <c r="B22" s="12" t="s">
        <v>97</v>
      </c>
      <c r="C22" s="12" t="s">
        <v>96</v>
      </c>
      <c r="D22" s="12" t="s">
        <v>31</v>
      </c>
      <c r="E22" s="12" t="s">
        <v>52</v>
      </c>
      <c r="F22" s="12">
        <v>42000</v>
      </c>
      <c r="G22" s="11">
        <v>209.07599999999999</v>
      </c>
      <c r="H22" s="10">
        <v>5.0192569999999996</v>
      </c>
    </row>
    <row r="23" spans="1:8" ht="15.75" x14ac:dyDescent="0.25">
      <c r="A23" s="13">
        <v>9</v>
      </c>
      <c r="B23" s="12" t="s">
        <v>95</v>
      </c>
      <c r="C23" s="12" t="s">
        <v>94</v>
      </c>
      <c r="D23" s="12" t="s">
        <v>31</v>
      </c>
      <c r="E23" s="12" t="s">
        <v>55</v>
      </c>
      <c r="F23" s="12">
        <v>41250</v>
      </c>
      <c r="G23" s="11">
        <v>201.42375000000001</v>
      </c>
      <c r="H23" s="10">
        <v>4.8355499999999996</v>
      </c>
    </row>
    <row r="24" spans="1:8" ht="15.75" x14ac:dyDescent="0.25">
      <c r="A24" s="13">
        <v>10</v>
      </c>
      <c r="B24" s="12" t="s">
        <v>93</v>
      </c>
      <c r="C24" s="12" t="s">
        <v>92</v>
      </c>
      <c r="D24" s="12" t="s">
        <v>31</v>
      </c>
      <c r="E24" s="12" t="s">
        <v>89</v>
      </c>
      <c r="F24" s="12">
        <v>25200</v>
      </c>
      <c r="G24" s="11">
        <v>183.78360000000001</v>
      </c>
      <c r="H24" s="10">
        <v>4.4120660000000003</v>
      </c>
    </row>
    <row r="25" spans="1:8" ht="15.75" x14ac:dyDescent="0.25">
      <c r="A25" s="13">
        <v>11</v>
      </c>
      <c r="B25" s="12" t="s">
        <v>91</v>
      </c>
      <c r="C25" s="12" t="s">
        <v>90</v>
      </c>
      <c r="D25" s="12" t="s">
        <v>31</v>
      </c>
      <c r="E25" s="12" t="s">
        <v>89</v>
      </c>
      <c r="F25" s="12">
        <v>13280</v>
      </c>
      <c r="G25" s="11">
        <v>170.42223999999999</v>
      </c>
      <c r="H25" s="10">
        <v>4.0913019999999998</v>
      </c>
    </row>
    <row r="26" spans="1:8" ht="15.75" x14ac:dyDescent="0.25">
      <c r="A26" s="13">
        <v>12</v>
      </c>
      <c r="B26" s="12" t="s">
        <v>88</v>
      </c>
      <c r="C26" s="12" t="s">
        <v>87</v>
      </c>
      <c r="D26" s="12" t="s">
        <v>31</v>
      </c>
      <c r="E26" s="12" t="s">
        <v>86</v>
      </c>
      <c r="F26" s="12">
        <v>6875</v>
      </c>
      <c r="G26" s="11">
        <v>164.41906</v>
      </c>
      <c r="H26" s="10">
        <v>3.947184</v>
      </c>
    </row>
    <row r="27" spans="1:8" ht="15.75" x14ac:dyDescent="0.25">
      <c r="A27" s="13">
        <v>13</v>
      </c>
      <c r="B27" s="12" t="s">
        <v>85</v>
      </c>
      <c r="C27" s="12" t="s">
        <v>84</v>
      </c>
      <c r="D27" s="12" t="s">
        <v>31</v>
      </c>
      <c r="E27" s="12" t="s">
        <v>52</v>
      </c>
      <c r="F27" s="12">
        <v>195000</v>
      </c>
      <c r="G27" s="11">
        <v>159.9</v>
      </c>
      <c r="H27" s="10">
        <v>3.8386960000000001</v>
      </c>
    </row>
    <row r="28" spans="1:8" ht="15.75" x14ac:dyDescent="0.25">
      <c r="A28" s="13">
        <v>14</v>
      </c>
      <c r="B28" s="12" t="s">
        <v>83</v>
      </c>
      <c r="C28" s="12" t="s">
        <v>82</v>
      </c>
      <c r="D28" s="12" t="s">
        <v>31</v>
      </c>
      <c r="E28" s="12" t="s">
        <v>68</v>
      </c>
      <c r="F28" s="12">
        <v>50000</v>
      </c>
      <c r="G28" s="11">
        <v>156.22499999999999</v>
      </c>
      <c r="H28" s="10">
        <v>3.7504710000000001</v>
      </c>
    </row>
    <row r="29" spans="1:8" ht="15.75" x14ac:dyDescent="0.25">
      <c r="A29" s="13">
        <v>15</v>
      </c>
      <c r="B29" s="12" t="s">
        <v>81</v>
      </c>
      <c r="C29" s="12" t="s">
        <v>80</v>
      </c>
      <c r="D29" s="12" t="s">
        <v>31</v>
      </c>
      <c r="E29" s="12" t="s">
        <v>79</v>
      </c>
      <c r="F29" s="12">
        <v>7650</v>
      </c>
      <c r="G29" s="11">
        <v>146.0538</v>
      </c>
      <c r="H29" s="10">
        <v>3.5062920000000002</v>
      </c>
    </row>
    <row r="30" spans="1:8" ht="15.75" x14ac:dyDescent="0.25">
      <c r="A30" s="13">
        <v>16</v>
      </c>
      <c r="B30" s="12" t="s">
        <v>78</v>
      </c>
      <c r="C30" s="12" t="s">
        <v>77</v>
      </c>
      <c r="D30" s="12" t="s">
        <v>31</v>
      </c>
      <c r="E30" s="12" t="s">
        <v>76</v>
      </c>
      <c r="F30" s="12">
        <v>7425</v>
      </c>
      <c r="G30" s="11">
        <v>145.02139</v>
      </c>
      <c r="H30" s="10">
        <v>3.4815070000000001</v>
      </c>
    </row>
    <row r="31" spans="1:8" ht="15.75" x14ac:dyDescent="0.25">
      <c r="A31" s="13">
        <v>17</v>
      </c>
      <c r="B31" s="12" t="s">
        <v>75</v>
      </c>
      <c r="C31" s="12" t="s">
        <v>74</v>
      </c>
      <c r="D31" s="12" t="s">
        <v>31</v>
      </c>
      <c r="E31" s="12" t="s">
        <v>73</v>
      </c>
      <c r="F31" s="12">
        <v>12600</v>
      </c>
      <c r="G31" s="11">
        <v>138.52440000000001</v>
      </c>
      <c r="H31" s="10">
        <v>3.3255349999999999</v>
      </c>
    </row>
    <row r="32" spans="1:8" ht="15.75" x14ac:dyDescent="0.25">
      <c r="A32" s="13">
        <v>18</v>
      </c>
      <c r="B32" s="12" t="s">
        <v>72</v>
      </c>
      <c r="C32" s="12" t="s">
        <v>71</v>
      </c>
      <c r="D32" s="12" t="s">
        <v>31</v>
      </c>
      <c r="E32" s="12" t="s">
        <v>68</v>
      </c>
      <c r="F32" s="12">
        <v>2850</v>
      </c>
      <c r="G32" s="11">
        <v>115.02885000000001</v>
      </c>
      <c r="H32" s="10">
        <v>2.7614809999999999</v>
      </c>
    </row>
    <row r="33" spans="1:8" ht="15.75" x14ac:dyDescent="0.25">
      <c r="A33" s="13">
        <v>19</v>
      </c>
      <c r="B33" s="12" t="s">
        <v>70</v>
      </c>
      <c r="C33" s="12" t="s">
        <v>69</v>
      </c>
      <c r="D33" s="12" t="s">
        <v>31</v>
      </c>
      <c r="E33" s="12" t="s">
        <v>68</v>
      </c>
      <c r="F33" s="12">
        <v>9500</v>
      </c>
      <c r="G33" s="11">
        <v>86.483249999999998</v>
      </c>
      <c r="H33" s="10">
        <v>2.0761910000000001</v>
      </c>
    </row>
    <row r="34" spans="1:8" ht="15.75" x14ac:dyDescent="0.25">
      <c r="A34" s="13">
        <v>20</v>
      </c>
      <c r="B34" s="12" t="s">
        <v>67</v>
      </c>
      <c r="C34" s="12" t="s">
        <v>66</v>
      </c>
      <c r="D34" s="12" t="s">
        <v>31</v>
      </c>
      <c r="E34" s="12" t="s">
        <v>52</v>
      </c>
      <c r="F34" s="12">
        <v>22000</v>
      </c>
      <c r="G34" s="11">
        <v>86.174000000000007</v>
      </c>
      <c r="H34" s="10">
        <v>2.0687669999999998</v>
      </c>
    </row>
    <row r="35" spans="1:8" ht="15.75" x14ac:dyDescent="0.25">
      <c r="A35" s="13">
        <v>21</v>
      </c>
      <c r="B35" s="12" t="s">
        <v>65</v>
      </c>
      <c r="C35" s="12" t="s">
        <v>64</v>
      </c>
      <c r="D35" s="12" t="s">
        <v>31</v>
      </c>
      <c r="E35" s="12" t="s">
        <v>58</v>
      </c>
      <c r="F35" s="12">
        <v>5600</v>
      </c>
      <c r="G35" s="11">
        <v>83.199200000000005</v>
      </c>
      <c r="H35" s="10">
        <v>1.9973510000000001</v>
      </c>
    </row>
    <row r="36" spans="1:8" ht="15.75" x14ac:dyDescent="0.25">
      <c r="A36" s="13">
        <v>22</v>
      </c>
      <c r="B36" s="12" t="s">
        <v>63</v>
      </c>
      <c r="C36" s="12" t="s">
        <v>62</v>
      </c>
      <c r="D36" s="12" t="s">
        <v>31</v>
      </c>
      <c r="E36" s="12" t="s">
        <v>61</v>
      </c>
      <c r="F36" s="12">
        <v>11100</v>
      </c>
      <c r="G36" s="11">
        <v>78.060749999999999</v>
      </c>
      <c r="H36" s="10">
        <v>1.873993</v>
      </c>
    </row>
    <row r="37" spans="1:8" ht="15.75" x14ac:dyDescent="0.25">
      <c r="A37" s="13">
        <v>23</v>
      </c>
      <c r="B37" s="12" t="s">
        <v>60</v>
      </c>
      <c r="C37" s="12" t="s">
        <v>59</v>
      </c>
      <c r="D37" s="12" t="s">
        <v>31</v>
      </c>
      <c r="E37" s="12" t="s">
        <v>58</v>
      </c>
      <c r="F37" s="12">
        <v>11550</v>
      </c>
      <c r="G37" s="11">
        <v>62.173650000000002</v>
      </c>
      <c r="H37" s="10">
        <v>1.492594</v>
      </c>
    </row>
    <row r="38" spans="1:8" ht="15.75" x14ac:dyDescent="0.25">
      <c r="A38" s="13">
        <v>24</v>
      </c>
      <c r="B38" s="12" t="s">
        <v>57</v>
      </c>
      <c r="C38" s="12" t="s">
        <v>56</v>
      </c>
      <c r="D38" s="12" t="s">
        <v>31</v>
      </c>
      <c r="E38" s="12" t="s">
        <v>55</v>
      </c>
      <c r="F38" s="12">
        <v>3000</v>
      </c>
      <c r="G38" s="11">
        <v>38.8245</v>
      </c>
      <c r="H38" s="10">
        <v>0.93205400000000005</v>
      </c>
    </row>
    <row r="39" spans="1:8" ht="15.75" x14ac:dyDescent="0.25">
      <c r="A39" s="13">
        <v>25</v>
      </c>
      <c r="B39" s="12" t="s">
        <v>54</v>
      </c>
      <c r="C39" s="12" t="s">
        <v>53</v>
      </c>
      <c r="D39" s="12" t="s">
        <v>31</v>
      </c>
      <c r="E39" s="12" t="s">
        <v>52</v>
      </c>
      <c r="F39" s="12">
        <v>62000</v>
      </c>
      <c r="G39" s="11">
        <v>36.642000000000003</v>
      </c>
      <c r="H39" s="10">
        <v>0.87965899999999997</v>
      </c>
    </row>
    <row r="40" spans="1:8" ht="15.75" x14ac:dyDescent="0.25">
      <c r="A40" s="7"/>
      <c r="B40" s="6"/>
      <c r="C40" s="6" t="s">
        <v>30</v>
      </c>
      <c r="D40" s="6"/>
      <c r="E40" s="6"/>
      <c r="F40" s="6"/>
      <c r="G40" s="9">
        <f>SUM(G15:G39)</f>
        <v>4240.9863899999991</v>
      </c>
      <c r="H40" s="8">
        <f>SUM(H15:H39)</f>
        <v>101.81273899999998</v>
      </c>
    </row>
    <row r="41" spans="1:8" ht="15.75" x14ac:dyDescent="0.25">
      <c r="A41" s="7"/>
      <c r="B41" s="6"/>
      <c r="C41" s="6"/>
      <c r="D41" s="6"/>
      <c r="E41" s="6"/>
      <c r="F41" s="6"/>
      <c r="G41" s="9"/>
      <c r="H41" s="14"/>
    </row>
    <row r="42" spans="1:8" ht="15.75" x14ac:dyDescent="0.25">
      <c r="A42" s="7"/>
      <c r="B42" s="6"/>
      <c r="C42" s="6" t="s">
        <v>51</v>
      </c>
      <c r="D42" s="6" t="s">
        <v>38</v>
      </c>
      <c r="E42" s="6" t="s">
        <v>38</v>
      </c>
      <c r="F42" s="6" t="s">
        <v>38</v>
      </c>
      <c r="G42" s="9" t="s">
        <v>38</v>
      </c>
      <c r="H42" s="14" t="s">
        <v>38</v>
      </c>
    </row>
    <row r="43" spans="1:8" ht="16.5" thickBot="1" x14ac:dyDescent="0.3">
      <c r="A43" s="7"/>
      <c r="B43" s="6"/>
      <c r="C43" s="6" t="s">
        <v>30</v>
      </c>
      <c r="D43" s="6"/>
      <c r="E43" s="6"/>
      <c r="F43" s="6"/>
      <c r="G43" s="9">
        <f>SUM(G42:G42)</f>
        <v>0</v>
      </c>
      <c r="H43" s="8">
        <f>SUM(H42:H42)</f>
        <v>0</v>
      </c>
    </row>
    <row r="44" spans="1:8" ht="17.25" thickTop="1" thickBot="1" x14ac:dyDescent="0.3">
      <c r="A44" s="7"/>
      <c r="B44" s="6"/>
      <c r="C44" s="6" t="s">
        <v>29</v>
      </c>
      <c r="D44" s="6"/>
      <c r="E44" s="6"/>
      <c r="F44" s="6"/>
      <c r="G44" s="3">
        <f>SUM(G40,G43)</f>
        <v>4240.9863899999991</v>
      </c>
      <c r="H44" s="3">
        <f>SUM(H40,H43)</f>
        <v>101.81273899999998</v>
      </c>
    </row>
    <row r="45" spans="1:8" ht="16.5" thickTop="1" x14ac:dyDescent="0.25">
      <c r="A45" s="7"/>
      <c r="B45" s="6"/>
      <c r="C45" s="6"/>
      <c r="D45" s="6"/>
      <c r="E45" s="6"/>
      <c r="F45" s="6"/>
      <c r="G45" s="9"/>
      <c r="H45" s="14"/>
    </row>
    <row r="46" spans="1:8" ht="15.75" x14ac:dyDescent="0.25">
      <c r="A46" s="7"/>
      <c r="B46" s="6"/>
      <c r="C46" s="6" t="s">
        <v>50</v>
      </c>
      <c r="D46" s="6"/>
      <c r="E46" s="6"/>
      <c r="F46" s="6"/>
      <c r="G46" s="9"/>
      <c r="H46" s="14"/>
    </row>
    <row r="47" spans="1:8" ht="15.75" x14ac:dyDescent="0.25">
      <c r="A47" s="7"/>
      <c r="B47" s="6"/>
      <c r="C47" s="6" t="s">
        <v>49</v>
      </c>
      <c r="D47" s="6" t="s">
        <v>38</v>
      </c>
      <c r="E47" s="6" t="s">
        <v>38</v>
      </c>
      <c r="F47" s="6" t="s">
        <v>38</v>
      </c>
      <c r="G47" s="9" t="s">
        <v>38</v>
      </c>
      <c r="H47" s="14" t="s">
        <v>38</v>
      </c>
    </row>
    <row r="48" spans="1:8" ht="15.75" x14ac:dyDescent="0.25">
      <c r="A48" s="7"/>
      <c r="B48" s="6"/>
      <c r="C48" s="6" t="s">
        <v>30</v>
      </c>
      <c r="D48" s="6"/>
      <c r="E48" s="6"/>
      <c r="F48" s="6"/>
      <c r="G48" s="9">
        <f>SUM(G47:G47)</f>
        <v>0</v>
      </c>
      <c r="H48" s="8">
        <f>SUM(H47:H47)</f>
        <v>0</v>
      </c>
    </row>
    <row r="49" spans="1:8" ht="15.75" x14ac:dyDescent="0.25">
      <c r="A49" s="7"/>
      <c r="B49" s="6"/>
      <c r="C49" s="6"/>
      <c r="D49" s="6"/>
      <c r="E49" s="6"/>
      <c r="F49" s="6"/>
      <c r="G49" s="9"/>
      <c r="H49" s="14"/>
    </row>
    <row r="50" spans="1:8" ht="15.75" x14ac:dyDescent="0.25">
      <c r="A50" s="7"/>
      <c r="B50" s="6"/>
      <c r="C50" s="6" t="s">
        <v>48</v>
      </c>
      <c r="D50" s="6" t="s">
        <v>38</v>
      </c>
      <c r="E50" s="6" t="s">
        <v>38</v>
      </c>
      <c r="F50" s="6" t="s">
        <v>38</v>
      </c>
      <c r="G50" s="9" t="s">
        <v>38</v>
      </c>
      <c r="H50" s="14" t="s">
        <v>38</v>
      </c>
    </row>
    <row r="51" spans="1:8" ht="16.5" thickBot="1" x14ac:dyDescent="0.3">
      <c r="A51" s="7"/>
      <c r="B51" s="6"/>
      <c r="C51" s="6" t="s">
        <v>30</v>
      </c>
      <c r="D51" s="6"/>
      <c r="E51" s="6"/>
      <c r="F51" s="6"/>
      <c r="G51" s="9">
        <f>SUM(G50:G50)</f>
        <v>0</v>
      </c>
      <c r="H51" s="8">
        <f>SUM(H50:H50)</f>
        <v>0</v>
      </c>
    </row>
    <row r="52" spans="1:8" ht="17.25" thickTop="1" thickBot="1" x14ac:dyDescent="0.3">
      <c r="A52" s="7"/>
      <c r="B52" s="6"/>
      <c r="C52" s="6" t="s">
        <v>29</v>
      </c>
      <c r="D52" s="6"/>
      <c r="E52" s="6"/>
      <c r="F52" s="6"/>
      <c r="G52" s="3">
        <f>SUM(G48,G51)</f>
        <v>0</v>
      </c>
      <c r="H52" s="3">
        <f>SUM(H48,H51)</f>
        <v>0</v>
      </c>
    </row>
    <row r="53" spans="1:8" ht="16.5" thickTop="1" x14ac:dyDescent="0.25">
      <c r="A53" s="7"/>
      <c r="B53" s="6"/>
      <c r="C53" s="6"/>
      <c r="D53" s="6"/>
      <c r="E53" s="6"/>
      <c r="F53" s="6"/>
      <c r="G53" s="9"/>
      <c r="H53" s="14"/>
    </row>
    <row r="54" spans="1:8" ht="15.75" x14ac:dyDescent="0.25">
      <c r="A54" s="7"/>
      <c r="B54" s="6"/>
      <c r="C54" s="6" t="s">
        <v>47</v>
      </c>
      <c r="D54" s="6"/>
      <c r="E54" s="6"/>
      <c r="F54" s="6"/>
      <c r="G54" s="9"/>
      <c r="H54" s="14"/>
    </row>
    <row r="55" spans="1:8" ht="15.75" x14ac:dyDescent="0.25">
      <c r="A55" s="7"/>
      <c r="B55" s="6"/>
      <c r="C55" s="6" t="s">
        <v>46</v>
      </c>
      <c r="D55" s="6" t="s">
        <v>38</v>
      </c>
      <c r="E55" s="6" t="s">
        <v>38</v>
      </c>
      <c r="F55" s="6" t="s">
        <v>38</v>
      </c>
      <c r="G55" s="9" t="s">
        <v>38</v>
      </c>
      <c r="H55" s="14" t="s">
        <v>38</v>
      </c>
    </row>
    <row r="56" spans="1:8" ht="15.75" x14ac:dyDescent="0.25">
      <c r="A56" s="7"/>
      <c r="B56" s="6"/>
      <c r="C56" s="6" t="s">
        <v>30</v>
      </c>
      <c r="D56" s="6"/>
      <c r="E56" s="6"/>
      <c r="F56" s="6"/>
      <c r="G56" s="9">
        <f>SUM(G55:G55)</f>
        <v>0</v>
      </c>
      <c r="H56" s="8">
        <f>SUM(H55:H55)</f>
        <v>0</v>
      </c>
    </row>
    <row r="57" spans="1:8" ht="15.75" x14ac:dyDescent="0.25">
      <c r="A57" s="7"/>
      <c r="B57" s="6"/>
      <c r="C57" s="6"/>
      <c r="D57" s="6"/>
      <c r="E57" s="6"/>
      <c r="F57" s="6"/>
      <c r="G57" s="9"/>
      <c r="H57" s="14"/>
    </row>
    <row r="58" spans="1:8" ht="15.75" x14ac:dyDescent="0.25">
      <c r="A58" s="7"/>
      <c r="B58" s="6"/>
      <c r="C58" s="6" t="s">
        <v>45</v>
      </c>
      <c r="D58" s="6" t="s">
        <v>38</v>
      </c>
      <c r="E58" s="6" t="s">
        <v>38</v>
      </c>
      <c r="F58" s="6" t="s">
        <v>38</v>
      </c>
      <c r="G58" s="9" t="s">
        <v>38</v>
      </c>
      <c r="H58" s="14" t="s">
        <v>38</v>
      </c>
    </row>
    <row r="59" spans="1:8" ht="15.75" x14ac:dyDescent="0.25">
      <c r="A59" s="7"/>
      <c r="B59" s="6"/>
      <c r="C59" s="6" t="s">
        <v>30</v>
      </c>
      <c r="D59" s="6"/>
      <c r="E59" s="6"/>
      <c r="F59" s="6"/>
      <c r="G59" s="9">
        <f>SUM(G58:G58)</f>
        <v>0</v>
      </c>
      <c r="H59" s="8">
        <f>SUM(H58:H58)</f>
        <v>0</v>
      </c>
    </row>
    <row r="60" spans="1:8" ht="15.75" x14ac:dyDescent="0.25">
      <c r="A60" s="7"/>
      <c r="B60" s="6"/>
      <c r="C60" s="6"/>
      <c r="D60" s="6"/>
      <c r="E60" s="6"/>
      <c r="F60" s="6"/>
      <c r="G60" s="9"/>
      <c r="H60" s="14"/>
    </row>
    <row r="61" spans="1:8" ht="15.75" x14ac:dyDescent="0.25">
      <c r="A61" s="7"/>
      <c r="B61" s="6"/>
      <c r="C61" s="6" t="s">
        <v>44</v>
      </c>
      <c r="D61" s="6" t="s">
        <v>38</v>
      </c>
      <c r="E61" s="6" t="s">
        <v>38</v>
      </c>
      <c r="F61" s="6" t="s">
        <v>38</v>
      </c>
      <c r="G61" s="9" t="s">
        <v>38</v>
      </c>
      <c r="H61" s="14" t="s">
        <v>38</v>
      </c>
    </row>
    <row r="62" spans="1:8" ht="16.5" thickBot="1" x14ac:dyDescent="0.3">
      <c r="A62" s="7"/>
      <c r="B62" s="6"/>
      <c r="C62" s="6" t="s">
        <v>30</v>
      </c>
      <c r="D62" s="6"/>
      <c r="E62" s="6"/>
      <c r="F62" s="6"/>
      <c r="G62" s="9">
        <f>SUM(G61:G61)</f>
        <v>0</v>
      </c>
      <c r="H62" s="8">
        <f>SUM(H61:H61)</f>
        <v>0</v>
      </c>
    </row>
    <row r="63" spans="1:8" ht="17.25" thickTop="1" thickBot="1" x14ac:dyDescent="0.3">
      <c r="A63" s="7"/>
      <c r="B63" s="6"/>
      <c r="C63" s="6" t="s">
        <v>29</v>
      </c>
      <c r="D63" s="6"/>
      <c r="E63" s="6"/>
      <c r="F63" s="6"/>
      <c r="G63" s="3">
        <f>SUM(G56,G59,G62)</f>
        <v>0</v>
      </c>
      <c r="H63" s="3">
        <f>SUM(H56,H59,H62)</f>
        <v>0</v>
      </c>
    </row>
    <row r="64" spans="1:8" ht="16.5" thickTop="1" x14ac:dyDescent="0.25">
      <c r="A64" s="7"/>
      <c r="B64" s="6"/>
      <c r="C64" s="6"/>
      <c r="D64" s="6"/>
      <c r="E64" s="6"/>
      <c r="F64" s="6"/>
      <c r="G64" s="9"/>
      <c r="H64" s="14"/>
    </row>
    <row r="65" spans="1:8" ht="15.75" x14ac:dyDescent="0.25">
      <c r="A65" s="7"/>
      <c r="B65" s="6"/>
      <c r="C65" s="6" t="s">
        <v>43</v>
      </c>
      <c r="D65" s="6"/>
      <c r="E65" s="6"/>
      <c r="F65" s="6"/>
      <c r="G65" s="9"/>
      <c r="H65" s="14"/>
    </row>
    <row r="66" spans="1:8" ht="15.75" x14ac:dyDescent="0.25">
      <c r="A66" s="7"/>
      <c r="B66" s="6"/>
      <c r="C66" s="6" t="s">
        <v>42</v>
      </c>
      <c r="D66" s="6" t="s">
        <v>38</v>
      </c>
      <c r="E66" s="6" t="s">
        <v>38</v>
      </c>
      <c r="F66" s="6" t="s">
        <v>38</v>
      </c>
      <c r="G66" s="9" t="s">
        <v>38</v>
      </c>
      <c r="H66" s="14" t="s">
        <v>38</v>
      </c>
    </row>
    <row r="67" spans="1:8" ht="15.75" x14ac:dyDescent="0.25">
      <c r="A67" s="7"/>
      <c r="B67" s="6"/>
      <c r="C67" s="6" t="s">
        <v>30</v>
      </c>
      <c r="D67" s="6"/>
      <c r="E67" s="6"/>
      <c r="F67" s="6"/>
      <c r="G67" s="9">
        <f>SUM(G66:G66)</f>
        <v>0</v>
      </c>
      <c r="H67" s="8">
        <f>SUM(H66:H66)</f>
        <v>0</v>
      </c>
    </row>
    <row r="68" spans="1:8" ht="15.75" x14ac:dyDescent="0.25">
      <c r="A68" s="7"/>
      <c r="B68" s="6"/>
      <c r="C68" s="6"/>
      <c r="D68" s="6"/>
      <c r="E68" s="6"/>
      <c r="F68" s="6"/>
      <c r="G68" s="9"/>
      <c r="H68" s="14"/>
    </row>
    <row r="69" spans="1:8" ht="15.75" x14ac:dyDescent="0.25">
      <c r="A69" s="7"/>
      <c r="B69" s="6"/>
      <c r="C69" s="6" t="s">
        <v>41</v>
      </c>
      <c r="D69" s="6" t="s">
        <v>38</v>
      </c>
      <c r="E69" s="6" t="s">
        <v>38</v>
      </c>
      <c r="F69" s="6" t="s">
        <v>38</v>
      </c>
      <c r="G69" s="9" t="s">
        <v>38</v>
      </c>
      <c r="H69" s="14" t="s">
        <v>38</v>
      </c>
    </row>
    <row r="70" spans="1:8" ht="16.5" thickBot="1" x14ac:dyDescent="0.3">
      <c r="A70" s="7"/>
      <c r="B70" s="6"/>
      <c r="C70" s="6" t="s">
        <v>30</v>
      </c>
      <c r="D70" s="6"/>
      <c r="E70" s="6"/>
      <c r="F70" s="6"/>
      <c r="G70" s="9">
        <f>SUM(G69:G69)</f>
        <v>0</v>
      </c>
      <c r="H70" s="8">
        <f>SUM(H69:H69)</f>
        <v>0</v>
      </c>
    </row>
    <row r="71" spans="1:8" ht="17.25" thickTop="1" thickBot="1" x14ac:dyDescent="0.3">
      <c r="A71" s="7"/>
      <c r="B71" s="6"/>
      <c r="C71" s="6" t="s">
        <v>29</v>
      </c>
      <c r="D71" s="6"/>
      <c r="E71" s="6"/>
      <c r="F71" s="6"/>
      <c r="G71" s="3">
        <f>SUM(G67,G70)</f>
        <v>0</v>
      </c>
      <c r="H71" s="3">
        <f>SUM(H67,H70)</f>
        <v>0</v>
      </c>
    </row>
    <row r="72" spans="1:8" ht="16.5" thickTop="1" x14ac:dyDescent="0.25">
      <c r="A72" s="7"/>
      <c r="B72" s="6"/>
      <c r="C72" s="6"/>
      <c r="D72" s="6"/>
      <c r="E72" s="6"/>
      <c r="F72" s="6"/>
      <c r="G72" s="9"/>
      <c r="H72" s="14"/>
    </row>
    <row r="73" spans="1:8" ht="15.75" x14ac:dyDescent="0.25">
      <c r="A73" s="7"/>
      <c r="B73" s="6"/>
      <c r="C73" s="6" t="s">
        <v>40</v>
      </c>
      <c r="D73" s="6"/>
      <c r="E73" s="6"/>
      <c r="F73" s="6"/>
      <c r="G73" s="9"/>
      <c r="H73" s="14"/>
    </row>
    <row r="74" spans="1:8" ht="15.75" x14ac:dyDescent="0.25">
      <c r="A74" s="7"/>
      <c r="B74" s="6"/>
      <c r="C74" s="6" t="s">
        <v>39</v>
      </c>
      <c r="D74" s="6" t="s">
        <v>38</v>
      </c>
      <c r="E74" s="6" t="s">
        <v>38</v>
      </c>
      <c r="F74" s="6" t="s">
        <v>38</v>
      </c>
      <c r="G74" s="9" t="s">
        <v>38</v>
      </c>
      <c r="H74" s="14" t="s">
        <v>38</v>
      </c>
    </row>
    <row r="75" spans="1:8" ht="15.75" x14ac:dyDescent="0.25">
      <c r="A75" s="7"/>
      <c r="B75" s="6"/>
      <c r="C75" s="6" t="s">
        <v>30</v>
      </c>
      <c r="D75" s="6"/>
      <c r="E75" s="6"/>
      <c r="F75" s="6"/>
      <c r="G75" s="9">
        <f>SUM(G74:G74)</f>
        <v>0</v>
      </c>
      <c r="H75" s="8">
        <f>SUM(H74:H74)</f>
        <v>0</v>
      </c>
    </row>
    <row r="76" spans="1:8" ht="15.75" x14ac:dyDescent="0.25">
      <c r="A76" s="7"/>
      <c r="B76" s="6"/>
      <c r="C76" s="6"/>
      <c r="D76" s="6"/>
      <c r="E76" s="6"/>
      <c r="F76" s="6"/>
      <c r="G76" s="9"/>
      <c r="H76" s="14"/>
    </row>
    <row r="77" spans="1:8" ht="15.75" x14ac:dyDescent="0.25">
      <c r="A77" s="7"/>
      <c r="B77" s="6"/>
      <c r="C77" s="6" t="s">
        <v>37</v>
      </c>
      <c r="D77" s="6"/>
      <c r="E77" s="6"/>
      <c r="F77" s="6"/>
      <c r="G77" s="9"/>
      <c r="H77" s="14"/>
    </row>
    <row r="78" spans="1:8" ht="15.75" x14ac:dyDescent="0.25">
      <c r="A78" s="13">
        <v>26</v>
      </c>
      <c r="B78" s="12" t="s">
        <v>36</v>
      </c>
      <c r="C78" s="12" t="s">
        <v>35</v>
      </c>
      <c r="D78" s="12" t="s">
        <v>32</v>
      </c>
      <c r="E78" s="12" t="s">
        <v>31</v>
      </c>
      <c r="F78" s="12">
        <v>469.2</v>
      </c>
      <c r="G78" s="11">
        <v>46.92</v>
      </c>
      <c r="H78" s="10">
        <v>1.1264019999999999</v>
      </c>
    </row>
    <row r="79" spans="1:8" ht="15.75" x14ac:dyDescent="0.25">
      <c r="A79" s="7"/>
      <c r="B79" s="6"/>
      <c r="C79" s="6" t="s">
        <v>30</v>
      </c>
      <c r="D79" s="6"/>
      <c r="E79" s="6"/>
      <c r="F79" s="6"/>
      <c r="G79" s="9">
        <f>SUM(G78:G78)</f>
        <v>46.92</v>
      </c>
      <c r="H79" s="8">
        <f>SUM(H78:H78)</f>
        <v>1.1264019999999999</v>
      </c>
    </row>
    <row r="80" spans="1:8" ht="15.75" x14ac:dyDescent="0.25">
      <c r="A80" s="7"/>
      <c r="B80" s="6"/>
      <c r="C80" s="6"/>
      <c r="D80" s="6"/>
      <c r="E80" s="6"/>
      <c r="F80" s="6"/>
      <c r="G80" s="9"/>
      <c r="H80" s="14"/>
    </row>
    <row r="81" spans="1:8" ht="15.75" x14ac:dyDescent="0.25">
      <c r="A81" s="7"/>
      <c r="B81" s="6"/>
      <c r="C81" s="6" t="s">
        <v>34</v>
      </c>
      <c r="D81" s="6"/>
      <c r="E81" s="6"/>
      <c r="F81" s="6"/>
      <c r="G81" s="9"/>
      <c r="H81" s="14"/>
    </row>
    <row r="82" spans="1:8" ht="15.75" x14ac:dyDescent="0.25">
      <c r="A82" s="13">
        <v>27</v>
      </c>
      <c r="B82" s="12" t="s">
        <v>32</v>
      </c>
      <c r="C82" s="12" t="s">
        <v>33</v>
      </c>
      <c r="D82" s="12" t="s">
        <v>32</v>
      </c>
      <c r="E82" s="12" t="s">
        <v>31</v>
      </c>
      <c r="F82" s="12">
        <v>0</v>
      </c>
      <c r="G82" s="11">
        <v>-122.42919999999999</v>
      </c>
      <c r="H82" s="10">
        <v>-2.9391400000000001</v>
      </c>
    </row>
    <row r="83" spans="1:8" ht="16.5" thickBot="1" x14ac:dyDescent="0.3">
      <c r="A83" s="7"/>
      <c r="B83" s="6"/>
      <c r="C83" s="6" t="s">
        <v>30</v>
      </c>
      <c r="D83" s="6"/>
      <c r="E83" s="6"/>
      <c r="F83" s="6"/>
      <c r="G83" s="9">
        <f>SUM(G82:G82)</f>
        <v>-122.42919999999999</v>
      </c>
      <c r="H83" s="8">
        <f>SUM(H82:H82)</f>
        <v>-2.9391400000000001</v>
      </c>
    </row>
    <row r="84" spans="1:8" ht="17.25" thickTop="1" thickBot="1" x14ac:dyDescent="0.3">
      <c r="A84" s="7"/>
      <c r="B84" s="6"/>
      <c r="C84" s="6" t="s">
        <v>29</v>
      </c>
      <c r="D84" s="6"/>
      <c r="E84" s="6"/>
      <c r="F84" s="6"/>
      <c r="G84" s="3">
        <f>SUM(G75,G79,G83)</f>
        <v>-75.509199999999993</v>
      </c>
      <c r="H84" s="3">
        <f>SUM(H75,H79,H83)</f>
        <v>-1.8127380000000002</v>
      </c>
    </row>
    <row r="85" spans="1:8" ht="17.25" thickTop="1" thickBot="1" x14ac:dyDescent="0.3">
      <c r="A85" s="5"/>
      <c r="B85" s="4"/>
      <c r="C85" s="4" t="s">
        <v>28</v>
      </c>
      <c r="D85" s="4"/>
      <c r="E85" s="4"/>
      <c r="F85" s="4"/>
      <c r="G85" s="3">
        <f>SUM(G44,G52,G63,G71,G84)</f>
        <v>4165.4771899999987</v>
      </c>
      <c r="H85" s="3">
        <f>SUM(H44,H52,H63,H71,H84)</f>
        <v>100.00000099999998</v>
      </c>
    </row>
    <row r="86" spans="1:8" ht="15.75" thickTop="1" x14ac:dyDescent="0.25">
      <c r="G86" s="2"/>
    </row>
    <row r="88" spans="1:8" x14ac:dyDescent="0.25">
      <c r="C88" t="s">
        <v>27</v>
      </c>
    </row>
    <row r="90" spans="1:8" x14ac:dyDescent="0.25">
      <c r="B90" t="s">
        <v>26</v>
      </c>
      <c r="C90" t="s">
        <v>25</v>
      </c>
    </row>
    <row r="91" spans="1:8" x14ac:dyDescent="0.25">
      <c r="B91" t="s">
        <v>24</v>
      </c>
      <c r="C91" t="s">
        <v>23</v>
      </c>
    </row>
    <row r="92" spans="1:8" x14ac:dyDescent="0.25">
      <c r="B92" t="s">
        <v>22</v>
      </c>
      <c r="C92" t="s">
        <v>21</v>
      </c>
    </row>
    <row r="93" spans="1:8" x14ac:dyDescent="0.25">
      <c r="C93" t="s">
        <v>20</v>
      </c>
    </row>
    <row r="94" spans="1:8" x14ac:dyDescent="0.25">
      <c r="C94" t="s">
        <v>19</v>
      </c>
    </row>
    <row r="95" spans="1:8" x14ac:dyDescent="0.25">
      <c r="C95" t="s">
        <v>18</v>
      </c>
    </row>
    <row r="96" spans="1:8" x14ac:dyDescent="0.25">
      <c r="C96" t="s">
        <v>17</v>
      </c>
    </row>
    <row r="97" spans="2:3" x14ac:dyDescent="0.25">
      <c r="B97" t="s">
        <v>16</v>
      </c>
      <c r="C97" t="s">
        <v>15</v>
      </c>
    </row>
    <row r="98" spans="2:3" x14ac:dyDescent="0.25">
      <c r="C98" t="s">
        <v>14</v>
      </c>
    </row>
    <row r="99" spans="2:3" x14ac:dyDescent="0.25">
      <c r="C99" t="s">
        <v>13</v>
      </c>
    </row>
    <row r="100" spans="2:3" x14ac:dyDescent="0.25">
      <c r="C100" t="s">
        <v>12</v>
      </c>
    </row>
    <row r="101" spans="2:3" x14ac:dyDescent="0.25">
      <c r="C101" t="s">
        <v>11</v>
      </c>
    </row>
    <row r="102" spans="2:3" x14ac:dyDescent="0.25">
      <c r="B102" t="s">
        <v>10</v>
      </c>
      <c r="C102" s="1" t="s">
        <v>9</v>
      </c>
    </row>
    <row r="103" spans="2:3" x14ac:dyDescent="0.25">
      <c r="C103" t="s">
        <v>8</v>
      </c>
    </row>
    <row r="104" spans="2:3" x14ac:dyDescent="0.25">
      <c r="B104" t="s">
        <v>7</v>
      </c>
      <c r="C104" s="1" t="s">
        <v>6</v>
      </c>
    </row>
    <row r="105" spans="2:3" x14ac:dyDescent="0.25">
      <c r="B105" t="s">
        <v>5</v>
      </c>
      <c r="C105" s="1" t="s">
        <v>4</v>
      </c>
    </row>
    <row r="106" spans="2:3" x14ac:dyDescent="0.25">
      <c r="B106" t="s">
        <v>3</v>
      </c>
      <c r="C106" s="1" t="s">
        <v>2</v>
      </c>
    </row>
    <row r="107" spans="2:3" x14ac:dyDescent="0.25">
      <c r="B107" t="s">
        <v>1</v>
      </c>
      <c r="C107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2022-06-24T10:29:16Z</dcterms:created>
  <dcterms:modified xsi:type="dcterms:W3CDTF">2022-06-24T10:29:29Z</dcterms:modified>
</cp:coreProperties>
</file>