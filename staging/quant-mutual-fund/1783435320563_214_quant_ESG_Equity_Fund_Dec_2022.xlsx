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495" windowHeight="13740"/>
  </bookViews>
  <sheets>
    <sheet name="qESG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D12" i="1" l="1"/>
  <c r="D14" i="1"/>
  <c r="D15" i="1"/>
  <c r="D19" i="1"/>
  <c r="D20" i="1"/>
  <c r="D21" i="1"/>
  <c r="D23" i="1"/>
  <c r="D24" i="1"/>
  <c r="D25" i="1"/>
  <c r="D26" i="1"/>
  <c r="D27" i="1"/>
  <c r="D29" i="1"/>
  <c r="D30" i="1"/>
  <c r="D11" i="1"/>
</calcChain>
</file>

<file path=xl/sharedStrings.xml><?xml version="1.0" encoding="utf-8"?>
<sst xmlns="http://schemas.openxmlformats.org/spreadsheetml/2006/main" count="503" uniqueCount="155">
  <si>
    <t>quant Mutual Fund</t>
  </si>
  <si>
    <t>quant ESG Equity Fund</t>
  </si>
  <si>
    <t xml:space="preserve"> </t>
  </si>
  <si>
    <t>MONTHLY PORTFOLIO STATEMENT AS ON 30 Dec 2022</t>
  </si>
  <si>
    <t/>
  </si>
  <si>
    <t>Risk-o-meter of the Scheme</t>
  </si>
  <si>
    <t>Risk-o-meter of the Bechmark-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</si>
  <si>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</si>
  <si>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</si>
  <si>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</si>
  <si>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</si>
  <si>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</si>
  <si>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</si>
  <si>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</si>
  <si>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</si>
  <si>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</si>
  <si>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</si>
  <si>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</si>
  <si>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</si>
  <si>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</si>
  <si>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</si>
  <si>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INE040A01034</t>
  </si>
  <si>
    <t>HDFC Bank Limited</t>
  </si>
  <si>
    <t>INE00E101023</t>
  </si>
  <si>
    <t>Bikaji Foods International Limited</t>
  </si>
  <si>
    <t>Food Products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</si>
  <si>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</si>
  <si>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</si>
  <si>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</si>
  <si>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</si>
  <si>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</si>
  <si>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</si>
  <si>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INE0J1Y01017</t>
  </si>
  <si>
    <t>Life Insurance Corporation Of India</t>
  </si>
  <si>
    <t>Insurance</t>
  </si>
  <si>
    <t>INE976G01028</t>
  </si>
  <si>
    <t>RBL Bank Limited</t>
  </si>
  <si>
    <t>INE749A01030</t>
  </si>
  <si>
    <t>Jindal Steel &amp; Power Ltd</t>
  </si>
  <si>
    <t>Ferrous Metals</t>
  </si>
  <si>
    <t>INE053A01029</t>
  </si>
  <si>
    <t>Indian Hotels Co Ltd</t>
  </si>
  <si>
    <t>Leisure Services</t>
  </si>
  <si>
    <t>INE397D01024</t>
  </si>
  <si>
    <t>Bharti Airtel Limited</t>
  </si>
  <si>
    <t>Telecom - Services</t>
  </si>
  <si>
    <t>INE628A01036</t>
  </si>
  <si>
    <t>UPL Limited</t>
  </si>
  <si>
    <t>Fertilizers &amp; Agrochemicals</t>
  </si>
  <si>
    <t>INE585B01010</t>
  </si>
  <si>
    <t>Maruti Suzuki India Limited</t>
  </si>
  <si>
    <t>Automobiles</t>
  </si>
  <si>
    <t>INE226A01021</t>
  </si>
  <si>
    <t>Voltas Limited</t>
  </si>
  <si>
    <t>Consumer Durables</t>
  </si>
  <si>
    <t>INE192A01025</t>
  </si>
  <si>
    <t>Tata Consumer Products Ltd</t>
  </si>
  <si>
    <t>Agricultural Food &amp; other Products</t>
  </si>
  <si>
    <t>INE038A01020</t>
  </si>
  <si>
    <t>Hindalco Industries Limited</t>
  </si>
  <si>
    <t>Non - Ferrous Metals</t>
  </si>
  <si>
    <t>INE061F01013</t>
  </si>
  <si>
    <t>Fortis Healthcare Ltd</t>
  </si>
  <si>
    <t>Healthcare Services</t>
  </si>
  <si>
    <t>INE151A01013</t>
  </si>
  <si>
    <t>Tata Communications Limited</t>
  </si>
  <si>
    <t>INE075A01022</t>
  </si>
  <si>
    <t>Wipro Ltd</t>
  </si>
  <si>
    <t>IT - Software</t>
  </si>
  <si>
    <t>INE140A01024</t>
  </si>
  <si>
    <t>Piramal Enterprises Limited</t>
  </si>
  <si>
    <t>Finance</t>
  </si>
  <si>
    <t>INE424H01027</t>
  </si>
  <si>
    <t>SUN TV Network Limited</t>
  </si>
  <si>
    <t>Entertainment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</si>
  <si>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</si>
  <si>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</si>
  <si>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</si>
  <si>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</si>
  <si>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</si>
  <si>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</si>
  <si>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</si>
  <si>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</si>
  <si>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</si>
  <si>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</si>
  <si>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</si>
  <si>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</si>
  <si>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</si>
  <si>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</si>
  <si>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</si>
  <si>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</si>
  <si>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</si>
  <si>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</si>
  <si>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</si>
  <si>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</si>
  <si>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</si>
  <si>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</si>
  <si>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</si>
  <si>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</si>
  <si>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</si>
  <si>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</si>
  <si>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</si>
  <si>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</si>
  <si>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</si>
  <si>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</si>
  <si>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</si>
  <si>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</si>
  <si>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</si>
  <si>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</si>
  <si>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</si>
  <si>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</si>
  <si>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</si>
  <si>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</si>
  <si>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</si>
  <si>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</si>
  <si>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</si>
  <si>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</si>
  <si>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</si>
  <si>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</si>
  <si>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</si>
  <si>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</si>
  <si>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</si>
  <si>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</si>
  <si>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</si>
  <si>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</si>
  <si>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</si>
  <si>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</si>
  <si>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</si>
  <si>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</si>
  <si>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</si>
  <si>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</si>
  <si>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</si>
  <si>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</si>
  <si>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</si>
  <si>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</si>
  <si>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</si>
  <si>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</si>
  <si>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</si>
  <si>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ESG Equity Fund - Growth - Direct Plan 23.0103</t>
  </si>
  <si>
    <t>quant ESG Equity Fund - IDCW - Direct Plan 22.9857</t>
  </si>
  <si>
    <t>quant ESG Equity Fund - Regular Plan - Growth 22.2948</t>
  </si>
  <si>
    <t>quant ESG Equity Fund - Regular Plan - IDCW 22.1784</t>
  </si>
  <si>
    <t>NAV as on 30 Nov 2022</t>
  </si>
  <si>
    <t>quant ESG Equity Fund - Growth - Direct Plan 23.3196</t>
  </si>
  <si>
    <t>quant ESG Equity Fund - IDCW - Direct Plan 23.2949</t>
  </si>
  <si>
    <t>quant ESG Equity Fund - Regular Plan - Growth 22.6321</t>
  </si>
  <si>
    <t>quant ESG Equity Fund - Regular Plan - IDCW 22.5747</t>
  </si>
  <si>
    <t>Dividend declared during the period  is NIL</t>
  </si>
  <si>
    <t>Bonus declared during the period is NIL</t>
  </si>
  <si>
    <t>Total outstanding exposure in derivatives instruments as on 30-Dec-2022 is NIL</t>
  </si>
  <si>
    <t>Total Investments in foreign securities/ADRs / GDRs as on  30-Dec-2022 is NIL</t>
  </si>
  <si>
    <t>The Portfolio Turnover Ratio is 3.04 times / The Average Maturity period is 0 Days</t>
  </si>
  <si>
    <t>The funds parked in short term deposit(s) as on 30-Dec-2022  were NIL</t>
  </si>
  <si>
    <r>
      <t xml:space="preserve">Weighted Average ESG Score for the portfolio as on 30-11-2022 is </t>
    </r>
    <r>
      <rPr>
        <b/>
        <sz val="11"/>
        <rFont val="Calibri"/>
        <family val="2"/>
      </rPr>
      <t>50.12</t>
    </r>
    <r>
      <rPr>
        <sz val="11"/>
        <rFont val="Calibri"/>
        <family val="2"/>
      </rPr>
      <t xml:space="preserve"> (ESG Score of Unrated Securities, TREPS / Reverse Repo Investments and Other Current Assets / (Liabilities) is considered as 0 for calculation of Weighted Average ESG Score.)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</si>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</sst>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  <xf numFmtId="2" fontId="5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/Research/Khushboo%20Meshri/Factsheets%20Monthly/2022/November/051222/quant%20ESG%20Equity%20Fund_N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ESG"/>
    </sheetNames>
    <sheetDataSet>
      <sheetData sheetId="0">
        <row r="11">
          <cell r="C11" t="str">
            <v>Adani Ports &amp; Special Economic Zone Ltd</v>
          </cell>
          <cell r="D11">
            <v>51.85</v>
          </cell>
        </row>
        <row r="12">
          <cell r="C12" t="str">
            <v>Bikaji Foods International Limited</v>
          </cell>
          <cell r="D12">
            <v>0</v>
          </cell>
        </row>
        <row r="13">
          <cell r="C13" t="str">
            <v>HDFC Bank Limited</v>
          </cell>
          <cell r="D13">
            <v>90.3</v>
          </cell>
        </row>
        <row r="14">
          <cell r="C14" t="str">
            <v>State Bank of India</v>
          </cell>
          <cell r="D14">
            <v>69.91</v>
          </cell>
        </row>
        <row r="15">
          <cell r="C15" t="str">
            <v>Reliance Industries Limited</v>
          </cell>
          <cell r="D15">
            <v>39</v>
          </cell>
        </row>
        <row r="16">
          <cell r="C16" t="str">
            <v>Trent Ltd</v>
          </cell>
          <cell r="D16">
            <v>53.15</v>
          </cell>
        </row>
        <row r="17">
          <cell r="C17" t="str">
            <v>Indian Hotels Co Ltd</v>
          </cell>
          <cell r="D17">
            <v>54.79</v>
          </cell>
        </row>
        <row r="18">
          <cell r="C18" t="str">
            <v>Bharti Airtel Limited</v>
          </cell>
          <cell r="D18">
            <v>39.83</v>
          </cell>
        </row>
        <row r="19">
          <cell r="C19" t="str">
            <v>Sun Pharmaceutical Industries Limited</v>
          </cell>
          <cell r="D19">
            <v>57.699566290635595</v>
          </cell>
        </row>
        <row r="20">
          <cell r="C20" t="str">
            <v>UPL Limited</v>
          </cell>
          <cell r="D20">
            <v>63.16</v>
          </cell>
        </row>
        <row r="21">
          <cell r="C21" t="str">
            <v>RBL Bank Limited</v>
          </cell>
          <cell r="D21">
            <v>51.1</v>
          </cell>
        </row>
        <row r="22">
          <cell r="C22" t="str">
            <v>Voltas Limited</v>
          </cell>
          <cell r="D22">
            <v>56.7</v>
          </cell>
        </row>
        <row r="23">
          <cell r="C23" t="str">
            <v>Tata Consumer Products Ltd</v>
          </cell>
          <cell r="D23">
            <v>61.08</v>
          </cell>
        </row>
        <row r="24">
          <cell r="C24" t="str">
            <v>L&amp;T Technology Services Limited</v>
          </cell>
          <cell r="D24">
            <v>41.489166666666662</v>
          </cell>
        </row>
        <row r="25">
          <cell r="C25" t="str">
            <v>Fortis Healthcare Ltd</v>
          </cell>
          <cell r="D25">
            <v>40.24</v>
          </cell>
        </row>
        <row r="26">
          <cell r="C26" t="str">
            <v>Hindalco Industries Limited</v>
          </cell>
          <cell r="D26">
            <v>37.299999999999997</v>
          </cell>
        </row>
        <row r="27">
          <cell r="C27" t="str">
            <v>Kotak Mahindra Bank Limited</v>
          </cell>
          <cell r="D27">
            <v>70.66</v>
          </cell>
        </row>
        <row r="28">
          <cell r="C28" t="str">
            <v>Tata Communications Limited</v>
          </cell>
          <cell r="D28">
            <v>69.52</v>
          </cell>
        </row>
        <row r="29">
          <cell r="C29" t="str">
            <v>Eicher Motors Ltd</v>
          </cell>
          <cell r="D29">
            <v>45.85470183276577</v>
          </cell>
        </row>
        <row r="30">
          <cell r="C30" t="str">
            <v>Strides Pharma Science Ltd</v>
          </cell>
          <cell r="D30">
            <v>0</v>
          </cell>
        </row>
        <row r="31">
          <cell r="C31" t="str">
            <v>Bosch Limited</v>
          </cell>
          <cell r="D31">
            <v>43.198389495884605</v>
          </cell>
        </row>
        <row r="32">
          <cell r="C32" t="str">
            <v>Piramal Enterprises Limited</v>
          </cell>
          <cell r="D32">
            <v>77.89</v>
          </cell>
        </row>
        <row r="33">
          <cell r="C33" t="str">
            <v>SUN TV Network Limited</v>
          </cell>
          <cell r="D33">
            <v>55.1</v>
          </cell>
        </row>
        <row r="34">
          <cell r="C34" t="str">
            <v>Bank of Baroda</v>
          </cell>
          <cell r="D34">
            <v>69.8</v>
          </cell>
        </row>
        <row r="35">
          <cell r="C35" t="str">
            <v>HeidelbergCement India Limited</v>
          </cell>
          <cell r="D35">
            <v>29.6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pane ySplit="6" topLeftCell="A7" activePane="bottomLeft" state="frozen"/>
      <selection pane="bottomLeft" activeCell="D13" sqref="D13"/>
    </sheetView>
  </sheetViews>
  <sheetFormatPr defaultRowHeight="15"/>
  <cols>
    <col min="1" max="1" width="9.140625" style="11" customWidth="1"/>
    <col min="2" max="2" width="15.85546875" customWidth="1"/>
    <col min="3" max="3" width="49.5703125" customWidth="1"/>
    <col min="4" max="4" width="27.28515625" customWidth="1"/>
    <col min="5" max="5" width="34.85546875" customWidth="1"/>
    <col min="6" max="6" width="44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8">
        <f>+VLOOKUP(C11,[1]qESG!$C$11:$D$35,2,0)</f>
        <v>69.91</v>
      </c>
      <c r="E11" s="6" t="s">
        <v>20</v>
      </c>
      <c r="F11" s="6">
        <v>244600</v>
      </c>
      <c r="G11" s="6">
        <v>1501.11</v>
      </c>
      <c r="H11" s="8">
        <v>9.4600000000000009</v>
      </c>
    </row>
    <row r="12" spans="1:8" ht="15.75">
      <c r="A12" s="13">
        <v>2</v>
      </c>
      <c r="B12" s="6" t="s">
        <v>21</v>
      </c>
      <c r="C12" s="6" t="s">
        <v>22</v>
      </c>
      <c r="D12" s="8">
        <f>+VLOOKUP(C12,[1]qESG!$C$11:$D$35,2,0)</f>
        <v>90.3</v>
      </c>
      <c r="E12" s="6" t="s">
        <v>20</v>
      </c>
      <c r="F12" s="6">
        <v>87000</v>
      </c>
      <c r="G12" s="6">
        <v>1416.49</v>
      </c>
      <c r="H12" s="8">
        <v>8.93</v>
      </c>
    </row>
    <row r="13" spans="1:8" ht="15.75">
      <c r="A13" s="13">
        <v>3</v>
      </c>
      <c r="B13" s="6" t="s">
        <v>23</v>
      </c>
      <c r="C13" s="6" t="s">
        <v>24</v>
      </c>
      <c r="D13" s="15" t="s">
        <v>154</v>
      </c>
      <c r="E13" s="6" t="s">
        <v>25</v>
      </c>
      <c r="F13" s="6">
        <v>299400</v>
      </c>
      <c r="G13" s="6">
        <v>1305.98</v>
      </c>
      <c r="H13" s="8">
        <v>8.23</v>
      </c>
    </row>
    <row r="14" spans="1:8" ht="15.75">
      <c r="A14" s="13">
        <v>4</v>
      </c>
      <c r="B14" s="6" t="s">
        <v>26</v>
      </c>
      <c r="C14" s="6" t="s">
        <v>27</v>
      </c>
      <c r="D14" s="8">
        <f>+VLOOKUP(C14,[1]qESG!$C$11:$D$35,2,0)</f>
        <v>39</v>
      </c>
      <c r="E14" s="6" t="s">
        <v>28</v>
      </c>
      <c r="F14" s="6">
        <v>50450</v>
      </c>
      <c r="G14" s="6">
        <v>1285.06</v>
      </c>
      <c r="H14" s="8">
        <v>8.1</v>
      </c>
    </row>
    <row r="15" spans="1:8" ht="15.75">
      <c r="A15" s="13">
        <v>5</v>
      </c>
      <c r="B15" s="6" t="s">
        <v>29</v>
      </c>
      <c r="C15" s="6" t="s">
        <v>30</v>
      </c>
      <c r="D15" s="8">
        <f>+VLOOKUP(C15,[1]qESG!$C$11:$D$35,2,0)</f>
        <v>51.85</v>
      </c>
      <c r="E15" s="6" t="s">
        <v>31</v>
      </c>
      <c r="F15" s="6">
        <v>136600</v>
      </c>
      <c r="G15" s="6">
        <v>1117.52</v>
      </c>
      <c r="H15" s="8">
        <v>7.04</v>
      </c>
    </row>
    <row r="16" spans="1:8" ht="15.75">
      <c r="A16" s="13">
        <v>6</v>
      </c>
      <c r="B16" s="6" t="s">
        <v>32</v>
      </c>
      <c r="C16" s="6" t="s">
        <v>33</v>
      </c>
      <c r="D16" s="15" t="s">
        <v>154</v>
      </c>
      <c r="E16" s="6" t="s">
        <v>34</v>
      </c>
      <c r="F16" s="6">
        <v>150500</v>
      </c>
      <c r="G16" s="6">
        <v>1030.32</v>
      </c>
      <c r="H16" s="8">
        <v>6.49</v>
      </c>
    </row>
    <row r="17" spans="1:8" ht="15.75">
      <c r="A17" s="13">
        <v>7</v>
      </c>
      <c r="B17" s="6" t="s">
        <v>35</v>
      </c>
      <c r="C17" s="6" t="s">
        <v>36</v>
      </c>
      <c r="D17" s="8">
        <v>64</v>
      </c>
      <c r="E17" s="6" t="s">
        <v>20</v>
      </c>
      <c r="F17" s="6">
        <v>530000</v>
      </c>
      <c r="G17" s="6">
        <v>950.82</v>
      </c>
      <c r="H17" s="8">
        <v>5.99</v>
      </c>
    </row>
    <row r="18" spans="1:8" ht="15.75">
      <c r="A18" s="13">
        <v>8</v>
      </c>
      <c r="B18" s="6" t="s">
        <v>37</v>
      </c>
      <c r="C18" s="6" t="s">
        <v>38</v>
      </c>
      <c r="D18" s="8">
        <v>47.1</v>
      </c>
      <c r="E18" s="6" t="s">
        <v>39</v>
      </c>
      <c r="F18" s="6">
        <v>160000</v>
      </c>
      <c r="G18" s="6">
        <v>928.96</v>
      </c>
      <c r="H18" s="8">
        <v>5.86</v>
      </c>
    </row>
    <row r="19" spans="1:8" ht="15.75">
      <c r="A19" s="13">
        <v>9</v>
      </c>
      <c r="B19" s="6" t="s">
        <v>40</v>
      </c>
      <c r="C19" s="6" t="s">
        <v>41</v>
      </c>
      <c r="D19" s="8">
        <f>+VLOOKUP(C19,[1]qESG!$C$11:$D$35,2,0)</f>
        <v>54.79</v>
      </c>
      <c r="E19" s="6" t="s">
        <v>42</v>
      </c>
      <c r="F19" s="6">
        <v>262762</v>
      </c>
      <c r="G19" s="6">
        <v>837.29</v>
      </c>
      <c r="H19" s="8">
        <v>5.28</v>
      </c>
    </row>
    <row r="20" spans="1:8" ht="15.75">
      <c r="A20" s="13">
        <v>10</v>
      </c>
      <c r="B20" s="6" t="s">
        <v>43</v>
      </c>
      <c r="C20" s="6" t="s">
        <v>44</v>
      </c>
      <c r="D20" s="8">
        <f>+VLOOKUP(C20,[1]qESG!$C$11:$D$35,2,0)</f>
        <v>39.83</v>
      </c>
      <c r="E20" s="6" t="s">
        <v>45</v>
      </c>
      <c r="F20" s="6">
        <v>99500</v>
      </c>
      <c r="G20" s="6">
        <v>802.07</v>
      </c>
      <c r="H20" s="8">
        <v>5.0599999999999996</v>
      </c>
    </row>
    <row r="21" spans="1:8" ht="15.75">
      <c r="A21" s="13">
        <v>11</v>
      </c>
      <c r="B21" s="6" t="s">
        <v>46</v>
      </c>
      <c r="C21" s="6" t="s">
        <v>47</v>
      </c>
      <c r="D21" s="8">
        <f>+VLOOKUP(C21,[1]qESG!$C$11:$D$35,2,0)</f>
        <v>63.16</v>
      </c>
      <c r="E21" s="6" t="s">
        <v>48</v>
      </c>
      <c r="F21" s="6">
        <v>90000</v>
      </c>
      <c r="G21" s="6">
        <v>644.54</v>
      </c>
      <c r="H21" s="8">
        <v>4.0599999999999996</v>
      </c>
    </row>
    <row r="22" spans="1:8" ht="15.75">
      <c r="A22" s="13">
        <v>12</v>
      </c>
      <c r="B22" s="6" t="s">
        <v>49</v>
      </c>
      <c r="C22" s="6" t="s">
        <v>50</v>
      </c>
      <c r="D22" s="8">
        <v>64.3</v>
      </c>
      <c r="E22" s="6" t="s">
        <v>51</v>
      </c>
      <c r="F22" s="6">
        <v>7000</v>
      </c>
      <c r="G22" s="6">
        <v>587.62</v>
      </c>
      <c r="H22" s="8">
        <v>3.7</v>
      </c>
    </row>
    <row r="23" spans="1:8" ht="15.75">
      <c r="A23" s="13">
        <v>13</v>
      </c>
      <c r="B23" s="6" t="s">
        <v>52</v>
      </c>
      <c r="C23" s="6" t="s">
        <v>53</v>
      </c>
      <c r="D23" s="8">
        <f>+VLOOKUP(C23,[1]qESG!$C$11:$D$35,2,0)</f>
        <v>56.7</v>
      </c>
      <c r="E23" s="6" t="s">
        <v>54</v>
      </c>
      <c r="F23" s="6">
        <v>70000</v>
      </c>
      <c r="G23" s="6">
        <v>559.9</v>
      </c>
      <c r="H23" s="8">
        <v>3.53</v>
      </c>
    </row>
    <row r="24" spans="1:8" ht="15.75">
      <c r="A24" s="13">
        <v>14</v>
      </c>
      <c r="B24" s="6" t="s">
        <v>55</v>
      </c>
      <c r="C24" s="6" t="s">
        <v>56</v>
      </c>
      <c r="D24" s="8">
        <f>+VLOOKUP(C24,[1]qESG!$C$11:$D$35,2,0)</f>
        <v>61.08</v>
      </c>
      <c r="E24" s="6" t="s">
        <v>57</v>
      </c>
      <c r="F24" s="6">
        <v>69750</v>
      </c>
      <c r="G24" s="6">
        <v>534.95000000000005</v>
      </c>
      <c r="H24" s="8">
        <v>3.37</v>
      </c>
    </row>
    <row r="25" spans="1:8" ht="15.75">
      <c r="A25" s="13">
        <v>15</v>
      </c>
      <c r="B25" s="6" t="s">
        <v>58</v>
      </c>
      <c r="C25" s="6" t="s">
        <v>59</v>
      </c>
      <c r="D25" s="8">
        <f>+VLOOKUP(C25,[1]qESG!$C$11:$D$35,2,0)</f>
        <v>37.299999999999997</v>
      </c>
      <c r="E25" s="6" t="s">
        <v>60</v>
      </c>
      <c r="F25" s="6">
        <v>108600</v>
      </c>
      <c r="G25" s="6">
        <v>514.05999999999995</v>
      </c>
      <c r="H25" s="8">
        <v>3.24</v>
      </c>
    </row>
    <row r="26" spans="1:8" ht="15.75">
      <c r="A26" s="13">
        <v>16</v>
      </c>
      <c r="B26" s="6" t="s">
        <v>61</v>
      </c>
      <c r="C26" s="6" t="s">
        <v>62</v>
      </c>
      <c r="D26" s="8">
        <f>+VLOOKUP(C26,[1]qESG!$C$11:$D$35,2,0)</f>
        <v>40.24</v>
      </c>
      <c r="E26" s="6" t="s">
        <v>63</v>
      </c>
      <c r="F26" s="6">
        <v>177000</v>
      </c>
      <c r="G26" s="6">
        <v>506.4</v>
      </c>
      <c r="H26" s="8">
        <v>3.19</v>
      </c>
    </row>
    <row r="27" spans="1:8" ht="15.75">
      <c r="A27" s="13">
        <v>17</v>
      </c>
      <c r="B27" s="6" t="s">
        <v>64</v>
      </c>
      <c r="C27" s="6" t="s">
        <v>65</v>
      </c>
      <c r="D27" s="8">
        <f>+VLOOKUP(C27,[1]qESG!$C$11:$D$35,2,0)</f>
        <v>69.52</v>
      </c>
      <c r="E27" s="6" t="s">
        <v>45</v>
      </c>
      <c r="F27" s="6">
        <v>28530</v>
      </c>
      <c r="G27" s="6">
        <v>363.6</v>
      </c>
      <c r="H27" s="8">
        <v>2.29</v>
      </c>
    </row>
    <row r="28" spans="1:8" ht="15.75">
      <c r="A28" s="13">
        <v>18</v>
      </c>
      <c r="B28" s="6" t="s">
        <v>66</v>
      </c>
      <c r="C28" s="6" t="s">
        <v>67</v>
      </c>
      <c r="D28" s="8">
        <v>79.5</v>
      </c>
      <c r="E28" s="6" t="s">
        <v>68</v>
      </c>
      <c r="F28" s="6">
        <v>91000</v>
      </c>
      <c r="G28" s="6">
        <v>357.4</v>
      </c>
      <c r="H28" s="8">
        <v>2.25</v>
      </c>
    </row>
    <row r="29" spans="1:8" ht="15.75">
      <c r="A29" s="13">
        <v>19</v>
      </c>
      <c r="B29" s="6" t="s">
        <v>69</v>
      </c>
      <c r="C29" s="6" t="s">
        <v>70</v>
      </c>
      <c r="D29" s="8">
        <f>+VLOOKUP(C29,[1]qESG!$C$11:$D$35,2,0)</f>
        <v>77.89</v>
      </c>
      <c r="E29" s="6" t="s">
        <v>71</v>
      </c>
      <c r="F29" s="6">
        <v>25375</v>
      </c>
      <c r="G29" s="6">
        <v>210.21</v>
      </c>
      <c r="H29" s="8">
        <v>1.32</v>
      </c>
    </row>
    <row r="30" spans="1:8" ht="15.75">
      <c r="A30" s="13">
        <v>20</v>
      </c>
      <c r="B30" s="6" t="s">
        <v>72</v>
      </c>
      <c r="C30" s="6" t="s">
        <v>73</v>
      </c>
      <c r="D30" s="8">
        <f>+VLOOKUP(C30,[1]qESG!$C$11:$D$35,2,0)</f>
        <v>55.1</v>
      </c>
      <c r="E30" s="6" t="s">
        <v>74</v>
      </c>
      <c r="F30" s="6">
        <v>42000</v>
      </c>
      <c r="G30" s="6">
        <v>204.39</v>
      </c>
      <c r="H30" s="8">
        <v>1.29</v>
      </c>
    </row>
    <row r="31" spans="1:8" ht="15.75">
      <c r="A31" s="13">
        <v>21</v>
      </c>
      <c r="B31" s="6" t="s">
        <v>75</v>
      </c>
      <c r="C31" s="6" t="s">
        <v>76</v>
      </c>
      <c r="D31" s="8">
        <v>41.6</v>
      </c>
      <c r="E31" s="6" t="s">
        <v>77</v>
      </c>
      <c r="F31" s="6">
        <v>205000</v>
      </c>
      <c r="G31" s="6">
        <v>196.9</v>
      </c>
      <c r="H31" s="8">
        <v>1.24</v>
      </c>
    </row>
    <row r="32" spans="1:8" ht="15.75">
      <c r="A32" s="12"/>
      <c r="B32" s="5" t="s">
        <v>4</v>
      </c>
      <c r="C32" s="5" t="s">
        <v>78</v>
      </c>
      <c r="D32" s="5">
        <v>50.12</v>
      </c>
      <c r="E32" s="5" t="s">
        <v>4</v>
      </c>
      <c r="F32" s="5" t="s">
        <v>4</v>
      </c>
      <c r="G32" s="5">
        <v>15855.59</v>
      </c>
      <c r="H32" s="7">
        <v>99.94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>
        <v>15855.59</v>
      </c>
      <c r="H36" s="7">
        <v>99.94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22</v>
      </c>
      <c r="B73" s="6" t="s">
        <v>95</v>
      </c>
      <c r="C73" s="6" t="s">
        <v>96</v>
      </c>
      <c r="D73" s="6" t="s">
        <v>19</v>
      </c>
      <c r="E73" s="6" t="s">
        <v>19</v>
      </c>
      <c r="F73" s="6">
        <v>3887.2</v>
      </c>
      <c r="G73" s="6">
        <v>388.58</v>
      </c>
      <c r="H73" s="8">
        <v>2.4500000000000002</v>
      </c>
    </row>
    <row r="74" spans="1:8" ht="15.75">
      <c r="A74" s="12"/>
      <c r="B74" s="5" t="s">
        <v>4</v>
      </c>
      <c r="C74" s="5" t="s">
        <v>78</v>
      </c>
      <c r="D74" s="5" t="s">
        <v>4</v>
      </c>
      <c r="E74" s="5" t="s">
        <v>4</v>
      </c>
      <c r="F74" s="5" t="s">
        <v>4</v>
      </c>
      <c r="G74" s="5">
        <v>388.58</v>
      </c>
      <c r="H74" s="7">
        <v>2.4500000000000002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23</v>
      </c>
      <c r="B77" s="6" t="s">
        <v>4</v>
      </c>
      <c r="C77" s="6" t="s">
        <v>98</v>
      </c>
      <c r="D77" s="6" t="s">
        <v>19</v>
      </c>
      <c r="E77" s="6" t="s">
        <v>19</v>
      </c>
      <c r="F77" s="6" t="s">
        <v>4</v>
      </c>
      <c r="G77" s="6">
        <v>-378.78</v>
      </c>
      <c r="H77" s="8">
        <v>-2.39</v>
      </c>
    </row>
    <row r="78" spans="1:8" ht="15.75">
      <c r="A78" s="12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>
        <v>-378.78</v>
      </c>
      <c r="H78" s="7">
        <v>-2.39</v>
      </c>
    </row>
    <row r="79" spans="1:8" ht="15.75">
      <c r="A79" s="12"/>
      <c r="B79" s="5" t="s">
        <v>4</v>
      </c>
      <c r="C79" s="5" t="s">
        <v>80</v>
      </c>
      <c r="D79" s="5" t="s">
        <v>4</v>
      </c>
      <c r="E79" s="5" t="s">
        <v>4</v>
      </c>
      <c r="F79" s="5" t="s">
        <v>4</v>
      </c>
      <c r="G79" s="5">
        <v>9.8000000000000007</v>
      </c>
      <c r="H79" s="7">
        <v>0.06</v>
      </c>
    </row>
    <row r="80" spans="1:8" ht="15.75">
      <c r="A80" s="12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>
        <v>15865.39</v>
      </c>
      <c r="H80" s="5">
        <v>100</v>
      </c>
    </row>
    <row r="82" spans="2:6">
      <c r="B82" s="1" t="s">
        <v>100</v>
      </c>
    </row>
    <row r="83" spans="2:6">
      <c r="B83" s="9" t="s">
        <v>101</v>
      </c>
      <c r="C83" s="9"/>
      <c r="D83" s="9" t="s">
        <v>102</v>
      </c>
      <c r="E83" s="9"/>
      <c r="F83" s="9"/>
    </row>
    <row r="84" spans="2:6">
      <c r="B84" s="9" t="s">
        <v>103</v>
      </c>
      <c r="C84" s="9" t="s">
        <v>104</v>
      </c>
      <c r="D84" s="9" t="s">
        <v>105</v>
      </c>
      <c r="E84" s="9" t="s">
        <v>106</v>
      </c>
      <c r="F84" s="9" t="s">
        <v>107</v>
      </c>
    </row>
    <row r="85" spans="2:6">
      <c r="B85" s="9"/>
      <c r="C85" s="9"/>
      <c r="D85" s="9"/>
      <c r="E85" s="9"/>
      <c r="F85" s="9"/>
    </row>
    <row r="86" spans="2:6">
      <c r="B86" s="9" t="s">
        <v>108</v>
      </c>
      <c r="C86" s="9"/>
      <c r="D86" s="9"/>
      <c r="E86" s="9"/>
      <c r="F86" s="9"/>
    </row>
    <row r="87" spans="2:6">
      <c r="B87" s="10" t="s">
        <v>109</v>
      </c>
      <c r="C87" s="9"/>
      <c r="D87" s="9"/>
      <c r="E87" s="9"/>
      <c r="F87" s="9"/>
    </row>
    <row r="88" spans="2:6">
      <c r="B88" s="9" t="s">
        <v>110</v>
      </c>
      <c r="C88" s="9"/>
      <c r="D88" s="9"/>
      <c r="E88" s="9"/>
      <c r="F88" s="9"/>
    </row>
    <row r="89" spans="2:6">
      <c r="B89" s="9" t="s">
        <v>111</v>
      </c>
      <c r="C89" s="9"/>
      <c r="D89" s="9"/>
      <c r="E89" s="9"/>
      <c r="F89" s="9"/>
    </row>
    <row r="90" spans="2:6">
      <c r="B90" s="9" t="s">
        <v>112</v>
      </c>
      <c r="C90" s="9"/>
      <c r="D90" s="9"/>
      <c r="E90" s="9"/>
      <c r="F90" s="9"/>
    </row>
    <row r="91" spans="2:6">
      <c r="B91" s="9" t="s">
        <v>113</v>
      </c>
      <c r="C91" s="9"/>
      <c r="D91" s="9"/>
      <c r="E91" s="9"/>
      <c r="F91" s="9"/>
    </row>
    <row r="92" spans="2:6">
      <c r="B92" s="9" t="s">
        <v>114</v>
      </c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 t="s">
        <v>115</v>
      </c>
      <c r="C94" s="9"/>
      <c r="D94" s="9" t="s">
        <v>102</v>
      </c>
      <c r="E94" s="9"/>
      <c r="F94" s="9"/>
    </row>
    <row r="95" spans="2:6">
      <c r="B95" s="9" t="s">
        <v>103</v>
      </c>
      <c r="C95" s="9" t="s">
        <v>104</v>
      </c>
      <c r="D95" s="9" t="s">
        <v>105</v>
      </c>
      <c r="E95" s="9" t="s">
        <v>106</v>
      </c>
      <c r="F95" s="9" t="s">
        <v>107</v>
      </c>
    </row>
    <row r="96" spans="2:6">
      <c r="B96" s="9"/>
      <c r="C96" s="9"/>
      <c r="D96" s="9"/>
      <c r="E96" s="9"/>
      <c r="F96" s="9"/>
    </row>
    <row r="97" spans="2:6">
      <c r="B97" s="9" t="s">
        <v>116</v>
      </c>
      <c r="C97" s="9"/>
      <c r="D97" s="9"/>
      <c r="E97" s="9"/>
      <c r="F97" s="9"/>
    </row>
    <row r="98" spans="2:6">
      <c r="B98" s="10" t="s">
        <v>117</v>
      </c>
      <c r="C98" s="9"/>
      <c r="D98" s="9"/>
      <c r="E98" s="9"/>
      <c r="F98" s="9"/>
    </row>
    <row r="99" spans="2:6">
      <c r="B99" s="9" t="s">
        <v>118</v>
      </c>
      <c r="C99" s="9"/>
      <c r="D99" s="9"/>
      <c r="E99" s="9"/>
      <c r="F99" s="9"/>
    </row>
    <row r="100" spans="2:6">
      <c r="B100" s="9" t="s">
        <v>119</v>
      </c>
      <c r="C100" s="9"/>
      <c r="D100" s="9"/>
      <c r="E100" s="9"/>
      <c r="F100" s="9"/>
    </row>
    <row r="101" spans="2:6">
      <c r="B101" s="9" t="s">
        <v>120</v>
      </c>
      <c r="C101" s="9"/>
      <c r="D101" s="9"/>
      <c r="E101" s="9"/>
      <c r="F101" s="9"/>
    </row>
    <row r="102" spans="2:6">
      <c r="B102" s="9" t="s">
        <v>113</v>
      </c>
      <c r="C102" s="9"/>
      <c r="D102" s="9"/>
      <c r="E102" s="9"/>
      <c r="F102" s="9"/>
    </row>
    <row r="103" spans="2:6">
      <c r="B103" s="9" t="s">
        <v>114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121</v>
      </c>
      <c r="C105" s="9"/>
      <c r="D105" s="9" t="s">
        <v>102</v>
      </c>
      <c r="E105" s="9"/>
      <c r="F105" s="9"/>
    </row>
    <row r="106" spans="2:6">
      <c r="B106" s="9" t="s">
        <v>103</v>
      </c>
      <c r="C106" s="9" t="s">
        <v>122</v>
      </c>
      <c r="D106" s="9" t="s">
        <v>123</v>
      </c>
      <c r="E106" s="9" t="s">
        <v>124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125</v>
      </c>
      <c r="C108" s="9"/>
      <c r="D108" s="9"/>
      <c r="E108" s="9"/>
      <c r="F108" s="9"/>
    </row>
    <row r="109" spans="2:6">
      <c r="B109" s="10" t="s">
        <v>126</v>
      </c>
      <c r="C109" s="9"/>
      <c r="D109" s="9"/>
      <c r="E109" s="9"/>
      <c r="F109" s="9"/>
    </row>
    <row r="110" spans="2:6">
      <c r="B110" s="9" t="s">
        <v>127</v>
      </c>
      <c r="C110" s="9"/>
      <c r="D110" s="9"/>
      <c r="E110" s="9"/>
      <c r="F110" s="9"/>
    </row>
    <row r="111" spans="2:6">
      <c r="B111" s="9" t="s">
        <v>128</v>
      </c>
      <c r="C111" s="9"/>
      <c r="D111" s="9"/>
      <c r="E111" s="9"/>
      <c r="F111" s="9"/>
    </row>
    <row r="112" spans="2:6">
      <c r="B112" s="9" t="s">
        <v>129</v>
      </c>
      <c r="C112" s="9"/>
      <c r="D112" s="9"/>
      <c r="E112" s="9"/>
      <c r="F112" s="9"/>
    </row>
    <row r="113" spans="1:6">
      <c r="B113" s="9"/>
      <c r="C113" s="9"/>
      <c r="D113" s="9"/>
      <c r="E113" s="9"/>
      <c r="F113" s="9"/>
    </row>
    <row r="114" spans="1:6">
      <c r="B114" s="9" t="s">
        <v>130</v>
      </c>
      <c r="C114" s="9"/>
      <c r="D114" s="9" t="s">
        <v>102</v>
      </c>
      <c r="E114" s="9"/>
      <c r="F114" s="9"/>
    </row>
    <row r="115" spans="1:6">
      <c r="B115" s="9" t="s">
        <v>103</v>
      </c>
      <c r="C115" s="9" t="s">
        <v>131</v>
      </c>
      <c r="D115" s="9" t="s">
        <v>122</v>
      </c>
      <c r="E115" s="9" t="s">
        <v>123</v>
      </c>
      <c r="F115" s="9" t="s">
        <v>124</v>
      </c>
    </row>
    <row r="116" spans="1:6">
      <c r="B116" s="9"/>
      <c r="C116" s="9"/>
      <c r="D116" s="9"/>
      <c r="E116" s="9"/>
      <c r="F116" s="9"/>
    </row>
    <row r="117" spans="1:6">
      <c r="B117" s="9" t="s">
        <v>132</v>
      </c>
      <c r="C117" s="9"/>
      <c r="D117" s="9"/>
      <c r="E117" s="9"/>
      <c r="F117" s="9"/>
    </row>
    <row r="118" spans="1:6">
      <c r="B118" s="10" t="s">
        <v>133</v>
      </c>
      <c r="C118" s="9"/>
      <c r="D118" s="9"/>
      <c r="E118" s="9"/>
      <c r="F118" s="9"/>
    </row>
    <row r="119" spans="1:6">
      <c r="B119" s="9" t="s">
        <v>127</v>
      </c>
      <c r="C119" s="9"/>
      <c r="D119" s="9"/>
      <c r="E119" s="9"/>
      <c r="F119" s="9"/>
    </row>
    <row r="120" spans="1:6">
      <c r="B120" s="9" t="s">
        <v>134</v>
      </c>
      <c r="C120" s="9"/>
      <c r="D120" s="9"/>
      <c r="E120" s="9"/>
      <c r="F120" s="9"/>
    </row>
    <row r="121" spans="1:6">
      <c r="B121" s="9" t="s">
        <v>129</v>
      </c>
      <c r="C121" s="9"/>
      <c r="D121" s="9"/>
      <c r="E121" s="9"/>
      <c r="F121" s="9"/>
    </row>
    <row r="122" spans="1:6">
      <c r="B122" s="9"/>
      <c r="C122" s="9"/>
      <c r="D122" s="9"/>
      <c r="E122" s="9"/>
      <c r="F122" s="9"/>
    </row>
    <row r="124" spans="1:6" ht="15.75">
      <c r="A124" s="11" t="s">
        <v>4</v>
      </c>
      <c r="B124" s="4" t="s">
        <v>135</v>
      </c>
    </row>
    <row r="125" spans="1:6">
      <c r="A125" s="11" t="s">
        <v>4</v>
      </c>
      <c r="B125" t="s">
        <v>4</v>
      </c>
    </row>
    <row r="126" spans="1:6">
      <c r="A126" s="11">
        <v>1</v>
      </c>
      <c r="B126" t="s">
        <v>136</v>
      </c>
    </row>
    <row r="127" spans="1:6">
      <c r="A127" s="11">
        <v>2</v>
      </c>
      <c r="B127" t="s">
        <v>137</v>
      </c>
    </row>
    <row r="128" spans="1:6">
      <c r="A128" s="11" t="s">
        <v>4</v>
      </c>
      <c r="B128" t="s">
        <v>138</v>
      </c>
    </row>
    <row r="129" spans="1:2">
      <c r="A129" s="11" t="s">
        <v>4</v>
      </c>
      <c r="B129" t="s">
        <v>139</v>
      </c>
    </row>
    <row r="130" spans="1:2">
      <c r="A130" s="11" t="s">
        <v>4</v>
      </c>
      <c r="B130" t="s">
        <v>140</v>
      </c>
    </row>
    <row r="131" spans="1:2">
      <c r="A131" s="11" t="s">
        <v>4</v>
      </c>
      <c r="B131" t="s">
        <v>141</v>
      </c>
    </row>
    <row r="132" spans="1:2">
      <c r="A132" s="11">
        <v>3</v>
      </c>
      <c r="B132" t="s">
        <v>142</v>
      </c>
    </row>
    <row r="133" spans="1:2">
      <c r="A133" s="11" t="s">
        <v>4</v>
      </c>
      <c r="B133" t="s">
        <v>143</v>
      </c>
    </row>
    <row r="134" spans="1:2">
      <c r="A134" s="11" t="s">
        <v>4</v>
      </c>
      <c r="B134" t="s">
        <v>144</v>
      </c>
    </row>
    <row r="135" spans="1:2">
      <c r="A135" s="11" t="s">
        <v>4</v>
      </c>
      <c r="B135" t="s">
        <v>145</v>
      </c>
    </row>
    <row r="136" spans="1:2">
      <c r="A136" s="11" t="s">
        <v>4</v>
      </c>
      <c r="B136" t="s">
        <v>146</v>
      </c>
    </row>
    <row r="137" spans="1:2">
      <c r="A137" s="11">
        <v>4</v>
      </c>
      <c r="B137" t="s">
        <v>147</v>
      </c>
    </row>
    <row r="138" spans="1:2">
      <c r="A138" s="11">
        <v>5</v>
      </c>
      <c r="B138" t="s">
        <v>148</v>
      </c>
    </row>
    <row r="139" spans="1:2">
      <c r="A139" s="11">
        <v>6</v>
      </c>
      <c r="B139" t="s">
        <v>149</v>
      </c>
    </row>
    <row r="140" spans="1:2">
      <c r="A140" s="11">
        <v>7</v>
      </c>
      <c r="B140" t="s">
        <v>150</v>
      </c>
    </row>
    <row r="141" spans="1:2">
      <c r="A141" s="11">
        <v>8</v>
      </c>
      <c r="B141" t="s">
        <v>151</v>
      </c>
    </row>
    <row r="142" spans="1:2">
      <c r="A142" s="11">
        <v>9</v>
      </c>
      <c r="B142" t="s">
        <v>152</v>
      </c>
    </row>
    <row r="143" spans="1:2">
      <c r="A143" s="11">
        <v>10</v>
      </c>
      <c r="B143" s="14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2023-01-04T09:13:07Z</dcterms:modified>
</cp:coreProperties>
</file>