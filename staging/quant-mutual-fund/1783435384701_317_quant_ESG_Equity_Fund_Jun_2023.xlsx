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rishti shah\HD\Drishti\MF\QMML\Compliances\Monthly Compliances\QMF Website\2023\June\"/>
    </mc:Choice>
  </mc:AlternateContent>
  <bookViews>
    <workbookView xWindow="0" yWindow="0" windowWidth="19200" windowHeight="11490"/>
  </bookViews>
  <sheets>
    <sheet name="qESG" sheetId="1" r:id="rId1"/>
  </sheets>
  <externalReferences>
    <externalReference r:id="rId2"/>
  </externalReferences>
  <calcPr calcId="162913"/>
</workbook>
</file>

<file path=xl/calcChain.xml><?xml version="1.0" encoding="utf-8"?>
<calcChain xmlns="http://schemas.openxmlformats.org/spreadsheetml/2006/main">
  <c r="D26" i="1" l="1"/>
  <c r="D25" i="1"/>
  <c r="D24" i="1"/>
  <c r="D23" i="1"/>
  <c r="D22" i="1"/>
  <c r="D21" i="1"/>
  <c r="D20" i="1"/>
  <c r="D19" i="1"/>
  <c r="D18" i="1"/>
  <c r="D17" i="1"/>
  <c r="D16" i="1"/>
  <c r="D13" i="1"/>
  <c r="D12" i="1"/>
  <c r="D11" i="1"/>
</calcChain>
</file>

<file path=xl/sharedStrings.xml><?xml version="1.0" encoding="utf-8"?>
<sst xmlns="http://schemas.openxmlformats.org/spreadsheetml/2006/main" count="517" uniqueCount="157">
  <si>
    <t>quant Mutual Fund</t>
  </si>
  <si>
    <t>quant ESG Equity Fund</t>
  </si>
  <si>
    <t xml:space="preserve"> </t>
  </si>
  <si>
    <t>MONTHLY PORTFOLIO STATEMENT AS ON 30 Jun 2023</t>
  </si>
  <si>
    <t/>
  </si>
  <si>
    <t>Risk-o-meter of the Scheme</t>
  </si>
  <si>
    <t>Risk-o-meter of the Benchmark- NIFTY100 ESG TRI</t>
  </si>
  <si>
    <t>SR</t>
  </si>
  <si>
    <t>ISIN</t>
  </si>
  <si>
    <t>NAME OF THE INSTRUMENT</t>
  </si>
  <si>
    <t>ESG 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</si>
  <si>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</si>
  <si>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</si>
  <si>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</si>
  <si>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</si>
  <si>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</si>
  <si>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</si>
  <si>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INE040A01034</t>
  </si>
  <si>
    <t>HDFC Bank Limited</t>
  </si>
  <si>
    <t>Banks</t>
  </si>
  <si>
    <t>INE002A01018</t>
  </si>
  <si>
    <t>Reliance Industries Limited</t>
  </si>
  <si>
    <t>Petroleum Products</t>
  </si>
  <si>
    <t>INE214T01019</t>
  </si>
  <si>
    <t>LTIMindtree Limited</t>
  </si>
  <si>
    <t>IT - Software</t>
  </si>
  <si>
    <t>INE00E101023</t>
  </si>
  <si>
    <t>Bikaji Foods International Limited</t>
  </si>
  <si>
    <t>Food Products</t>
  </si>
  <si>
    <t>INE191A01027</t>
  </si>
  <si>
    <t>Orchid Pharma Limited</t>
  </si>
  <si>
    <t>Pharmaceuticals &amp; Biotechnology</t>
  </si>
  <si>
    <t>INE749A01030</t>
  </si>
  <si>
    <t>Jindal Steel &amp; Power Ltd</t>
  </si>
  <si>
    <t>Ferrous Metals</t>
  </si>
  <si>
    <t>INE271C01023</t>
  </si>
  <si>
    <t>DLF Limited</t>
  </si>
  <si>
    <t>Realty</t>
  </si>
  <si>
    <t>INE406A01037</t>
  </si>
  <si>
    <t>Aurobindo Pharma Limited</t>
  </si>
  <si>
    <t>INE044A01036</t>
  </si>
  <si>
    <t>Sun Pharmaceutical Industries Limited</t>
  </si>
  <si>
    <t>INE481G01011</t>
  </si>
  <si>
    <t>UltraTech Cement Limited</t>
  </si>
  <si>
    <t>Cement &amp; Cement Products</t>
  </si>
  <si>
    <t>INE326A01037</t>
  </si>
  <si>
    <t>Lupin Limited</t>
  </si>
  <si>
    <t>INE192A01025</t>
  </si>
  <si>
    <t>Tata Consumer Products Ltd</t>
  </si>
  <si>
    <t>Agricultural Food &amp; other Products</t>
  </si>
  <si>
    <t>INE038A01020</t>
  </si>
  <si>
    <t>Hindalco Industries Limited</t>
  </si>
  <si>
    <t>Non - Ferrous Metals</t>
  </si>
  <si>
    <t>INE239A01016</t>
  </si>
  <si>
    <t>Nestle India Limited</t>
  </si>
  <si>
    <t>INE151A01013</t>
  </si>
  <si>
    <t>Tata Communications Limited</t>
  </si>
  <si>
    <t>Telecom - Services</t>
  </si>
  <si>
    <t>INE323A01026</t>
  </si>
  <si>
    <t>Bosch Limited</t>
  </si>
  <si>
    <t>Auto Components</t>
  </si>
  <si>
    <t>INE614B01018</t>
  </si>
  <si>
    <t>Karnataka Bank Ltd</t>
  </si>
  <si>
    <t>Sub Total</t>
  </si>
  <si>
    <t>(b) Unlisted</t>
  </si>
  <si>
    <t>Total</t>
  </si>
  <si>
    <t>DERIVATIVES</t>
  </si>
  <si>
    <t>(a) Index / Stock Futures</t>
  </si>
  <si>
    <t>ESCORTS270723</t>
  </si>
  <si>
    <t>Escorts Kubota Limited 27/07/2023</t>
  </si>
  <si>
    <t>N.A.</t>
  </si>
  <si>
    <t>SUNPHARMA270723</t>
  </si>
  <si>
    <t>Sun Pharmaceutical Industries Limited 27/07/2023</t>
  </si>
  <si>
    <t>BHARTIARTL270723</t>
  </si>
  <si>
    <t>Bharti Airtel Limited 27/07/2023</t>
  </si>
  <si>
    <t>PEL270723</t>
  </si>
  <si>
    <t>Piramal Enterprises Limited 27/07/2023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</si>
  <si>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</si>
  <si>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</si>
  <si>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</si>
  <si>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</si>
  <si>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</si>
  <si>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</si>
  <si>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</si>
  <si>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</si>
  <si>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</si>
  <si>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IN002022Y484</t>
  </si>
  <si>
    <t>182 Days Treasury Bill  24-Aug-2023</t>
  </si>
  <si>
    <t>SOV</t>
  </si>
  <si>
    <t>FIXED DEPOSITS</t>
  </si>
  <si>
    <t>OTHERS</t>
  </si>
  <si>
    <t>(a) Mutual Fund Unit</t>
  </si>
  <si>
    <t>(b) Tri Party Repo (TREPs)</t>
  </si>
  <si>
    <t>INCBLO030723</t>
  </si>
  <si>
    <t>TREPS 03-Aug-2023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</si>
  <si>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</si>
  <si>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</si>
  <si>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</si>
  <si>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</si>
  <si>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</si>
  <si>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30/06/2023</t>
  </si>
  <si>
    <t>Underlying</t>
  </si>
  <si>
    <t>Long / Short</t>
  </si>
  <si>
    <t>Future Price when Purchased</t>
  </si>
  <si>
    <t>Current price of the contract</t>
  </si>
  <si>
    <t>Margin Maintained</t>
  </si>
  <si>
    <t>Total %age of existing assets hedged through futures</t>
  </si>
  <si>
    <t xml:space="preserve">For the period ended 30/06/2023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</si>
  <si>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</si>
  <si>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</si>
  <si>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</si>
  <si>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</si>
  <si>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</si>
  <si>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</si>
  <si>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PEL27072023</t>
  </si>
  <si>
    <t>Long</t>
  </si>
  <si>
    <t>BHARTIARTL27072023</t>
  </si>
  <si>
    <t>ESCORTS27072023</t>
  </si>
  <si>
    <t>SUNPHARMA27072023</t>
  </si>
  <si>
    <t>Total Exposure due to futures (non hedging positions) as a %age of net assets</t>
  </si>
  <si>
    <t>For the period ended 30/06/2023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</si>
  <si>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</si>
  <si>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</si>
  <si>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</si>
  <si>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</si>
  <si>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</si>
  <si>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</si>
  <si>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</si>
  <si>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</si>
  <si>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30/06/2023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</si>
  <si>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</si>
  <si>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</si>
  <si>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</si>
  <si>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</si>
  <si>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</si>
  <si>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</si>
  <si>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30/06/2023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</si>
  <si>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</si>
  <si>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</si>
  <si>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</si>
  <si>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Jun 2023</t>
  </si>
  <si>
    <t>quant ESG Equity Fund - Growth - Direct Plan 24.0067</t>
  </si>
  <si>
    <t>quant ESG Equity Fund - IDCW - Direct Plan 23.9809</t>
  </si>
  <si>
    <t>quant ESG Equity Fund - Regular Plan - Growth 23.0635</t>
  </si>
  <si>
    <t>quant ESG Equity Fund - Regular Plan - IDCW 22.9547</t>
  </si>
  <si>
    <t>NAV as on 31 May 2023</t>
  </si>
  <si>
    <t>quant ESG Equity Fund - Growth - Direct Plan 22.4792</t>
  </si>
  <si>
    <t>quant ESG Equity Fund - IDCW - Direct Plan 22.455</t>
  </si>
  <si>
    <t>quant ESG Equity Fund - Regular Plan - Growth 21.6269</t>
  </si>
  <si>
    <t>quant ESG Equity Fund - Regular Plan - IDCW 21.5249</t>
  </si>
  <si>
    <t>Dividend declared during the period  is NIL</t>
  </si>
  <si>
    <t>Bonus declared during the period is NIL</t>
  </si>
  <si>
    <t>Total outstanding exposure in derivatives instruments as on 30-Jun-2023 is NIL</t>
  </si>
  <si>
    <t>Total Investments in foreign securities/ADRs / GDRs as on  30-Jun-2023 is NIL</t>
  </si>
  <si>
    <t>The Portfolio Turnover Ratio is 2.36 times / The Average Maturity period is 0 Days</t>
  </si>
  <si>
    <t>The funds parked in short term deposit(s) as on 30-Jun-2023  were NIL</t>
  </si>
  <si>
    <r>
      <t>Weighted Average ESG Score for the portfolio as on 30-Jun-2023  is '</t>
    </r>
    <r>
      <rPr>
        <b/>
        <sz val="11"/>
        <rFont val="Calibri"/>
        <family val="2"/>
      </rPr>
      <t>53.13</t>
    </r>
    <r>
      <rPr>
        <sz val="11"/>
        <rFont val="Calibri"/>
        <family val="2"/>
      </rPr>
      <t>'. ESG Score of Unrated Securities is considered as 0 for calculation of Weighted Average ESG Score. ESG Scores of Futures/Options positions is considered same as that of the underlying securities. Weightage of Debt Instruments/Money Market Instruments/TREPS / Reverse Repo Investments and Other Current Assets / Liabilities is not considered for the calculation of final ESG Score.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</si>
</sst>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_ * #,##0.00_ ;_ * \-#,##0.00_ ;_ * &quot;-&quot;??_ ;_ @_ "/>
  </numFmts>
  <fonts count="10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65" fontId="9" fillId="0" borderId="0" applyFont="0" applyFill="0" applyBorder="0" applyAlignment="0" applyProtection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1" fillId="0" borderId="0"/>
    <xf numFmtId="9" fontId="9" fillId="0" borderId="0" applyFont="0" applyFill="0" applyBorder="0" applyAlignment="0" applyProtection="0">
      <alignment vertical="top"/>
    </xf>
  </cellStyleXfs>
  <cellXfs count="3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0" borderId="1" xfId="0" applyFont="1" applyFill="1" applyBorder="1"/>
    <xf numFmtId="2" fontId="4" fillId="2" borderId="1" xfId="0" applyNumberFormat="1" applyFont="1" applyFill="1" applyBorder="1"/>
    <xf numFmtId="2" fontId="3" fillId="0" borderId="1" xfId="0" applyNumberFormat="1" applyFont="1" applyFill="1" applyBorder="1"/>
    <xf numFmtId="2" fontId="0" fillId="0" borderId="0" xfId="0" applyNumberFormat="1"/>
    <xf numFmtId="0" fontId="5" fillId="0" borderId="0" xfId="0" applyFont="1"/>
    <xf numFmtId="0" fontId="6" fillId="2" borderId="1" xfId="0" applyFont="1" applyFill="1" applyBorder="1"/>
    <xf numFmtId="0" fontId="7" fillId="2" borderId="1" xfId="0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0" fillId="0" borderId="4" xfId="0" applyBorder="1"/>
    <xf numFmtId="0" fontId="6" fillId="2" borderId="5" xfId="0" applyFont="1" applyFill="1" applyBorder="1"/>
    <xf numFmtId="164" fontId="6" fillId="2" borderId="1" xfId="0" applyNumberFormat="1" applyFont="1" applyFill="1" applyBorder="1"/>
    <xf numFmtId="0" fontId="8" fillId="0" borderId="0" xfId="0" applyFont="1"/>
    <xf numFmtId="0" fontId="1" fillId="0" borderId="0" xfId="0" applyFont="1" applyAlignment="1"/>
    <xf numFmtId="164" fontId="6" fillId="2" borderId="3" xfId="0" applyNumberFormat="1" applyFont="1" applyFill="1" applyBorder="1" applyAlignment="1">
      <alignment horizontal="center"/>
    </xf>
    <xf numFmtId="164" fontId="6" fillId="2" borderId="7" xfId="0" applyNumberFormat="1" applyFont="1" applyFill="1" applyBorder="1" applyAlignment="1">
      <alignment horizontal="center"/>
    </xf>
    <xf numFmtId="164" fontId="6" fillId="2" borderId="8" xfId="0" applyNumberFormat="1" applyFont="1" applyFill="1" applyBorder="1" applyAlignment="1">
      <alignment horizontal="center"/>
    </xf>
    <xf numFmtId="0" fontId="6" fillId="2" borderId="3" xfId="0" applyNumberFormat="1" applyFont="1" applyFill="1" applyBorder="1" applyAlignment="1">
      <alignment horizontal="center"/>
    </xf>
    <xf numFmtId="0" fontId="6" fillId="2" borderId="7" xfId="0" applyNumberFormat="1" applyFont="1" applyFill="1" applyBorder="1" applyAlignment="1">
      <alignment horizontal="center"/>
    </xf>
    <xf numFmtId="0" fontId="6" fillId="2" borderId="8" xfId="0" applyNumberFormat="1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4" fontId="6" fillId="2" borderId="2" xfId="0" applyNumberFormat="1" applyFont="1" applyFill="1" applyBorder="1" applyAlignment="1">
      <alignment horizontal="center" vertical="center"/>
    </xf>
    <xf numFmtId="4" fontId="6" fillId="2" borderId="6" xfId="0" applyNumberFormat="1" applyFont="1" applyFill="1" applyBorder="1" applyAlignment="1">
      <alignment horizontal="center" vertical="center"/>
    </xf>
    <xf numFmtId="4" fontId="6" fillId="2" borderId="5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6">
    <cellStyle name="Comma 2" xfId="1"/>
    <cellStyle name="Normal" xfId="0" builtinId="0"/>
    <cellStyle name="Normal 2" xfId="2"/>
    <cellStyle name="Normal 3" xfId="3"/>
    <cellStyle name="Normal 4" xfId="4"/>
    <cellStyle name="Percent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43877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100 ESG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01200" y="57150"/>
          <a:ext cx="1428750" cy="914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50\AppData\Local\Microsoft\Windows\INetCache\Content.Outlook\F21XKPRB\SES_Esg_report_202306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Report"/>
      <sheetName val="Sheet1"/>
    </sheetNames>
    <sheetDataSet>
      <sheetData sheetId="0">
        <row r="3">
          <cell r="C3" t="str">
            <v>INE117A01022</v>
          </cell>
          <cell r="D3" t="str">
            <v>Power Equipment</v>
          </cell>
          <cell r="E3" t="str">
            <v>2022-23</v>
          </cell>
          <cell r="F3">
            <v>68.3</v>
          </cell>
        </row>
        <row r="4">
          <cell r="C4" t="str">
            <v>INE463V01026</v>
          </cell>
          <cell r="E4" t="str">
            <v>2022-23</v>
          </cell>
          <cell r="F4">
            <v>74.400000000000006</v>
          </cell>
        </row>
        <row r="5">
          <cell r="C5" t="str">
            <v>INE028A01039</v>
          </cell>
          <cell r="D5" t="str">
            <v>Public Sector Bank</v>
          </cell>
          <cell r="E5" t="str">
            <v>2022-23</v>
          </cell>
          <cell r="F5">
            <v>70.900000000000006</v>
          </cell>
        </row>
        <row r="6">
          <cell r="C6" t="str">
            <v>INE457A01014</v>
          </cell>
          <cell r="D6" t="str">
            <v>Public Sector Bank</v>
          </cell>
          <cell r="E6" t="str">
            <v>2022-23</v>
          </cell>
          <cell r="F6">
            <v>67.400000000000006</v>
          </cell>
        </row>
        <row r="7">
          <cell r="C7" t="str">
            <v>INE476A01014</v>
          </cell>
          <cell r="D7" t="str">
            <v>Public Sector Bank</v>
          </cell>
          <cell r="E7" t="str">
            <v>2022-23</v>
          </cell>
          <cell r="F7">
            <v>74.599999999999994</v>
          </cell>
        </row>
        <row r="8">
          <cell r="C8" t="str">
            <v>INE172A01027</v>
          </cell>
          <cell r="D8" t="str">
            <v>Lubricants</v>
          </cell>
          <cell r="E8" t="str">
            <v>2022-23</v>
          </cell>
          <cell r="F8">
            <v>67.8</v>
          </cell>
        </row>
        <row r="9">
          <cell r="C9" t="str">
            <v>INE280B01018</v>
          </cell>
          <cell r="D9" t="str">
            <v>Commodity Chemicals</v>
          </cell>
          <cell r="E9" t="str">
            <v>2022-23</v>
          </cell>
          <cell r="F9">
            <v>43.4</v>
          </cell>
        </row>
        <row r="10">
          <cell r="C10" t="str">
            <v>INE519A01011</v>
          </cell>
          <cell r="D10" t="str">
            <v>Chemicals - Speciality</v>
          </cell>
          <cell r="E10" t="str">
            <v>2022-23</v>
          </cell>
          <cell r="F10">
            <v>64.3</v>
          </cell>
        </row>
        <row r="11">
          <cell r="C11" t="str">
            <v>INE127D01025</v>
          </cell>
          <cell r="D11" t="str">
            <v>Asset Management Companies</v>
          </cell>
          <cell r="E11" t="str">
            <v>2022-23</v>
          </cell>
          <cell r="F11">
            <v>79.400000000000006</v>
          </cell>
        </row>
        <row r="12">
          <cell r="C12" t="str">
            <v>INE481N01025</v>
          </cell>
          <cell r="D12" t="str">
            <v>Housing Finance</v>
          </cell>
          <cell r="E12" t="str">
            <v>2022-23</v>
          </cell>
          <cell r="F12">
            <v>79.3</v>
          </cell>
        </row>
        <row r="13">
          <cell r="C13" t="str">
            <v>INE275B01026</v>
          </cell>
          <cell r="D13" t="str">
            <v>Packaging</v>
          </cell>
          <cell r="E13" t="str">
            <v>2022-23</v>
          </cell>
          <cell r="F13">
            <v>65.8</v>
          </cell>
        </row>
        <row r="14">
          <cell r="C14" t="str">
            <v>INE562A01011</v>
          </cell>
          <cell r="E14" t="str">
            <v>2022-23</v>
          </cell>
          <cell r="F14">
            <v>68.5</v>
          </cell>
        </row>
        <row r="15">
          <cell r="C15" t="str">
            <v>INE324A01024</v>
          </cell>
          <cell r="D15" t="str">
            <v>Iron &amp; Steel Products</v>
          </cell>
          <cell r="E15" t="str">
            <v>2022-23</v>
          </cell>
          <cell r="F15">
            <v>59.8</v>
          </cell>
        </row>
        <row r="16">
          <cell r="C16" t="str">
            <v>INE531A01024</v>
          </cell>
          <cell r="D16" t="str">
            <v>Paints</v>
          </cell>
          <cell r="E16" t="str">
            <v>2022-23</v>
          </cell>
          <cell r="F16">
            <v>71.400000000000006</v>
          </cell>
        </row>
        <row r="17">
          <cell r="C17" t="str">
            <v>INE239A01016</v>
          </cell>
          <cell r="D17" t="str">
            <v>Packaged Foods</v>
          </cell>
          <cell r="E17" t="str">
            <v>2022-23</v>
          </cell>
          <cell r="F17">
            <v>74.2</v>
          </cell>
        </row>
        <row r="18">
          <cell r="C18" t="str">
            <v>INE160A01022</v>
          </cell>
          <cell r="D18" t="str">
            <v>Public Sector Bank</v>
          </cell>
          <cell r="E18" t="str">
            <v>2022-23</v>
          </cell>
          <cell r="F18">
            <v>69</v>
          </cell>
        </row>
        <row r="19">
          <cell r="C19" t="str">
            <v>INE613A01020</v>
          </cell>
          <cell r="D19" t="str">
            <v>Pesticides And Agrochemicals</v>
          </cell>
          <cell r="E19" t="str">
            <v>2022-23</v>
          </cell>
          <cell r="F19">
            <v>73.5</v>
          </cell>
        </row>
        <row r="20">
          <cell r="C20" t="str">
            <v>INE02A801020</v>
          </cell>
          <cell r="D20" t="str">
            <v>Chemicals - Speciality</v>
          </cell>
          <cell r="E20" t="str">
            <v>2022-23</v>
          </cell>
          <cell r="F20">
            <v>68.5</v>
          </cell>
        </row>
        <row r="21">
          <cell r="C21" t="str">
            <v>INE630A01024</v>
          </cell>
          <cell r="D21" t="str">
            <v>Paper And Paper Products</v>
          </cell>
          <cell r="E21" t="str">
            <v>2022-23</v>
          </cell>
          <cell r="F21">
            <v>60.9</v>
          </cell>
        </row>
        <row r="22">
          <cell r="C22" t="str">
            <v>INE721A01013</v>
          </cell>
          <cell r="D22" t="str">
            <v>Nbfc</v>
          </cell>
          <cell r="E22" t="str">
            <v>2022-23</v>
          </cell>
          <cell r="F22">
            <v>73.400000000000006</v>
          </cell>
        </row>
        <row r="23">
          <cell r="C23" t="str">
            <v>INE003A01024</v>
          </cell>
          <cell r="D23" t="str">
            <v>Power Equipment</v>
          </cell>
          <cell r="E23" t="str">
            <v>2022-23</v>
          </cell>
          <cell r="F23">
            <v>66.5</v>
          </cell>
        </row>
        <row r="24">
          <cell r="C24" t="str">
            <v>INE493A01027</v>
          </cell>
          <cell r="D24" t="str">
            <v>Tea &amp; Coffee</v>
          </cell>
          <cell r="E24" t="str">
            <v>2022-23</v>
          </cell>
          <cell r="F24">
            <v>58.7</v>
          </cell>
        </row>
        <row r="25">
          <cell r="C25" t="str">
            <v>INE192A01025</v>
          </cell>
          <cell r="D25" t="str">
            <v>Tea &amp; Coffee</v>
          </cell>
          <cell r="E25" t="str">
            <v>2022-23</v>
          </cell>
        </row>
        <row r="26">
          <cell r="C26" t="str">
            <v>INE053A01029</v>
          </cell>
          <cell r="D26" t="str">
            <v>Hotels Restaurants Resorts</v>
          </cell>
          <cell r="E26" t="str">
            <v>2022-23</v>
          </cell>
          <cell r="F26">
            <v>75.7</v>
          </cell>
        </row>
        <row r="27">
          <cell r="C27" t="str">
            <v>INE849A01020</v>
          </cell>
          <cell r="D27" t="str">
            <v>Speciality Retail</v>
          </cell>
          <cell r="E27" t="str">
            <v>2022-23</v>
          </cell>
        </row>
        <row r="28">
          <cell r="C28" t="str">
            <v>INE691A01018</v>
          </cell>
          <cell r="D28" t="str">
            <v>Public Sector Bank</v>
          </cell>
          <cell r="E28" t="str">
            <v>2022-23</v>
          </cell>
          <cell r="F28">
            <v>70.099999999999994</v>
          </cell>
        </row>
        <row r="29">
          <cell r="C29" t="str">
            <v>INE200M01021</v>
          </cell>
          <cell r="D29" t="str">
            <v>Beverages</v>
          </cell>
          <cell r="E29" t="str">
            <v>2022-23</v>
          </cell>
          <cell r="F29">
            <v>63.2</v>
          </cell>
        </row>
        <row r="30">
          <cell r="C30" t="str">
            <v>INE386A01015</v>
          </cell>
          <cell r="D30" t="str">
            <v>Refractories</v>
          </cell>
          <cell r="E30" t="str">
            <v>2022-23</v>
          </cell>
          <cell r="F30">
            <v>63.4</v>
          </cell>
        </row>
        <row r="31">
          <cell r="C31" t="str">
            <v>INE470A01017</v>
          </cell>
          <cell r="D31" t="str">
            <v>Diversified</v>
          </cell>
          <cell r="E31" t="str">
            <v>2021-22</v>
          </cell>
          <cell r="F31">
            <v>51.4</v>
          </cell>
        </row>
        <row r="32">
          <cell r="C32" t="str">
            <v>INE769A01020</v>
          </cell>
          <cell r="D32" t="str">
            <v>Chemicals - Speciality</v>
          </cell>
          <cell r="E32" t="str">
            <v>2021-22</v>
          </cell>
          <cell r="F32">
            <v>55.3</v>
          </cell>
        </row>
        <row r="33">
          <cell r="C33" t="str">
            <v>INE216P01012</v>
          </cell>
          <cell r="D33" t="str">
            <v>Housing Finance</v>
          </cell>
          <cell r="E33" t="str">
            <v>2021-22</v>
          </cell>
          <cell r="F33">
            <v>76.7</v>
          </cell>
        </row>
        <row r="34">
          <cell r="C34" t="str">
            <v>INE117A01022</v>
          </cell>
          <cell r="D34" t="str">
            <v>Power Equipment</v>
          </cell>
          <cell r="E34" t="str">
            <v>2021-22</v>
          </cell>
          <cell r="F34">
            <v>66.5</v>
          </cell>
        </row>
        <row r="35">
          <cell r="C35" t="str">
            <v>INE358A01014</v>
          </cell>
          <cell r="D35" t="str">
            <v>Pharmaceuticals</v>
          </cell>
          <cell r="E35" t="str">
            <v>2021-22</v>
          </cell>
          <cell r="F35">
            <v>53.3</v>
          </cell>
        </row>
        <row r="36">
          <cell r="C36" t="str">
            <v>INE012A01025</v>
          </cell>
          <cell r="D36" t="str">
            <v>Cement</v>
          </cell>
          <cell r="E36" t="str">
            <v>2021-22</v>
          </cell>
          <cell r="F36">
            <v>59</v>
          </cell>
        </row>
        <row r="37">
          <cell r="C37" t="str">
            <v>INE423A01024</v>
          </cell>
          <cell r="E37" t="str">
            <v>2021-22</v>
          </cell>
          <cell r="F37">
            <v>65.8</v>
          </cell>
        </row>
        <row r="38">
          <cell r="C38" t="str">
            <v>INE364U01010</v>
          </cell>
          <cell r="D38" t="str">
            <v>Power</v>
          </cell>
          <cell r="E38" t="str">
            <v>2021-22</v>
          </cell>
          <cell r="F38">
            <v>67.099999999999994</v>
          </cell>
        </row>
        <row r="39">
          <cell r="C39" t="str">
            <v>INE742F01042</v>
          </cell>
          <cell r="D39" t="str">
            <v>Port</v>
          </cell>
          <cell r="E39" t="str">
            <v>2021-22</v>
          </cell>
          <cell r="F39">
            <v>72.5</v>
          </cell>
        </row>
        <row r="40">
          <cell r="C40" t="str">
            <v>INE814H01011</v>
          </cell>
          <cell r="D40" t="str">
            <v>Power</v>
          </cell>
          <cell r="E40" t="str">
            <v>2021-22</v>
          </cell>
          <cell r="F40">
            <v>63.5</v>
          </cell>
        </row>
        <row r="41">
          <cell r="C41" t="str">
            <v>INE399L01023</v>
          </cell>
          <cell r="E41" t="str">
            <v>2021-22</v>
          </cell>
          <cell r="F41">
            <v>72</v>
          </cell>
        </row>
        <row r="42">
          <cell r="C42" t="str">
            <v>INE931S01010</v>
          </cell>
          <cell r="D42" t="str">
            <v>Power - Transmission</v>
          </cell>
          <cell r="E42" t="str">
            <v>2021-22</v>
          </cell>
          <cell r="F42">
            <v>65.599999999999994</v>
          </cell>
        </row>
        <row r="43">
          <cell r="C43" t="str">
            <v>INE699H01024</v>
          </cell>
          <cell r="E43" t="str">
            <v>2021-22</v>
          </cell>
          <cell r="F43">
            <v>59.2</v>
          </cell>
        </row>
        <row r="44">
          <cell r="C44" t="str">
            <v>INE674K01013</v>
          </cell>
          <cell r="D44" t="str">
            <v>Investment Companies</v>
          </cell>
          <cell r="E44" t="str">
            <v>2021-22</v>
          </cell>
          <cell r="F44">
            <v>65.3</v>
          </cell>
        </row>
        <row r="45">
          <cell r="C45" t="str">
            <v>INE647O01011</v>
          </cell>
          <cell r="D45" t="str">
            <v>Speciality Retail</v>
          </cell>
          <cell r="E45" t="str">
            <v>2021-22</v>
          </cell>
          <cell r="F45">
            <v>70.2</v>
          </cell>
        </row>
        <row r="46">
          <cell r="C46" t="str">
            <v>INE00WC01027</v>
          </cell>
          <cell r="E46" t="str">
            <v>2021-22</v>
          </cell>
          <cell r="F46">
            <v>71.099999999999994</v>
          </cell>
        </row>
        <row r="47">
          <cell r="C47" t="str">
            <v>INE212H01026</v>
          </cell>
          <cell r="D47" t="str">
            <v>Castings/Forgings</v>
          </cell>
          <cell r="E47" t="str">
            <v>2021-22</v>
          </cell>
          <cell r="F47">
            <v>54.7</v>
          </cell>
        </row>
        <row r="48">
          <cell r="C48" t="str">
            <v>INE540L01014</v>
          </cell>
          <cell r="D48" t="str">
            <v>Pharmaceuticals</v>
          </cell>
          <cell r="E48" t="str">
            <v>2021-22</v>
          </cell>
          <cell r="F48">
            <v>47.2</v>
          </cell>
        </row>
        <row r="49">
          <cell r="C49" t="str">
            <v>INE150B01039</v>
          </cell>
          <cell r="D49" t="str">
            <v>Chemicals - Speciality</v>
          </cell>
          <cell r="E49" t="str">
            <v>2021-22</v>
          </cell>
          <cell r="F49">
            <v>46.8</v>
          </cell>
        </row>
        <row r="50">
          <cell r="C50" t="str">
            <v>INE079A01024</v>
          </cell>
          <cell r="D50" t="str">
            <v>Cement</v>
          </cell>
          <cell r="E50" t="str">
            <v>2021-22</v>
          </cell>
          <cell r="F50">
            <v>56.9</v>
          </cell>
        </row>
        <row r="51">
          <cell r="C51" t="str">
            <v>INE702C01027</v>
          </cell>
          <cell r="D51" t="str">
            <v>Iron &amp; Steel Products</v>
          </cell>
          <cell r="E51" t="str">
            <v>2021-22</v>
          </cell>
          <cell r="F51">
            <v>52.6</v>
          </cell>
        </row>
        <row r="52">
          <cell r="C52" t="str">
            <v>INE437A01024</v>
          </cell>
          <cell r="D52" t="str">
            <v>Hospital</v>
          </cell>
          <cell r="E52" t="str">
            <v>2021-22</v>
          </cell>
          <cell r="F52">
            <v>52.6</v>
          </cell>
        </row>
        <row r="53">
          <cell r="C53" t="str">
            <v>INE126J01016</v>
          </cell>
          <cell r="D53" t="str">
            <v>Plastic Products</v>
          </cell>
          <cell r="E53" t="str">
            <v>2021-22</v>
          </cell>
          <cell r="F53">
            <v>52.1</v>
          </cell>
        </row>
        <row r="54">
          <cell r="C54" t="str">
            <v>INE438A01022</v>
          </cell>
          <cell r="D54" t="str">
            <v>Tyres &amp; Allied</v>
          </cell>
          <cell r="E54" t="str">
            <v>2021-22</v>
          </cell>
          <cell r="F54">
            <v>49.2</v>
          </cell>
        </row>
        <row r="55">
          <cell r="C55" t="str">
            <v>INE955V01021</v>
          </cell>
          <cell r="D55" t="str">
            <v>Speciality Retail</v>
          </cell>
          <cell r="E55" t="str">
            <v>2021-22</v>
          </cell>
          <cell r="F55">
            <v>51.5</v>
          </cell>
        </row>
        <row r="56">
          <cell r="C56" t="str">
            <v>INE208A01029</v>
          </cell>
          <cell r="D56" t="str">
            <v>Commercial Vehicles</v>
          </cell>
          <cell r="E56" t="str">
            <v>2021-22</v>
          </cell>
          <cell r="F56">
            <v>55</v>
          </cell>
        </row>
        <row r="57">
          <cell r="C57" t="str">
            <v>INE021A01026</v>
          </cell>
          <cell r="D57" t="str">
            <v>Paints</v>
          </cell>
          <cell r="E57" t="str">
            <v>2021-22</v>
          </cell>
          <cell r="F57">
            <v>65</v>
          </cell>
        </row>
        <row r="58">
          <cell r="C58" t="str">
            <v>INE006I01046</v>
          </cell>
          <cell r="E58" t="str">
            <v>2021-22</v>
          </cell>
          <cell r="F58">
            <v>56.5</v>
          </cell>
        </row>
        <row r="59">
          <cell r="C59" t="str">
            <v>INE100A01010</v>
          </cell>
          <cell r="D59" t="str">
            <v>Chemicals - Speciality</v>
          </cell>
          <cell r="E59" t="str">
            <v>2021-22</v>
          </cell>
          <cell r="F59">
            <v>59.9</v>
          </cell>
        </row>
        <row r="60">
          <cell r="C60" t="str">
            <v>INE949L01017</v>
          </cell>
          <cell r="D60" t="str">
            <v>Other Bank</v>
          </cell>
          <cell r="E60" t="str">
            <v>2021-22</v>
          </cell>
          <cell r="F60">
            <v>77.400000000000006</v>
          </cell>
        </row>
        <row r="61">
          <cell r="C61" t="str">
            <v>INE406A01037</v>
          </cell>
          <cell r="D61" t="str">
            <v>Pharmaceuticals</v>
          </cell>
          <cell r="E61" t="str">
            <v>2021-22</v>
          </cell>
          <cell r="F61">
            <v>51.8</v>
          </cell>
        </row>
        <row r="62">
          <cell r="C62" t="str">
            <v>INE192R01011</v>
          </cell>
          <cell r="D62" t="str">
            <v>Diversified Retail</v>
          </cell>
          <cell r="E62" t="str">
            <v>2021-22</v>
          </cell>
          <cell r="F62">
            <v>50.9</v>
          </cell>
        </row>
        <row r="63">
          <cell r="C63" t="str">
            <v>INE238A01034</v>
          </cell>
          <cell r="D63" t="str">
            <v>Private Sector Bank</v>
          </cell>
          <cell r="E63" t="str">
            <v>2021-22</v>
          </cell>
          <cell r="F63">
            <v>80.099999999999994</v>
          </cell>
        </row>
        <row r="64">
          <cell r="C64" t="str">
            <v>INE917I01010</v>
          </cell>
          <cell r="D64" t="str">
            <v>Motor Cycles/Scooters</v>
          </cell>
          <cell r="E64" t="str">
            <v>2021-22</v>
          </cell>
          <cell r="F64">
            <v>49</v>
          </cell>
        </row>
        <row r="65">
          <cell r="C65" t="str">
            <v>INE296A01024</v>
          </cell>
          <cell r="D65" t="str">
            <v>Ndfc</v>
          </cell>
          <cell r="E65" t="str">
            <v>2021-22</v>
          </cell>
          <cell r="F65">
            <v>75.8</v>
          </cell>
        </row>
        <row r="66">
          <cell r="C66" t="str">
            <v>INE918I01026</v>
          </cell>
          <cell r="D66" t="str">
            <v>General Insurance</v>
          </cell>
          <cell r="E66" t="str">
            <v>2021-22</v>
          </cell>
          <cell r="F66">
            <v>76.5</v>
          </cell>
        </row>
        <row r="67">
          <cell r="C67" t="str">
            <v>INE118A01012</v>
          </cell>
          <cell r="D67" t="str">
            <v>Holding Companies</v>
          </cell>
          <cell r="E67" t="str">
            <v>2021-22</v>
          </cell>
          <cell r="F67">
            <v>51.5</v>
          </cell>
        </row>
        <row r="68">
          <cell r="C68" t="str">
            <v>INE787D01026</v>
          </cell>
          <cell r="D68" t="str">
            <v>Tyres &amp; Allied</v>
          </cell>
          <cell r="E68" t="str">
            <v>2021-22</v>
          </cell>
          <cell r="F68">
            <v>59.3</v>
          </cell>
        </row>
        <row r="69">
          <cell r="C69" t="str">
            <v>INE545U01014</v>
          </cell>
          <cell r="D69" t="str">
            <v>Private Sector Bank</v>
          </cell>
          <cell r="E69" t="str">
            <v>2021-22</v>
          </cell>
          <cell r="F69">
            <v>67.400000000000006</v>
          </cell>
        </row>
        <row r="70">
          <cell r="C70" t="str">
            <v>INE028A01039</v>
          </cell>
          <cell r="D70" t="str">
            <v>Public Sector Bank</v>
          </cell>
          <cell r="E70" t="str">
            <v>2021-22</v>
          </cell>
          <cell r="F70">
            <v>60.3</v>
          </cell>
        </row>
        <row r="71">
          <cell r="C71" t="str">
            <v>INE176A01028</v>
          </cell>
          <cell r="D71" t="str">
            <v>Leather And Leather Products</v>
          </cell>
          <cell r="E71" t="str">
            <v>2021-22</v>
          </cell>
          <cell r="F71">
            <v>53</v>
          </cell>
        </row>
        <row r="72">
          <cell r="C72" t="str">
            <v>INE462A01022</v>
          </cell>
          <cell r="D72" t="str">
            <v>Agrochemicals</v>
          </cell>
          <cell r="E72" t="str">
            <v>2021-22</v>
          </cell>
          <cell r="F72">
            <v>46.6</v>
          </cell>
        </row>
        <row r="73">
          <cell r="C73" t="str">
            <v>INE463A01038</v>
          </cell>
          <cell r="D73" t="str">
            <v>Paints</v>
          </cell>
          <cell r="E73" t="str">
            <v>2021-22</v>
          </cell>
          <cell r="F73">
            <v>47.2</v>
          </cell>
        </row>
        <row r="74">
          <cell r="C74" t="str">
            <v>INE263A01024</v>
          </cell>
          <cell r="D74" t="str">
            <v>Defense</v>
          </cell>
          <cell r="E74" t="str">
            <v>2021-22</v>
          </cell>
          <cell r="F74">
            <v>52.2</v>
          </cell>
        </row>
        <row r="75">
          <cell r="C75" t="str">
            <v>INE465A01025</v>
          </cell>
          <cell r="D75" t="str">
            <v>Castings/Forgings</v>
          </cell>
          <cell r="E75" t="str">
            <v>2021-22</v>
          </cell>
          <cell r="F75">
            <v>68.400000000000006</v>
          </cell>
        </row>
        <row r="76">
          <cell r="C76" t="str">
            <v>INE257A01026</v>
          </cell>
          <cell r="D76" t="str">
            <v>Power Equipment</v>
          </cell>
          <cell r="E76" t="str">
            <v>2021-22</v>
          </cell>
          <cell r="F76">
            <v>68</v>
          </cell>
        </row>
        <row r="77">
          <cell r="C77" t="str">
            <v>INE029A01011</v>
          </cell>
          <cell r="D77" t="str">
            <v>Refineries/Marketing</v>
          </cell>
          <cell r="E77" t="str">
            <v>2021-22</v>
          </cell>
          <cell r="F77">
            <v>54.3</v>
          </cell>
        </row>
        <row r="78">
          <cell r="C78" t="str">
            <v>INE397D01024</v>
          </cell>
          <cell r="D78" t="str">
            <v>Telecom - Services</v>
          </cell>
          <cell r="E78" t="str">
            <v>2021-22</v>
          </cell>
          <cell r="F78">
            <v>74.400000000000006</v>
          </cell>
        </row>
        <row r="79">
          <cell r="C79" t="str">
            <v>INE376G01013</v>
          </cell>
          <cell r="D79" t="str">
            <v>Pharmaceuticals</v>
          </cell>
          <cell r="E79" t="str">
            <v>2021-22</v>
          </cell>
          <cell r="F79">
            <v>68.7</v>
          </cell>
        </row>
        <row r="80">
          <cell r="C80" t="str">
            <v>INE050A01025</v>
          </cell>
          <cell r="D80" t="str">
            <v>Consumer Food</v>
          </cell>
          <cell r="E80" t="str">
            <v>2021-22</v>
          </cell>
          <cell r="F80">
            <v>46.2</v>
          </cell>
        </row>
        <row r="81">
          <cell r="C81" t="str">
            <v>INE323A01026</v>
          </cell>
          <cell r="D81" t="str">
            <v>Auto Ancillaries</v>
          </cell>
          <cell r="E81" t="str">
            <v>2021-22</v>
          </cell>
          <cell r="F81">
            <v>56.1</v>
          </cell>
        </row>
        <row r="82">
          <cell r="C82" t="str">
            <v>INE791I01019</v>
          </cell>
          <cell r="D82" t="str">
            <v>Residential/Commercial/Sez Project</v>
          </cell>
          <cell r="E82" t="str">
            <v>2021-22</v>
          </cell>
          <cell r="F82">
            <v>56.9</v>
          </cell>
        </row>
        <row r="83">
          <cell r="C83" t="str">
            <v>INE216A01030</v>
          </cell>
          <cell r="D83" t="str">
            <v>Consumer Food</v>
          </cell>
          <cell r="E83" t="str">
            <v>2021-22</v>
          </cell>
          <cell r="F83">
            <v>51.6</v>
          </cell>
        </row>
        <row r="84">
          <cell r="C84" t="str">
            <v>INE476A01014</v>
          </cell>
          <cell r="D84" t="str">
            <v>Public Sector Bank</v>
          </cell>
          <cell r="E84" t="str">
            <v>2021-22</v>
          </cell>
          <cell r="F84">
            <v>63.2</v>
          </cell>
        </row>
        <row r="85">
          <cell r="C85" t="str">
            <v>INE264T01014</v>
          </cell>
          <cell r="D85" t="str">
            <v>Residential/Commercial/Sez Project</v>
          </cell>
          <cell r="E85" t="str">
            <v>2021-22</v>
          </cell>
          <cell r="F85">
            <v>49.4</v>
          </cell>
        </row>
        <row r="86">
          <cell r="C86" t="str">
            <v>INE120A01034</v>
          </cell>
          <cell r="D86" t="str">
            <v>Abrasives</v>
          </cell>
          <cell r="E86" t="str">
            <v>2021-22</v>
          </cell>
          <cell r="F86">
            <v>55.7</v>
          </cell>
        </row>
        <row r="87">
          <cell r="C87" t="str">
            <v>INE290S01011</v>
          </cell>
          <cell r="E87" t="str">
            <v>2021-22</v>
          </cell>
          <cell r="F87">
            <v>51.8</v>
          </cell>
        </row>
        <row r="88">
          <cell r="C88" t="str">
            <v>INE172A01027</v>
          </cell>
          <cell r="D88" t="str">
            <v>Lubricants</v>
          </cell>
          <cell r="E88" t="str">
            <v>2021-22</v>
          </cell>
          <cell r="F88">
            <v>47.6</v>
          </cell>
        </row>
        <row r="89">
          <cell r="C89" t="str">
            <v>INE421D01022</v>
          </cell>
          <cell r="D89" t="str">
            <v>Tea &amp; Coffee</v>
          </cell>
          <cell r="E89" t="str">
            <v>2021-22</v>
          </cell>
          <cell r="F89">
            <v>46.7</v>
          </cell>
        </row>
        <row r="90">
          <cell r="C90" t="str">
            <v>INE736A01011</v>
          </cell>
          <cell r="D90" t="str">
            <v>Depositories And Other Intermediaries</v>
          </cell>
          <cell r="E90" t="str">
            <v>2021-22</v>
          </cell>
          <cell r="F90">
            <v>63.6</v>
          </cell>
        </row>
        <row r="91">
          <cell r="C91" t="str">
            <v>INE067A01029</v>
          </cell>
          <cell r="D91" t="str">
            <v>Power Equipment</v>
          </cell>
          <cell r="E91" t="str">
            <v>2021-22</v>
          </cell>
          <cell r="F91">
            <v>53.6</v>
          </cell>
        </row>
        <row r="92">
          <cell r="C92" t="str">
            <v>INE121A01024</v>
          </cell>
          <cell r="D92" t="str">
            <v>Nbfc</v>
          </cell>
          <cell r="E92" t="str">
            <v>2021-22</v>
          </cell>
          <cell r="F92">
            <v>61.6</v>
          </cell>
        </row>
        <row r="93">
          <cell r="C93" t="str">
            <v>INE059A01026</v>
          </cell>
          <cell r="D93" t="str">
            <v>Pharmaceuticals</v>
          </cell>
          <cell r="E93" t="str">
            <v>2021-22</v>
          </cell>
          <cell r="F93">
            <v>72.099999999999994</v>
          </cell>
        </row>
        <row r="94">
          <cell r="C94" t="str">
            <v>INE227W01023</v>
          </cell>
          <cell r="E94" t="str">
            <v>2021-22</v>
          </cell>
          <cell r="F94">
            <v>50.2</v>
          </cell>
        </row>
        <row r="95">
          <cell r="C95" t="str">
            <v>INE522F01014</v>
          </cell>
          <cell r="D95" t="str">
            <v>Industrial Minerals</v>
          </cell>
          <cell r="E95" t="str">
            <v>2021-22</v>
          </cell>
          <cell r="F95">
            <v>50.3</v>
          </cell>
        </row>
        <row r="96">
          <cell r="C96" t="str">
            <v>INE591G01017</v>
          </cell>
          <cell r="D96" t="str">
            <v>Computers - Software</v>
          </cell>
          <cell r="E96" t="str">
            <v>2021-22</v>
          </cell>
          <cell r="F96">
            <v>54.8</v>
          </cell>
        </row>
        <row r="97">
          <cell r="C97" t="str">
            <v>INE259A01022</v>
          </cell>
          <cell r="D97" t="str">
            <v>Personal Care</v>
          </cell>
          <cell r="E97" t="str">
            <v>2021-22</v>
          </cell>
          <cell r="F97">
            <v>70.3</v>
          </cell>
        </row>
        <row r="98">
          <cell r="C98" t="str">
            <v>INE596I01012</v>
          </cell>
          <cell r="D98" t="str">
            <v>Other Financial Services</v>
          </cell>
          <cell r="E98" t="str">
            <v>2021-22</v>
          </cell>
          <cell r="F98">
            <v>68.8</v>
          </cell>
        </row>
        <row r="99">
          <cell r="C99" t="str">
            <v>INE111A01025</v>
          </cell>
          <cell r="D99" t="str">
            <v>Logistics Solution Provider</v>
          </cell>
          <cell r="E99" t="str">
            <v>2021-22</v>
          </cell>
          <cell r="F99">
            <v>53.3</v>
          </cell>
        </row>
        <row r="100">
          <cell r="C100" t="str">
            <v>INE169A01031</v>
          </cell>
          <cell r="D100" t="str">
            <v>Fertilisers</v>
          </cell>
          <cell r="E100" t="str">
            <v>2021-22</v>
          </cell>
          <cell r="F100">
            <v>52.4</v>
          </cell>
        </row>
        <row r="101">
          <cell r="C101" t="str">
            <v>INE741K01010</v>
          </cell>
          <cell r="E101" t="str">
            <v>2021-22</v>
          </cell>
          <cell r="F101">
            <v>78.2</v>
          </cell>
        </row>
        <row r="102">
          <cell r="C102" t="str">
            <v>INE299U01018</v>
          </cell>
          <cell r="D102" t="str">
            <v>Home Appliances Housewares</v>
          </cell>
          <cell r="E102" t="str">
            <v>2021-22</v>
          </cell>
          <cell r="F102">
            <v>53.6</v>
          </cell>
        </row>
        <row r="103">
          <cell r="C103" t="str">
            <v>INE298A01020</v>
          </cell>
          <cell r="D103" t="str">
            <v>Diesel Engines</v>
          </cell>
          <cell r="E103" t="str">
            <v>2021-22</v>
          </cell>
          <cell r="F103">
            <v>50.2</v>
          </cell>
        </row>
        <row r="104">
          <cell r="C104" t="str">
            <v>INE016A01026</v>
          </cell>
          <cell r="D104" t="str">
            <v>Personal Care</v>
          </cell>
          <cell r="E104" t="str">
            <v>2021-22</v>
          </cell>
          <cell r="F104">
            <v>70.900000000000006</v>
          </cell>
        </row>
        <row r="105">
          <cell r="C105" t="str">
            <v>INE00R701025</v>
          </cell>
          <cell r="D105" t="str">
            <v>Cement</v>
          </cell>
          <cell r="E105" t="str">
            <v>2021-22</v>
          </cell>
          <cell r="F105">
            <v>63.6</v>
          </cell>
        </row>
        <row r="106">
          <cell r="C106" t="str">
            <v>INE288B01029</v>
          </cell>
          <cell r="D106" t="str">
            <v>Chemicals - Speciality</v>
          </cell>
          <cell r="E106" t="str">
            <v>2021-22</v>
          </cell>
          <cell r="F106">
            <v>50.8</v>
          </cell>
        </row>
        <row r="107">
          <cell r="C107" t="str">
            <v>INE872J01023</v>
          </cell>
          <cell r="E107" t="str">
            <v>2021-22</v>
          </cell>
          <cell r="F107">
            <v>47.4</v>
          </cell>
        </row>
        <row r="108">
          <cell r="C108" t="str">
            <v>INE361B01024</v>
          </cell>
          <cell r="D108" t="str">
            <v>Pharmaceuticals</v>
          </cell>
          <cell r="E108" t="str">
            <v>2021-22</v>
          </cell>
          <cell r="F108">
            <v>54.6</v>
          </cell>
        </row>
        <row r="109">
          <cell r="C109" t="str">
            <v>INE935N01020</v>
          </cell>
          <cell r="D109" t="str">
            <v>Consumer Electronics</v>
          </cell>
          <cell r="E109" t="str">
            <v>2021-22</v>
          </cell>
          <cell r="F109">
            <v>53.2</v>
          </cell>
        </row>
        <row r="110">
          <cell r="C110" t="str">
            <v>INE271C01023</v>
          </cell>
          <cell r="D110" t="str">
            <v>Residential/Commercial/Sez Project</v>
          </cell>
          <cell r="E110" t="str">
            <v>2021-22</v>
          </cell>
          <cell r="F110">
            <v>58</v>
          </cell>
        </row>
        <row r="111">
          <cell r="C111" t="str">
            <v>INE600L01024</v>
          </cell>
          <cell r="D111" t="str">
            <v>Healthcare Service Providers</v>
          </cell>
          <cell r="E111" t="str">
            <v>2021-22</v>
          </cell>
          <cell r="F111">
            <v>67.3</v>
          </cell>
        </row>
        <row r="112">
          <cell r="C112" t="str">
            <v>INE089A01023</v>
          </cell>
          <cell r="E112" t="str">
            <v>2021-22</v>
          </cell>
          <cell r="F112">
            <v>72.2</v>
          </cell>
        </row>
        <row r="113">
          <cell r="C113" t="str">
            <v>INE066A01021</v>
          </cell>
          <cell r="D113" t="str">
            <v>Motor Cycles/Scooters</v>
          </cell>
          <cell r="E113" t="str">
            <v>2021-22</v>
          </cell>
          <cell r="F113">
            <v>69</v>
          </cell>
        </row>
        <row r="114">
          <cell r="C114" t="str">
            <v>INE548C01032</v>
          </cell>
          <cell r="D114" t="str">
            <v>Personal Care</v>
          </cell>
          <cell r="E114" t="str">
            <v>2021-22</v>
          </cell>
          <cell r="F114">
            <v>54.8</v>
          </cell>
        </row>
        <row r="115">
          <cell r="C115" t="str">
            <v>INE913H01037</v>
          </cell>
          <cell r="D115" t="str">
            <v>Auto Ancillaries</v>
          </cell>
          <cell r="E115" t="str">
            <v>2021-22</v>
          </cell>
          <cell r="F115">
            <v>51.8</v>
          </cell>
        </row>
        <row r="116">
          <cell r="C116" t="str">
            <v>INE510A01028</v>
          </cell>
          <cell r="D116" t="str">
            <v>Engineering-Designing-Construction</v>
          </cell>
          <cell r="E116" t="str">
            <v>2021-22</v>
          </cell>
          <cell r="F116">
            <v>68.2</v>
          </cell>
        </row>
        <row r="117">
          <cell r="C117" t="str">
            <v>INE042A01014</v>
          </cell>
          <cell r="D117" t="str">
            <v>Tractors</v>
          </cell>
          <cell r="E117" t="str">
            <v>2021-22</v>
          </cell>
          <cell r="F117">
            <v>63</v>
          </cell>
        </row>
        <row r="118">
          <cell r="C118" t="str">
            <v>INE061F01013</v>
          </cell>
          <cell r="D118" t="str">
            <v>Hospital</v>
          </cell>
          <cell r="E118" t="str">
            <v>2021-22</v>
          </cell>
          <cell r="F118">
            <v>45.2</v>
          </cell>
        </row>
        <row r="119">
          <cell r="C119" t="str">
            <v>INE388Y01029</v>
          </cell>
          <cell r="E119" t="str">
            <v>2021-22</v>
          </cell>
          <cell r="F119">
            <v>50.1</v>
          </cell>
        </row>
        <row r="120">
          <cell r="C120" t="str">
            <v>INE201P01022</v>
          </cell>
          <cell r="E120" t="str">
            <v>2021-22</v>
          </cell>
          <cell r="F120">
            <v>50.7</v>
          </cell>
        </row>
        <row r="121">
          <cell r="C121" t="str">
            <v>INE129A01019</v>
          </cell>
          <cell r="D121" t="str">
            <v>Gas Transmission/Marketing</v>
          </cell>
          <cell r="E121" t="str">
            <v>2021-22</v>
          </cell>
          <cell r="F121">
            <v>75.7</v>
          </cell>
        </row>
        <row r="122">
          <cell r="C122" t="str">
            <v>INE539A01019</v>
          </cell>
          <cell r="D122" t="str">
            <v>Chemicals - Inorganic</v>
          </cell>
          <cell r="E122" t="str">
            <v>2021-22</v>
          </cell>
          <cell r="F122">
            <v>64.099999999999994</v>
          </cell>
        </row>
        <row r="123">
          <cell r="C123" t="str">
            <v>INE068V01023</v>
          </cell>
          <cell r="D123" t="str">
            <v>Pharmaceuticals</v>
          </cell>
          <cell r="E123" t="str">
            <v>2021-22</v>
          </cell>
          <cell r="F123">
            <v>52.7</v>
          </cell>
        </row>
        <row r="124">
          <cell r="C124" t="str">
            <v>INE159A01016</v>
          </cell>
          <cell r="D124" t="str">
            <v>Pharmaceuticals</v>
          </cell>
          <cell r="E124" t="str">
            <v>2021-22</v>
          </cell>
          <cell r="F124">
            <v>56</v>
          </cell>
        </row>
        <row r="125">
          <cell r="C125" t="str">
            <v>INE776C01039</v>
          </cell>
          <cell r="D125" t="str">
            <v>Engineering-Designing-Construction</v>
          </cell>
          <cell r="E125" t="str">
            <v>2021-22</v>
          </cell>
          <cell r="F125">
            <v>56.5</v>
          </cell>
        </row>
        <row r="126">
          <cell r="C126" t="str">
            <v>INE102D01028</v>
          </cell>
          <cell r="D126" t="str">
            <v>Personal Care</v>
          </cell>
          <cell r="E126" t="str">
            <v>2021-22</v>
          </cell>
          <cell r="F126">
            <v>60</v>
          </cell>
        </row>
        <row r="127">
          <cell r="C127" t="str">
            <v>INE484J01027</v>
          </cell>
          <cell r="D127" t="str">
            <v>Residential/Commercial/Sez Project</v>
          </cell>
          <cell r="E127" t="str">
            <v>2021-22</v>
          </cell>
          <cell r="F127">
            <v>66.099999999999994</v>
          </cell>
        </row>
        <row r="128">
          <cell r="C128" t="str">
            <v>INE047A01021</v>
          </cell>
          <cell r="E128" t="str">
            <v>2021-22</v>
          </cell>
          <cell r="F128">
            <v>66.7</v>
          </cell>
        </row>
        <row r="129">
          <cell r="C129" t="str">
            <v>INE536A01023</v>
          </cell>
          <cell r="D129" t="str">
            <v>Abrasives</v>
          </cell>
          <cell r="E129" t="str">
            <v>2021-22</v>
          </cell>
          <cell r="F129">
            <v>47.6</v>
          </cell>
        </row>
        <row r="130">
          <cell r="C130" t="str">
            <v>INE09N301011</v>
          </cell>
          <cell r="D130" t="str">
            <v>Chemicals - Speciality</v>
          </cell>
          <cell r="E130" t="str">
            <v>2021-22</v>
          </cell>
          <cell r="F130">
            <v>43.5</v>
          </cell>
        </row>
        <row r="131">
          <cell r="C131" t="str">
            <v>INE844O01030</v>
          </cell>
          <cell r="D131" t="str">
            <v>Gas Transmission/Marketing</v>
          </cell>
          <cell r="E131" t="str">
            <v>2021-22</v>
          </cell>
          <cell r="F131">
            <v>56.4</v>
          </cell>
        </row>
        <row r="132">
          <cell r="C132" t="str">
            <v>INE926X01010</v>
          </cell>
          <cell r="D132" t="str">
            <v>Engineering-Designing-Construction</v>
          </cell>
          <cell r="E132" t="str">
            <v>2021-22</v>
          </cell>
          <cell r="F132">
            <v>60.1</v>
          </cell>
        </row>
        <row r="133">
          <cell r="C133" t="str">
            <v>INE473B01035</v>
          </cell>
          <cell r="D133" t="str">
            <v>Dairy Products</v>
          </cell>
          <cell r="E133" t="str">
            <v>2021-22</v>
          </cell>
          <cell r="F133">
            <v>48.2</v>
          </cell>
        </row>
        <row r="134">
          <cell r="C134" t="str">
            <v>INE176B01034</v>
          </cell>
          <cell r="D134" t="str">
            <v>Consumer Electronics</v>
          </cell>
          <cell r="E134" t="str">
            <v>2021-22</v>
          </cell>
          <cell r="F134">
            <v>69.8</v>
          </cell>
        </row>
        <row r="135">
          <cell r="C135" t="str">
            <v>INE860A01027</v>
          </cell>
          <cell r="D135" t="str">
            <v>Computers - Software</v>
          </cell>
          <cell r="E135" t="str">
            <v>2021-22</v>
          </cell>
          <cell r="F135">
            <v>76.599999999999994</v>
          </cell>
        </row>
        <row r="136">
          <cell r="C136" t="str">
            <v>INE127D01025</v>
          </cell>
          <cell r="D136" t="str">
            <v>Asset Management Companies</v>
          </cell>
          <cell r="E136" t="str">
            <v>2021-22</v>
          </cell>
          <cell r="F136">
            <v>76.900000000000006</v>
          </cell>
        </row>
        <row r="137">
          <cell r="C137" t="str">
            <v>INE040A01034</v>
          </cell>
          <cell r="D137" t="str">
            <v>Private Sector Bank</v>
          </cell>
          <cell r="E137" t="str">
            <v>2021-22</v>
          </cell>
          <cell r="F137">
            <v>76.599999999999994</v>
          </cell>
        </row>
        <row r="138">
          <cell r="C138" t="str">
            <v>INE795G01014</v>
          </cell>
          <cell r="D138" t="str">
            <v>Life Insurance</v>
          </cell>
          <cell r="E138" t="str">
            <v>2021-22</v>
          </cell>
          <cell r="F138">
            <v>61.7</v>
          </cell>
        </row>
        <row r="139">
          <cell r="C139" t="str">
            <v>INE578A01017</v>
          </cell>
          <cell r="D139" t="str">
            <v>Cement</v>
          </cell>
          <cell r="E139" t="str">
            <v>2021-22</v>
          </cell>
          <cell r="F139">
            <v>55.8</v>
          </cell>
        </row>
        <row r="140">
          <cell r="C140" t="str">
            <v>INE978A01027</v>
          </cell>
          <cell r="D140" t="str">
            <v>Dairy Products</v>
          </cell>
          <cell r="E140" t="str">
            <v>2021-22</v>
          </cell>
          <cell r="F140">
            <v>50.4</v>
          </cell>
        </row>
        <row r="141">
          <cell r="C141" t="str">
            <v>INE158A01026</v>
          </cell>
          <cell r="D141" t="str">
            <v>Motor Cycles/Scooters</v>
          </cell>
          <cell r="E141" t="str">
            <v>2021-22</v>
          </cell>
          <cell r="F141">
            <v>74.900000000000006</v>
          </cell>
        </row>
        <row r="142">
          <cell r="C142" t="str">
            <v>INE038A01020</v>
          </cell>
          <cell r="D142" t="str">
            <v>Aluminium</v>
          </cell>
          <cell r="E142" t="str">
            <v>2021-22</v>
          </cell>
          <cell r="F142">
            <v>61.7</v>
          </cell>
        </row>
        <row r="143">
          <cell r="C143" t="str">
            <v>INE066F01012</v>
          </cell>
          <cell r="D143" t="str">
            <v>Aerospace</v>
          </cell>
          <cell r="E143" t="str">
            <v>2021-22</v>
          </cell>
          <cell r="F143">
            <v>65.599999999999994</v>
          </cell>
        </row>
        <row r="144">
          <cell r="C144" t="str">
            <v>INE094A01015</v>
          </cell>
          <cell r="D144" t="str">
            <v>Refineries/Marketing</v>
          </cell>
          <cell r="E144" t="str">
            <v>2021-22</v>
          </cell>
          <cell r="F144">
            <v>57</v>
          </cell>
        </row>
        <row r="145">
          <cell r="C145" t="str">
            <v>INE030A01027</v>
          </cell>
          <cell r="D145" t="str">
            <v>Diversified</v>
          </cell>
          <cell r="E145" t="str">
            <v>2021-22</v>
          </cell>
          <cell r="F145">
            <v>57.8</v>
          </cell>
        </row>
        <row r="146">
          <cell r="C146" t="str">
            <v>INE267A01025</v>
          </cell>
          <cell r="D146" t="str">
            <v>Zinc</v>
          </cell>
          <cell r="E146" t="str">
            <v>2021-22</v>
          </cell>
          <cell r="F146">
            <v>68.900000000000006</v>
          </cell>
        </row>
        <row r="147">
          <cell r="C147" t="str">
            <v>INE481N01025</v>
          </cell>
          <cell r="D147" t="str">
            <v>Housing Finance</v>
          </cell>
          <cell r="E147" t="str">
            <v>2021-22</v>
          </cell>
          <cell r="F147">
            <v>78.8</v>
          </cell>
        </row>
        <row r="148">
          <cell r="C148" t="str">
            <v>INE671A01010</v>
          </cell>
          <cell r="D148" t="str">
            <v>Industrial Electronics</v>
          </cell>
          <cell r="E148" t="str">
            <v>2021-22</v>
          </cell>
          <cell r="F148">
            <v>49.8</v>
          </cell>
        </row>
        <row r="149">
          <cell r="C149" t="str">
            <v>INE001A01036</v>
          </cell>
          <cell r="D149" t="str">
            <v>Housing Finance</v>
          </cell>
          <cell r="E149" t="str">
            <v>2021-22</v>
          </cell>
          <cell r="F149">
            <v>81.8</v>
          </cell>
        </row>
        <row r="150">
          <cell r="C150" t="str">
            <v>INE090A01021</v>
          </cell>
          <cell r="D150" t="str">
            <v>Private Sector Bank</v>
          </cell>
          <cell r="E150" t="str">
            <v>2021-22</v>
          </cell>
          <cell r="F150">
            <v>68.7</v>
          </cell>
        </row>
        <row r="151">
          <cell r="C151" t="str">
            <v>INE765G01017</v>
          </cell>
          <cell r="D151" t="str">
            <v>General Insurance</v>
          </cell>
          <cell r="E151" t="str">
            <v>2021-22</v>
          </cell>
          <cell r="F151">
            <v>73</v>
          </cell>
        </row>
        <row r="152">
          <cell r="C152" t="str">
            <v>INE726G01019</v>
          </cell>
          <cell r="D152" t="str">
            <v>Life Insurance</v>
          </cell>
          <cell r="E152" t="str">
            <v>2021-22</v>
          </cell>
          <cell r="F152">
            <v>77.5</v>
          </cell>
        </row>
        <row r="153">
          <cell r="C153" t="str">
            <v>INE763G01038</v>
          </cell>
          <cell r="D153" t="str">
            <v>Stockbroking And Allied</v>
          </cell>
          <cell r="E153" t="str">
            <v>2021-22</v>
          </cell>
          <cell r="F153">
            <v>81</v>
          </cell>
        </row>
        <row r="154">
          <cell r="C154" t="str">
            <v>INE008A01015</v>
          </cell>
          <cell r="D154" t="str">
            <v>Private Sector Bank</v>
          </cell>
          <cell r="E154" t="str">
            <v>2021-22</v>
          </cell>
          <cell r="F154">
            <v>64.5</v>
          </cell>
        </row>
        <row r="155">
          <cell r="C155" t="str">
            <v>INE092T01019</v>
          </cell>
          <cell r="D155" t="str">
            <v>Private Sector Bank</v>
          </cell>
          <cell r="E155" t="str">
            <v>2021-22</v>
          </cell>
          <cell r="F155">
            <v>65.900000000000006</v>
          </cell>
        </row>
        <row r="156">
          <cell r="C156" t="str">
            <v>INE242A01010</v>
          </cell>
          <cell r="D156" t="str">
            <v>Refineries/Marketing</v>
          </cell>
          <cell r="E156" t="str">
            <v>2021-22</v>
          </cell>
          <cell r="F156">
            <v>67</v>
          </cell>
        </row>
        <row r="157">
          <cell r="C157" t="str">
            <v>INE565A01014</v>
          </cell>
          <cell r="D157" t="str">
            <v>Public Sector Bank</v>
          </cell>
          <cell r="E157" t="str">
            <v>2021-22</v>
          </cell>
          <cell r="F157">
            <v>57.4</v>
          </cell>
        </row>
        <row r="158">
          <cell r="C158" t="str">
            <v>INE335Y01020</v>
          </cell>
          <cell r="E158" t="str">
            <v>2021-22</v>
          </cell>
          <cell r="F158">
            <v>73</v>
          </cell>
        </row>
        <row r="159">
          <cell r="C159" t="str">
            <v>INE053F01010</v>
          </cell>
          <cell r="D159" t="str">
            <v>Financial Institution</v>
          </cell>
          <cell r="E159" t="str">
            <v>2021-22</v>
          </cell>
          <cell r="F159">
            <v>54.6</v>
          </cell>
        </row>
        <row r="160">
          <cell r="C160" t="str">
            <v>INE203G01027</v>
          </cell>
          <cell r="D160" t="str">
            <v>Lpg/Cng/Png/Lng Supplier</v>
          </cell>
          <cell r="E160" t="str">
            <v>2021-22</v>
          </cell>
          <cell r="F160">
            <v>63.1</v>
          </cell>
        </row>
        <row r="161">
          <cell r="C161" t="str">
            <v>INE121J01017</v>
          </cell>
          <cell r="D161" t="str">
            <v>Telecom - Equipment</v>
          </cell>
          <cell r="E161" t="str">
            <v>2021-22</v>
          </cell>
          <cell r="F161">
            <v>68.400000000000006</v>
          </cell>
        </row>
        <row r="162">
          <cell r="C162" t="str">
            <v>INE095A01012</v>
          </cell>
          <cell r="D162" t="str">
            <v>Private Sector Bank</v>
          </cell>
          <cell r="E162" t="str">
            <v>2021-22</v>
          </cell>
          <cell r="F162">
            <v>77</v>
          </cell>
        </row>
        <row r="163">
          <cell r="C163" t="str">
            <v>INE663F01024</v>
          </cell>
          <cell r="D163" t="str">
            <v>E-Retail/ E-Commerce</v>
          </cell>
          <cell r="E163" t="str">
            <v>2021-22</v>
          </cell>
          <cell r="F163">
            <v>58.5</v>
          </cell>
        </row>
        <row r="164">
          <cell r="C164" t="str">
            <v>INE009A01021</v>
          </cell>
          <cell r="D164" t="str">
            <v>Computers - Software</v>
          </cell>
          <cell r="E164" t="str">
            <v>2021-22</v>
          </cell>
          <cell r="F164">
            <v>76.8</v>
          </cell>
        </row>
        <row r="165">
          <cell r="C165" t="str">
            <v>INE646L01027</v>
          </cell>
          <cell r="D165" t="str">
            <v>Airlines</v>
          </cell>
          <cell r="E165" t="str">
            <v>2021-22</v>
          </cell>
          <cell r="F165">
            <v>69.8</v>
          </cell>
        </row>
        <row r="166">
          <cell r="C166" t="str">
            <v>INE571A01020</v>
          </cell>
          <cell r="D166" t="str">
            <v>Pharmaceuticals</v>
          </cell>
          <cell r="E166" t="str">
            <v>2021-22</v>
          </cell>
          <cell r="F166">
            <v>48.8</v>
          </cell>
        </row>
        <row r="167">
          <cell r="C167" t="str">
            <v>INE154A01025</v>
          </cell>
          <cell r="D167" t="str">
            <v>Cigarettes &amp; Related Products</v>
          </cell>
          <cell r="E167" t="str">
            <v>2021-22</v>
          </cell>
          <cell r="F167">
            <v>75.400000000000006</v>
          </cell>
        </row>
        <row r="168">
          <cell r="C168" t="str">
            <v>INE572A01028</v>
          </cell>
          <cell r="D168" t="str">
            <v>Pharmaceuticals</v>
          </cell>
          <cell r="E168" t="str">
            <v>2021-22</v>
          </cell>
          <cell r="F168">
            <v>63</v>
          </cell>
        </row>
        <row r="169">
          <cell r="C169" t="str">
            <v>INE749A01030</v>
          </cell>
          <cell r="D169" t="str">
            <v>Steel</v>
          </cell>
          <cell r="E169" t="str">
            <v>2021-22</v>
          </cell>
          <cell r="F169">
            <v>50.4</v>
          </cell>
        </row>
        <row r="170">
          <cell r="C170" t="str">
            <v>INE823G01014</v>
          </cell>
          <cell r="D170" t="str">
            <v>Cement</v>
          </cell>
          <cell r="E170" t="str">
            <v>2021-22</v>
          </cell>
          <cell r="F170">
            <v>60.1</v>
          </cell>
        </row>
        <row r="171">
          <cell r="C171" t="str">
            <v>INE121E01018</v>
          </cell>
          <cell r="E171" t="str">
            <v>2021-22</v>
          </cell>
          <cell r="F171">
            <v>73.900000000000006</v>
          </cell>
        </row>
        <row r="172">
          <cell r="C172" t="str">
            <v>INE019A01038</v>
          </cell>
          <cell r="D172" t="str">
            <v>Steel</v>
          </cell>
          <cell r="E172" t="str">
            <v>2021-22</v>
          </cell>
          <cell r="F172">
            <v>66.900000000000006</v>
          </cell>
        </row>
        <row r="173">
          <cell r="C173" t="str">
            <v>INE797F01020</v>
          </cell>
          <cell r="D173" t="str">
            <v>Hotels Restaurants Resorts</v>
          </cell>
          <cell r="E173" t="str">
            <v>2021-22</v>
          </cell>
          <cell r="F173">
            <v>51.5</v>
          </cell>
        </row>
        <row r="174">
          <cell r="C174" t="str">
            <v>INE217B01036</v>
          </cell>
          <cell r="D174" t="str">
            <v>Furniture Home Furnishing Flooring</v>
          </cell>
          <cell r="E174" t="str">
            <v>2021-22</v>
          </cell>
          <cell r="F174">
            <v>67.7</v>
          </cell>
        </row>
        <row r="175">
          <cell r="C175" t="str">
            <v>INE531A01024</v>
          </cell>
          <cell r="D175" t="str">
            <v>Paints</v>
          </cell>
          <cell r="E175" t="str">
            <v>2021-22</v>
          </cell>
          <cell r="F175">
            <v>59.7</v>
          </cell>
        </row>
        <row r="176">
          <cell r="C176" t="str">
            <v>INE878B01027</v>
          </cell>
          <cell r="D176" t="str">
            <v>Cables - Electricals</v>
          </cell>
          <cell r="E176" t="str">
            <v>2021-22</v>
          </cell>
          <cell r="F176">
            <v>49</v>
          </cell>
        </row>
        <row r="177">
          <cell r="C177" t="str">
            <v>INE237A01028</v>
          </cell>
          <cell r="D177" t="str">
            <v>Private Sector Bank</v>
          </cell>
          <cell r="E177" t="str">
            <v>2021-22</v>
          </cell>
          <cell r="F177">
            <v>78.8</v>
          </cell>
        </row>
        <row r="178">
          <cell r="C178" t="str">
            <v>INE04I401011</v>
          </cell>
          <cell r="D178" t="str">
            <v>It Enabled Services - Software</v>
          </cell>
          <cell r="E178" t="str">
            <v>2021-22</v>
          </cell>
          <cell r="F178">
            <v>59.1</v>
          </cell>
        </row>
        <row r="179">
          <cell r="C179" t="str">
            <v>INE08LI01020</v>
          </cell>
          <cell r="E179" t="str">
            <v>2021-22</v>
          </cell>
          <cell r="F179">
            <v>46</v>
          </cell>
        </row>
        <row r="180">
          <cell r="C180" t="str">
            <v>INE498L01015</v>
          </cell>
          <cell r="D180" t="str">
            <v>Investment Companies</v>
          </cell>
          <cell r="E180" t="str">
            <v>2021-22</v>
          </cell>
          <cell r="F180">
            <v>73.3</v>
          </cell>
        </row>
        <row r="181">
          <cell r="C181" t="str">
            <v>INE010V01017</v>
          </cell>
          <cell r="D181" t="str">
            <v>It Enabled Services - Software</v>
          </cell>
          <cell r="E181" t="str">
            <v>2021-22</v>
          </cell>
          <cell r="F181">
            <v>57.9</v>
          </cell>
        </row>
        <row r="182">
          <cell r="C182" t="str">
            <v>INE059D01020</v>
          </cell>
          <cell r="D182" t="str">
            <v>Glass - Consumer</v>
          </cell>
          <cell r="E182" t="str">
            <v>2021-22</v>
          </cell>
          <cell r="F182">
            <v>51.9</v>
          </cell>
        </row>
        <row r="183">
          <cell r="C183" t="str">
            <v>INE018A01030</v>
          </cell>
          <cell r="D183" t="str">
            <v>Engineering-Designing-Construction</v>
          </cell>
          <cell r="E183" t="str">
            <v>2021-22</v>
          </cell>
          <cell r="F183">
            <v>69.8</v>
          </cell>
        </row>
        <row r="184">
          <cell r="C184" t="str">
            <v>INE0I7C01011</v>
          </cell>
          <cell r="E184" t="str">
            <v>2021-22</v>
          </cell>
          <cell r="F184">
            <v>56.2</v>
          </cell>
        </row>
        <row r="185">
          <cell r="C185" t="str">
            <v>INE947Q01028</v>
          </cell>
          <cell r="D185" t="str">
            <v>Pharmaceuticals</v>
          </cell>
          <cell r="E185" t="str">
            <v>2021-22</v>
          </cell>
          <cell r="F185">
            <v>51.4</v>
          </cell>
        </row>
        <row r="186">
          <cell r="C186" t="str">
            <v>INE576O01020</v>
          </cell>
          <cell r="D186" t="str">
            <v>Chemicals - Speciality</v>
          </cell>
          <cell r="E186" t="str">
            <v>2021-22</v>
          </cell>
          <cell r="F186">
            <v>44.7</v>
          </cell>
        </row>
        <row r="187">
          <cell r="C187" t="str">
            <v>INE970X01018</v>
          </cell>
          <cell r="D187" t="str">
            <v>Hotels Restaurants Resorts</v>
          </cell>
          <cell r="E187" t="str">
            <v>2021-22</v>
          </cell>
          <cell r="F187">
            <v>54.7</v>
          </cell>
        </row>
        <row r="188">
          <cell r="C188" t="str">
            <v>INE473A01011</v>
          </cell>
          <cell r="D188" t="str">
            <v>Industrial Gases</v>
          </cell>
          <cell r="E188" t="str">
            <v>2021-22</v>
          </cell>
          <cell r="F188">
            <v>47.9</v>
          </cell>
        </row>
        <row r="189">
          <cell r="C189" t="str">
            <v>INE214T01019</v>
          </cell>
          <cell r="D189" t="str">
            <v>Computers - Software</v>
          </cell>
          <cell r="E189" t="str">
            <v>2021-22</v>
          </cell>
          <cell r="F189">
            <v>66</v>
          </cell>
        </row>
        <row r="190">
          <cell r="C190" t="str">
            <v>INE326A01037</v>
          </cell>
          <cell r="D190" t="str">
            <v>Pharmaceuticals</v>
          </cell>
          <cell r="E190" t="str">
            <v>2021-22</v>
          </cell>
          <cell r="F190">
            <v>63.3</v>
          </cell>
        </row>
        <row r="191">
          <cell r="C191" t="str">
            <v>INE670K01029</v>
          </cell>
          <cell r="D191" t="str">
            <v>Realty</v>
          </cell>
          <cell r="E191" t="str">
            <v>2021-22</v>
          </cell>
          <cell r="F191">
            <v>70.5</v>
          </cell>
        </row>
        <row r="192">
          <cell r="C192" t="str">
            <v>INE774D01024</v>
          </cell>
          <cell r="D192" t="str">
            <v>Nbfc</v>
          </cell>
          <cell r="E192" t="str">
            <v>2021-22</v>
          </cell>
          <cell r="F192">
            <v>67</v>
          </cell>
        </row>
        <row r="193">
          <cell r="C193" t="str">
            <v>INE101A01026</v>
          </cell>
          <cell r="D193" t="str">
            <v>Passenger/Utility Vehicles</v>
          </cell>
          <cell r="E193" t="str">
            <v>2021-22</v>
          </cell>
          <cell r="F193">
            <v>64.599999999999994</v>
          </cell>
        </row>
        <row r="194">
          <cell r="C194" t="str">
            <v>INE813A01018</v>
          </cell>
          <cell r="D194" t="str">
            <v>Residential/Commercial/Sez Project</v>
          </cell>
          <cell r="E194" t="str">
            <v>2021-22</v>
          </cell>
          <cell r="F194">
            <v>76</v>
          </cell>
        </row>
        <row r="195">
          <cell r="C195" t="str">
            <v>INE766P01016</v>
          </cell>
          <cell r="D195" t="str">
            <v>Logistics Solution Provider</v>
          </cell>
          <cell r="E195" t="str">
            <v>2021-22</v>
          </cell>
          <cell r="F195">
            <v>59.1</v>
          </cell>
        </row>
        <row r="196">
          <cell r="C196" t="str">
            <v>INE196A01026</v>
          </cell>
          <cell r="D196" t="str">
            <v>Personal Care</v>
          </cell>
          <cell r="E196" t="str">
            <v>2021-22</v>
          </cell>
          <cell r="F196">
            <v>63.4</v>
          </cell>
        </row>
        <row r="197">
          <cell r="C197" t="str">
            <v>INE585B01010</v>
          </cell>
          <cell r="D197" t="str">
            <v>Passenger/Utility Vehicles</v>
          </cell>
          <cell r="E197" t="str">
            <v>2021-22</v>
          </cell>
          <cell r="F197">
            <v>61.9</v>
          </cell>
        </row>
        <row r="198">
          <cell r="C198" t="str">
            <v>INE180A01020</v>
          </cell>
          <cell r="D198" t="str">
            <v>Life Insurance</v>
          </cell>
          <cell r="E198" t="str">
            <v>2021-22</v>
          </cell>
          <cell r="F198">
            <v>50.3</v>
          </cell>
        </row>
        <row r="199">
          <cell r="C199" t="str">
            <v>INE027H01010</v>
          </cell>
          <cell r="D199" t="str">
            <v>Hospital</v>
          </cell>
          <cell r="E199" t="str">
            <v>2021-22</v>
          </cell>
          <cell r="F199">
            <v>54.5</v>
          </cell>
        </row>
        <row r="200">
          <cell r="C200" t="str">
            <v>INE317I01021</v>
          </cell>
          <cell r="E200" t="str">
            <v>2021-22</v>
          </cell>
          <cell r="F200">
            <v>54.6</v>
          </cell>
        </row>
        <row r="201">
          <cell r="C201" t="str">
            <v>INE112L01020</v>
          </cell>
          <cell r="D201" t="str">
            <v>Healthcare Service Providers</v>
          </cell>
          <cell r="E201" t="str">
            <v>2021-22</v>
          </cell>
          <cell r="F201">
            <v>52.6</v>
          </cell>
        </row>
        <row r="202">
          <cell r="C202" t="str">
            <v>INE018I01017</v>
          </cell>
          <cell r="D202" t="str">
            <v>Computers - Software</v>
          </cell>
          <cell r="E202" t="str">
            <v>2021-22</v>
          </cell>
          <cell r="F202">
            <v>78</v>
          </cell>
        </row>
        <row r="203">
          <cell r="C203" t="str">
            <v>INE099Z01011</v>
          </cell>
          <cell r="D203" t="str">
            <v>Steel</v>
          </cell>
          <cell r="E203" t="str">
            <v>2021-22</v>
          </cell>
          <cell r="F203">
            <v>49</v>
          </cell>
        </row>
        <row r="204">
          <cell r="C204" t="str">
            <v>INE893J01029</v>
          </cell>
          <cell r="D204" t="str">
            <v>Packaging</v>
          </cell>
          <cell r="E204" t="str">
            <v>2021-22</v>
          </cell>
          <cell r="F204">
            <v>47.9</v>
          </cell>
        </row>
        <row r="205">
          <cell r="C205" t="str">
            <v>INE0FS801015</v>
          </cell>
          <cell r="E205" t="str">
            <v>2021-22</v>
          </cell>
          <cell r="F205">
            <v>70.5</v>
          </cell>
        </row>
        <row r="206">
          <cell r="C206" t="str">
            <v>INE356A01018</v>
          </cell>
          <cell r="D206" t="str">
            <v>Computers - Software</v>
          </cell>
          <cell r="E206" t="str">
            <v>2021-22</v>
          </cell>
          <cell r="F206">
            <v>75</v>
          </cell>
        </row>
        <row r="207">
          <cell r="C207" t="str">
            <v>INE883A01011</v>
          </cell>
          <cell r="D207" t="str">
            <v>Tyres &amp; Allied</v>
          </cell>
          <cell r="E207" t="str">
            <v>2021-22</v>
          </cell>
          <cell r="F207">
            <v>50.3</v>
          </cell>
        </row>
        <row r="208">
          <cell r="C208" t="str">
            <v>INE864I01014</v>
          </cell>
          <cell r="D208" t="str">
            <v>Defense</v>
          </cell>
          <cell r="E208" t="str">
            <v>2021-22</v>
          </cell>
          <cell r="F208">
            <v>52</v>
          </cell>
        </row>
        <row r="209">
          <cell r="C209" t="str">
            <v>INE414G01012</v>
          </cell>
          <cell r="D209" t="str">
            <v>Nbfc</v>
          </cell>
          <cell r="E209" t="str">
            <v>2021-22</v>
          </cell>
          <cell r="F209">
            <v>57.6</v>
          </cell>
        </row>
        <row r="210">
          <cell r="C210" t="str">
            <v>INE987B01026</v>
          </cell>
          <cell r="D210" t="str">
            <v>Pharmaceuticals</v>
          </cell>
          <cell r="E210" t="str">
            <v>2021-22</v>
          </cell>
          <cell r="F210">
            <v>60.8</v>
          </cell>
        </row>
        <row r="211">
          <cell r="C211" t="str">
            <v>INE048G01026</v>
          </cell>
          <cell r="D211" t="str">
            <v>Chemicals - Inorganic</v>
          </cell>
          <cell r="E211" t="str">
            <v>2021-22</v>
          </cell>
          <cell r="F211">
            <v>48.3</v>
          </cell>
        </row>
        <row r="212">
          <cell r="C212" t="str">
            <v>INE418L01021</v>
          </cell>
          <cell r="D212" t="str">
            <v>Digital Entertainment</v>
          </cell>
          <cell r="E212" t="str">
            <v>2021-22</v>
          </cell>
          <cell r="F212">
            <v>66.599999999999994</v>
          </cell>
        </row>
        <row r="213">
          <cell r="C213" t="str">
            <v>INE239A01016</v>
          </cell>
          <cell r="D213" t="str">
            <v>Packaged Foods</v>
          </cell>
          <cell r="E213" t="str">
            <v>2021-22</v>
          </cell>
          <cell r="F213">
            <v>50.8</v>
          </cell>
        </row>
        <row r="214">
          <cell r="C214" t="str">
            <v>INE848E01016</v>
          </cell>
          <cell r="D214" t="str">
            <v>Power</v>
          </cell>
          <cell r="E214" t="str">
            <v>2021-22</v>
          </cell>
          <cell r="F214">
            <v>53.2</v>
          </cell>
        </row>
        <row r="215">
          <cell r="C215" t="str">
            <v>INE584A01023</v>
          </cell>
          <cell r="D215" t="str">
            <v>Industrial Minerals</v>
          </cell>
          <cell r="E215" t="str">
            <v>2021-22</v>
          </cell>
          <cell r="F215">
            <v>44.6</v>
          </cell>
        </row>
        <row r="216">
          <cell r="C216" t="str">
            <v>INE733E01010</v>
          </cell>
          <cell r="D216" t="str">
            <v>Power</v>
          </cell>
          <cell r="E216" t="str">
            <v>2021-22</v>
          </cell>
          <cell r="F216">
            <v>55.4</v>
          </cell>
        </row>
        <row r="217">
          <cell r="C217" t="str">
            <v>INE093I01010</v>
          </cell>
          <cell r="D217" t="str">
            <v>Residential/Commercial/Sez Project</v>
          </cell>
          <cell r="E217" t="str">
            <v>2021-22</v>
          </cell>
          <cell r="F217">
            <v>51</v>
          </cell>
        </row>
        <row r="218">
          <cell r="C218" t="str">
            <v>INE213A01029</v>
          </cell>
          <cell r="D218" t="str">
            <v>Oil Exploration</v>
          </cell>
          <cell r="E218" t="str">
            <v>2021-22</v>
          </cell>
          <cell r="F218">
            <v>65.8</v>
          </cell>
        </row>
        <row r="219">
          <cell r="C219" t="str">
            <v>INE274J01014</v>
          </cell>
          <cell r="D219" t="str">
            <v>Oil Exploration</v>
          </cell>
          <cell r="E219" t="str">
            <v>2021-22</v>
          </cell>
          <cell r="F219">
            <v>58.1</v>
          </cell>
        </row>
        <row r="220">
          <cell r="C220" t="str">
            <v>INE982J01020</v>
          </cell>
          <cell r="E220" t="str">
            <v>2021-22</v>
          </cell>
          <cell r="F220">
            <v>53.7</v>
          </cell>
        </row>
        <row r="221">
          <cell r="C221" t="str">
            <v>INE881D01027</v>
          </cell>
          <cell r="D221" t="str">
            <v>It Enabled Services - Software</v>
          </cell>
          <cell r="E221" t="str">
            <v>2021-22</v>
          </cell>
          <cell r="F221">
            <v>55.1</v>
          </cell>
        </row>
        <row r="222">
          <cell r="C222" t="str">
            <v>INE142Z01019</v>
          </cell>
          <cell r="D222" t="str">
            <v>Consumer Electronics</v>
          </cell>
          <cell r="E222" t="str">
            <v>2021-22</v>
          </cell>
          <cell r="F222">
            <v>56.2</v>
          </cell>
        </row>
        <row r="223">
          <cell r="C223" t="str">
            <v>INE761H01022</v>
          </cell>
          <cell r="D223" t="str">
            <v>Fabrics And Garments</v>
          </cell>
          <cell r="E223" t="str">
            <v>2021-22</v>
          </cell>
          <cell r="F223">
            <v>61</v>
          </cell>
        </row>
        <row r="224">
          <cell r="C224" t="str">
            <v>INE619A01035</v>
          </cell>
          <cell r="D224" t="str">
            <v>Edible Oil</v>
          </cell>
          <cell r="E224" t="str">
            <v>2021-22</v>
          </cell>
          <cell r="F224">
            <v>49.4</v>
          </cell>
        </row>
        <row r="225">
          <cell r="C225" t="str">
            <v>INE417T01026</v>
          </cell>
          <cell r="E225" t="str">
            <v>2021-22</v>
          </cell>
          <cell r="F225">
            <v>52.8</v>
          </cell>
        </row>
        <row r="226">
          <cell r="C226" t="str">
            <v>INE262H01013</v>
          </cell>
          <cell r="D226" t="str">
            <v>Computers - Software</v>
          </cell>
          <cell r="E226" t="str">
            <v>2021-22</v>
          </cell>
          <cell r="F226">
            <v>65.599999999999994</v>
          </cell>
        </row>
        <row r="227">
          <cell r="C227" t="str">
            <v>INE347G01014</v>
          </cell>
          <cell r="E227" t="str">
            <v>2021-22</v>
          </cell>
          <cell r="F227">
            <v>52.2</v>
          </cell>
        </row>
        <row r="228">
          <cell r="C228" t="str">
            <v>INE182A01018</v>
          </cell>
          <cell r="D228" t="str">
            <v>Pharmaceuticals</v>
          </cell>
          <cell r="E228" t="str">
            <v>2021-22</v>
          </cell>
          <cell r="F228">
            <v>51.9</v>
          </cell>
        </row>
        <row r="229">
          <cell r="C229" t="str">
            <v>INE603J01030</v>
          </cell>
          <cell r="D229" t="str">
            <v>Pesticides And Agrochemicals</v>
          </cell>
          <cell r="E229" t="str">
            <v>2021-22</v>
          </cell>
          <cell r="F229">
            <v>52.3</v>
          </cell>
        </row>
        <row r="230">
          <cell r="C230" t="str">
            <v>INE318A01026</v>
          </cell>
          <cell r="D230" t="str">
            <v>Chemicals - Speciality</v>
          </cell>
          <cell r="E230" t="str">
            <v>2021-22</v>
          </cell>
          <cell r="F230">
            <v>48.6</v>
          </cell>
        </row>
        <row r="231">
          <cell r="C231" t="str">
            <v>INE140A01024</v>
          </cell>
          <cell r="D231" t="str">
            <v>Other Financial Services</v>
          </cell>
          <cell r="E231" t="str">
            <v>2021-22</v>
          </cell>
          <cell r="F231">
            <v>56.3</v>
          </cell>
        </row>
        <row r="232">
          <cell r="C232" t="str">
            <v>INE455K01017</v>
          </cell>
          <cell r="D232" t="str">
            <v>Cables - Electricals</v>
          </cell>
          <cell r="E232" t="str">
            <v>2021-22</v>
          </cell>
          <cell r="F232">
            <v>54.9</v>
          </cell>
        </row>
        <row r="233">
          <cell r="C233" t="str">
            <v>INE511C01022</v>
          </cell>
          <cell r="E233" t="str">
            <v>2021-22</v>
          </cell>
          <cell r="F233">
            <v>56</v>
          </cell>
        </row>
        <row r="234">
          <cell r="C234" t="str">
            <v>INE134E01011</v>
          </cell>
          <cell r="D234" t="str">
            <v>Financial Institution</v>
          </cell>
          <cell r="E234" t="str">
            <v>2021-22</v>
          </cell>
          <cell r="F234">
            <v>58.1</v>
          </cell>
        </row>
        <row r="235">
          <cell r="C235" t="str">
            <v>INE752E01010</v>
          </cell>
          <cell r="D235" t="str">
            <v>Power - Transmission</v>
          </cell>
          <cell r="E235" t="str">
            <v>2021-22</v>
          </cell>
          <cell r="F235">
            <v>52.9</v>
          </cell>
        </row>
        <row r="236">
          <cell r="C236" t="str">
            <v>INE393P01035</v>
          </cell>
          <cell r="D236" t="str">
            <v>Consumer Food</v>
          </cell>
          <cell r="E236" t="str">
            <v>2021-22</v>
          </cell>
          <cell r="F236">
            <v>51.5</v>
          </cell>
        </row>
        <row r="237">
          <cell r="C237" t="str">
            <v>INE811K01011</v>
          </cell>
          <cell r="D237" t="str">
            <v>Residential/Commercial/Sez Project</v>
          </cell>
          <cell r="E237" t="str">
            <v>2021-22</v>
          </cell>
          <cell r="F237">
            <v>52.9</v>
          </cell>
        </row>
        <row r="238">
          <cell r="C238" t="str">
            <v>INE179A01014</v>
          </cell>
          <cell r="D238" t="str">
            <v>Personal Care</v>
          </cell>
          <cell r="E238" t="str">
            <v>2021-22</v>
          </cell>
          <cell r="F238">
            <v>51.6</v>
          </cell>
        </row>
        <row r="239">
          <cell r="C239" t="str">
            <v>INE160A01022</v>
          </cell>
          <cell r="D239" t="str">
            <v>Public Sector Bank</v>
          </cell>
          <cell r="E239" t="str">
            <v>2021-22</v>
          </cell>
          <cell r="F239">
            <v>59</v>
          </cell>
        </row>
        <row r="240">
          <cell r="C240" t="str">
            <v>INE615P01015</v>
          </cell>
          <cell r="D240" t="str">
            <v>Diversified Services</v>
          </cell>
          <cell r="E240" t="str">
            <v>2021-22</v>
          </cell>
          <cell r="F240">
            <v>66.099999999999994</v>
          </cell>
        </row>
        <row r="241">
          <cell r="C241" t="str">
            <v>INE415G01027</v>
          </cell>
          <cell r="D241" t="str">
            <v>Engineering-Designing-Construction</v>
          </cell>
          <cell r="E241" t="str">
            <v>2021-22</v>
          </cell>
          <cell r="F241">
            <v>52.4</v>
          </cell>
        </row>
        <row r="242">
          <cell r="C242" t="str">
            <v>INE343B01030</v>
          </cell>
          <cell r="D242" t="str">
            <v>Gems Jewellery And Watches</v>
          </cell>
          <cell r="E242" t="str">
            <v>2021-22</v>
          </cell>
          <cell r="F242">
            <v>49.6</v>
          </cell>
        </row>
        <row r="243">
          <cell r="C243" t="str">
            <v>INE613A01020</v>
          </cell>
          <cell r="D243" t="str">
            <v>Pesticides And Agrochemicals</v>
          </cell>
          <cell r="E243" t="str">
            <v>2021-22</v>
          </cell>
          <cell r="F243">
            <v>64.099999999999994</v>
          </cell>
        </row>
        <row r="244">
          <cell r="C244" t="str">
            <v>INE703B01027</v>
          </cell>
          <cell r="D244" t="str">
            <v>Iron &amp; Steel Products</v>
          </cell>
          <cell r="E244" t="str">
            <v>2021-22</v>
          </cell>
          <cell r="F244">
            <v>45.2</v>
          </cell>
        </row>
        <row r="245">
          <cell r="C245" t="str">
            <v>INE020B01018</v>
          </cell>
          <cell r="D245" t="str">
            <v>Financial Institution</v>
          </cell>
          <cell r="E245" t="str">
            <v>2021-22</v>
          </cell>
          <cell r="F245">
            <v>75.900000000000006</v>
          </cell>
        </row>
        <row r="246">
          <cell r="C246" t="str">
            <v>INE131B01039</v>
          </cell>
          <cell r="D246" t="str">
            <v>Leather And Leather Products</v>
          </cell>
          <cell r="E246" t="str">
            <v>2021-22</v>
          </cell>
          <cell r="F246">
            <v>57</v>
          </cell>
        </row>
        <row r="247">
          <cell r="C247" t="str">
            <v>INE002A01018</v>
          </cell>
          <cell r="D247" t="str">
            <v>Refineries/Marketing</v>
          </cell>
          <cell r="E247" t="str">
            <v>2021-22</v>
          </cell>
          <cell r="F247">
            <v>53.8</v>
          </cell>
        </row>
        <row r="248">
          <cell r="C248" t="str">
            <v>INE320J01015</v>
          </cell>
          <cell r="D248" t="str">
            <v>Engineering-Designing-Construction</v>
          </cell>
          <cell r="E248" t="str">
            <v>2021-22</v>
          </cell>
          <cell r="F248">
            <v>68.3</v>
          </cell>
        </row>
        <row r="249">
          <cell r="C249" t="str">
            <v>INE645S01016</v>
          </cell>
          <cell r="E249" t="str">
            <v>2021-22</v>
          </cell>
          <cell r="F249">
            <v>47</v>
          </cell>
        </row>
        <row r="250">
          <cell r="C250" t="str">
            <v>INE429E01023</v>
          </cell>
          <cell r="D250" t="str">
            <v>Plastic Products - Consumer</v>
          </cell>
          <cell r="E250" t="str">
            <v>2021-22</v>
          </cell>
          <cell r="F250">
            <v>52.7</v>
          </cell>
        </row>
        <row r="251">
          <cell r="C251" t="str">
            <v>INE775A01035</v>
          </cell>
          <cell r="D251" t="str">
            <v>Auto Ancillaries</v>
          </cell>
          <cell r="E251" t="str">
            <v>2021-22</v>
          </cell>
          <cell r="F251">
            <v>64.900000000000006</v>
          </cell>
        </row>
        <row r="252">
          <cell r="C252" t="str">
            <v>INE278H01035</v>
          </cell>
          <cell r="D252" t="str">
            <v>Auto Ancillaries</v>
          </cell>
          <cell r="E252" t="str">
            <v>2021-22</v>
          </cell>
          <cell r="F252">
            <v>49.5</v>
          </cell>
        </row>
        <row r="253">
          <cell r="C253" t="str">
            <v>INE953O01021</v>
          </cell>
          <cell r="E253" t="str">
            <v>2021-22</v>
          </cell>
          <cell r="F253">
            <v>50.7</v>
          </cell>
        </row>
        <row r="254">
          <cell r="C254" t="str">
            <v>INE806T01012</v>
          </cell>
          <cell r="E254" t="str">
            <v>2021-22</v>
          </cell>
          <cell r="F254">
            <v>57</v>
          </cell>
        </row>
        <row r="255">
          <cell r="C255" t="str">
            <v>INE018E01016</v>
          </cell>
          <cell r="D255" t="str">
            <v>Nbfc</v>
          </cell>
          <cell r="E255" t="str">
            <v>2021-22</v>
          </cell>
          <cell r="F255">
            <v>69.3</v>
          </cell>
        </row>
        <row r="256">
          <cell r="C256" t="str">
            <v>INE123W01016</v>
          </cell>
          <cell r="D256" t="str">
            <v>Life Insurance</v>
          </cell>
          <cell r="E256" t="str">
            <v>2021-22</v>
          </cell>
          <cell r="F256">
            <v>59.8</v>
          </cell>
        </row>
        <row r="257">
          <cell r="C257" t="str">
            <v>INE513A01022</v>
          </cell>
          <cell r="D257" t="str">
            <v>Bearings</v>
          </cell>
          <cell r="E257" t="str">
            <v>2021-22</v>
          </cell>
          <cell r="F257">
            <v>53.9</v>
          </cell>
        </row>
        <row r="258">
          <cell r="C258" t="str">
            <v>INE070A01015</v>
          </cell>
          <cell r="D258" t="str">
            <v>Cement</v>
          </cell>
          <cell r="E258" t="str">
            <v>2021-22</v>
          </cell>
          <cell r="F258">
            <v>56.5</v>
          </cell>
        </row>
        <row r="259">
          <cell r="C259" t="str">
            <v>INE721A01013</v>
          </cell>
          <cell r="D259" t="str">
            <v>Nbfc</v>
          </cell>
          <cell r="E259" t="str">
            <v>2021-22</v>
          </cell>
          <cell r="F259">
            <v>60.1</v>
          </cell>
        </row>
        <row r="260">
          <cell r="C260" t="str">
            <v>INE810G01011</v>
          </cell>
          <cell r="E260" t="str">
            <v>2021-22</v>
          </cell>
          <cell r="F260">
            <v>44.7</v>
          </cell>
        </row>
        <row r="261">
          <cell r="C261" t="str">
            <v>INE003A01024</v>
          </cell>
          <cell r="D261" t="str">
            <v>Power Equipment</v>
          </cell>
          <cell r="E261" t="str">
            <v>2021-22</v>
          </cell>
          <cell r="F261">
            <v>46.8</v>
          </cell>
        </row>
        <row r="262">
          <cell r="C262" t="str">
            <v>INE285J01028</v>
          </cell>
          <cell r="D262" t="str">
            <v>Diversified Commercial Services</v>
          </cell>
          <cell r="E262" t="str">
            <v>2021-22</v>
          </cell>
          <cell r="F262">
            <v>70.3</v>
          </cell>
        </row>
        <row r="263">
          <cell r="C263" t="str">
            <v>INE640A01023</v>
          </cell>
          <cell r="D263" t="str">
            <v>Bearings</v>
          </cell>
          <cell r="E263" t="str">
            <v>2021-22</v>
          </cell>
          <cell r="F263">
            <v>54</v>
          </cell>
        </row>
        <row r="264">
          <cell r="C264" t="str">
            <v>INE343H01029</v>
          </cell>
          <cell r="D264" t="str">
            <v>Explosives</v>
          </cell>
          <cell r="E264" t="str">
            <v>2021-22</v>
          </cell>
          <cell r="F264">
            <v>53.2</v>
          </cell>
        </row>
        <row r="265">
          <cell r="C265" t="str">
            <v>INE624Z01016</v>
          </cell>
          <cell r="D265" t="str">
            <v>Pharmaceuticals</v>
          </cell>
          <cell r="E265" t="str">
            <v>2021-22</v>
          </cell>
          <cell r="F265">
            <v>49.8</v>
          </cell>
        </row>
        <row r="266">
          <cell r="C266" t="str">
            <v>INE073K01018</v>
          </cell>
          <cell r="E266" t="str">
            <v>2021-22</v>
          </cell>
          <cell r="F266">
            <v>66.8</v>
          </cell>
        </row>
        <row r="267">
          <cell r="C267" t="str">
            <v>INE647A01010</v>
          </cell>
          <cell r="D267" t="str">
            <v>Chemicals - Speciality</v>
          </cell>
          <cell r="E267" t="str">
            <v>2021-22</v>
          </cell>
          <cell r="F267">
            <v>53.5</v>
          </cell>
        </row>
        <row r="268">
          <cell r="C268" t="str">
            <v>INE575P01011</v>
          </cell>
          <cell r="E268" t="str">
            <v>2021-22</v>
          </cell>
          <cell r="F268">
            <v>66.7</v>
          </cell>
        </row>
        <row r="269">
          <cell r="C269" t="str">
            <v>INE062A01020</v>
          </cell>
          <cell r="D269" t="str">
            <v>Public Sector Bank</v>
          </cell>
          <cell r="E269" t="str">
            <v>2021-22</v>
          </cell>
          <cell r="F269">
            <v>65.5</v>
          </cell>
        </row>
        <row r="270">
          <cell r="C270" t="str">
            <v>INE114A01011</v>
          </cell>
          <cell r="D270" t="str">
            <v>Steel</v>
          </cell>
          <cell r="E270" t="str">
            <v>2021-22</v>
          </cell>
          <cell r="F270">
            <v>63.5</v>
          </cell>
        </row>
        <row r="271">
          <cell r="C271" t="str">
            <v>INE258G01013</v>
          </cell>
          <cell r="D271" t="str">
            <v>Pesticides And Agrochemicals</v>
          </cell>
          <cell r="E271" t="str">
            <v>2021-22</v>
          </cell>
          <cell r="F271">
            <v>43.1</v>
          </cell>
        </row>
        <row r="272">
          <cell r="C272" t="str">
            <v>INE044A01036</v>
          </cell>
          <cell r="E272" t="str">
            <v>2021-22</v>
          </cell>
          <cell r="F272">
            <v>65.400000000000006</v>
          </cell>
        </row>
        <row r="273">
          <cell r="C273" t="str">
            <v>INE424H01027</v>
          </cell>
          <cell r="D273" t="str">
            <v>Tv Broadcasting &amp; Software Production</v>
          </cell>
          <cell r="E273" t="str">
            <v>2021-22</v>
          </cell>
          <cell r="F273">
            <v>48.3</v>
          </cell>
        </row>
        <row r="274">
          <cell r="C274" t="str">
            <v>INE660A01013</v>
          </cell>
          <cell r="D274" t="str">
            <v>Nbfc</v>
          </cell>
          <cell r="E274" t="str">
            <v>2021-22</v>
          </cell>
          <cell r="F274">
            <v>56.4</v>
          </cell>
        </row>
        <row r="275">
          <cell r="C275" t="str">
            <v>INE387A01021</v>
          </cell>
          <cell r="D275" t="str">
            <v>Fastener</v>
          </cell>
          <cell r="E275" t="str">
            <v>2021-22</v>
          </cell>
          <cell r="F275">
            <v>49.8</v>
          </cell>
        </row>
        <row r="276">
          <cell r="C276" t="str">
            <v>INE195A01028</v>
          </cell>
          <cell r="D276" t="str">
            <v>Plastic Products</v>
          </cell>
          <cell r="E276" t="str">
            <v>2021-22</v>
          </cell>
          <cell r="F276">
            <v>69.5</v>
          </cell>
        </row>
        <row r="277">
          <cell r="C277" t="str">
            <v>INE398R01022</v>
          </cell>
          <cell r="D277" t="str">
            <v>Healthcare Reasearch/ Analytics/ Technology</v>
          </cell>
          <cell r="E277" t="str">
            <v>2021-22</v>
          </cell>
          <cell r="F277">
            <v>70.900000000000006</v>
          </cell>
        </row>
        <row r="278">
          <cell r="C278" t="str">
            <v>INE144Z01023</v>
          </cell>
          <cell r="E278" t="str">
            <v>2021-22</v>
          </cell>
          <cell r="F278">
            <v>50.6</v>
          </cell>
        </row>
        <row r="279">
          <cell r="C279" t="str">
            <v>INE092A01019</v>
          </cell>
          <cell r="D279" t="str">
            <v>Chemicals - Inorganic</v>
          </cell>
          <cell r="E279" t="str">
            <v>2021-22</v>
          </cell>
          <cell r="F279">
            <v>69.7</v>
          </cell>
        </row>
        <row r="280">
          <cell r="C280" t="str">
            <v>INE151A01013</v>
          </cell>
          <cell r="D280" t="str">
            <v>Telecom - Services</v>
          </cell>
          <cell r="E280" t="str">
            <v>2021-22</v>
          </cell>
          <cell r="F280">
            <v>59.7</v>
          </cell>
        </row>
        <row r="281">
          <cell r="C281" t="str">
            <v>INE467B01029</v>
          </cell>
          <cell r="D281" t="str">
            <v>Computers - Software</v>
          </cell>
          <cell r="E281" t="str">
            <v>2021-22</v>
          </cell>
          <cell r="F281">
            <v>74.2</v>
          </cell>
        </row>
        <row r="282">
          <cell r="C282" t="str">
            <v>INE192A01025</v>
          </cell>
          <cell r="D282" t="str">
            <v>Tea &amp; Coffee</v>
          </cell>
          <cell r="E282" t="str">
            <v>2021-22</v>
          </cell>
          <cell r="F282">
            <v>66.3</v>
          </cell>
        </row>
        <row r="283">
          <cell r="C283" t="str">
            <v>INE670A01012</v>
          </cell>
          <cell r="D283" t="str">
            <v>Computers - Software</v>
          </cell>
          <cell r="E283" t="str">
            <v>2021-22</v>
          </cell>
          <cell r="F283">
            <v>59.3</v>
          </cell>
        </row>
        <row r="284">
          <cell r="C284" t="str">
            <v>INE155A01022</v>
          </cell>
          <cell r="D284" t="str">
            <v>Passenger/Utility Vehicles</v>
          </cell>
          <cell r="E284" t="str">
            <v>2021-22</v>
          </cell>
          <cell r="F284">
            <v>65.2</v>
          </cell>
        </row>
        <row r="285">
          <cell r="C285" t="str">
            <v>INE245A01021</v>
          </cell>
          <cell r="D285" t="str">
            <v>Power</v>
          </cell>
          <cell r="E285" t="str">
            <v>2021-22</v>
          </cell>
          <cell r="F285">
            <v>70.7</v>
          </cell>
        </row>
        <row r="286">
          <cell r="C286" t="str">
            <v>INE081A01020</v>
          </cell>
          <cell r="D286" t="str">
            <v>Steel</v>
          </cell>
          <cell r="E286" t="str">
            <v>2021-22</v>
          </cell>
          <cell r="F286">
            <v>55.7</v>
          </cell>
        </row>
        <row r="287">
          <cell r="C287" t="str">
            <v>INE517B01013</v>
          </cell>
          <cell r="D287" t="str">
            <v>Telecom - Services</v>
          </cell>
          <cell r="E287" t="str">
            <v>2021-22</v>
          </cell>
          <cell r="F287">
            <v>50.3</v>
          </cell>
        </row>
        <row r="288">
          <cell r="C288" t="str">
            <v>INE778U01029</v>
          </cell>
          <cell r="D288" t="str">
            <v>Fabrics And Garments</v>
          </cell>
          <cell r="E288" t="str">
            <v>2021-22</v>
          </cell>
          <cell r="F288">
            <v>55</v>
          </cell>
        </row>
        <row r="289">
          <cell r="C289" t="str">
            <v>INE985S01024</v>
          </cell>
          <cell r="D289" t="str">
            <v>Diversified Commercial Services</v>
          </cell>
          <cell r="E289" t="str">
            <v>2021-22</v>
          </cell>
          <cell r="F289">
            <v>80.3</v>
          </cell>
        </row>
        <row r="290">
          <cell r="C290" t="str">
            <v>INE669C01036</v>
          </cell>
          <cell r="D290" t="str">
            <v>Computers - Software</v>
          </cell>
          <cell r="E290" t="str">
            <v>2021-22</v>
          </cell>
          <cell r="F290">
            <v>80.099999999999994</v>
          </cell>
        </row>
        <row r="291">
          <cell r="C291" t="str">
            <v>INE285K01026</v>
          </cell>
          <cell r="D291" t="str">
            <v>Engineering-Designing-Construction</v>
          </cell>
          <cell r="E291" t="str">
            <v>2021-22</v>
          </cell>
          <cell r="F291">
            <v>53.7</v>
          </cell>
        </row>
        <row r="292">
          <cell r="C292" t="str">
            <v>INE011K01018</v>
          </cell>
          <cell r="E292" t="str">
            <v>2021-22</v>
          </cell>
          <cell r="F292">
            <v>48.6</v>
          </cell>
        </row>
        <row r="293">
          <cell r="C293" t="str">
            <v>INE171A01029</v>
          </cell>
          <cell r="D293" t="str">
            <v>Private Sector Bank</v>
          </cell>
          <cell r="E293" t="str">
            <v>2021-22</v>
          </cell>
          <cell r="F293">
            <v>80.2</v>
          </cell>
        </row>
        <row r="294">
          <cell r="C294" t="str">
            <v>INE053A01029</v>
          </cell>
          <cell r="D294" t="str">
            <v>Hotels Restaurants Resorts</v>
          </cell>
          <cell r="E294" t="str">
            <v>2021-22</v>
          </cell>
          <cell r="F294">
            <v>60.4</v>
          </cell>
        </row>
        <row r="295">
          <cell r="C295" t="str">
            <v>INE211B01039</v>
          </cell>
          <cell r="D295" t="str">
            <v>Residential/Commercial/Sez Project</v>
          </cell>
          <cell r="E295" t="str">
            <v>2021-22</v>
          </cell>
          <cell r="F295">
            <v>58.3</v>
          </cell>
        </row>
        <row r="296">
          <cell r="C296" t="str">
            <v>INE331A01037</v>
          </cell>
          <cell r="D296" t="str">
            <v>Cement</v>
          </cell>
          <cell r="E296" t="str">
            <v>2021-22</v>
          </cell>
          <cell r="F296">
            <v>65.7</v>
          </cell>
        </row>
        <row r="297">
          <cell r="C297" t="str">
            <v>INE152A01029</v>
          </cell>
          <cell r="D297" t="str">
            <v>Power Equipment</v>
          </cell>
          <cell r="E297" t="str">
            <v>2021-22</v>
          </cell>
          <cell r="F297">
            <v>51.6</v>
          </cell>
        </row>
        <row r="298">
          <cell r="C298" t="str">
            <v>INE325A01013</v>
          </cell>
          <cell r="D298" t="str">
            <v>Bearings</v>
          </cell>
          <cell r="E298" t="str">
            <v>2021-22</v>
          </cell>
          <cell r="F298">
            <v>66</v>
          </cell>
        </row>
        <row r="299">
          <cell r="C299" t="str">
            <v>INE280A01028</v>
          </cell>
          <cell r="D299" t="str">
            <v>Gems Jewellery And Watches</v>
          </cell>
          <cell r="E299" t="str">
            <v>2021-22</v>
          </cell>
          <cell r="F299">
            <v>60.4</v>
          </cell>
        </row>
        <row r="300">
          <cell r="C300" t="str">
            <v>INE685A01028</v>
          </cell>
          <cell r="D300" t="str">
            <v>Pharmaceuticals</v>
          </cell>
          <cell r="E300" t="str">
            <v>2021-22</v>
          </cell>
          <cell r="F300">
            <v>65.8</v>
          </cell>
        </row>
        <row r="301">
          <cell r="C301" t="str">
            <v>INE813H01021</v>
          </cell>
          <cell r="D301" t="str">
            <v>Power</v>
          </cell>
          <cell r="E301" t="str">
            <v>2021-22</v>
          </cell>
          <cell r="F301">
            <v>56.4</v>
          </cell>
        </row>
        <row r="302">
          <cell r="C302" t="str">
            <v>INE849A01020</v>
          </cell>
          <cell r="D302" t="str">
            <v>Speciality Retail</v>
          </cell>
          <cell r="E302" t="str">
            <v>2021-22</v>
          </cell>
          <cell r="F302">
            <v>67.2</v>
          </cell>
        </row>
        <row r="303">
          <cell r="C303" t="str">
            <v>INE064C01022</v>
          </cell>
          <cell r="D303" t="str">
            <v>Other Textile Products</v>
          </cell>
          <cell r="E303" t="str">
            <v>2021-22</v>
          </cell>
          <cell r="F303">
            <v>53.4</v>
          </cell>
        </row>
        <row r="304">
          <cell r="C304" t="str">
            <v>INE974X01010</v>
          </cell>
          <cell r="D304" t="str">
            <v>Auto Ancillaries</v>
          </cell>
          <cell r="E304" t="str">
            <v>2021-22</v>
          </cell>
          <cell r="F304">
            <v>50.9</v>
          </cell>
        </row>
        <row r="305">
          <cell r="C305" t="str">
            <v>INE494B01023</v>
          </cell>
          <cell r="D305" t="str">
            <v>Motor Cycles/Scooters</v>
          </cell>
          <cell r="E305" t="str">
            <v>2021-22</v>
          </cell>
          <cell r="F305">
            <v>62.4</v>
          </cell>
        </row>
        <row r="306">
          <cell r="C306" t="str">
            <v>INE481G01011</v>
          </cell>
          <cell r="D306" t="str">
            <v>Cement</v>
          </cell>
          <cell r="E306" t="str">
            <v>2021-22</v>
          </cell>
          <cell r="F306">
            <v>69.900000000000006</v>
          </cell>
        </row>
        <row r="307">
          <cell r="C307" t="str">
            <v>INE692A01016</v>
          </cell>
          <cell r="D307" t="str">
            <v>Public Sector Bank</v>
          </cell>
          <cell r="E307" t="str">
            <v>2021-22</v>
          </cell>
          <cell r="F307">
            <v>70.7</v>
          </cell>
        </row>
        <row r="308">
          <cell r="C308" t="str">
            <v>INE686F01025</v>
          </cell>
          <cell r="D308" t="str">
            <v>Brew/Distilleries</v>
          </cell>
          <cell r="E308" t="str">
            <v>2021-22</v>
          </cell>
          <cell r="F308">
            <v>64.2</v>
          </cell>
        </row>
        <row r="309">
          <cell r="C309" t="str">
            <v>INE854D01024</v>
          </cell>
          <cell r="D309" t="str">
            <v>Brew/Distilleries</v>
          </cell>
          <cell r="E309" t="str">
            <v>2021-22</v>
          </cell>
          <cell r="F309">
            <v>59</v>
          </cell>
        </row>
        <row r="310">
          <cell r="C310" t="str">
            <v>INE405E01023</v>
          </cell>
          <cell r="D310" t="str">
            <v>Auto Ancillaries</v>
          </cell>
          <cell r="E310" t="str">
            <v>2021-22</v>
          </cell>
          <cell r="F310">
            <v>51.9</v>
          </cell>
        </row>
        <row r="311">
          <cell r="C311" t="str">
            <v>INE628A01036</v>
          </cell>
          <cell r="D311" t="str">
            <v>Pesticides And Agrochemicals</v>
          </cell>
          <cell r="E311" t="str">
            <v>2021-22</v>
          </cell>
          <cell r="F311">
            <v>58.5</v>
          </cell>
        </row>
        <row r="312">
          <cell r="C312" t="str">
            <v>INE094J01016</v>
          </cell>
          <cell r="D312" t="str">
            <v>Asset Management Companies</v>
          </cell>
          <cell r="E312" t="str">
            <v>2021-22</v>
          </cell>
          <cell r="F312">
            <v>81.3</v>
          </cell>
        </row>
        <row r="313">
          <cell r="C313" t="str">
            <v>INE665J01013</v>
          </cell>
          <cell r="D313" t="str">
            <v>Diversified Retail</v>
          </cell>
          <cell r="E313" t="str">
            <v>2021-22</v>
          </cell>
          <cell r="F313">
            <v>66.900000000000006</v>
          </cell>
        </row>
        <row r="314">
          <cell r="C314" t="str">
            <v>INE764D01017</v>
          </cell>
          <cell r="D314" t="str">
            <v>Tractors</v>
          </cell>
          <cell r="E314" t="str">
            <v>2021-22</v>
          </cell>
          <cell r="F314">
            <v>49.1</v>
          </cell>
        </row>
        <row r="315">
          <cell r="C315" t="str">
            <v>INE665L01035</v>
          </cell>
          <cell r="D315" t="str">
            <v>Auto Ancillaries</v>
          </cell>
          <cell r="E315" t="str">
            <v>2021-22</v>
          </cell>
          <cell r="F315">
            <v>46.8</v>
          </cell>
        </row>
        <row r="316">
          <cell r="C316" t="str">
            <v>INE200M01021</v>
          </cell>
          <cell r="D316" t="str">
            <v>Beverages</v>
          </cell>
          <cell r="E316" t="str">
            <v>2021-22</v>
          </cell>
          <cell r="F316">
            <v>52.2</v>
          </cell>
        </row>
        <row r="317">
          <cell r="C317" t="str">
            <v>INE825V01034</v>
          </cell>
          <cell r="E317" t="str">
            <v>2021-22</v>
          </cell>
          <cell r="F317">
            <v>56.4</v>
          </cell>
        </row>
        <row r="318">
          <cell r="C318" t="str">
            <v>INE205A01025</v>
          </cell>
          <cell r="D318" t="str">
            <v>Aluminium</v>
          </cell>
          <cell r="E318" t="str">
            <v>2021-22</v>
          </cell>
          <cell r="F318">
            <v>44.1</v>
          </cell>
        </row>
        <row r="319">
          <cell r="C319" t="str">
            <v>INE043W01024</v>
          </cell>
          <cell r="E319" t="str">
            <v>2021-22</v>
          </cell>
          <cell r="F319">
            <v>53.5</v>
          </cell>
        </row>
        <row r="320">
          <cell r="C320" t="str">
            <v>INE410B01037</v>
          </cell>
          <cell r="D320" t="str">
            <v>Chemicals - Speciality</v>
          </cell>
          <cell r="E320" t="str">
            <v>2021-22</v>
          </cell>
          <cell r="F320">
            <v>46.6</v>
          </cell>
        </row>
        <row r="321">
          <cell r="C321" t="str">
            <v>INE054A01027</v>
          </cell>
          <cell r="D321" t="str">
            <v>Plastic Products - Consumer</v>
          </cell>
          <cell r="E321" t="str">
            <v>2021-22</v>
          </cell>
          <cell r="F321">
            <v>54.7</v>
          </cell>
        </row>
        <row r="322">
          <cell r="C322" t="str">
            <v>INE669E01016</v>
          </cell>
          <cell r="D322" t="str">
            <v>Telecom - Services</v>
          </cell>
          <cell r="E322" t="str">
            <v>2021-22</v>
          </cell>
          <cell r="F322">
            <v>52.9</v>
          </cell>
        </row>
        <row r="323">
          <cell r="C323" t="str">
            <v>INE226A01021</v>
          </cell>
          <cell r="D323" t="str">
            <v>Air Conditioner</v>
          </cell>
          <cell r="E323" t="str">
            <v>2021-22</v>
          </cell>
          <cell r="F323">
            <v>62.4</v>
          </cell>
        </row>
        <row r="324">
          <cell r="C324" t="str">
            <v>INE716A01013</v>
          </cell>
          <cell r="D324" t="str">
            <v>Home Appliances Housewares</v>
          </cell>
          <cell r="E324" t="str">
            <v>2021-22</v>
          </cell>
          <cell r="F324">
            <v>56.7</v>
          </cell>
        </row>
        <row r="325">
          <cell r="C325" t="str">
            <v>INE075A01022</v>
          </cell>
          <cell r="D325" t="str">
            <v>Computers - Software</v>
          </cell>
          <cell r="E325" t="str">
            <v>2021-22</v>
          </cell>
          <cell r="F325">
            <v>79.2</v>
          </cell>
        </row>
        <row r="326">
          <cell r="C326" t="str">
            <v>INE528G01035</v>
          </cell>
          <cell r="D326" t="str">
            <v>Private Sector Bank</v>
          </cell>
          <cell r="E326" t="str">
            <v>2021-22</v>
          </cell>
          <cell r="F326">
            <v>71.400000000000006</v>
          </cell>
        </row>
        <row r="327">
          <cell r="C327" t="str">
            <v>INE256A01028</v>
          </cell>
          <cell r="D327" t="str">
            <v>Tv Broadcasting &amp; Software Production</v>
          </cell>
          <cell r="E327" t="str">
            <v>2021-22</v>
          </cell>
          <cell r="F327">
            <v>56.9</v>
          </cell>
        </row>
        <row r="328">
          <cell r="C328" t="str">
            <v>INE758T01015</v>
          </cell>
          <cell r="E328" t="str">
            <v>2021-22</v>
          </cell>
          <cell r="F328">
            <v>55.4</v>
          </cell>
        </row>
        <row r="329">
          <cell r="C329" t="str">
            <v>INE840M01016</v>
          </cell>
          <cell r="D329" t="str">
            <v>Fertilisers</v>
          </cell>
          <cell r="E329" t="str">
            <v>2021-22</v>
          </cell>
          <cell r="F329">
            <v>45</v>
          </cell>
        </row>
        <row r="330">
          <cell r="C330" t="str">
            <v>INE010B01027</v>
          </cell>
          <cell r="D330" t="str">
            <v>Pharmaceuticals</v>
          </cell>
          <cell r="E330" t="str">
            <v>2021-22</v>
          </cell>
          <cell r="F330">
            <v>52.2</v>
          </cell>
        </row>
        <row r="331">
          <cell r="C331" t="str">
            <v>INE768C01010</v>
          </cell>
          <cell r="D331" t="str">
            <v>Consumer Products</v>
          </cell>
          <cell r="E331" t="str">
            <v>2021-22</v>
          </cell>
          <cell r="F331">
            <v>50.7</v>
          </cell>
        </row>
        <row r="332">
          <cell r="C332" t="str">
            <v>INE470A01017</v>
          </cell>
          <cell r="D332" t="str">
            <v>Diversified</v>
          </cell>
          <cell r="E332" t="str">
            <v>2020-21</v>
          </cell>
          <cell r="F332">
            <v>54.8</v>
          </cell>
        </row>
        <row r="333">
          <cell r="C333" t="str">
            <v>INE767A01016</v>
          </cell>
          <cell r="D333" t="str">
            <v>Pharmaceuticals</v>
          </cell>
          <cell r="E333" t="str">
            <v>2020-21</v>
          </cell>
          <cell r="F333">
            <v>59.7</v>
          </cell>
        </row>
        <row r="334">
          <cell r="C334" t="str">
            <v>INE769A01020</v>
          </cell>
          <cell r="D334" t="str">
            <v>Chemicals - Speciality</v>
          </cell>
          <cell r="E334" t="str">
            <v>2020-21</v>
          </cell>
          <cell r="F334">
            <v>61.9</v>
          </cell>
        </row>
        <row r="335">
          <cell r="C335" t="str">
            <v>INE216P01012</v>
          </cell>
          <cell r="D335" t="str">
            <v>Housing Finance</v>
          </cell>
          <cell r="E335" t="str">
            <v>2020-21</v>
          </cell>
          <cell r="F335">
            <v>68.099999999999994</v>
          </cell>
        </row>
        <row r="336">
          <cell r="C336" t="str">
            <v>INE358A01014</v>
          </cell>
          <cell r="D336" t="str">
            <v>Pharmaceuticals</v>
          </cell>
          <cell r="E336" t="str">
            <v>2020-21</v>
          </cell>
          <cell r="F336">
            <v>58.6</v>
          </cell>
        </row>
        <row r="337">
          <cell r="C337" t="str">
            <v>INE012A01025</v>
          </cell>
          <cell r="D337" t="str">
            <v>Cement</v>
          </cell>
          <cell r="E337" t="str">
            <v>2020-21</v>
          </cell>
          <cell r="F337">
            <v>61.3</v>
          </cell>
        </row>
        <row r="338">
          <cell r="C338" t="str">
            <v>INE423A01024</v>
          </cell>
          <cell r="E338" t="str">
            <v>2020-21</v>
          </cell>
          <cell r="F338">
            <v>61.6</v>
          </cell>
        </row>
        <row r="339">
          <cell r="C339" t="str">
            <v>INE364U01010</v>
          </cell>
          <cell r="D339" t="str">
            <v>Power</v>
          </cell>
          <cell r="E339" t="str">
            <v>2020-21</v>
          </cell>
          <cell r="F339">
            <v>62.8</v>
          </cell>
        </row>
        <row r="340">
          <cell r="C340" t="str">
            <v>INE742F01042</v>
          </cell>
          <cell r="D340" t="str">
            <v>Port</v>
          </cell>
          <cell r="E340" t="str">
            <v>2020-21</v>
          </cell>
          <cell r="F340">
            <v>74.8</v>
          </cell>
        </row>
        <row r="341">
          <cell r="C341" t="str">
            <v>INE814H01011</v>
          </cell>
          <cell r="D341" t="str">
            <v>Power</v>
          </cell>
          <cell r="E341" t="str">
            <v>2020-21</v>
          </cell>
          <cell r="F341">
            <v>63.3</v>
          </cell>
        </row>
        <row r="342">
          <cell r="C342" t="str">
            <v>INE399L01023</v>
          </cell>
          <cell r="E342" t="str">
            <v>2020-21</v>
          </cell>
          <cell r="F342">
            <v>67.599999999999994</v>
          </cell>
        </row>
        <row r="343">
          <cell r="C343" t="str">
            <v>INE931S01010</v>
          </cell>
          <cell r="D343" t="str">
            <v>Power - Transmission</v>
          </cell>
          <cell r="E343" t="str">
            <v>2020-21</v>
          </cell>
          <cell r="F343">
            <v>69</v>
          </cell>
        </row>
        <row r="344">
          <cell r="C344" t="str">
            <v>INE00WC01027</v>
          </cell>
          <cell r="E344" t="str">
            <v>2020-21</v>
          </cell>
          <cell r="F344">
            <v>65.099999999999994</v>
          </cell>
        </row>
        <row r="345">
          <cell r="C345" t="str">
            <v>INE540L01014</v>
          </cell>
          <cell r="D345" t="str">
            <v>Pharmaceuticals</v>
          </cell>
          <cell r="E345" t="str">
            <v>2020-21</v>
          </cell>
          <cell r="F345">
            <v>59.9</v>
          </cell>
        </row>
        <row r="346">
          <cell r="C346" t="str">
            <v>INE150B01039</v>
          </cell>
          <cell r="D346" t="str">
            <v>Chemicals - Speciality</v>
          </cell>
          <cell r="E346" t="str">
            <v>2020-21</v>
          </cell>
          <cell r="F346">
            <v>52.3</v>
          </cell>
        </row>
        <row r="347">
          <cell r="C347" t="str">
            <v>INE418H01029</v>
          </cell>
          <cell r="D347" t="str">
            <v>Logistics Solution Provider</v>
          </cell>
          <cell r="E347" t="str">
            <v>2020-21</v>
          </cell>
          <cell r="F347">
            <v>58.6</v>
          </cell>
        </row>
        <row r="348">
          <cell r="C348" t="str">
            <v>INE079A01024</v>
          </cell>
          <cell r="D348" t="str">
            <v>Cement</v>
          </cell>
          <cell r="E348" t="str">
            <v>2020-21</v>
          </cell>
          <cell r="F348">
            <v>65.2</v>
          </cell>
        </row>
        <row r="349">
          <cell r="C349" t="str">
            <v>INE372A01015</v>
          </cell>
          <cell r="D349" t="str">
            <v>Power Equipment</v>
          </cell>
          <cell r="E349" t="str">
            <v>2020-21</v>
          </cell>
          <cell r="F349">
            <v>56.7</v>
          </cell>
        </row>
        <row r="350">
          <cell r="C350" t="str">
            <v>INE702C01027</v>
          </cell>
          <cell r="D350" t="str">
            <v>Iron &amp; Steel Products</v>
          </cell>
          <cell r="E350" t="str">
            <v>2020-21</v>
          </cell>
          <cell r="F350">
            <v>56.7</v>
          </cell>
        </row>
        <row r="351">
          <cell r="C351" t="str">
            <v>INE437A01024</v>
          </cell>
          <cell r="D351" t="str">
            <v>Hospital</v>
          </cell>
          <cell r="E351" t="str">
            <v>2020-21</v>
          </cell>
          <cell r="F351">
            <v>55.9</v>
          </cell>
        </row>
        <row r="352">
          <cell r="C352" t="str">
            <v>INE438A01022</v>
          </cell>
          <cell r="D352" t="str">
            <v>Tyres &amp; Allied</v>
          </cell>
          <cell r="E352" t="str">
            <v>2020-21</v>
          </cell>
          <cell r="F352">
            <v>62.6</v>
          </cell>
        </row>
        <row r="353">
          <cell r="C353" t="str">
            <v>INE955V01021</v>
          </cell>
          <cell r="D353" t="str">
            <v>Speciality Retail</v>
          </cell>
          <cell r="E353" t="str">
            <v>2020-21</v>
          </cell>
          <cell r="F353">
            <v>58</v>
          </cell>
        </row>
        <row r="354">
          <cell r="C354" t="str">
            <v>INE034A01011</v>
          </cell>
          <cell r="D354" t="str">
            <v>Fabrics And Garments</v>
          </cell>
          <cell r="E354" t="str">
            <v>2020-21</v>
          </cell>
          <cell r="F354">
            <v>62.7</v>
          </cell>
        </row>
        <row r="355">
          <cell r="C355" t="str">
            <v>INE208A01029</v>
          </cell>
          <cell r="D355" t="str">
            <v>Commercial Vehicles</v>
          </cell>
          <cell r="E355" t="str">
            <v>2020-21</v>
          </cell>
          <cell r="F355">
            <v>60</v>
          </cell>
        </row>
        <row r="356">
          <cell r="C356" t="str">
            <v>INE021A01026</v>
          </cell>
          <cell r="D356" t="str">
            <v>Paints</v>
          </cell>
          <cell r="E356" t="str">
            <v>2020-21</v>
          </cell>
          <cell r="F356">
            <v>63</v>
          </cell>
        </row>
        <row r="357">
          <cell r="C357" t="str">
            <v>INE914M01019</v>
          </cell>
          <cell r="D357" t="str">
            <v>Hospital</v>
          </cell>
          <cell r="E357" t="str">
            <v>2020-21</v>
          </cell>
          <cell r="F357">
            <v>59.5</v>
          </cell>
        </row>
        <row r="358">
          <cell r="C358" t="str">
            <v>INE006I01046</v>
          </cell>
          <cell r="E358" t="str">
            <v>2020-21</v>
          </cell>
          <cell r="F358">
            <v>61.1</v>
          </cell>
        </row>
        <row r="359">
          <cell r="C359" t="str">
            <v>INE406A01037</v>
          </cell>
          <cell r="D359" t="str">
            <v>Pharmaceuticals</v>
          </cell>
          <cell r="E359" t="str">
            <v>2020-21</v>
          </cell>
          <cell r="F359">
            <v>57.8</v>
          </cell>
        </row>
        <row r="360">
          <cell r="C360" t="str">
            <v>INE192R01011</v>
          </cell>
          <cell r="D360" t="str">
            <v>Diversified Retail</v>
          </cell>
          <cell r="E360" t="str">
            <v>2020-21</v>
          </cell>
          <cell r="F360">
            <v>51.5</v>
          </cell>
        </row>
        <row r="361">
          <cell r="C361" t="str">
            <v>INE238A01034</v>
          </cell>
          <cell r="D361" t="str">
            <v>Private Sector Bank</v>
          </cell>
          <cell r="E361" t="str">
            <v>2020-21</v>
          </cell>
          <cell r="F361">
            <v>68.7</v>
          </cell>
        </row>
        <row r="362">
          <cell r="C362" t="str">
            <v>INE917I01010</v>
          </cell>
          <cell r="D362" t="str">
            <v>Motor Cycles/Scooters</v>
          </cell>
          <cell r="E362" t="str">
            <v>2020-21</v>
          </cell>
          <cell r="F362">
            <v>56.8</v>
          </cell>
        </row>
        <row r="363">
          <cell r="C363" t="str">
            <v>INE296A01024</v>
          </cell>
          <cell r="D363" t="str">
            <v>Ndfc</v>
          </cell>
          <cell r="E363" t="str">
            <v>2020-21</v>
          </cell>
          <cell r="F363">
            <v>67.400000000000006</v>
          </cell>
        </row>
        <row r="364">
          <cell r="C364" t="str">
            <v>INE918I01026</v>
          </cell>
          <cell r="D364" t="str">
            <v>General Insurance</v>
          </cell>
          <cell r="E364" t="str">
            <v>2020-21</v>
          </cell>
          <cell r="F364">
            <v>63.9</v>
          </cell>
        </row>
        <row r="365">
          <cell r="C365" t="str">
            <v>INE118A01012</v>
          </cell>
          <cell r="D365" t="str">
            <v>Holding Companies</v>
          </cell>
          <cell r="E365" t="str">
            <v>2020-21</v>
          </cell>
          <cell r="F365">
            <v>53.2</v>
          </cell>
        </row>
        <row r="366">
          <cell r="C366" t="str">
            <v>INE787D01026</v>
          </cell>
          <cell r="D366" t="str">
            <v>Tyres &amp; Allied</v>
          </cell>
          <cell r="E366" t="str">
            <v>2020-21</v>
          </cell>
          <cell r="F366">
            <v>58.2</v>
          </cell>
        </row>
        <row r="367">
          <cell r="C367" t="str">
            <v>INE787D01026</v>
          </cell>
          <cell r="D367" t="str">
            <v>Tyres &amp; Allied</v>
          </cell>
          <cell r="E367" t="str">
            <v>2020-21</v>
          </cell>
          <cell r="F367">
            <v>58.2</v>
          </cell>
        </row>
        <row r="368">
          <cell r="C368" t="str">
            <v>INE463A01038</v>
          </cell>
          <cell r="D368" t="str">
            <v>Paints</v>
          </cell>
          <cell r="E368" t="str">
            <v>2020-21</v>
          </cell>
          <cell r="F368">
            <v>56.3</v>
          </cell>
        </row>
        <row r="369">
          <cell r="C369" t="str">
            <v>INE465A01025</v>
          </cell>
          <cell r="D369" t="str">
            <v>Castings/Forgings</v>
          </cell>
          <cell r="E369" t="str">
            <v>2020-21</v>
          </cell>
          <cell r="F369">
            <v>65.599999999999994</v>
          </cell>
        </row>
        <row r="370">
          <cell r="C370" t="str">
            <v>INE397D01024</v>
          </cell>
          <cell r="D370" t="str">
            <v>Telecom - Services</v>
          </cell>
          <cell r="E370" t="str">
            <v>2020-21</v>
          </cell>
          <cell r="F370">
            <v>66.3</v>
          </cell>
        </row>
        <row r="371">
          <cell r="C371" t="str">
            <v>INE376G01013</v>
          </cell>
          <cell r="D371" t="str">
            <v>Pharmaceuticals</v>
          </cell>
          <cell r="E371" t="str">
            <v>2020-21</v>
          </cell>
          <cell r="F371">
            <v>62.1</v>
          </cell>
        </row>
        <row r="372">
          <cell r="C372" t="str">
            <v>INE050A01025</v>
          </cell>
          <cell r="D372" t="str">
            <v>Consumer Food</v>
          </cell>
          <cell r="E372" t="str">
            <v>2020-21</v>
          </cell>
          <cell r="F372">
            <v>50.1</v>
          </cell>
        </row>
        <row r="373">
          <cell r="C373" t="str">
            <v>INE323A01026</v>
          </cell>
          <cell r="D373" t="str">
            <v>Auto Ancillaries</v>
          </cell>
          <cell r="E373" t="str">
            <v>2020-21</v>
          </cell>
          <cell r="F373">
            <v>58.1</v>
          </cell>
        </row>
        <row r="374">
          <cell r="C374" t="str">
            <v>INE791I01019</v>
          </cell>
          <cell r="D374" t="str">
            <v>Residential/Commercial/Sez Project</v>
          </cell>
          <cell r="E374" t="str">
            <v>2020-21</v>
          </cell>
          <cell r="F374">
            <v>63.2</v>
          </cell>
        </row>
        <row r="375">
          <cell r="C375" t="str">
            <v>INE216A01030</v>
          </cell>
          <cell r="D375" t="str">
            <v>Consumer Food</v>
          </cell>
          <cell r="E375" t="str">
            <v>2020-21</v>
          </cell>
          <cell r="F375">
            <v>62.1</v>
          </cell>
        </row>
        <row r="376">
          <cell r="C376" t="str">
            <v>INE264T01014</v>
          </cell>
          <cell r="D376" t="str">
            <v>Residential/Commercial/Sez Project</v>
          </cell>
          <cell r="E376" t="str">
            <v>2020-21</v>
          </cell>
          <cell r="F376">
            <v>55.5</v>
          </cell>
        </row>
        <row r="377">
          <cell r="C377" t="str">
            <v>INE120A01034</v>
          </cell>
          <cell r="D377" t="str">
            <v>Abrasives</v>
          </cell>
          <cell r="E377" t="str">
            <v>2020-21</v>
          </cell>
          <cell r="F377">
            <v>57.1</v>
          </cell>
        </row>
        <row r="378">
          <cell r="C378" t="str">
            <v>INE421D01022</v>
          </cell>
          <cell r="D378" t="str">
            <v>Tea &amp; Coffee</v>
          </cell>
          <cell r="E378" t="str">
            <v>2020-21</v>
          </cell>
          <cell r="F378">
            <v>55.9</v>
          </cell>
        </row>
        <row r="379">
          <cell r="C379" t="str">
            <v>INE482A01020</v>
          </cell>
          <cell r="D379" t="str">
            <v>Tyres &amp; Allied</v>
          </cell>
          <cell r="E379" t="str">
            <v>2020-21</v>
          </cell>
          <cell r="F379">
            <v>62.3</v>
          </cell>
        </row>
        <row r="380">
          <cell r="C380" t="str">
            <v>INE736A01011</v>
          </cell>
          <cell r="D380" t="str">
            <v>Depositories And Other Intermediaries</v>
          </cell>
          <cell r="E380" t="str">
            <v>2020-21</v>
          </cell>
          <cell r="F380">
            <v>69.099999999999994</v>
          </cell>
        </row>
        <row r="381">
          <cell r="C381" t="str">
            <v>INE486A01021</v>
          </cell>
          <cell r="E381" t="str">
            <v>2020-21</v>
          </cell>
          <cell r="F381">
            <v>56.1</v>
          </cell>
        </row>
        <row r="382">
          <cell r="C382" t="str">
            <v>INE427F01016</v>
          </cell>
          <cell r="D382" t="str">
            <v>Hotels Restaurants Resorts</v>
          </cell>
          <cell r="E382" t="str">
            <v>2020-21</v>
          </cell>
          <cell r="F382">
            <v>65.8</v>
          </cell>
        </row>
        <row r="383">
          <cell r="C383" t="str">
            <v>INE085A01013</v>
          </cell>
          <cell r="D383" t="str">
            <v>Fertilisers</v>
          </cell>
          <cell r="E383" t="str">
            <v>2020-21</v>
          </cell>
          <cell r="F383">
            <v>58.4</v>
          </cell>
        </row>
        <row r="384">
          <cell r="C384" t="str">
            <v>INE121A01024</v>
          </cell>
          <cell r="D384" t="str">
            <v>Nbfc</v>
          </cell>
          <cell r="E384" t="str">
            <v>2020-21</v>
          </cell>
          <cell r="F384">
            <v>70.7</v>
          </cell>
        </row>
        <row r="385">
          <cell r="C385" t="str">
            <v>INE059A01026</v>
          </cell>
          <cell r="D385" t="str">
            <v>Pharmaceuticals</v>
          </cell>
          <cell r="E385" t="str">
            <v>2020-21</v>
          </cell>
          <cell r="F385">
            <v>66.900000000000006</v>
          </cell>
        </row>
        <row r="386">
          <cell r="C386" t="str">
            <v>INE522F01014</v>
          </cell>
          <cell r="D386" t="str">
            <v>Industrial Minerals</v>
          </cell>
          <cell r="E386" t="str">
            <v>2020-21</v>
          </cell>
          <cell r="F386">
            <v>58.1</v>
          </cell>
        </row>
        <row r="387">
          <cell r="C387" t="str">
            <v>INE259A01022</v>
          </cell>
          <cell r="D387" t="str">
            <v>Personal Care</v>
          </cell>
          <cell r="E387" t="str">
            <v>2020-21</v>
          </cell>
          <cell r="F387">
            <v>56.8</v>
          </cell>
        </row>
        <row r="388">
          <cell r="C388" t="str">
            <v>INE169A01031</v>
          </cell>
          <cell r="D388" t="str">
            <v>Fertilisers</v>
          </cell>
          <cell r="E388" t="str">
            <v>2020-21</v>
          </cell>
          <cell r="F388">
            <v>61.1</v>
          </cell>
        </row>
        <row r="389">
          <cell r="C389" t="str">
            <v>INE299U01018</v>
          </cell>
          <cell r="D389" t="str">
            <v>Home Appliances Housewares</v>
          </cell>
          <cell r="E389" t="str">
            <v>2020-21</v>
          </cell>
          <cell r="F389">
            <v>64.5</v>
          </cell>
        </row>
        <row r="390">
          <cell r="C390" t="str">
            <v>INE016A01026</v>
          </cell>
          <cell r="D390" t="str">
            <v>Personal Care</v>
          </cell>
          <cell r="E390" t="str">
            <v>2020-21</v>
          </cell>
          <cell r="F390">
            <v>64.900000000000006</v>
          </cell>
        </row>
        <row r="391">
          <cell r="C391" t="str">
            <v>INE439L01019</v>
          </cell>
          <cell r="E391" t="str">
            <v>2020-21</v>
          </cell>
          <cell r="F391">
            <v>67.3</v>
          </cell>
        </row>
        <row r="392">
          <cell r="C392" t="str">
            <v>INE288B01029</v>
          </cell>
          <cell r="D392" t="str">
            <v>Chemicals - Speciality</v>
          </cell>
          <cell r="E392" t="str">
            <v>2020-21</v>
          </cell>
          <cell r="F392">
            <v>56.6</v>
          </cell>
        </row>
        <row r="393">
          <cell r="C393" t="str">
            <v>INE361B01024</v>
          </cell>
          <cell r="D393" t="str">
            <v>Pharmaceuticals</v>
          </cell>
          <cell r="E393" t="str">
            <v>2020-21</v>
          </cell>
          <cell r="F393">
            <v>66</v>
          </cell>
        </row>
        <row r="394">
          <cell r="C394" t="str">
            <v>INE271C01023</v>
          </cell>
          <cell r="D394" t="str">
            <v>Residential/Commercial/Sez Project</v>
          </cell>
          <cell r="E394" t="str">
            <v>2020-21</v>
          </cell>
          <cell r="F394">
            <v>62.2</v>
          </cell>
        </row>
        <row r="395">
          <cell r="C395" t="str">
            <v>INE089A01023</v>
          </cell>
          <cell r="E395" t="str">
            <v>2020-21</v>
          </cell>
          <cell r="F395">
            <v>66.5</v>
          </cell>
        </row>
        <row r="396">
          <cell r="C396" t="str">
            <v>INE066A01021</v>
          </cell>
          <cell r="D396" t="str">
            <v>Motor Cycles/Scooters</v>
          </cell>
          <cell r="E396" t="str">
            <v>2020-21</v>
          </cell>
          <cell r="F396">
            <v>65.900000000000006</v>
          </cell>
        </row>
        <row r="397">
          <cell r="C397" t="str">
            <v>INE230A01023</v>
          </cell>
          <cell r="D397" t="str">
            <v>Hotels Restaurants Resorts</v>
          </cell>
          <cell r="E397" t="str">
            <v>2020-21</v>
          </cell>
          <cell r="F397">
            <v>52.2</v>
          </cell>
        </row>
        <row r="398">
          <cell r="C398" t="str">
            <v>INE510A01028</v>
          </cell>
          <cell r="D398" t="str">
            <v>Engineering-Designing-Construction</v>
          </cell>
          <cell r="E398" t="str">
            <v>2020-21</v>
          </cell>
          <cell r="F398">
            <v>69.7</v>
          </cell>
        </row>
        <row r="399">
          <cell r="C399" t="str">
            <v>INE042A01014</v>
          </cell>
          <cell r="D399" t="str">
            <v>Tractors</v>
          </cell>
          <cell r="E399" t="str">
            <v>2020-21</v>
          </cell>
          <cell r="F399">
            <v>61.8</v>
          </cell>
        </row>
        <row r="400">
          <cell r="C400" t="str">
            <v>INE129A01019</v>
          </cell>
          <cell r="D400" t="str">
            <v>Gas Transmission/Marketing</v>
          </cell>
          <cell r="E400" t="str">
            <v>2020-21</v>
          </cell>
          <cell r="F400">
            <v>71.2</v>
          </cell>
        </row>
        <row r="401">
          <cell r="C401" t="str">
            <v>INE600K01018</v>
          </cell>
          <cell r="D401" t="str">
            <v>Chemicals - Speciality</v>
          </cell>
          <cell r="E401" t="str">
            <v>2020-21</v>
          </cell>
          <cell r="F401">
            <v>66.900000000000006</v>
          </cell>
        </row>
        <row r="402">
          <cell r="C402" t="str">
            <v>INE322A01010</v>
          </cell>
          <cell r="D402" t="str">
            <v>Personal Care</v>
          </cell>
          <cell r="E402" t="str">
            <v>2020-21</v>
          </cell>
          <cell r="F402">
            <v>50.1</v>
          </cell>
        </row>
        <row r="403">
          <cell r="C403" t="str">
            <v>INE068V01023</v>
          </cell>
          <cell r="D403" t="str">
            <v>Pharmaceuticals</v>
          </cell>
          <cell r="E403" t="str">
            <v>2020-21</v>
          </cell>
          <cell r="F403">
            <v>58.1</v>
          </cell>
        </row>
        <row r="404">
          <cell r="C404" t="str">
            <v>INE159A01016</v>
          </cell>
          <cell r="D404" t="str">
            <v>Pharmaceuticals</v>
          </cell>
          <cell r="E404" t="str">
            <v>2020-21</v>
          </cell>
          <cell r="F404">
            <v>50.4</v>
          </cell>
        </row>
        <row r="405">
          <cell r="C405" t="str">
            <v>INE935A01035</v>
          </cell>
          <cell r="D405" t="str">
            <v>Pharmaceuticals</v>
          </cell>
          <cell r="E405" t="str">
            <v>2020-21</v>
          </cell>
          <cell r="F405">
            <v>65</v>
          </cell>
        </row>
        <row r="406">
          <cell r="C406" t="str">
            <v>INE102D01028</v>
          </cell>
          <cell r="D406" t="str">
            <v>Personal Care</v>
          </cell>
          <cell r="E406" t="str">
            <v>2020-21</v>
          </cell>
          <cell r="F406">
            <v>70.8</v>
          </cell>
        </row>
        <row r="407">
          <cell r="C407" t="str">
            <v>INE233A01035</v>
          </cell>
          <cell r="D407" t="str">
            <v>Animal Feed</v>
          </cell>
          <cell r="E407" t="str">
            <v>2020-21</v>
          </cell>
          <cell r="F407">
            <v>65</v>
          </cell>
        </row>
        <row r="408">
          <cell r="C408" t="str">
            <v>INE484J01027</v>
          </cell>
          <cell r="D408" t="str">
            <v>Residential/Commercial/Sez Project</v>
          </cell>
          <cell r="E408" t="str">
            <v>2020-21</v>
          </cell>
          <cell r="F408">
            <v>71.2</v>
          </cell>
        </row>
        <row r="409">
          <cell r="C409" t="str">
            <v>INE047A01021</v>
          </cell>
          <cell r="E409" t="str">
            <v>2020-21</v>
          </cell>
          <cell r="F409">
            <v>60.6</v>
          </cell>
        </row>
        <row r="410">
          <cell r="C410" t="str">
            <v>INE09N301011</v>
          </cell>
          <cell r="D410" t="str">
            <v>Chemicals - Speciality</v>
          </cell>
          <cell r="E410" t="str">
            <v>2020-21</v>
          </cell>
          <cell r="F410">
            <v>60.2</v>
          </cell>
        </row>
        <row r="411">
          <cell r="C411" t="str">
            <v>INE176B01034</v>
          </cell>
          <cell r="D411" t="str">
            <v>Consumer Electronics</v>
          </cell>
          <cell r="E411" t="str">
            <v>2020-21</v>
          </cell>
          <cell r="F411">
            <v>68.2</v>
          </cell>
        </row>
        <row r="412">
          <cell r="C412" t="str">
            <v>INE860A01027</v>
          </cell>
          <cell r="D412" t="str">
            <v>Computers - Software</v>
          </cell>
          <cell r="E412" t="str">
            <v>2020-21</v>
          </cell>
          <cell r="F412">
            <v>68.8</v>
          </cell>
        </row>
        <row r="413">
          <cell r="C413" t="str">
            <v>INE127D01025</v>
          </cell>
          <cell r="D413" t="str">
            <v>Asset Management Companies</v>
          </cell>
          <cell r="E413" t="str">
            <v>2020-21</v>
          </cell>
          <cell r="F413">
            <v>67.400000000000006</v>
          </cell>
        </row>
        <row r="414">
          <cell r="C414" t="str">
            <v>INE040A01034</v>
          </cell>
          <cell r="D414" t="str">
            <v>Private Sector Bank</v>
          </cell>
          <cell r="E414" t="str">
            <v>2020-21</v>
          </cell>
          <cell r="F414">
            <v>70.5</v>
          </cell>
        </row>
        <row r="415">
          <cell r="C415" t="str">
            <v>INE578A01017</v>
          </cell>
          <cell r="D415" t="str">
            <v>Cement</v>
          </cell>
          <cell r="E415" t="str">
            <v>2020-21</v>
          </cell>
          <cell r="F415">
            <v>61.9</v>
          </cell>
        </row>
        <row r="416">
          <cell r="C416" t="str">
            <v>INE978A01027</v>
          </cell>
          <cell r="D416" t="str">
            <v>Dairy Products</v>
          </cell>
          <cell r="E416" t="str">
            <v>2020-21</v>
          </cell>
          <cell r="F416">
            <v>56.9</v>
          </cell>
        </row>
        <row r="417">
          <cell r="C417" t="str">
            <v>INE158A01026</v>
          </cell>
          <cell r="D417" t="str">
            <v>Motor Cycles/Scooters</v>
          </cell>
          <cell r="E417" t="str">
            <v>2020-21</v>
          </cell>
          <cell r="F417">
            <v>67.3</v>
          </cell>
        </row>
        <row r="418">
          <cell r="C418" t="str">
            <v>INE038A01020</v>
          </cell>
          <cell r="D418" t="str">
            <v>Aluminium</v>
          </cell>
          <cell r="E418" t="str">
            <v>2020-21</v>
          </cell>
          <cell r="F418">
            <v>62.1</v>
          </cell>
        </row>
        <row r="419">
          <cell r="C419" t="str">
            <v>INE066F01012</v>
          </cell>
          <cell r="D419" t="str">
            <v>Aerospace</v>
          </cell>
          <cell r="E419" t="str">
            <v>2020-21</v>
          </cell>
          <cell r="F419">
            <v>55.6</v>
          </cell>
        </row>
        <row r="420">
          <cell r="C420" t="str">
            <v>INE094A01015</v>
          </cell>
          <cell r="D420" t="str">
            <v>Refineries/Marketing</v>
          </cell>
          <cell r="E420" t="str">
            <v>2020-21</v>
          </cell>
          <cell r="F420">
            <v>61</v>
          </cell>
        </row>
        <row r="421">
          <cell r="C421" t="str">
            <v>INE030A01027</v>
          </cell>
          <cell r="D421" t="str">
            <v>Diversified</v>
          </cell>
          <cell r="E421" t="str">
            <v>2020-21</v>
          </cell>
          <cell r="F421">
            <v>68.599999999999994</v>
          </cell>
        </row>
        <row r="422">
          <cell r="C422" t="str">
            <v>INE267A01025</v>
          </cell>
          <cell r="D422" t="str">
            <v>Zinc</v>
          </cell>
          <cell r="E422" t="str">
            <v>2020-21</v>
          </cell>
          <cell r="F422">
            <v>63.2</v>
          </cell>
        </row>
        <row r="423">
          <cell r="C423" t="str">
            <v>INE671A01010</v>
          </cell>
          <cell r="D423" t="str">
            <v>Industrial Electronics</v>
          </cell>
          <cell r="E423" t="str">
            <v>2020-21</v>
          </cell>
          <cell r="F423">
            <v>62.8</v>
          </cell>
        </row>
        <row r="424">
          <cell r="C424" t="str">
            <v>INE001A01036</v>
          </cell>
          <cell r="D424" t="str">
            <v>Housing Finance</v>
          </cell>
          <cell r="E424" t="str">
            <v>2020-21</v>
          </cell>
          <cell r="F424">
            <v>72.900000000000006</v>
          </cell>
        </row>
        <row r="425">
          <cell r="C425" t="str">
            <v>INE090A01021</v>
          </cell>
          <cell r="D425" t="str">
            <v>Private Sector Bank</v>
          </cell>
          <cell r="E425" t="str">
            <v>2020-21</v>
          </cell>
          <cell r="F425">
            <v>64.8</v>
          </cell>
        </row>
        <row r="426">
          <cell r="C426" t="str">
            <v>INE763G01038</v>
          </cell>
          <cell r="D426" t="str">
            <v>Stockbroking And Allied</v>
          </cell>
          <cell r="E426" t="str">
            <v>2020-21</v>
          </cell>
          <cell r="F426">
            <v>70.8</v>
          </cell>
        </row>
        <row r="427">
          <cell r="C427" t="str">
            <v>INE008A01015</v>
          </cell>
          <cell r="D427" t="str">
            <v>Private Sector Bank</v>
          </cell>
          <cell r="E427" t="str">
            <v>2020-21</v>
          </cell>
          <cell r="F427">
            <v>56.4</v>
          </cell>
        </row>
        <row r="428">
          <cell r="C428" t="str">
            <v>INE242A01010</v>
          </cell>
          <cell r="D428" t="str">
            <v>Refineries/Marketing</v>
          </cell>
          <cell r="E428" t="str">
            <v>2020-21</v>
          </cell>
          <cell r="F428">
            <v>64</v>
          </cell>
        </row>
        <row r="429">
          <cell r="C429" t="str">
            <v>INE203G01027</v>
          </cell>
          <cell r="D429" t="str">
            <v>Lpg/Cng/Png/Lng Supplier</v>
          </cell>
          <cell r="E429" t="str">
            <v>2020-21</v>
          </cell>
          <cell r="F429">
            <v>60.6</v>
          </cell>
        </row>
        <row r="430">
          <cell r="C430" t="str">
            <v>INE121J01017</v>
          </cell>
          <cell r="D430" t="str">
            <v>Telecom - Equipment</v>
          </cell>
          <cell r="E430" t="str">
            <v>2020-21</v>
          </cell>
          <cell r="F430">
            <v>61.3</v>
          </cell>
        </row>
        <row r="431">
          <cell r="C431" t="str">
            <v>INE095A01012</v>
          </cell>
          <cell r="D431" t="str">
            <v>Private Sector Bank</v>
          </cell>
          <cell r="E431" t="str">
            <v>2020-21</v>
          </cell>
          <cell r="F431">
            <v>69.2</v>
          </cell>
        </row>
        <row r="432">
          <cell r="C432" t="str">
            <v>INE663F01024</v>
          </cell>
          <cell r="D432" t="str">
            <v>E-Retail/ E-Commerce</v>
          </cell>
          <cell r="E432" t="str">
            <v>2020-21</v>
          </cell>
          <cell r="F432">
            <v>65.099999999999994</v>
          </cell>
        </row>
        <row r="433">
          <cell r="C433" t="str">
            <v>INE009A01021</v>
          </cell>
          <cell r="D433" t="str">
            <v>Computers - Software</v>
          </cell>
          <cell r="E433" t="str">
            <v>2020-21</v>
          </cell>
          <cell r="F433">
            <v>80.099999999999994</v>
          </cell>
        </row>
        <row r="434">
          <cell r="C434" t="str">
            <v>INE646L01027</v>
          </cell>
          <cell r="D434" t="str">
            <v>Airlines</v>
          </cell>
          <cell r="E434" t="str">
            <v>2020-21</v>
          </cell>
          <cell r="F434">
            <v>64.7</v>
          </cell>
        </row>
        <row r="435">
          <cell r="C435" t="str">
            <v>INE571A01020</v>
          </cell>
          <cell r="D435" t="str">
            <v>Pharmaceuticals</v>
          </cell>
          <cell r="E435" t="str">
            <v>2020-21</v>
          </cell>
          <cell r="F435">
            <v>58.9</v>
          </cell>
        </row>
        <row r="436">
          <cell r="C436" t="str">
            <v>INE154A01025</v>
          </cell>
          <cell r="D436" t="str">
            <v>Cigarettes &amp; Related Products</v>
          </cell>
          <cell r="E436" t="str">
            <v>2020-21</v>
          </cell>
          <cell r="F436">
            <v>69.7</v>
          </cell>
        </row>
        <row r="437">
          <cell r="C437" t="str">
            <v>INE039C01032</v>
          </cell>
          <cell r="D437" t="str">
            <v>Auto Ancillaries</v>
          </cell>
          <cell r="E437" t="str">
            <v>2020-21</v>
          </cell>
          <cell r="F437">
            <v>52.2</v>
          </cell>
        </row>
        <row r="438">
          <cell r="C438" t="str">
            <v>INE572A01028</v>
          </cell>
          <cell r="D438" t="str">
            <v>Pharmaceuticals</v>
          </cell>
          <cell r="E438" t="str">
            <v>2020-21</v>
          </cell>
          <cell r="F438">
            <v>57.1</v>
          </cell>
        </row>
        <row r="439">
          <cell r="C439" t="str">
            <v>INE749A01030</v>
          </cell>
          <cell r="D439" t="str">
            <v>Steel</v>
          </cell>
          <cell r="E439" t="str">
            <v>2020-21</v>
          </cell>
          <cell r="F439">
            <v>58.7</v>
          </cell>
        </row>
        <row r="440">
          <cell r="C440" t="str">
            <v>INE823G01014</v>
          </cell>
          <cell r="D440" t="str">
            <v>Cement</v>
          </cell>
          <cell r="E440" t="str">
            <v>2020-21</v>
          </cell>
          <cell r="F440">
            <v>58.6</v>
          </cell>
        </row>
        <row r="441">
          <cell r="C441" t="str">
            <v>INE121E01018</v>
          </cell>
          <cell r="E441" t="str">
            <v>2020-21</v>
          </cell>
          <cell r="F441">
            <v>63.4</v>
          </cell>
        </row>
        <row r="442">
          <cell r="C442" t="str">
            <v>INE019A01038</v>
          </cell>
          <cell r="D442" t="str">
            <v>Steel</v>
          </cell>
          <cell r="E442" t="str">
            <v>2020-21</v>
          </cell>
          <cell r="F442">
            <v>66</v>
          </cell>
        </row>
        <row r="443">
          <cell r="C443" t="str">
            <v>INE797F01020</v>
          </cell>
          <cell r="D443" t="str">
            <v>Hotels Restaurants Resorts</v>
          </cell>
          <cell r="E443" t="str">
            <v>2020-21</v>
          </cell>
          <cell r="F443">
            <v>53.5</v>
          </cell>
        </row>
        <row r="444">
          <cell r="C444" t="str">
            <v>INE0BY001018</v>
          </cell>
          <cell r="E444" t="str">
            <v>2020-21</v>
          </cell>
          <cell r="F444">
            <v>56.5</v>
          </cell>
        </row>
        <row r="445">
          <cell r="C445" t="str">
            <v>INE531A01024</v>
          </cell>
          <cell r="D445" t="str">
            <v>Paints</v>
          </cell>
          <cell r="E445" t="str">
            <v>2020-21</v>
          </cell>
          <cell r="F445">
            <v>65.599999999999994</v>
          </cell>
        </row>
        <row r="446">
          <cell r="C446" t="str">
            <v>INE389H01022</v>
          </cell>
          <cell r="D446" t="str">
            <v>Transmission Towers</v>
          </cell>
          <cell r="E446" t="str">
            <v>2020-21</v>
          </cell>
          <cell r="F446">
            <v>61</v>
          </cell>
        </row>
        <row r="447">
          <cell r="C447" t="str">
            <v>INE237A01028</v>
          </cell>
          <cell r="D447" t="str">
            <v>Private Sector Bank</v>
          </cell>
          <cell r="E447" t="str">
            <v>2020-21</v>
          </cell>
          <cell r="F447">
            <v>70</v>
          </cell>
        </row>
        <row r="448">
          <cell r="C448" t="str">
            <v>INE010V01017</v>
          </cell>
          <cell r="D448" t="str">
            <v>It Enabled Services - Software</v>
          </cell>
          <cell r="E448" t="str">
            <v>2020-21</v>
          </cell>
          <cell r="F448">
            <v>63.6</v>
          </cell>
        </row>
        <row r="449">
          <cell r="C449" t="str">
            <v>INE059D01020</v>
          </cell>
          <cell r="D449" t="str">
            <v>Glass - Consumer</v>
          </cell>
          <cell r="E449" t="str">
            <v>2020-21</v>
          </cell>
          <cell r="F449">
            <v>52.1</v>
          </cell>
        </row>
        <row r="450">
          <cell r="C450" t="str">
            <v>INE018A01030</v>
          </cell>
          <cell r="D450" t="str">
            <v>Engineering-Designing-Construction</v>
          </cell>
          <cell r="E450" t="str">
            <v>2020-21</v>
          </cell>
          <cell r="F450">
            <v>68.8</v>
          </cell>
        </row>
        <row r="451">
          <cell r="C451" t="str">
            <v>INE947Q01028</v>
          </cell>
          <cell r="D451" t="str">
            <v>Pharmaceuticals</v>
          </cell>
          <cell r="E451" t="str">
            <v>2020-21</v>
          </cell>
          <cell r="F451">
            <v>61.2</v>
          </cell>
        </row>
        <row r="452">
          <cell r="C452" t="str">
            <v>INE970X01018</v>
          </cell>
          <cell r="D452" t="str">
            <v>Hotels Restaurants Resorts</v>
          </cell>
          <cell r="E452" t="str">
            <v>2020-21</v>
          </cell>
          <cell r="F452">
            <v>60.5</v>
          </cell>
        </row>
        <row r="453">
          <cell r="C453" t="str">
            <v>INE115A01026</v>
          </cell>
          <cell r="D453" t="str">
            <v>Housing Finance</v>
          </cell>
          <cell r="E453" t="str">
            <v>2020-21</v>
          </cell>
          <cell r="F453">
            <v>54.7</v>
          </cell>
        </row>
        <row r="454">
          <cell r="C454" t="str">
            <v>INE214T01019</v>
          </cell>
          <cell r="D454" t="str">
            <v>Computers - Software</v>
          </cell>
          <cell r="E454" t="str">
            <v>2020-21</v>
          </cell>
          <cell r="F454">
            <v>75.900000000000006</v>
          </cell>
        </row>
        <row r="455">
          <cell r="C455" t="str">
            <v>INE326A01037</v>
          </cell>
          <cell r="D455" t="str">
            <v>Pharmaceuticals</v>
          </cell>
          <cell r="E455" t="str">
            <v>2020-21</v>
          </cell>
          <cell r="F455">
            <v>57.5</v>
          </cell>
        </row>
        <row r="456">
          <cell r="C456" t="str">
            <v>INE150G01020</v>
          </cell>
          <cell r="D456" t="str">
            <v>Fabrics And Garments</v>
          </cell>
          <cell r="E456" t="str">
            <v>2020-21</v>
          </cell>
          <cell r="F456">
            <v>56.4</v>
          </cell>
        </row>
        <row r="457">
          <cell r="C457" t="str">
            <v>INE101A01026</v>
          </cell>
          <cell r="D457" t="str">
            <v>Passenger/Utility Vehicles</v>
          </cell>
          <cell r="E457" t="str">
            <v>2020-21</v>
          </cell>
          <cell r="F457">
            <v>75.099999999999994</v>
          </cell>
        </row>
        <row r="458">
          <cell r="C458" t="str">
            <v>INE813A01018</v>
          </cell>
          <cell r="D458" t="str">
            <v>Residential/Commercial/Sez Project</v>
          </cell>
          <cell r="E458" t="str">
            <v>2020-21</v>
          </cell>
          <cell r="F458">
            <v>69.5</v>
          </cell>
        </row>
        <row r="459">
          <cell r="C459" t="str">
            <v>INE558B01017</v>
          </cell>
          <cell r="D459" t="str">
            <v>Fertilisers</v>
          </cell>
          <cell r="E459" t="str">
            <v>2020-21</v>
          </cell>
          <cell r="F459">
            <v>49.7</v>
          </cell>
        </row>
        <row r="460">
          <cell r="C460" t="str">
            <v>INE196A01026</v>
          </cell>
          <cell r="D460" t="str">
            <v>Personal Care</v>
          </cell>
          <cell r="E460" t="str">
            <v>2020-21</v>
          </cell>
          <cell r="F460">
            <v>70.900000000000006</v>
          </cell>
        </row>
        <row r="461">
          <cell r="C461" t="str">
            <v>INE585B01010</v>
          </cell>
          <cell r="D461" t="str">
            <v>Passenger/Utility Vehicles</v>
          </cell>
          <cell r="E461" t="str">
            <v>2020-21</v>
          </cell>
          <cell r="F461">
            <v>67.400000000000006</v>
          </cell>
        </row>
        <row r="462">
          <cell r="C462" t="str">
            <v>INE112L01020</v>
          </cell>
          <cell r="D462" t="str">
            <v>Healthcare Service Providers</v>
          </cell>
          <cell r="E462" t="str">
            <v>2020-21</v>
          </cell>
          <cell r="F462">
            <v>55.9</v>
          </cell>
        </row>
        <row r="463">
          <cell r="C463" t="str">
            <v>INE842C01021</v>
          </cell>
          <cell r="D463" t="str">
            <v>Auto Ancillaries</v>
          </cell>
          <cell r="E463" t="str">
            <v>2020-21</v>
          </cell>
          <cell r="F463">
            <v>59.1</v>
          </cell>
        </row>
        <row r="464">
          <cell r="C464" t="str">
            <v>INE018I01017</v>
          </cell>
          <cell r="D464" t="str">
            <v>Computers - Software</v>
          </cell>
          <cell r="E464" t="str">
            <v>2020-21</v>
          </cell>
          <cell r="F464">
            <v>69</v>
          </cell>
        </row>
        <row r="465">
          <cell r="C465" t="str">
            <v>INE099Z01011</v>
          </cell>
          <cell r="D465" t="str">
            <v>Steel</v>
          </cell>
          <cell r="E465" t="str">
            <v>2020-21</v>
          </cell>
          <cell r="F465">
            <v>50.4</v>
          </cell>
        </row>
        <row r="466">
          <cell r="C466" t="str">
            <v>INE356A01018</v>
          </cell>
          <cell r="D466" t="str">
            <v>Computers - Software</v>
          </cell>
          <cell r="E466" t="str">
            <v>2020-21</v>
          </cell>
          <cell r="F466">
            <v>65.599999999999994</v>
          </cell>
        </row>
        <row r="467">
          <cell r="C467" t="str">
            <v>INE883A01011</v>
          </cell>
          <cell r="D467" t="str">
            <v>Tyres &amp; Allied</v>
          </cell>
          <cell r="E467" t="str">
            <v>2020-21</v>
          </cell>
          <cell r="F467">
            <v>52</v>
          </cell>
        </row>
        <row r="468">
          <cell r="C468" t="str">
            <v>INE414G01012</v>
          </cell>
          <cell r="D468" t="str">
            <v>Nbfc</v>
          </cell>
          <cell r="E468" t="str">
            <v>2020-21</v>
          </cell>
          <cell r="F468">
            <v>59.4</v>
          </cell>
        </row>
        <row r="469">
          <cell r="C469" t="str">
            <v>INE987B01026</v>
          </cell>
          <cell r="D469" t="str">
            <v>Pharmaceuticals</v>
          </cell>
          <cell r="E469" t="str">
            <v>2020-21</v>
          </cell>
          <cell r="F469">
            <v>60.5</v>
          </cell>
        </row>
        <row r="470">
          <cell r="C470" t="str">
            <v>INE048G01026</v>
          </cell>
          <cell r="D470" t="str">
            <v>Chemicals - Inorganic</v>
          </cell>
          <cell r="E470" t="str">
            <v>2020-21</v>
          </cell>
          <cell r="F470">
            <v>54.9</v>
          </cell>
        </row>
        <row r="471">
          <cell r="C471" t="str">
            <v>INE239A01016</v>
          </cell>
          <cell r="D471" t="str">
            <v>Packaged Foods</v>
          </cell>
          <cell r="E471" t="str">
            <v>2020-21</v>
          </cell>
          <cell r="F471">
            <v>61.2</v>
          </cell>
        </row>
        <row r="472">
          <cell r="C472" t="str">
            <v>INE733E01010</v>
          </cell>
          <cell r="D472" t="str">
            <v>Power</v>
          </cell>
          <cell r="E472" t="str">
            <v>2020-21</v>
          </cell>
          <cell r="F472">
            <v>62.9</v>
          </cell>
        </row>
        <row r="473">
          <cell r="C473" t="str">
            <v>INE274J01014</v>
          </cell>
          <cell r="D473" t="str">
            <v>Oil Exploration</v>
          </cell>
          <cell r="E473" t="str">
            <v>2020-21</v>
          </cell>
          <cell r="F473">
            <v>56.9</v>
          </cell>
        </row>
        <row r="474">
          <cell r="C474" t="str">
            <v>INE881D01027</v>
          </cell>
          <cell r="D474" t="str">
            <v>It Enabled Services - Software</v>
          </cell>
          <cell r="E474" t="str">
            <v>2020-21</v>
          </cell>
          <cell r="F474">
            <v>56.3</v>
          </cell>
        </row>
        <row r="475">
          <cell r="C475" t="str">
            <v>INE142Z01019</v>
          </cell>
          <cell r="D475" t="str">
            <v>Consumer Electronics</v>
          </cell>
          <cell r="E475" t="str">
            <v>2020-21</v>
          </cell>
          <cell r="F475">
            <v>61</v>
          </cell>
        </row>
        <row r="476">
          <cell r="C476" t="str">
            <v>INE761H01022</v>
          </cell>
          <cell r="D476" t="str">
            <v>Fabrics And Garments</v>
          </cell>
          <cell r="E476" t="str">
            <v>2020-21</v>
          </cell>
          <cell r="F476">
            <v>66.400000000000006</v>
          </cell>
        </row>
        <row r="477">
          <cell r="C477" t="str">
            <v>INE182A01018</v>
          </cell>
          <cell r="D477" t="str">
            <v>Pharmaceuticals</v>
          </cell>
          <cell r="E477" t="str">
            <v>2020-21</v>
          </cell>
          <cell r="F477">
            <v>57.6</v>
          </cell>
        </row>
        <row r="478">
          <cell r="C478" t="str">
            <v>INE603J01030</v>
          </cell>
          <cell r="D478" t="str">
            <v>Pesticides And Agrochemicals</v>
          </cell>
          <cell r="E478" t="str">
            <v>2020-21</v>
          </cell>
          <cell r="F478">
            <v>63.8</v>
          </cell>
        </row>
        <row r="479">
          <cell r="C479" t="str">
            <v>INE318A01026</v>
          </cell>
          <cell r="D479" t="str">
            <v>Chemicals - Speciality</v>
          </cell>
          <cell r="E479" t="str">
            <v>2020-21</v>
          </cell>
          <cell r="F479">
            <v>56.1</v>
          </cell>
        </row>
        <row r="480">
          <cell r="C480" t="str">
            <v>INE140A01024</v>
          </cell>
          <cell r="D480" t="str">
            <v>Other Financial Services</v>
          </cell>
          <cell r="E480" t="str">
            <v>2020-21</v>
          </cell>
          <cell r="F480">
            <v>59.8</v>
          </cell>
        </row>
        <row r="481">
          <cell r="C481" t="str">
            <v>INE455K01017</v>
          </cell>
          <cell r="D481" t="str">
            <v>Cables - Electricals</v>
          </cell>
          <cell r="E481" t="str">
            <v>2020-21</v>
          </cell>
          <cell r="F481">
            <v>59.2</v>
          </cell>
        </row>
        <row r="482">
          <cell r="C482" t="str">
            <v>INE393P01035</v>
          </cell>
          <cell r="D482" t="str">
            <v>Consumer Food</v>
          </cell>
          <cell r="E482" t="str">
            <v>2020-21</v>
          </cell>
          <cell r="F482">
            <v>53.3</v>
          </cell>
        </row>
        <row r="483">
          <cell r="C483" t="str">
            <v>INE010A01011</v>
          </cell>
          <cell r="D483" t="str">
            <v>Cement</v>
          </cell>
          <cell r="E483" t="str">
            <v>2020-21</v>
          </cell>
          <cell r="F483">
            <v>60.6</v>
          </cell>
        </row>
        <row r="484">
          <cell r="C484" t="str">
            <v>INE199A01012</v>
          </cell>
          <cell r="D484" t="str">
            <v>Pharmaceuticals</v>
          </cell>
          <cell r="E484" t="str">
            <v>2020-21</v>
          </cell>
          <cell r="F484">
            <v>57.3</v>
          </cell>
        </row>
        <row r="485">
          <cell r="C485" t="str">
            <v>INE615P01015</v>
          </cell>
          <cell r="D485" t="str">
            <v>Diversified Services</v>
          </cell>
          <cell r="E485" t="str">
            <v>2020-21</v>
          </cell>
          <cell r="F485">
            <v>69.2</v>
          </cell>
        </row>
        <row r="486">
          <cell r="C486" t="str">
            <v>INE415G01027</v>
          </cell>
          <cell r="D486" t="str">
            <v>Engineering-Designing-Construction</v>
          </cell>
          <cell r="E486" t="str">
            <v>2020-21</v>
          </cell>
          <cell r="F486">
            <v>57.9</v>
          </cell>
        </row>
        <row r="487">
          <cell r="C487" t="str">
            <v>INE613A01020</v>
          </cell>
          <cell r="D487" t="str">
            <v>Pesticides And Agrochemicals</v>
          </cell>
          <cell r="E487" t="str">
            <v>2020-21</v>
          </cell>
          <cell r="F487">
            <v>63.1</v>
          </cell>
        </row>
        <row r="488">
          <cell r="C488" t="str">
            <v>INE027A01015</v>
          </cell>
          <cell r="D488" t="str">
            <v>Fertilisers</v>
          </cell>
          <cell r="E488" t="str">
            <v>2020-21</v>
          </cell>
          <cell r="F488">
            <v>55.2</v>
          </cell>
        </row>
        <row r="489">
          <cell r="C489" t="str">
            <v>INE703B01027</v>
          </cell>
          <cell r="D489" t="str">
            <v>Iron &amp; Steel Products</v>
          </cell>
          <cell r="E489" t="str">
            <v>2020-21</v>
          </cell>
          <cell r="F489">
            <v>52.2</v>
          </cell>
        </row>
        <row r="490">
          <cell r="C490" t="str">
            <v>INE002A01018</v>
          </cell>
          <cell r="D490" t="str">
            <v>Refineries/Marketing</v>
          </cell>
          <cell r="E490" t="str">
            <v>2020-21</v>
          </cell>
          <cell r="F490">
            <v>62.6</v>
          </cell>
        </row>
        <row r="491">
          <cell r="C491" t="str">
            <v>INE320J01015</v>
          </cell>
          <cell r="D491" t="str">
            <v>Engineering-Designing-Construction</v>
          </cell>
          <cell r="E491" t="str">
            <v>2020-21</v>
          </cell>
          <cell r="F491">
            <v>60.6</v>
          </cell>
        </row>
        <row r="492">
          <cell r="C492" t="str">
            <v>INE429E01023</v>
          </cell>
          <cell r="D492" t="str">
            <v>Plastic Products - Consumer</v>
          </cell>
          <cell r="E492" t="str">
            <v>2020-21</v>
          </cell>
          <cell r="F492">
            <v>56.4</v>
          </cell>
        </row>
        <row r="493">
          <cell r="C493" t="str">
            <v>INE278H01035</v>
          </cell>
          <cell r="D493" t="str">
            <v>Auto Ancillaries</v>
          </cell>
          <cell r="E493" t="str">
            <v>2020-21</v>
          </cell>
          <cell r="F493">
            <v>55.9</v>
          </cell>
        </row>
        <row r="494">
          <cell r="C494" t="str">
            <v>INE123W01016</v>
          </cell>
          <cell r="D494" t="str">
            <v>Life Insurance</v>
          </cell>
          <cell r="E494" t="str">
            <v>2020-21</v>
          </cell>
          <cell r="F494">
            <v>58.9</v>
          </cell>
        </row>
        <row r="495">
          <cell r="C495" t="str">
            <v>INE070A01015</v>
          </cell>
          <cell r="D495" t="str">
            <v>Cement</v>
          </cell>
          <cell r="E495" t="str">
            <v>2020-21</v>
          </cell>
          <cell r="F495">
            <v>67.400000000000006</v>
          </cell>
        </row>
        <row r="496">
          <cell r="C496" t="str">
            <v>INE003A01024</v>
          </cell>
          <cell r="D496" t="str">
            <v>Power Equipment</v>
          </cell>
          <cell r="E496" t="str">
            <v>2020-21</v>
          </cell>
          <cell r="F496">
            <v>57.8</v>
          </cell>
        </row>
        <row r="497">
          <cell r="C497" t="str">
            <v>INE285J01028</v>
          </cell>
          <cell r="D497" t="str">
            <v>Diversified Commercial Services</v>
          </cell>
          <cell r="E497" t="str">
            <v>2020-21</v>
          </cell>
          <cell r="F497">
            <v>63.1</v>
          </cell>
        </row>
        <row r="498">
          <cell r="C498" t="str">
            <v>INE343H01029</v>
          </cell>
          <cell r="D498" t="str">
            <v>Explosives</v>
          </cell>
          <cell r="E498" t="str">
            <v>2020-21</v>
          </cell>
          <cell r="F498">
            <v>59.6</v>
          </cell>
        </row>
        <row r="499">
          <cell r="C499" t="str">
            <v>INE647A01010</v>
          </cell>
          <cell r="D499" t="str">
            <v>Chemicals - Speciality</v>
          </cell>
          <cell r="E499" t="str">
            <v>2020-21</v>
          </cell>
          <cell r="F499">
            <v>61.5</v>
          </cell>
        </row>
        <row r="500">
          <cell r="C500" t="str">
            <v>INE062A01020</v>
          </cell>
          <cell r="D500" t="str">
            <v>Public Sector Bank</v>
          </cell>
          <cell r="E500" t="str">
            <v>2020-21</v>
          </cell>
          <cell r="F500">
            <v>57.5</v>
          </cell>
        </row>
        <row r="501">
          <cell r="C501" t="str">
            <v>INE089C01029</v>
          </cell>
          <cell r="D501" t="str">
            <v>Telecom - Services</v>
          </cell>
          <cell r="E501" t="str">
            <v>2020-21</v>
          </cell>
          <cell r="F501">
            <v>61.3</v>
          </cell>
        </row>
        <row r="502">
          <cell r="C502" t="str">
            <v>INE287B01021</v>
          </cell>
          <cell r="D502" t="str">
            <v>Auto Ancillaries</v>
          </cell>
          <cell r="E502" t="str">
            <v>2020-21</v>
          </cell>
          <cell r="F502">
            <v>58.5</v>
          </cell>
        </row>
        <row r="503">
          <cell r="C503" t="str">
            <v>INE044A01036</v>
          </cell>
          <cell r="E503" t="str">
            <v>2020-21</v>
          </cell>
          <cell r="F503">
            <v>59.9</v>
          </cell>
        </row>
        <row r="504">
          <cell r="C504" t="str">
            <v>INE387A01021</v>
          </cell>
          <cell r="D504" t="str">
            <v>Fastener</v>
          </cell>
          <cell r="E504" t="str">
            <v>2020-21</v>
          </cell>
          <cell r="F504">
            <v>56</v>
          </cell>
        </row>
        <row r="505">
          <cell r="C505" t="str">
            <v>INE399C01030</v>
          </cell>
          <cell r="D505" t="str">
            <v>Auto Ancillaries</v>
          </cell>
          <cell r="E505" t="str">
            <v>2020-21</v>
          </cell>
          <cell r="F505">
            <v>53.3</v>
          </cell>
        </row>
        <row r="506">
          <cell r="C506" t="str">
            <v>INE195A01028</v>
          </cell>
          <cell r="D506" t="str">
            <v>Plastic Products</v>
          </cell>
          <cell r="E506" t="str">
            <v>2020-21</v>
          </cell>
          <cell r="F506">
            <v>54.3</v>
          </cell>
        </row>
        <row r="507">
          <cell r="C507" t="str">
            <v>INE663A01033</v>
          </cell>
          <cell r="D507" t="str">
            <v>Petrochemicals</v>
          </cell>
          <cell r="E507" t="str">
            <v>2020-21</v>
          </cell>
          <cell r="F507">
            <v>52.4</v>
          </cell>
        </row>
        <row r="508">
          <cell r="C508" t="str">
            <v>INE398R01022</v>
          </cell>
          <cell r="D508" t="str">
            <v>Healthcare Reasearch/ Analytics/ Technology</v>
          </cell>
          <cell r="E508" t="str">
            <v>2020-21</v>
          </cell>
          <cell r="F508">
            <v>63.5</v>
          </cell>
        </row>
        <row r="509">
          <cell r="C509" t="str">
            <v>INE092A01019</v>
          </cell>
          <cell r="D509" t="str">
            <v>Chemicals - Inorganic</v>
          </cell>
          <cell r="E509" t="str">
            <v>2020-21</v>
          </cell>
          <cell r="F509">
            <v>68.400000000000006</v>
          </cell>
        </row>
        <row r="510">
          <cell r="C510" t="str">
            <v>INE151A01013</v>
          </cell>
          <cell r="D510" t="str">
            <v>Telecom - Services</v>
          </cell>
          <cell r="E510" t="str">
            <v>2020-21</v>
          </cell>
          <cell r="F510">
            <v>68.8</v>
          </cell>
        </row>
        <row r="511">
          <cell r="C511" t="str">
            <v>INE467B01029</v>
          </cell>
          <cell r="D511" t="str">
            <v>Computers - Software</v>
          </cell>
          <cell r="E511" t="str">
            <v>2020-21</v>
          </cell>
          <cell r="F511">
            <v>71.599999999999994</v>
          </cell>
        </row>
        <row r="512">
          <cell r="C512" t="str">
            <v>INE192A01025</v>
          </cell>
          <cell r="D512" t="str">
            <v>Tea &amp; Coffee</v>
          </cell>
          <cell r="E512" t="str">
            <v>2020-21</v>
          </cell>
          <cell r="F512">
            <v>63.4</v>
          </cell>
        </row>
        <row r="513">
          <cell r="C513" t="str">
            <v>INE670A01012</v>
          </cell>
          <cell r="D513" t="str">
            <v>Computers - Software</v>
          </cell>
          <cell r="E513" t="str">
            <v>2020-21</v>
          </cell>
          <cell r="F513">
            <v>63.7</v>
          </cell>
        </row>
        <row r="514">
          <cell r="C514" t="str">
            <v>INE155A01022</v>
          </cell>
          <cell r="D514" t="str">
            <v>Passenger/Utility Vehicles</v>
          </cell>
          <cell r="E514" t="str">
            <v>2020-21</v>
          </cell>
          <cell r="F514">
            <v>69.2</v>
          </cell>
        </row>
        <row r="515">
          <cell r="C515" t="str">
            <v>INE245A01021</v>
          </cell>
          <cell r="D515" t="str">
            <v>Power</v>
          </cell>
          <cell r="E515" t="str">
            <v>2020-21</v>
          </cell>
          <cell r="F515">
            <v>70.400000000000006</v>
          </cell>
        </row>
        <row r="516">
          <cell r="C516" t="str">
            <v>INE674A01014</v>
          </cell>
          <cell r="D516" t="str">
            <v>Sponge Iron</v>
          </cell>
          <cell r="E516" t="str">
            <v>2020-21</v>
          </cell>
          <cell r="F516">
            <v>65.900000000000006</v>
          </cell>
        </row>
        <row r="517">
          <cell r="C517" t="str">
            <v>INE778U01029</v>
          </cell>
          <cell r="D517" t="str">
            <v>Fabrics And Garments</v>
          </cell>
          <cell r="E517" t="str">
            <v>2020-21</v>
          </cell>
          <cell r="F517">
            <v>62.9</v>
          </cell>
        </row>
        <row r="518">
          <cell r="C518" t="str">
            <v>INE669C01036</v>
          </cell>
          <cell r="D518" t="str">
            <v>Computers - Software</v>
          </cell>
          <cell r="E518" t="str">
            <v>2020-21</v>
          </cell>
          <cell r="F518">
            <v>74.599999999999994</v>
          </cell>
        </row>
        <row r="519">
          <cell r="C519" t="str">
            <v>INE286K01024</v>
          </cell>
          <cell r="E519" t="str">
            <v>2020-21</v>
          </cell>
          <cell r="F519">
            <v>56.5</v>
          </cell>
        </row>
        <row r="520">
          <cell r="C520" t="str">
            <v>INE017A01032</v>
          </cell>
          <cell r="D520" t="str">
            <v>Shipping</v>
          </cell>
          <cell r="E520" t="str">
            <v>2020-21</v>
          </cell>
          <cell r="F520">
            <v>60</v>
          </cell>
        </row>
        <row r="521">
          <cell r="C521" t="str">
            <v>INE053A01029</v>
          </cell>
          <cell r="D521" t="str">
            <v>Hotels Restaurants Resorts</v>
          </cell>
          <cell r="E521" t="str">
            <v>2020-21</v>
          </cell>
          <cell r="F521">
            <v>68.400000000000006</v>
          </cell>
        </row>
        <row r="522">
          <cell r="C522" t="str">
            <v>INE152A01029</v>
          </cell>
          <cell r="D522" t="str">
            <v>Power Equipment</v>
          </cell>
          <cell r="E522" t="str">
            <v>2020-21</v>
          </cell>
          <cell r="F522">
            <v>56.8</v>
          </cell>
        </row>
        <row r="523">
          <cell r="C523" t="str">
            <v>INE280A01028</v>
          </cell>
          <cell r="D523" t="str">
            <v>Gems Jewellery And Watches</v>
          </cell>
          <cell r="E523" t="str">
            <v>2020-21</v>
          </cell>
          <cell r="F523">
            <v>67</v>
          </cell>
        </row>
        <row r="524">
          <cell r="C524" t="str">
            <v>INE685A01028</v>
          </cell>
          <cell r="D524" t="str">
            <v>Pharmaceuticals</v>
          </cell>
          <cell r="E524" t="str">
            <v>2020-21</v>
          </cell>
          <cell r="F524">
            <v>56.5</v>
          </cell>
        </row>
        <row r="525">
          <cell r="C525" t="str">
            <v>INE849A01020</v>
          </cell>
          <cell r="D525" t="str">
            <v>Speciality Retail</v>
          </cell>
          <cell r="E525" t="str">
            <v>2020-21</v>
          </cell>
          <cell r="F525">
            <v>66.2</v>
          </cell>
        </row>
        <row r="526">
          <cell r="C526" t="str">
            <v>INE974X01010</v>
          </cell>
          <cell r="D526" t="str">
            <v>Auto Ancillaries</v>
          </cell>
          <cell r="E526" t="str">
            <v>2020-21</v>
          </cell>
          <cell r="F526">
            <v>60.6</v>
          </cell>
        </row>
        <row r="527">
          <cell r="C527" t="str">
            <v>INE494B01023</v>
          </cell>
          <cell r="D527" t="str">
            <v>Motor Cycles/Scooters</v>
          </cell>
          <cell r="E527" t="str">
            <v>2020-21</v>
          </cell>
          <cell r="F527">
            <v>61.9</v>
          </cell>
        </row>
        <row r="528">
          <cell r="C528" t="str">
            <v>INE686F01025</v>
          </cell>
          <cell r="D528" t="str">
            <v>Brew/Distilleries</v>
          </cell>
          <cell r="E528" t="str">
            <v>2020-21</v>
          </cell>
          <cell r="F528">
            <v>54.9</v>
          </cell>
        </row>
        <row r="529">
          <cell r="C529" t="str">
            <v>INE854D01024</v>
          </cell>
          <cell r="D529" t="str">
            <v>Brew/Distilleries</v>
          </cell>
          <cell r="E529" t="str">
            <v>2020-21</v>
          </cell>
          <cell r="F529">
            <v>58.7</v>
          </cell>
        </row>
        <row r="530">
          <cell r="C530" t="str">
            <v>INE628A01036</v>
          </cell>
          <cell r="D530" t="str">
            <v>Pesticides And Agrochemicals</v>
          </cell>
          <cell r="E530" t="str">
            <v>2020-21</v>
          </cell>
          <cell r="F530">
            <v>63.6</v>
          </cell>
        </row>
        <row r="531">
          <cell r="C531" t="str">
            <v>INE665J01013</v>
          </cell>
          <cell r="D531" t="str">
            <v>Diversified Retail</v>
          </cell>
          <cell r="E531" t="str">
            <v>2020-21</v>
          </cell>
          <cell r="F531">
            <v>60.1</v>
          </cell>
        </row>
        <row r="532">
          <cell r="C532" t="str">
            <v>INE764D01017</v>
          </cell>
          <cell r="D532" t="str">
            <v>Tractors</v>
          </cell>
          <cell r="E532" t="str">
            <v>2020-21</v>
          </cell>
          <cell r="F532">
            <v>53</v>
          </cell>
        </row>
        <row r="533">
          <cell r="C533" t="str">
            <v>INE665L01035</v>
          </cell>
          <cell r="D533" t="str">
            <v>Auto Ancillaries</v>
          </cell>
          <cell r="E533" t="str">
            <v>2020-21</v>
          </cell>
          <cell r="F533">
            <v>54.5</v>
          </cell>
        </row>
        <row r="534">
          <cell r="C534" t="str">
            <v>INE200M01021</v>
          </cell>
          <cell r="D534" t="str">
            <v>Beverages</v>
          </cell>
          <cell r="E534" t="str">
            <v>2020-21</v>
          </cell>
          <cell r="F534">
            <v>55.8</v>
          </cell>
        </row>
        <row r="535">
          <cell r="C535" t="str">
            <v>INE205A01025</v>
          </cell>
          <cell r="D535" t="str">
            <v>Aluminium</v>
          </cell>
          <cell r="E535" t="str">
            <v>2020-21</v>
          </cell>
          <cell r="F535">
            <v>46.3</v>
          </cell>
        </row>
        <row r="536">
          <cell r="C536" t="str">
            <v>INE054A01027</v>
          </cell>
          <cell r="D536" t="str">
            <v>Plastic Products - Consumer</v>
          </cell>
          <cell r="E536" t="str">
            <v>2020-21</v>
          </cell>
          <cell r="F536">
            <v>61.8</v>
          </cell>
        </row>
        <row r="537">
          <cell r="C537" t="str">
            <v>INE226A01021</v>
          </cell>
          <cell r="D537" t="str">
            <v>Air Conditioner</v>
          </cell>
          <cell r="E537" t="str">
            <v>2020-21</v>
          </cell>
          <cell r="F537">
            <v>70.3</v>
          </cell>
        </row>
        <row r="538">
          <cell r="C538" t="str">
            <v>INE716A01013</v>
          </cell>
          <cell r="D538" t="str">
            <v>Home Appliances Housewares</v>
          </cell>
          <cell r="E538" t="str">
            <v>2020-21</v>
          </cell>
          <cell r="F538">
            <v>62.5</v>
          </cell>
        </row>
        <row r="539">
          <cell r="C539" t="str">
            <v>INE528G01035</v>
          </cell>
          <cell r="D539" t="str">
            <v>Private Sector Bank</v>
          </cell>
          <cell r="E539" t="str">
            <v>2020-21</v>
          </cell>
          <cell r="F539">
            <v>64.2</v>
          </cell>
        </row>
        <row r="540">
          <cell r="C540" t="str">
            <v>INE840M01016</v>
          </cell>
          <cell r="D540" t="str">
            <v>Fertilisers</v>
          </cell>
          <cell r="E540" t="str">
            <v>2020-21</v>
          </cell>
          <cell r="F540">
            <v>51.3</v>
          </cell>
        </row>
        <row r="541">
          <cell r="C541" t="str">
            <v>INE010B01027</v>
          </cell>
          <cell r="D541" t="str">
            <v>Pharmaceuticals</v>
          </cell>
          <cell r="E541" t="str">
            <v>2020-21</v>
          </cell>
          <cell r="F541">
            <v>51.7</v>
          </cell>
        </row>
        <row r="542">
          <cell r="C542" t="str">
            <v>INE768C01010</v>
          </cell>
          <cell r="D542" t="str">
            <v>Consumer Products</v>
          </cell>
          <cell r="E542" t="str">
            <v>2020-21</v>
          </cell>
          <cell r="F542">
            <v>51.7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0"/>
  <sheetViews>
    <sheetView tabSelected="1" zoomScale="90" zoomScaleNormal="90" workbookViewId="0">
      <pane ySplit="6" topLeftCell="A7" activePane="bottomLeft" state="frozen"/>
      <selection pane="bottomLeft" activeCell="C34" sqref="C34"/>
    </sheetView>
  </sheetViews>
  <sheetFormatPr defaultRowHeight="15" x14ac:dyDescent="0.25"/>
  <cols>
    <col min="1" max="1" width="9.140625" style="1" customWidth="1"/>
    <col min="2" max="2" width="21.42578125" customWidth="1"/>
    <col min="3" max="3" width="50" customWidth="1"/>
    <col min="4" max="4" width="27.28515625" customWidth="1"/>
    <col min="5" max="5" width="34.85546875" customWidth="1"/>
    <col min="6" max="6" width="45.4257812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9">
        <f>+VLOOKUP(B11,'[1]ESG Report'!$C$3:$F$542,4,0)</f>
        <v>76.599999999999994</v>
      </c>
      <c r="E11" s="8" t="s">
        <v>19</v>
      </c>
      <c r="F11" s="8">
        <v>99200</v>
      </c>
      <c r="G11" s="8">
        <v>1687.79</v>
      </c>
      <c r="H11" s="10">
        <v>9.91</v>
      </c>
    </row>
    <row r="12" spans="1:8" ht="15.75" x14ac:dyDescent="0.25">
      <c r="A12" s="7">
        <v>2</v>
      </c>
      <c r="B12" s="8" t="s">
        <v>20</v>
      </c>
      <c r="C12" s="8" t="s">
        <v>21</v>
      </c>
      <c r="D12" s="9">
        <f>+VLOOKUP(B12,'[1]ESG Report'!$C$3:$F$542,4,0)</f>
        <v>53.8</v>
      </c>
      <c r="E12" s="8" t="s">
        <v>22</v>
      </c>
      <c r="F12" s="8">
        <v>65550</v>
      </c>
      <c r="G12" s="8">
        <v>1671.69</v>
      </c>
      <c r="H12" s="10">
        <v>9.82</v>
      </c>
    </row>
    <row r="13" spans="1:8" ht="15.75" x14ac:dyDescent="0.25">
      <c r="A13" s="7">
        <v>3</v>
      </c>
      <c r="B13" s="8" t="s">
        <v>23</v>
      </c>
      <c r="C13" s="8" t="s">
        <v>24</v>
      </c>
      <c r="D13" s="9">
        <f>+VLOOKUP(B13,'[1]ESG Report'!$C$3:$F$542,4,0)</f>
        <v>66</v>
      </c>
      <c r="E13" s="8" t="s">
        <v>25</v>
      </c>
      <c r="F13" s="8">
        <v>25750</v>
      </c>
      <c r="G13" s="8">
        <v>1338.28</v>
      </c>
      <c r="H13" s="10">
        <v>7.86</v>
      </c>
    </row>
    <row r="14" spans="1:8" ht="15.75" x14ac:dyDescent="0.25">
      <c r="A14" s="7">
        <v>4</v>
      </c>
      <c r="B14" s="8" t="s">
        <v>26</v>
      </c>
      <c r="C14" s="8" t="s">
        <v>27</v>
      </c>
      <c r="D14" s="9">
        <v>0</v>
      </c>
      <c r="E14" s="8" t="s">
        <v>28</v>
      </c>
      <c r="F14" s="8">
        <v>299400</v>
      </c>
      <c r="G14" s="8">
        <v>1250.8900000000001</v>
      </c>
      <c r="H14" s="10">
        <v>7.35</v>
      </c>
    </row>
    <row r="15" spans="1:8" ht="15.75" x14ac:dyDescent="0.25">
      <c r="A15" s="7">
        <v>5</v>
      </c>
      <c r="B15" s="8" t="s">
        <v>29</v>
      </c>
      <c r="C15" s="8" t="s">
        <v>30</v>
      </c>
      <c r="D15" s="9">
        <v>0</v>
      </c>
      <c r="E15" s="8" t="s">
        <v>31</v>
      </c>
      <c r="F15" s="8">
        <v>222811</v>
      </c>
      <c r="G15" s="8">
        <v>1113.83</v>
      </c>
      <c r="H15" s="10">
        <v>6.54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9">
        <f>+VLOOKUP(B16,'[1]ESG Report'!$C$3:$F$542,4,0)</f>
        <v>50.4</v>
      </c>
      <c r="E16" s="8" t="s">
        <v>34</v>
      </c>
      <c r="F16" s="8">
        <v>160000</v>
      </c>
      <c r="G16" s="8">
        <v>929.68</v>
      </c>
      <c r="H16" s="10">
        <v>5.46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9">
        <f>+VLOOKUP(B17,'[1]ESG Report'!$C$3:$F$542,4,0)</f>
        <v>58</v>
      </c>
      <c r="E17" s="8" t="s">
        <v>37</v>
      </c>
      <c r="F17" s="8">
        <v>180100</v>
      </c>
      <c r="G17" s="8">
        <v>883.48</v>
      </c>
      <c r="H17" s="10">
        <v>5.19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9">
        <f>+VLOOKUP(B18,'[1]ESG Report'!$C$3:$F$542,4,0)</f>
        <v>51.8</v>
      </c>
      <c r="E18" s="8" t="s">
        <v>31</v>
      </c>
      <c r="F18" s="8">
        <v>120150</v>
      </c>
      <c r="G18" s="8">
        <v>873.91</v>
      </c>
      <c r="H18" s="10">
        <v>5.13</v>
      </c>
    </row>
    <row r="19" spans="1:8" ht="15.75" x14ac:dyDescent="0.25">
      <c r="A19" s="7">
        <v>9</v>
      </c>
      <c r="B19" s="8" t="s">
        <v>40</v>
      </c>
      <c r="C19" s="8" t="s">
        <v>41</v>
      </c>
      <c r="D19" s="9">
        <f>+VLOOKUP(B19,'[1]ESG Report'!$C$3:$F$542,4,0)</f>
        <v>65.400000000000006</v>
      </c>
      <c r="E19" s="8" t="s">
        <v>31</v>
      </c>
      <c r="F19" s="8">
        <v>80000</v>
      </c>
      <c r="G19" s="8">
        <v>841.28</v>
      </c>
      <c r="H19" s="10">
        <v>4.9400000000000004</v>
      </c>
    </row>
    <row r="20" spans="1:8" ht="15.75" x14ac:dyDescent="0.25">
      <c r="A20" s="7">
        <v>10</v>
      </c>
      <c r="B20" s="8" t="s">
        <v>42</v>
      </c>
      <c r="C20" s="8" t="s">
        <v>43</v>
      </c>
      <c r="D20" s="9">
        <f>+VLOOKUP(B20,'[1]ESG Report'!$C$3:$F$542,4,0)</f>
        <v>69.900000000000006</v>
      </c>
      <c r="E20" s="8" t="s">
        <v>44</v>
      </c>
      <c r="F20" s="8">
        <v>8325</v>
      </c>
      <c r="G20" s="8">
        <v>690.54</v>
      </c>
      <c r="H20" s="10">
        <v>4.0599999999999996</v>
      </c>
    </row>
    <row r="21" spans="1:8" ht="15.75" x14ac:dyDescent="0.25">
      <c r="A21" s="7">
        <v>11</v>
      </c>
      <c r="B21" s="8" t="s">
        <v>45</v>
      </c>
      <c r="C21" s="8" t="s">
        <v>46</v>
      </c>
      <c r="D21" s="9">
        <f>+VLOOKUP(B21,'[1]ESG Report'!$C$3:$F$542,4,0)</f>
        <v>63.3</v>
      </c>
      <c r="E21" s="8" t="s">
        <v>31</v>
      </c>
      <c r="F21" s="8">
        <v>68000</v>
      </c>
      <c r="G21" s="8">
        <v>613.87</v>
      </c>
      <c r="H21" s="10">
        <v>3.61</v>
      </c>
    </row>
    <row r="22" spans="1:8" ht="15.75" x14ac:dyDescent="0.25">
      <c r="A22" s="7">
        <v>12</v>
      </c>
      <c r="B22" s="8" t="s">
        <v>47</v>
      </c>
      <c r="C22" s="8" t="s">
        <v>48</v>
      </c>
      <c r="D22" s="9">
        <f>+VLOOKUP(B22,'[1]ESG Report'!$C$3:$F$542,4,0)</f>
        <v>0</v>
      </c>
      <c r="E22" s="8" t="s">
        <v>49</v>
      </c>
      <c r="F22" s="8">
        <v>69750</v>
      </c>
      <c r="G22" s="8">
        <v>600.48</v>
      </c>
      <c r="H22" s="10">
        <v>3.53</v>
      </c>
    </row>
    <row r="23" spans="1:8" ht="15.75" x14ac:dyDescent="0.25">
      <c r="A23" s="7">
        <v>13</v>
      </c>
      <c r="B23" s="8" t="s">
        <v>50</v>
      </c>
      <c r="C23" s="8" t="s">
        <v>51</v>
      </c>
      <c r="D23" s="9">
        <f>+VLOOKUP(B23,'[1]ESG Report'!$C$3:$F$542,4,0)</f>
        <v>61.7</v>
      </c>
      <c r="E23" s="8" t="s">
        <v>52</v>
      </c>
      <c r="F23" s="8">
        <v>128600</v>
      </c>
      <c r="G23" s="8">
        <v>541.34</v>
      </c>
      <c r="H23" s="10">
        <v>3.18</v>
      </c>
    </row>
    <row r="24" spans="1:8" ht="15.75" x14ac:dyDescent="0.25">
      <c r="A24" s="7">
        <v>14</v>
      </c>
      <c r="B24" s="8" t="s">
        <v>53</v>
      </c>
      <c r="C24" s="8" t="s">
        <v>54</v>
      </c>
      <c r="D24" s="9">
        <f>+VLOOKUP(B24,'[1]ESG Report'!$C$3:$F$542,4,0)</f>
        <v>74.2</v>
      </c>
      <c r="E24" s="8" t="s">
        <v>28</v>
      </c>
      <c r="F24" s="8">
        <v>2340</v>
      </c>
      <c r="G24" s="8">
        <v>535.73</v>
      </c>
      <c r="H24" s="10">
        <v>3.15</v>
      </c>
    </row>
    <row r="25" spans="1:8" ht="15.75" x14ac:dyDescent="0.25">
      <c r="A25" s="7">
        <v>15</v>
      </c>
      <c r="B25" s="8" t="s">
        <v>55</v>
      </c>
      <c r="C25" s="8" t="s">
        <v>56</v>
      </c>
      <c r="D25" s="9">
        <f>+VLOOKUP(B25,'[1]ESG Report'!$C$3:$F$542,4,0)</f>
        <v>59.7</v>
      </c>
      <c r="E25" s="8" t="s">
        <v>57</v>
      </c>
      <c r="F25" s="8">
        <v>28530</v>
      </c>
      <c r="G25" s="8">
        <v>454.95</v>
      </c>
      <c r="H25" s="10">
        <v>2.67</v>
      </c>
    </row>
    <row r="26" spans="1:8" ht="15.75" x14ac:dyDescent="0.25">
      <c r="A26" s="7">
        <v>16</v>
      </c>
      <c r="B26" s="8" t="s">
        <v>58</v>
      </c>
      <c r="C26" s="8" t="s">
        <v>59</v>
      </c>
      <c r="D26" s="9">
        <f>+VLOOKUP(B26,'[1]ESG Report'!$C$3:$F$542,4,0)</f>
        <v>56.1</v>
      </c>
      <c r="E26" s="8" t="s">
        <v>60</v>
      </c>
      <c r="F26" s="8">
        <v>2100</v>
      </c>
      <c r="G26" s="8">
        <v>399.89</v>
      </c>
      <c r="H26" s="10">
        <v>2.35</v>
      </c>
    </row>
    <row r="27" spans="1:8" ht="15.75" x14ac:dyDescent="0.25">
      <c r="A27" s="7">
        <v>17</v>
      </c>
      <c r="B27" s="8" t="s">
        <v>61</v>
      </c>
      <c r="C27" s="8" t="s">
        <v>62</v>
      </c>
      <c r="D27" s="9">
        <v>0</v>
      </c>
      <c r="E27" s="8" t="s">
        <v>19</v>
      </c>
      <c r="F27" s="8">
        <v>135000</v>
      </c>
      <c r="G27" s="8">
        <v>255.62</v>
      </c>
      <c r="H27" s="10">
        <v>1.5</v>
      </c>
    </row>
    <row r="28" spans="1:8" ht="15.75" x14ac:dyDescent="0.25">
      <c r="A28" s="4"/>
      <c r="B28" s="5" t="s">
        <v>4</v>
      </c>
      <c r="C28" s="5" t="s">
        <v>63</v>
      </c>
      <c r="D28" s="11">
        <v>45.23</v>
      </c>
      <c r="E28" s="5" t="s">
        <v>4</v>
      </c>
      <c r="F28" s="5" t="s">
        <v>4</v>
      </c>
      <c r="G28" s="5">
        <v>14683.25</v>
      </c>
      <c r="H28" s="6">
        <v>86.25</v>
      </c>
    </row>
    <row r="29" spans="1:8" ht="15.75" x14ac:dyDescent="0.25">
      <c r="A29" s="4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</row>
    <row r="30" spans="1:8" ht="15.75" x14ac:dyDescent="0.25">
      <c r="A30" s="4"/>
      <c r="B30" s="5" t="s">
        <v>4</v>
      </c>
      <c r="C30" s="5" t="s">
        <v>64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</row>
    <row r="31" spans="1:8" ht="15.75" x14ac:dyDescent="0.25">
      <c r="A31" s="4"/>
      <c r="B31" s="5" t="s">
        <v>4</v>
      </c>
      <c r="C31" s="5" t="s">
        <v>63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</row>
    <row r="32" spans="1:8" ht="15.75" x14ac:dyDescent="0.25">
      <c r="A32" s="4"/>
      <c r="B32" s="5" t="s">
        <v>4</v>
      </c>
      <c r="C32" s="5" t="s">
        <v>65</v>
      </c>
      <c r="D32" s="5" t="s">
        <v>4</v>
      </c>
      <c r="E32" s="5" t="s">
        <v>4</v>
      </c>
      <c r="F32" s="5" t="s">
        <v>4</v>
      </c>
      <c r="G32" s="5">
        <v>14683.25</v>
      </c>
      <c r="H32" s="6">
        <v>86.25</v>
      </c>
    </row>
    <row r="33" spans="1:9" ht="15.75" x14ac:dyDescent="0.25">
      <c r="A33" s="4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</row>
    <row r="34" spans="1:9" ht="15.75" x14ac:dyDescent="0.25">
      <c r="A34" s="4"/>
      <c r="B34" s="5" t="s">
        <v>4</v>
      </c>
      <c r="C34" s="5" t="s">
        <v>66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</row>
    <row r="35" spans="1:9" ht="15.75" x14ac:dyDescent="0.25">
      <c r="A35" s="4"/>
      <c r="B35" s="5" t="s">
        <v>4</v>
      </c>
      <c r="C35" s="5" t="s">
        <v>67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</row>
    <row r="36" spans="1:9" ht="15.75" x14ac:dyDescent="0.25">
      <c r="A36" s="7">
        <v>18</v>
      </c>
      <c r="B36" s="8" t="s">
        <v>68</v>
      </c>
      <c r="C36" s="8" t="s">
        <v>69</v>
      </c>
      <c r="D36" s="8">
        <v>63</v>
      </c>
      <c r="E36" s="8" t="s">
        <v>70</v>
      </c>
      <c r="F36" s="8">
        <v>28875</v>
      </c>
      <c r="G36" s="8">
        <v>653.89</v>
      </c>
      <c r="H36" s="10">
        <v>3.84</v>
      </c>
    </row>
    <row r="37" spans="1:9" ht="15.75" x14ac:dyDescent="0.25">
      <c r="A37" s="7">
        <v>19</v>
      </c>
      <c r="B37" s="8" t="s">
        <v>71</v>
      </c>
      <c r="C37" s="8" t="s">
        <v>72</v>
      </c>
      <c r="D37" s="8">
        <v>65.400000000000006</v>
      </c>
      <c r="E37" s="8" t="s">
        <v>70</v>
      </c>
      <c r="F37" s="8">
        <v>48300</v>
      </c>
      <c r="G37" s="8">
        <v>510.1</v>
      </c>
      <c r="H37" s="10">
        <v>3</v>
      </c>
    </row>
    <row r="38" spans="1:9" ht="15.75" x14ac:dyDescent="0.25">
      <c r="A38" s="7">
        <v>20</v>
      </c>
      <c r="B38" s="8" t="s">
        <v>73</v>
      </c>
      <c r="C38" s="8" t="s">
        <v>74</v>
      </c>
      <c r="D38" s="8">
        <v>74.400000000000006</v>
      </c>
      <c r="E38" s="8" t="s">
        <v>70</v>
      </c>
      <c r="F38" s="8">
        <v>57000</v>
      </c>
      <c r="G38" s="8">
        <v>501.71</v>
      </c>
      <c r="H38" s="10">
        <v>2.95</v>
      </c>
    </row>
    <row r="39" spans="1:9" ht="15.75" x14ac:dyDescent="0.25">
      <c r="A39" s="7">
        <v>21</v>
      </c>
      <c r="B39" s="8" t="s">
        <v>75</v>
      </c>
      <c r="C39" s="8" t="s">
        <v>76</v>
      </c>
      <c r="D39" s="8">
        <v>56.3</v>
      </c>
      <c r="E39" s="8" t="s">
        <v>70</v>
      </c>
      <c r="F39" s="8">
        <v>37500</v>
      </c>
      <c r="G39" s="8">
        <v>355.46</v>
      </c>
      <c r="H39" s="10">
        <v>2.09</v>
      </c>
    </row>
    <row r="40" spans="1:9" ht="15.75" x14ac:dyDescent="0.25">
      <c r="A40" s="4"/>
      <c r="B40" s="5" t="s">
        <v>4</v>
      </c>
      <c r="C40" s="5" t="s">
        <v>63</v>
      </c>
      <c r="D40" s="11">
        <v>7.8958330165507196</v>
      </c>
      <c r="E40" s="5" t="s">
        <v>4</v>
      </c>
      <c r="F40" s="5" t="s">
        <v>4</v>
      </c>
      <c r="G40" s="5">
        <v>2021.16</v>
      </c>
      <c r="H40" s="6">
        <v>11.87</v>
      </c>
    </row>
    <row r="41" spans="1:9" ht="15.75" x14ac:dyDescent="0.25">
      <c r="A41" s="4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12"/>
    </row>
    <row r="42" spans="1:9" ht="15.75" x14ac:dyDescent="0.25">
      <c r="A42" s="4"/>
      <c r="B42" s="5" t="s">
        <v>4</v>
      </c>
      <c r="C42" s="5" t="s">
        <v>77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9" ht="15.75" x14ac:dyDescent="0.25">
      <c r="A43" s="4"/>
      <c r="B43" s="5" t="s">
        <v>4</v>
      </c>
      <c r="C43" s="5" t="s">
        <v>63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9" ht="15.75" x14ac:dyDescent="0.25">
      <c r="A44" s="4"/>
      <c r="B44" s="5" t="s">
        <v>4</v>
      </c>
      <c r="C44" s="5" t="s">
        <v>65</v>
      </c>
      <c r="D44" s="5" t="s">
        <v>4</v>
      </c>
      <c r="E44" s="5" t="s">
        <v>4</v>
      </c>
      <c r="F44" s="5" t="s">
        <v>4</v>
      </c>
      <c r="G44" s="5">
        <v>2021.16</v>
      </c>
      <c r="H44" s="6">
        <v>11.87</v>
      </c>
    </row>
    <row r="45" spans="1:9" ht="15.75" x14ac:dyDescent="0.25">
      <c r="A45" s="4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9" ht="15.75" x14ac:dyDescent="0.25">
      <c r="A46" s="4"/>
      <c r="B46" s="5" t="s">
        <v>4</v>
      </c>
      <c r="C46" s="5" t="s">
        <v>78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9" ht="15.75" x14ac:dyDescent="0.25">
      <c r="A47" s="4"/>
      <c r="B47" s="5" t="s">
        <v>4</v>
      </c>
      <c r="C47" s="5" t="s">
        <v>79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9" ht="15.75" x14ac:dyDescent="0.25">
      <c r="A48" s="4"/>
      <c r="B48" s="5" t="s">
        <v>4</v>
      </c>
      <c r="C48" s="5" t="s">
        <v>63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80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63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81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63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65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82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83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63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84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63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85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7">
        <v>22</v>
      </c>
      <c r="B65" s="8" t="s">
        <v>86</v>
      </c>
      <c r="C65" s="8" t="s">
        <v>87</v>
      </c>
      <c r="D65" s="8" t="s">
        <v>88</v>
      </c>
      <c r="E65" s="8" t="s">
        <v>70</v>
      </c>
      <c r="F65" s="8">
        <v>1620000</v>
      </c>
      <c r="G65" s="8">
        <v>1604.06</v>
      </c>
      <c r="H65" s="10">
        <v>9.42</v>
      </c>
    </row>
    <row r="66" spans="1:8" ht="15.75" x14ac:dyDescent="0.25">
      <c r="A66" s="4"/>
      <c r="B66" s="5" t="s">
        <v>4</v>
      </c>
      <c r="C66" s="5" t="s">
        <v>63</v>
      </c>
      <c r="D66" s="5" t="s">
        <v>4</v>
      </c>
      <c r="E66" s="5" t="s">
        <v>4</v>
      </c>
      <c r="F66" s="5" t="s">
        <v>4</v>
      </c>
      <c r="G66" s="5">
        <v>1604.06</v>
      </c>
      <c r="H66" s="6">
        <v>9.42</v>
      </c>
    </row>
    <row r="67" spans="1:8" ht="15.75" x14ac:dyDescent="0.25">
      <c r="A67" s="4"/>
      <c r="B67" s="5" t="s">
        <v>4</v>
      </c>
      <c r="C67" s="5" t="s">
        <v>65</v>
      </c>
      <c r="D67" s="5" t="s">
        <v>4</v>
      </c>
      <c r="E67" s="5" t="s">
        <v>4</v>
      </c>
      <c r="F67" s="5" t="s">
        <v>4</v>
      </c>
      <c r="G67" s="5">
        <v>1604.06</v>
      </c>
      <c r="H67" s="6">
        <v>9.42</v>
      </c>
    </row>
    <row r="68" spans="1:8" ht="15.75" x14ac:dyDescent="0.25">
      <c r="A68" s="4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89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90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65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91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63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92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7">
        <v>23</v>
      </c>
      <c r="B76" s="8" t="s">
        <v>93</v>
      </c>
      <c r="C76" s="8" t="s">
        <v>94</v>
      </c>
      <c r="D76" s="8" t="s">
        <v>70</v>
      </c>
      <c r="E76" s="8" t="s">
        <v>70</v>
      </c>
      <c r="F76" s="8">
        <v>711.1</v>
      </c>
      <c r="G76" s="8">
        <v>71.08</v>
      </c>
      <c r="H76" s="10">
        <v>0.42</v>
      </c>
    </row>
    <row r="77" spans="1:8" ht="15.75" x14ac:dyDescent="0.25">
      <c r="A77" s="4"/>
      <c r="B77" s="5" t="s">
        <v>4</v>
      </c>
      <c r="C77" s="5" t="s">
        <v>63</v>
      </c>
      <c r="D77" s="5" t="s">
        <v>4</v>
      </c>
      <c r="E77" s="5" t="s">
        <v>4</v>
      </c>
      <c r="F77" s="5" t="s">
        <v>4</v>
      </c>
      <c r="G77" s="5">
        <v>71.08</v>
      </c>
      <c r="H77" s="6">
        <v>0.42</v>
      </c>
    </row>
    <row r="78" spans="1:8" ht="15.75" x14ac:dyDescent="0.25">
      <c r="A78" s="4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95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7">
        <v>24</v>
      </c>
      <c r="B80" s="8" t="s">
        <v>4</v>
      </c>
      <c r="C80" s="8" t="s">
        <v>96</v>
      </c>
      <c r="D80" s="8" t="s">
        <v>70</v>
      </c>
      <c r="E80" s="8" t="s">
        <v>70</v>
      </c>
      <c r="F80" s="8" t="s">
        <v>4</v>
      </c>
      <c r="G80" s="8">
        <v>-1354.84</v>
      </c>
      <c r="H80" s="10">
        <v>-7.96</v>
      </c>
    </row>
    <row r="81" spans="1:8" ht="15.75" x14ac:dyDescent="0.25">
      <c r="A81" s="4"/>
      <c r="B81" s="5" t="s">
        <v>4</v>
      </c>
      <c r="C81" s="5" t="s">
        <v>63</v>
      </c>
      <c r="D81" s="5" t="s">
        <v>4</v>
      </c>
      <c r="E81" s="5" t="s">
        <v>4</v>
      </c>
      <c r="F81" s="5" t="s">
        <v>4</v>
      </c>
      <c r="G81" s="5">
        <v>-1354.84</v>
      </c>
      <c r="H81" s="6">
        <v>-7.96</v>
      </c>
    </row>
    <row r="82" spans="1:8" ht="15.75" x14ac:dyDescent="0.25">
      <c r="A82" s="4"/>
      <c r="B82" s="5" t="s">
        <v>4</v>
      </c>
      <c r="C82" s="5" t="s">
        <v>65</v>
      </c>
      <c r="D82" s="5" t="s">
        <v>4</v>
      </c>
      <c r="E82" s="5" t="s">
        <v>4</v>
      </c>
      <c r="F82" s="5" t="s">
        <v>4</v>
      </c>
      <c r="G82" s="5">
        <v>-1283.75</v>
      </c>
      <c r="H82" s="6">
        <v>-7.54</v>
      </c>
    </row>
    <row r="83" spans="1:8" ht="15.75" x14ac:dyDescent="0.25">
      <c r="A83" s="4"/>
      <c r="B83" s="5" t="s">
        <v>4</v>
      </c>
      <c r="C83" s="5" t="s">
        <v>97</v>
      </c>
      <c r="D83" s="5">
        <v>53.13</v>
      </c>
      <c r="E83" s="5" t="s">
        <v>4</v>
      </c>
      <c r="F83" s="5" t="s">
        <v>4</v>
      </c>
      <c r="G83" s="5">
        <v>17024.73</v>
      </c>
      <c r="H83" s="5">
        <v>100</v>
      </c>
    </row>
    <row r="85" spans="1:8" x14ac:dyDescent="0.25">
      <c r="B85" s="13" t="s">
        <v>98</v>
      </c>
    </row>
    <row r="86" spans="1:8" x14ac:dyDescent="0.25">
      <c r="B86" s="14" t="s">
        <v>99</v>
      </c>
      <c r="C86" s="14"/>
      <c r="D86" s="14" t="s">
        <v>100</v>
      </c>
      <c r="E86" s="14"/>
      <c r="F86" s="14"/>
    </row>
    <row r="87" spans="1:8" x14ac:dyDescent="0.25">
      <c r="B87" s="14" t="s">
        <v>101</v>
      </c>
      <c r="C87" s="14" t="s">
        <v>102</v>
      </c>
      <c r="D87" s="14" t="s">
        <v>103</v>
      </c>
      <c r="E87" s="14" t="s">
        <v>104</v>
      </c>
      <c r="F87" s="14" t="s">
        <v>105</v>
      </c>
    </row>
    <row r="88" spans="1:8" x14ac:dyDescent="0.25">
      <c r="B88" s="14"/>
      <c r="C88" s="14"/>
      <c r="D88" s="14"/>
      <c r="E88" s="14"/>
      <c r="F88" s="14"/>
    </row>
    <row r="89" spans="1:8" x14ac:dyDescent="0.25">
      <c r="B89" s="14" t="s">
        <v>106</v>
      </c>
      <c r="C89" s="14"/>
      <c r="D89" s="14"/>
      <c r="E89" s="14"/>
      <c r="F89" s="14"/>
    </row>
    <row r="90" spans="1:8" x14ac:dyDescent="0.25">
      <c r="B90" s="15" t="s">
        <v>107</v>
      </c>
      <c r="C90" s="14"/>
      <c r="D90" s="16"/>
      <c r="E90" s="16"/>
      <c r="F90" s="16"/>
    </row>
    <row r="91" spans="1:8" x14ac:dyDescent="0.25">
      <c r="B91" s="14" t="s">
        <v>108</v>
      </c>
      <c r="C91" s="17"/>
      <c r="D91" s="18"/>
      <c r="E91" s="18"/>
      <c r="F91" s="18"/>
    </row>
    <row r="92" spans="1:8" x14ac:dyDescent="0.25">
      <c r="B92" s="14" t="s">
        <v>109</v>
      </c>
      <c r="C92" s="17"/>
      <c r="D92" s="18"/>
      <c r="E92" s="18"/>
      <c r="F92" s="18"/>
    </row>
    <row r="93" spans="1:8" x14ac:dyDescent="0.25">
      <c r="B93" s="14" t="s">
        <v>110</v>
      </c>
      <c r="C93" s="17"/>
      <c r="D93" s="18"/>
      <c r="E93" s="18"/>
      <c r="F93" s="18"/>
    </row>
    <row r="94" spans="1:8" x14ac:dyDescent="0.25">
      <c r="B94" s="14" t="s">
        <v>111</v>
      </c>
      <c r="C94" s="17"/>
      <c r="D94" s="18"/>
      <c r="E94" s="18"/>
      <c r="F94" s="18"/>
    </row>
    <row r="95" spans="1:8" x14ac:dyDescent="0.25">
      <c r="B95" s="14" t="s">
        <v>112</v>
      </c>
      <c r="C95" s="17"/>
      <c r="D95" s="18"/>
      <c r="E95" s="18"/>
      <c r="F95" s="18"/>
    </row>
    <row r="96" spans="1:8" x14ac:dyDescent="0.25">
      <c r="B96" s="14"/>
      <c r="C96" s="14"/>
      <c r="D96" s="19"/>
      <c r="E96" s="19"/>
      <c r="F96" s="19"/>
    </row>
    <row r="97" spans="2:6" x14ac:dyDescent="0.25">
      <c r="B97" s="14" t="s">
        <v>113</v>
      </c>
      <c r="C97" s="14"/>
      <c r="D97" s="14" t="s">
        <v>100</v>
      </c>
      <c r="E97" s="14"/>
      <c r="F97" s="14"/>
    </row>
    <row r="98" spans="2:6" x14ac:dyDescent="0.25">
      <c r="B98" s="14" t="s">
        <v>101</v>
      </c>
      <c r="C98" s="14" t="s">
        <v>102</v>
      </c>
      <c r="D98" s="14" t="s">
        <v>103</v>
      </c>
      <c r="E98" s="14" t="s">
        <v>104</v>
      </c>
      <c r="F98" s="14" t="s">
        <v>105</v>
      </c>
    </row>
    <row r="99" spans="2:6" x14ac:dyDescent="0.25">
      <c r="B99" s="14" t="s">
        <v>114</v>
      </c>
      <c r="C99" s="14" t="s">
        <v>115</v>
      </c>
      <c r="D99" s="20">
        <v>946</v>
      </c>
      <c r="E99" s="14">
        <v>947.9</v>
      </c>
      <c r="F99" s="32">
        <v>182303645.91999999</v>
      </c>
    </row>
    <row r="100" spans="2:6" x14ac:dyDescent="0.25">
      <c r="B100" s="14" t="s">
        <v>116</v>
      </c>
      <c r="C100" s="14" t="s">
        <v>115</v>
      </c>
      <c r="D100" s="20">
        <v>865.86919999999998</v>
      </c>
      <c r="E100" s="14">
        <v>880.2</v>
      </c>
      <c r="F100" s="33"/>
    </row>
    <row r="101" spans="2:6" x14ac:dyDescent="0.25">
      <c r="B101" s="14" t="s">
        <v>117</v>
      </c>
      <c r="C101" s="14" t="s">
        <v>115</v>
      </c>
      <c r="D101" s="20">
        <v>2232.4461999999999</v>
      </c>
      <c r="E101" s="14">
        <v>2264.5500000000002</v>
      </c>
      <c r="F101" s="33"/>
    </row>
    <row r="102" spans="2:6" x14ac:dyDescent="0.25">
      <c r="B102" s="14" t="s">
        <v>118</v>
      </c>
      <c r="C102" s="14" t="s">
        <v>115</v>
      </c>
      <c r="D102" s="20">
        <v>1020.8232</v>
      </c>
      <c r="E102" s="14">
        <v>1056.0999999999999</v>
      </c>
      <c r="F102" s="34"/>
    </row>
    <row r="103" spans="2:6" x14ac:dyDescent="0.25">
      <c r="B103" s="14"/>
      <c r="C103" s="14"/>
      <c r="D103" s="14"/>
      <c r="E103" s="14"/>
      <c r="F103" s="14"/>
    </row>
    <row r="104" spans="2:6" x14ac:dyDescent="0.25">
      <c r="B104" s="14" t="s">
        <v>119</v>
      </c>
      <c r="C104" s="14"/>
      <c r="D104" s="29">
        <v>11.87</v>
      </c>
      <c r="E104" s="30"/>
      <c r="F104" s="31"/>
    </row>
    <row r="105" spans="2:6" x14ac:dyDescent="0.25">
      <c r="B105" s="15" t="s">
        <v>120</v>
      </c>
      <c r="C105" s="14"/>
      <c r="D105" s="14"/>
      <c r="E105" s="14"/>
      <c r="F105" s="14"/>
    </row>
    <row r="106" spans="2:6" x14ac:dyDescent="0.25">
      <c r="B106" s="14" t="s">
        <v>121</v>
      </c>
      <c r="C106" s="14"/>
      <c r="D106" s="29">
        <v>263</v>
      </c>
      <c r="E106" s="30"/>
      <c r="F106" s="31"/>
    </row>
    <row r="107" spans="2:6" x14ac:dyDescent="0.25">
      <c r="B107" s="14" t="s">
        <v>122</v>
      </c>
      <c r="C107" s="14"/>
      <c r="D107" s="29">
        <v>474</v>
      </c>
      <c r="E107" s="30"/>
      <c r="F107" s="31"/>
    </row>
    <row r="108" spans="2:6" x14ac:dyDescent="0.25">
      <c r="B108" s="14" t="s">
        <v>123</v>
      </c>
      <c r="C108" s="14"/>
      <c r="D108" s="35">
        <v>189303837.29999998</v>
      </c>
      <c r="E108" s="36"/>
      <c r="F108" s="37"/>
    </row>
    <row r="109" spans="2:6" x14ac:dyDescent="0.25">
      <c r="B109" s="14" t="s">
        <v>111</v>
      </c>
      <c r="C109" s="14"/>
      <c r="D109" s="29">
        <v>341015890.97499996</v>
      </c>
      <c r="E109" s="30"/>
      <c r="F109" s="31"/>
    </row>
    <row r="110" spans="2:6" x14ac:dyDescent="0.25">
      <c r="B110" s="14" t="s">
        <v>112</v>
      </c>
      <c r="C110" s="14"/>
      <c r="D110" s="23">
        <v>5594000.6749999821</v>
      </c>
      <c r="E110" s="24"/>
      <c r="F110" s="25"/>
    </row>
    <row r="111" spans="2:6" x14ac:dyDescent="0.25">
      <c r="B111" s="14"/>
      <c r="C111" s="14"/>
      <c r="D111" s="14"/>
      <c r="E111" s="14"/>
      <c r="F111" s="14"/>
    </row>
    <row r="112" spans="2:6" x14ac:dyDescent="0.25">
      <c r="B112" s="14" t="s">
        <v>124</v>
      </c>
      <c r="C112" s="14"/>
      <c r="D112" s="14" t="s">
        <v>100</v>
      </c>
      <c r="E112" s="14"/>
      <c r="F112" s="14"/>
    </row>
    <row r="113" spans="2:6" x14ac:dyDescent="0.25">
      <c r="B113" s="14" t="s">
        <v>101</v>
      </c>
      <c r="C113" s="14" t="s">
        <v>125</v>
      </c>
      <c r="D113" s="14" t="s">
        <v>126</v>
      </c>
      <c r="E113" s="14" t="s">
        <v>127</v>
      </c>
      <c r="F113" s="14"/>
    </row>
    <row r="114" spans="2:6" x14ac:dyDescent="0.25">
      <c r="B114" s="14"/>
      <c r="C114" s="14"/>
      <c r="D114" s="14"/>
      <c r="E114" s="14"/>
      <c r="F114" s="14"/>
    </row>
    <row r="115" spans="2:6" x14ac:dyDescent="0.25">
      <c r="B115" s="14" t="s">
        <v>128</v>
      </c>
      <c r="C115" s="14"/>
      <c r="D115" s="14"/>
      <c r="E115" s="14"/>
      <c r="F115" s="14"/>
    </row>
    <row r="116" spans="2:6" x14ac:dyDescent="0.25">
      <c r="B116" s="15" t="s">
        <v>129</v>
      </c>
      <c r="C116" s="14"/>
      <c r="D116" s="14"/>
      <c r="E116" s="14"/>
      <c r="F116" s="14"/>
    </row>
    <row r="117" spans="2:6" x14ac:dyDescent="0.25">
      <c r="B117" s="14" t="s">
        <v>130</v>
      </c>
      <c r="C117" s="14"/>
      <c r="D117" s="26">
        <v>620</v>
      </c>
      <c r="E117" s="27"/>
      <c r="F117" s="28"/>
    </row>
    <row r="118" spans="2:6" x14ac:dyDescent="0.25">
      <c r="B118" s="14" t="s">
        <v>131</v>
      </c>
      <c r="C118" s="14"/>
      <c r="D118" s="26">
        <v>618950000</v>
      </c>
      <c r="E118" s="27"/>
      <c r="F118" s="28"/>
    </row>
    <row r="119" spans="2:6" x14ac:dyDescent="0.25">
      <c r="B119" s="14" t="s">
        <v>132</v>
      </c>
      <c r="C119" s="14"/>
      <c r="D119" s="29">
        <v>-8067137.75</v>
      </c>
      <c r="E119" s="30"/>
      <c r="F119" s="31"/>
    </row>
    <row r="120" spans="2:6" x14ac:dyDescent="0.25">
      <c r="B120" s="14"/>
      <c r="C120" s="14"/>
      <c r="D120" s="14"/>
      <c r="E120" s="14"/>
      <c r="F120" s="14"/>
    </row>
    <row r="121" spans="2:6" x14ac:dyDescent="0.25">
      <c r="B121" s="14" t="s">
        <v>133</v>
      </c>
      <c r="C121" s="14"/>
      <c r="D121" s="14" t="s">
        <v>100</v>
      </c>
      <c r="E121" s="14"/>
      <c r="F121" s="14"/>
    </row>
    <row r="122" spans="2:6" x14ac:dyDescent="0.25">
      <c r="B122" s="14" t="s">
        <v>101</v>
      </c>
      <c r="C122" s="14" t="s">
        <v>134</v>
      </c>
      <c r="D122" s="14" t="s">
        <v>125</v>
      </c>
      <c r="E122" s="14" t="s">
        <v>126</v>
      </c>
      <c r="F122" s="14" t="s">
        <v>127</v>
      </c>
    </row>
    <row r="123" spans="2:6" x14ac:dyDescent="0.25">
      <c r="B123" s="14"/>
      <c r="C123" s="14"/>
      <c r="D123" s="14"/>
      <c r="E123" s="14"/>
      <c r="F123" s="14"/>
    </row>
    <row r="124" spans="2:6" x14ac:dyDescent="0.25">
      <c r="B124" s="14" t="s">
        <v>135</v>
      </c>
      <c r="C124" s="14"/>
      <c r="D124" s="14"/>
      <c r="E124" s="14"/>
      <c r="F124" s="14"/>
    </row>
    <row r="125" spans="2:6" x14ac:dyDescent="0.25">
      <c r="B125" s="15" t="s">
        <v>136</v>
      </c>
      <c r="C125" s="14"/>
      <c r="D125" s="14"/>
      <c r="E125" s="14"/>
      <c r="F125" s="14"/>
    </row>
    <row r="126" spans="2:6" x14ac:dyDescent="0.25">
      <c r="B126" s="14" t="s">
        <v>130</v>
      </c>
      <c r="C126" s="14"/>
      <c r="D126" s="14"/>
      <c r="E126" s="14"/>
      <c r="F126" s="14"/>
    </row>
    <row r="127" spans="2:6" x14ac:dyDescent="0.25">
      <c r="B127" s="14" t="s">
        <v>137</v>
      </c>
      <c r="C127" s="14"/>
      <c r="D127" s="14"/>
      <c r="E127" s="14"/>
      <c r="F127" s="14"/>
    </row>
    <row r="128" spans="2:6" x14ac:dyDescent="0.25">
      <c r="B128" s="14" t="s">
        <v>132</v>
      </c>
      <c r="C128" s="14"/>
      <c r="D128" s="14"/>
      <c r="E128" s="14"/>
      <c r="F128" s="14"/>
    </row>
    <row r="129" spans="1:6" x14ac:dyDescent="0.25">
      <c r="B129" s="14"/>
      <c r="C129" s="14"/>
      <c r="D129" s="14"/>
      <c r="E129" s="14"/>
      <c r="F129" s="14"/>
    </row>
    <row r="131" spans="1:6" ht="15.75" x14ac:dyDescent="0.25">
      <c r="A131" s="1" t="s">
        <v>4</v>
      </c>
      <c r="B131" s="21" t="s">
        <v>138</v>
      </c>
    </row>
    <row r="132" spans="1:6" x14ac:dyDescent="0.25">
      <c r="A132" s="1" t="s">
        <v>4</v>
      </c>
      <c r="B132" t="s">
        <v>4</v>
      </c>
    </row>
    <row r="133" spans="1:6" x14ac:dyDescent="0.25">
      <c r="A133" s="1">
        <v>1</v>
      </c>
      <c r="B133" t="s">
        <v>139</v>
      </c>
    </row>
    <row r="134" spans="1:6" x14ac:dyDescent="0.25">
      <c r="A134" s="1">
        <v>2</v>
      </c>
      <c r="B134" t="s">
        <v>140</v>
      </c>
    </row>
    <row r="135" spans="1:6" x14ac:dyDescent="0.25">
      <c r="A135" s="1" t="s">
        <v>4</v>
      </c>
      <c r="B135" t="s">
        <v>141</v>
      </c>
    </row>
    <row r="136" spans="1:6" x14ac:dyDescent="0.25">
      <c r="A136" s="1" t="s">
        <v>4</v>
      </c>
      <c r="B136" t="s">
        <v>142</v>
      </c>
    </row>
    <row r="137" spans="1:6" x14ac:dyDescent="0.25">
      <c r="A137" s="1" t="s">
        <v>4</v>
      </c>
      <c r="B137" t="s">
        <v>143</v>
      </c>
    </row>
    <row r="138" spans="1:6" x14ac:dyDescent="0.25">
      <c r="A138" s="1" t="s">
        <v>4</v>
      </c>
      <c r="B138" t="s">
        <v>144</v>
      </c>
    </row>
    <row r="139" spans="1:6" x14ac:dyDescent="0.25">
      <c r="A139" s="1">
        <v>3</v>
      </c>
      <c r="B139" t="s">
        <v>145</v>
      </c>
    </row>
    <row r="140" spans="1:6" x14ac:dyDescent="0.25">
      <c r="A140" s="1" t="s">
        <v>4</v>
      </c>
      <c r="B140" t="s">
        <v>146</v>
      </c>
    </row>
    <row r="141" spans="1:6" x14ac:dyDescent="0.25">
      <c r="A141" s="1" t="s">
        <v>4</v>
      </c>
      <c r="B141" t="s">
        <v>147</v>
      </c>
    </row>
    <row r="142" spans="1:6" x14ac:dyDescent="0.25">
      <c r="A142" s="1" t="s">
        <v>4</v>
      </c>
      <c r="B142" t="s">
        <v>148</v>
      </c>
    </row>
    <row r="143" spans="1:6" x14ac:dyDescent="0.25">
      <c r="A143" s="1" t="s">
        <v>4</v>
      </c>
      <c r="B143" t="s">
        <v>149</v>
      </c>
    </row>
    <row r="144" spans="1:6" x14ac:dyDescent="0.25">
      <c r="A144" s="1">
        <v>4</v>
      </c>
      <c r="B144" t="s">
        <v>150</v>
      </c>
    </row>
    <row r="145" spans="1:2" x14ac:dyDescent="0.25">
      <c r="A145" s="1">
        <v>5</v>
      </c>
      <c r="B145" t="s">
        <v>151</v>
      </c>
    </row>
    <row r="146" spans="1:2" x14ac:dyDescent="0.25">
      <c r="A146" s="1">
        <v>6</v>
      </c>
      <c r="B146" t="s">
        <v>152</v>
      </c>
    </row>
    <row r="147" spans="1:2" x14ac:dyDescent="0.25">
      <c r="A147" s="1">
        <v>7</v>
      </c>
      <c r="B147" t="s">
        <v>153</v>
      </c>
    </row>
    <row r="148" spans="1:2" x14ac:dyDescent="0.25">
      <c r="A148" s="1">
        <v>8</v>
      </c>
      <c r="B148" t="s">
        <v>154</v>
      </c>
    </row>
    <row r="149" spans="1:2" x14ac:dyDescent="0.25">
      <c r="A149" s="1">
        <v>9</v>
      </c>
      <c r="B149" t="s">
        <v>155</v>
      </c>
    </row>
    <row r="150" spans="1:2" x14ac:dyDescent="0.25">
      <c r="A150" s="1">
        <v>10</v>
      </c>
      <c r="B150" s="22" t="s">
        <v>156</v>
      </c>
    </row>
  </sheetData>
  <mergeCells count="10">
    <mergeCell ref="D110:F110"/>
    <mergeCell ref="D117:F117"/>
    <mergeCell ref="D118:F118"/>
    <mergeCell ref="D119:F119"/>
    <mergeCell ref="F99:F102"/>
    <mergeCell ref="D104:F104"/>
    <mergeCell ref="D106:F106"/>
    <mergeCell ref="D107:F107"/>
    <mergeCell ref="D108:F108"/>
    <mergeCell ref="D109:F10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qESG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Payal Shah</cp:lastModifiedBy>
  <dcterms:created xsi:type="dcterms:W3CDTF">2023-07-06T12:26:20Z</dcterms:created>
  <dcterms:modified xsi:type="dcterms:W3CDTF">2023-07-07T04:02:40Z</dcterms:modified>
</cp:coreProperties>
</file>