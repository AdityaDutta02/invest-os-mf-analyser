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LP" sheetId="1" r:id="rId1"/>
  </sheets>
  <calcPr calcId="145621"/>
</workbook>
</file>

<file path=xl/calcChain.xml><?xml version="1.0" encoding="utf-8"?>
<calcChain xmlns="http://schemas.openxmlformats.org/spreadsheetml/2006/main">
  <c r="G14" i="1" l="1"/>
  <c r="H14" i="1"/>
  <c r="G17" i="1"/>
  <c r="G18" i="1" s="1"/>
  <c r="H17" i="1"/>
  <c r="H18" i="1" s="1"/>
  <c r="G22" i="1"/>
  <c r="H22" i="1"/>
  <c r="G25" i="1"/>
  <c r="H25" i="1"/>
  <c r="G26" i="1"/>
  <c r="H26" i="1"/>
  <c r="G30" i="1"/>
  <c r="H30" i="1"/>
  <c r="G33" i="1"/>
  <c r="H33" i="1"/>
  <c r="G36" i="1"/>
  <c r="H36" i="1"/>
  <c r="G37" i="1"/>
  <c r="H37" i="1"/>
  <c r="G50" i="1"/>
  <c r="H50" i="1"/>
  <c r="G53" i="1"/>
  <c r="G54" i="1" s="1"/>
  <c r="H53" i="1"/>
  <c r="H54" i="1" s="1"/>
  <c r="G58" i="1"/>
  <c r="G67" i="1" s="1"/>
  <c r="H58" i="1"/>
  <c r="H67" i="1" s="1"/>
  <c r="G62" i="1"/>
  <c r="H62" i="1"/>
  <c r="G66" i="1"/>
  <c r="H66" i="1"/>
  <c r="H68" i="1" l="1"/>
  <c r="G68" i="1"/>
</calcChain>
</file>

<file path=xl/sharedStrings.xml><?xml version="1.0" encoding="utf-8"?>
<sst xmlns="http://schemas.openxmlformats.org/spreadsheetml/2006/main" count="181" uniqueCount="102">
  <si>
    <t>The funds parked in short term deposit(s) as on  31 Jan 2022  were NIL</t>
  </si>
  <si>
    <t>9</t>
  </si>
  <si>
    <t xml:space="preserve"> The Average Maturity period is 24 Days</t>
  </si>
  <si>
    <t>8</t>
  </si>
  <si>
    <t>Total Investments in foreign securities/ADRs / GDRs as on 31 Jan 2022  is NIL</t>
  </si>
  <si>
    <t>7</t>
  </si>
  <si>
    <t>Total outstanding exposure in derivatives instruments as on 31 Jan 2022  is NIL</t>
  </si>
  <si>
    <t>6</t>
  </si>
  <si>
    <t>Bonus declared during the period is NIL</t>
  </si>
  <si>
    <t>Rs. 0.06(Weekly Direct Dividend) , Rs. 0.06(Weekly Dividend)</t>
  </si>
  <si>
    <t>Rs. 0.0473(Monthly Dividend)</t>
  </si>
  <si>
    <t>Rs. 0.075(Daily Dividend) , Rs. 0.068(Daily Direct Dividend)</t>
  </si>
  <si>
    <t>Dividend declared during the period</t>
  </si>
  <si>
    <t>5</t>
  </si>
  <si>
    <t>Quant Liquid Plan - Daily Dividend - Direct Plan is Rs. 13.4777</t>
  </si>
  <si>
    <t>Quant Liquid Plan - Weekly Dividend - Direct Plan is Rs. 14.1452</t>
  </si>
  <si>
    <t>Quant Liquid Plan - Monthly Dividend - Direct Plan is Rs. 15.5304</t>
  </si>
  <si>
    <t>Quant Liquid Plan - Growth Option - Direct Plan is Rs. 33.9509</t>
  </si>
  <si>
    <t>Quant Liquid Plan - Weekly Dividend is Rs. 13.5217</t>
  </si>
  <si>
    <t>Quant Liquid Plan - Monthly Dividend is Rs. 15.184</t>
  </si>
  <si>
    <t>Quant Liquid Plan - Growth is Rs. 33.3823</t>
  </si>
  <si>
    <t>Quant Liquid Plan - Daily Dividend is Rs. 13.1732</t>
  </si>
  <si>
    <t>NAV as on 31 Dec 2021</t>
  </si>
  <si>
    <t>4</t>
  </si>
  <si>
    <t>Quant Liquid Plan - Daily Dividend - Direct Plan is Rs. 13.4501</t>
  </si>
  <si>
    <t>Quant Liquid Plan - Weekly Dividend - Direct Plan is Rs. 14.135</t>
  </si>
  <si>
    <t>Quant Liquid Plan - Monthly Dividend - Direct Plan is Rs. 15.5378</t>
  </si>
  <si>
    <t>Quant Liquid Plan - Growth Option - Direct Plan is Rs. 34.0704</t>
  </si>
  <si>
    <t>Quant Liquid Plan - Weekly Dividend is Rs. 13.5064</t>
  </si>
  <si>
    <t>Quant Liquid Plan - Monthly Dividend is Rs. 15.1869</t>
  </si>
  <si>
    <t>Quant Liquid Plan - Growth is Rs. 33.4923</t>
  </si>
  <si>
    <t>Quant Liquid Plan - Daily Dividend is Rs. 13.1417</t>
  </si>
  <si>
    <t>NAV as on 31 Jan 2022</t>
  </si>
  <si>
    <t>3</t>
  </si>
  <si>
    <t>Total value and percentage of illiquid equity shares is NIL.</t>
  </si>
  <si>
    <t>2</t>
  </si>
  <si>
    <t xml:space="preserve">Total NPA provided for is NIL. </t>
  </si>
  <si>
    <t>1</t>
  </si>
  <si>
    <t>Notes :-</t>
  </si>
  <si>
    <t>Grand Total</t>
  </si>
  <si>
    <t>Total</t>
  </si>
  <si>
    <t>Sub - total</t>
  </si>
  <si>
    <t>N.A.</t>
  </si>
  <si>
    <t/>
  </si>
  <si>
    <t>NCA-NET CURRENT ASSETS</t>
  </si>
  <si>
    <t>(c) Other Receivables (Payables)</t>
  </si>
  <si>
    <t>TREPS 01-Feb-2022 DEPO 10</t>
  </si>
  <si>
    <t>INCBLO010222</t>
  </si>
  <si>
    <t>(b) Tri Party Repo (TREPs)</t>
  </si>
  <si>
    <t>Nil</t>
  </si>
  <si>
    <t>(a) Mutual Fund Units</t>
  </si>
  <si>
    <t>OTHERS</t>
  </si>
  <si>
    <t>b) Treasury Bills</t>
  </si>
  <si>
    <t>A1+</t>
  </si>
  <si>
    <t>Time Technoplast Limited CP 12-Apr-2022</t>
  </si>
  <si>
    <t>INE508G14BR6</t>
  </si>
  <si>
    <t>Time Technoplast Limited CP 10-Feb-2022</t>
  </si>
  <si>
    <t>INE508G14BK1</t>
  </si>
  <si>
    <t>KEC International Limited CP 13-Apr-2022</t>
  </si>
  <si>
    <t>INE389H14HN5</t>
  </si>
  <si>
    <t>JK Cement Limited CP -17-Mar-2022</t>
  </si>
  <si>
    <t>INE823G14645</t>
  </si>
  <si>
    <t>Network18 Media And Inves CP 04-Mar-2022</t>
  </si>
  <si>
    <t>INE870H14NL6</t>
  </si>
  <si>
    <t>Angel One Limited CP 18-Feb-2022</t>
  </si>
  <si>
    <t>INE732I14297</t>
  </si>
  <si>
    <t>TV18 Broadcast Limited CP 02-Mar-2022</t>
  </si>
  <si>
    <t>INE886H14GW3</t>
  </si>
  <si>
    <t>Piramal Cap &amp; Hou Fin Ltd CP 07-Apr-2022</t>
  </si>
  <si>
    <t>INE516Y14BP6</t>
  </si>
  <si>
    <t>Piramal Enterprises Ltd CP 28-Feb-2022</t>
  </si>
  <si>
    <t>INE140A14R07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</si>
  <si>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</si>
  <si>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</si>
  <si>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</si>
  <si>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</si>
  <si>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</si>
  <si>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</si>
  <si>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</si>
  <si>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</si>
  <si>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</si>
  <si>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</si>
  <si>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</si>
  <si>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</si>
  <si>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</si>
  <si>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</si>
  <si>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</si>
  <si>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</si>
  <si>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</si>
  <si>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</si>
  <si>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</si>
  <si>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SR. NO.</t>
  </si>
  <si>
    <t>GROWTH - INF966L01317</t>
  </si>
  <si>
    <t>MONTHLY DIVIDEND RE-INVESTMENT - INF966L01309</t>
  </si>
  <si>
    <t>Risk-o-meter of the Benchmark</t>
  </si>
  <si>
    <t>Risk-o-meter of the Scheme</t>
  </si>
  <si>
    <t>MONTHLY DIVIDEND PAYOUT - INF966L01291</t>
  </si>
  <si>
    <t>WEEKLY DIVIDEND REINVESTMENT - INF966L01283</t>
  </si>
  <si>
    <t>DAILY DIVIDEND REINVESTMENT - INF966L01275</t>
  </si>
  <si>
    <t>MONTHLY PORTFOLIO STATEMENT AS ON 31 Jan 2022</t>
  </si>
  <si>
    <t>QUANT LIQUID PLAN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</si>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</sst>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2" fontId="2" fillId="0" borderId="6" xfId="0" applyNumberFormat="1" applyFont="1" applyBorder="1"/>
    <xf numFmtId="2" fontId="2" fillId="0" borderId="4" xfId="0" applyNumberFormat="1" applyFont="1" applyBorder="1"/>
    <xf numFmtId="2" fontId="3" fillId="0" borderId="6" xfId="0" applyNumberFormat="1" applyFont="1" applyBorder="1"/>
    <xf numFmtId="2" fontId="3" fillId="0" borderId="4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0" fontId="2" fillId="0" borderId="7" xfId="0" applyFont="1" applyBorder="1"/>
    <xf numFmtId="2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905000" cy="1028700"/>
    <xdr:pic>
      <xdr:nvPicPr>
        <xdr:cNvPr id="2" name="Riskomet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190500"/>
          <a:ext cx="1905000" cy="10287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1905000" cy="1028700"/>
    <xdr:pic>
      <xdr:nvPicPr>
        <xdr:cNvPr id="3" name="BenchMark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57600" y="190500"/>
          <a:ext cx="19050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51" workbookViewId="0">
      <selection activeCell="C86" sqref="C86"/>
    </sheetView>
  </sheetViews>
  <sheetFormatPr defaultRowHeight="15" x14ac:dyDescent="0.25"/>
  <cols>
    <col min="1" max="1" width="6.7109375" customWidth="1"/>
    <col min="2" max="2" width="26.85546875" customWidth="1"/>
    <col min="3" max="3" width="66" customWidth="1"/>
    <col min="4" max="4" width="15" customWidth="1"/>
    <col min="5" max="5" width="39.42578125" customWidth="1"/>
    <col min="6" max="6" width="13.28515625" customWidth="1"/>
    <col min="7" max="7" width="21.85546875" customWidth="1"/>
    <col min="8" max="8" width="14.5703125" customWidth="1"/>
  </cols>
  <sheetData>
    <row r="1" spans="1:8" ht="21" x14ac:dyDescent="0.35">
      <c r="C1" s="20" t="s">
        <v>101</v>
      </c>
    </row>
    <row r="2" spans="1:8" ht="21" x14ac:dyDescent="0.35">
      <c r="C2" s="19" t="s">
        <v>100</v>
      </c>
    </row>
    <row r="3" spans="1:8" x14ac:dyDescent="0.25">
      <c r="C3" t="s">
        <v>99</v>
      </c>
    </row>
    <row r="5" spans="1:8" x14ac:dyDescent="0.25">
      <c r="C5" t="s">
        <v>98</v>
      </c>
    </row>
    <row r="6" spans="1:8" x14ac:dyDescent="0.25">
      <c r="C6" t="s">
        <v>97</v>
      </c>
    </row>
    <row r="7" spans="1:8" x14ac:dyDescent="0.25">
      <c r="C7" t="s">
        <v>96</v>
      </c>
      <c r="E7" t="s">
        <v>95</v>
      </c>
      <c r="G7" t="s">
        <v>94</v>
      </c>
    </row>
    <row r="8" spans="1:8" x14ac:dyDescent="0.25">
      <c r="C8" t="s">
        <v>93</v>
      </c>
    </row>
    <row r="9" spans="1:8" ht="15.75" thickBot="1" x14ac:dyDescent="0.3">
      <c r="C9" t="s">
        <v>92</v>
      </c>
    </row>
    <row r="10" spans="1:8" ht="16.5" thickTop="1" x14ac:dyDescent="0.25">
      <c r="A10" s="18" t="s">
        <v>91</v>
      </c>
      <c r="B10" s="17" t="s">
        <v>90</v>
      </c>
      <c r="C10" s="17" t="s">
        <v>89</v>
      </c>
      <c r="D10" s="17" t="s">
        <v>88</v>
      </c>
      <c r="E10" s="17" t="s">
        <v>87</v>
      </c>
      <c r="F10" s="17" t="s">
        <v>86</v>
      </c>
      <c r="G10" s="16" t="s">
        <v>85</v>
      </c>
      <c r="H10" s="15" t="s">
        <v>84</v>
      </c>
    </row>
    <row r="11" spans="1:8" ht="15.75" x14ac:dyDescent="0.25">
      <c r="A11" s="7"/>
      <c r="B11" s="6"/>
      <c r="C11" s="6"/>
      <c r="D11" s="6"/>
      <c r="E11" s="6"/>
      <c r="F11" s="6"/>
      <c r="G11" s="9"/>
      <c r="H11" s="14"/>
    </row>
    <row r="12" spans="1:8" ht="15.75" x14ac:dyDescent="0.25">
      <c r="A12" s="7"/>
      <c r="B12" s="6"/>
      <c r="C12" s="6" t="s">
        <v>83</v>
      </c>
      <c r="D12" s="6"/>
      <c r="E12" s="6"/>
      <c r="F12" s="6"/>
      <c r="G12" s="9"/>
      <c r="H12" s="14"/>
    </row>
    <row r="13" spans="1:8" ht="15.75" x14ac:dyDescent="0.25">
      <c r="A13" s="7"/>
      <c r="B13" s="6"/>
      <c r="C13" s="6" t="s">
        <v>82</v>
      </c>
      <c r="D13" s="6" t="s">
        <v>49</v>
      </c>
      <c r="E13" s="6" t="s">
        <v>49</v>
      </c>
      <c r="F13" s="6" t="s">
        <v>49</v>
      </c>
      <c r="G13" s="9" t="s">
        <v>49</v>
      </c>
      <c r="H13" s="14" t="s">
        <v>49</v>
      </c>
    </row>
    <row r="14" spans="1:8" ht="15.75" x14ac:dyDescent="0.25">
      <c r="A14" s="7"/>
      <c r="B14" s="6"/>
      <c r="C14" s="6" t="s">
        <v>41</v>
      </c>
      <c r="D14" s="6"/>
      <c r="E14" s="6"/>
      <c r="F14" s="6"/>
      <c r="G14" s="9">
        <f>SUM(G13:G13)</f>
        <v>0</v>
      </c>
      <c r="H14" s="8">
        <f>SUM(H13:H13)</f>
        <v>0</v>
      </c>
    </row>
    <row r="15" spans="1:8" ht="15.75" x14ac:dyDescent="0.25">
      <c r="A15" s="7"/>
      <c r="B15" s="6"/>
      <c r="C15" s="6"/>
      <c r="D15" s="6"/>
      <c r="E15" s="6"/>
      <c r="F15" s="6"/>
      <c r="G15" s="9"/>
      <c r="H15" s="14"/>
    </row>
    <row r="16" spans="1:8" ht="15.75" x14ac:dyDescent="0.25">
      <c r="A16" s="7"/>
      <c r="B16" s="6"/>
      <c r="C16" s="6" t="s">
        <v>81</v>
      </c>
      <c r="D16" s="6" t="s">
        <v>49</v>
      </c>
      <c r="E16" s="6" t="s">
        <v>49</v>
      </c>
      <c r="F16" s="6" t="s">
        <v>49</v>
      </c>
      <c r="G16" s="9" t="s">
        <v>49</v>
      </c>
      <c r="H16" s="14" t="s">
        <v>49</v>
      </c>
    </row>
    <row r="17" spans="1:8" ht="16.5" thickBot="1" x14ac:dyDescent="0.3">
      <c r="A17" s="7"/>
      <c r="B17" s="6"/>
      <c r="C17" s="6" t="s">
        <v>41</v>
      </c>
      <c r="D17" s="6"/>
      <c r="E17" s="6"/>
      <c r="F17" s="6"/>
      <c r="G17" s="9">
        <f>SUM(G16:G16)</f>
        <v>0</v>
      </c>
      <c r="H17" s="8">
        <f>SUM(H16:H16)</f>
        <v>0</v>
      </c>
    </row>
    <row r="18" spans="1:8" ht="17.25" thickTop="1" thickBot="1" x14ac:dyDescent="0.3">
      <c r="A18" s="7"/>
      <c r="B18" s="6"/>
      <c r="C18" s="6" t="s">
        <v>40</v>
      </c>
      <c r="D18" s="6"/>
      <c r="E18" s="6"/>
      <c r="F18" s="6"/>
      <c r="G18" s="3">
        <f>SUM(G14,G17)</f>
        <v>0</v>
      </c>
      <c r="H18" s="3">
        <f>SUM(H14,H17)</f>
        <v>0</v>
      </c>
    </row>
    <row r="19" spans="1:8" ht="16.5" thickTop="1" x14ac:dyDescent="0.25">
      <c r="A19" s="7"/>
      <c r="B19" s="6"/>
      <c r="C19" s="6"/>
      <c r="D19" s="6"/>
      <c r="E19" s="6"/>
      <c r="F19" s="6"/>
      <c r="G19" s="9"/>
      <c r="H19" s="14"/>
    </row>
    <row r="20" spans="1:8" ht="15.75" x14ac:dyDescent="0.25">
      <c r="A20" s="7"/>
      <c r="B20" s="6"/>
      <c r="C20" s="6" t="s">
        <v>80</v>
      </c>
      <c r="D20" s="6"/>
      <c r="E20" s="6"/>
      <c r="F20" s="6"/>
      <c r="G20" s="9"/>
      <c r="H20" s="14"/>
    </row>
    <row r="21" spans="1:8" ht="15.75" x14ac:dyDescent="0.25">
      <c r="A21" s="7"/>
      <c r="B21" s="6"/>
      <c r="C21" s="6" t="s">
        <v>79</v>
      </c>
      <c r="D21" s="6" t="s">
        <v>49</v>
      </c>
      <c r="E21" s="6" t="s">
        <v>49</v>
      </c>
      <c r="F21" s="6" t="s">
        <v>49</v>
      </c>
      <c r="G21" s="9" t="s">
        <v>49</v>
      </c>
      <c r="H21" s="14" t="s">
        <v>49</v>
      </c>
    </row>
    <row r="22" spans="1:8" ht="15.75" x14ac:dyDescent="0.25">
      <c r="A22" s="7"/>
      <c r="B22" s="6"/>
      <c r="C22" s="6" t="s">
        <v>41</v>
      </c>
      <c r="D22" s="6"/>
      <c r="E22" s="6"/>
      <c r="F22" s="6"/>
      <c r="G22" s="9">
        <f>SUM(G21:G21)</f>
        <v>0</v>
      </c>
      <c r="H22" s="8">
        <f>SUM(H21:H21)</f>
        <v>0</v>
      </c>
    </row>
    <row r="23" spans="1:8" ht="15.75" x14ac:dyDescent="0.25">
      <c r="A23" s="7"/>
      <c r="B23" s="6"/>
      <c r="C23" s="6"/>
      <c r="D23" s="6"/>
      <c r="E23" s="6"/>
      <c r="F23" s="6"/>
      <c r="G23" s="9"/>
      <c r="H23" s="14"/>
    </row>
    <row r="24" spans="1:8" ht="15.75" x14ac:dyDescent="0.25">
      <c r="A24" s="7"/>
      <c r="B24" s="6"/>
      <c r="C24" s="6" t="s">
        <v>78</v>
      </c>
      <c r="D24" s="6" t="s">
        <v>49</v>
      </c>
      <c r="E24" s="6" t="s">
        <v>49</v>
      </c>
      <c r="F24" s="6" t="s">
        <v>49</v>
      </c>
      <c r="G24" s="9" t="s">
        <v>49</v>
      </c>
      <c r="H24" s="14" t="s">
        <v>49</v>
      </c>
    </row>
    <row r="25" spans="1:8" ht="16.5" thickBot="1" x14ac:dyDescent="0.3">
      <c r="A25" s="7"/>
      <c r="B25" s="6"/>
      <c r="C25" s="6" t="s">
        <v>41</v>
      </c>
      <c r="D25" s="6"/>
      <c r="E25" s="6"/>
      <c r="F25" s="6"/>
      <c r="G25" s="9">
        <f>SUM(G24:G24)</f>
        <v>0</v>
      </c>
      <c r="H25" s="8">
        <f>SUM(H24:H24)</f>
        <v>0</v>
      </c>
    </row>
    <row r="26" spans="1:8" ht="17.25" thickTop="1" thickBot="1" x14ac:dyDescent="0.3">
      <c r="A26" s="7"/>
      <c r="B26" s="6"/>
      <c r="C26" s="6" t="s">
        <v>40</v>
      </c>
      <c r="D26" s="6"/>
      <c r="E26" s="6"/>
      <c r="F26" s="6"/>
      <c r="G26" s="3">
        <f>SUM(G22,G25)</f>
        <v>0</v>
      </c>
      <c r="H26" s="3">
        <f>SUM(H22,H25)</f>
        <v>0</v>
      </c>
    </row>
    <row r="27" spans="1:8" ht="16.5" thickTop="1" x14ac:dyDescent="0.25">
      <c r="A27" s="7"/>
      <c r="B27" s="6"/>
      <c r="C27" s="6"/>
      <c r="D27" s="6"/>
      <c r="E27" s="6"/>
      <c r="F27" s="6"/>
      <c r="G27" s="9"/>
      <c r="H27" s="14"/>
    </row>
    <row r="28" spans="1:8" ht="15.75" x14ac:dyDescent="0.25">
      <c r="A28" s="7"/>
      <c r="B28" s="6"/>
      <c r="C28" s="6" t="s">
        <v>77</v>
      </c>
      <c r="D28" s="6"/>
      <c r="E28" s="6"/>
      <c r="F28" s="6"/>
      <c r="G28" s="9"/>
      <c r="H28" s="14"/>
    </row>
    <row r="29" spans="1:8" ht="15.75" x14ac:dyDescent="0.25">
      <c r="A29" s="7"/>
      <c r="B29" s="6"/>
      <c r="C29" s="6" t="s">
        <v>76</v>
      </c>
      <c r="D29" s="6" t="s">
        <v>49</v>
      </c>
      <c r="E29" s="6" t="s">
        <v>49</v>
      </c>
      <c r="F29" s="6" t="s">
        <v>49</v>
      </c>
      <c r="G29" s="9" t="s">
        <v>49</v>
      </c>
      <c r="H29" s="14" t="s">
        <v>49</v>
      </c>
    </row>
    <row r="30" spans="1:8" ht="15.75" x14ac:dyDescent="0.25">
      <c r="A30" s="7"/>
      <c r="B30" s="6"/>
      <c r="C30" s="6" t="s">
        <v>41</v>
      </c>
      <c r="D30" s="6"/>
      <c r="E30" s="6"/>
      <c r="F30" s="6"/>
      <c r="G30" s="9">
        <f>SUM(G29:G29)</f>
        <v>0</v>
      </c>
      <c r="H30" s="8">
        <f>SUM(H29:H29)</f>
        <v>0</v>
      </c>
    </row>
    <row r="31" spans="1:8" ht="15.75" x14ac:dyDescent="0.25">
      <c r="A31" s="7"/>
      <c r="B31" s="6"/>
      <c r="C31" s="6"/>
      <c r="D31" s="6"/>
      <c r="E31" s="6"/>
      <c r="F31" s="6"/>
      <c r="G31" s="9"/>
      <c r="H31" s="14"/>
    </row>
    <row r="32" spans="1:8" ht="15.75" x14ac:dyDescent="0.25">
      <c r="A32" s="7"/>
      <c r="B32" s="6"/>
      <c r="C32" s="6" t="s">
        <v>75</v>
      </c>
      <c r="D32" s="6" t="s">
        <v>49</v>
      </c>
      <c r="E32" s="6" t="s">
        <v>49</v>
      </c>
      <c r="F32" s="6" t="s">
        <v>49</v>
      </c>
      <c r="G32" s="9" t="s">
        <v>49</v>
      </c>
      <c r="H32" s="14" t="s">
        <v>49</v>
      </c>
    </row>
    <row r="33" spans="1:8" ht="15.75" x14ac:dyDescent="0.25">
      <c r="A33" s="7"/>
      <c r="B33" s="6"/>
      <c r="C33" s="6" t="s">
        <v>41</v>
      </c>
      <c r="D33" s="6"/>
      <c r="E33" s="6"/>
      <c r="F33" s="6"/>
      <c r="G33" s="9">
        <f>SUM(G32:G32)</f>
        <v>0</v>
      </c>
      <c r="H33" s="8">
        <f>SUM(H32:H32)</f>
        <v>0</v>
      </c>
    </row>
    <row r="34" spans="1:8" ht="15.75" x14ac:dyDescent="0.25">
      <c r="A34" s="7"/>
      <c r="B34" s="6"/>
      <c r="C34" s="6"/>
      <c r="D34" s="6"/>
      <c r="E34" s="6"/>
      <c r="F34" s="6"/>
      <c r="G34" s="9"/>
      <c r="H34" s="14"/>
    </row>
    <row r="35" spans="1:8" ht="15.75" x14ac:dyDescent="0.25">
      <c r="A35" s="7"/>
      <c r="B35" s="6"/>
      <c r="C35" s="6" t="s">
        <v>74</v>
      </c>
      <c r="D35" s="6" t="s">
        <v>49</v>
      </c>
      <c r="E35" s="6" t="s">
        <v>49</v>
      </c>
      <c r="F35" s="6" t="s">
        <v>49</v>
      </c>
      <c r="G35" s="9" t="s">
        <v>49</v>
      </c>
      <c r="H35" s="14" t="s">
        <v>49</v>
      </c>
    </row>
    <row r="36" spans="1:8" ht="16.5" thickBot="1" x14ac:dyDescent="0.3">
      <c r="A36" s="7"/>
      <c r="B36" s="6"/>
      <c r="C36" s="6" t="s">
        <v>41</v>
      </c>
      <c r="D36" s="6"/>
      <c r="E36" s="6"/>
      <c r="F36" s="6"/>
      <c r="G36" s="9">
        <f>SUM(G35:G35)</f>
        <v>0</v>
      </c>
      <c r="H36" s="8">
        <f>SUM(H35:H35)</f>
        <v>0</v>
      </c>
    </row>
    <row r="37" spans="1:8" ht="17.25" thickTop="1" thickBot="1" x14ac:dyDescent="0.3">
      <c r="A37" s="7"/>
      <c r="B37" s="6"/>
      <c r="C37" s="6" t="s">
        <v>40</v>
      </c>
      <c r="D37" s="6"/>
      <c r="E37" s="6"/>
      <c r="F37" s="6"/>
      <c r="G37" s="3">
        <f>SUM(G30,G33,G36)</f>
        <v>0</v>
      </c>
      <c r="H37" s="3">
        <f>SUM(H30,H33,H36)</f>
        <v>0</v>
      </c>
    </row>
    <row r="38" spans="1:8" ht="16.5" thickTop="1" x14ac:dyDescent="0.25">
      <c r="A38" s="7"/>
      <c r="B38" s="6"/>
      <c r="C38" s="6"/>
      <c r="D38" s="6"/>
      <c r="E38" s="6"/>
      <c r="F38" s="6"/>
      <c r="G38" s="9"/>
      <c r="H38" s="14"/>
    </row>
    <row r="39" spans="1:8" ht="15.75" x14ac:dyDescent="0.25">
      <c r="A39" s="7"/>
      <c r="B39" s="6"/>
      <c r="C39" s="6" t="s">
        <v>73</v>
      </c>
      <c r="D39" s="6"/>
      <c r="E39" s="6"/>
      <c r="F39" s="6"/>
      <c r="G39" s="9"/>
      <c r="H39" s="14"/>
    </row>
    <row r="40" spans="1:8" ht="15.75" x14ac:dyDescent="0.25">
      <c r="A40" s="7"/>
      <c r="B40" s="6"/>
      <c r="C40" s="6" t="s">
        <v>72</v>
      </c>
      <c r="D40" s="6"/>
      <c r="E40" s="6"/>
      <c r="F40" s="6"/>
      <c r="G40" s="9"/>
      <c r="H40" s="14"/>
    </row>
    <row r="41" spans="1:8" ht="15.75" x14ac:dyDescent="0.25">
      <c r="A41" s="13">
        <v>1</v>
      </c>
      <c r="B41" s="12" t="s">
        <v>71</v>
      </c>
      <c r="C41" s="12" t="s">
        <v>70</v>
      </c>
      <c r="D41" s="12" t="s">
        <v>53</v>
      </c>
      <c r="E41" s="12" t="s">
        <v>42</v>
      </c>
      <c r="F41" s="12">
        <v>600</v>
      </c>
      <c r="G41" s="11">
        <v>2987.0189999999998</v>
      </c>
      <c r="H41" s="10">
        <v>6.0567630000000001</v>
      </c>
    </row>
    <row r="42" spans="1:8" ht="15.75" x14ac:dyDescent="0.25">
      <c r="A42" s="13">
        <v>2</v>
      </c>
      <c r="B42" s="12" t="s">
        <v>69</v>
      </c>
      <c r="C42" s="12" t="s">
        <v>68</v>
      </c>
      <c r="D42" s="12" t="s">
        <v>53</v>
      </c>
      <c r="E42" s="12" t="s">
        <v>42</v>
      </c>
      <c r="F42" s="12">
        <v>600</v>
      </c>
      <c r="G42" s="11">
        <v>2966.7150000000001</v>
      </c>
      <c r="H42" s="10">
        <v>6.0155919999999998</v>
      </c>
    </row>
    <row r="43" spans="1:8" ht="15.75" x14ac:dyDescent="0.25">
      <c r="A43" s="13">
        <v>3</v>
      </c>
      <c r="B43" s="12" t="s">
        <v>67</v>
      </c>
      <c r="C43" s="12" t="s">
        <v>66</v>
      </c>
      <c r="D43" s="12" t="s">
        <v>53</v>
      </c>
      <c r="E43" s="12" t="s">
        <v>42</v>
      </c>
      <c r="F43" s="12">
        <v>500</v>
      </c>
      <c r="G43" s="11">
        <v>2492.4749999999999</v>
      </c>
      <c r="H43" s="10">
        <v>5.0539779999999999</v>
      </c>
    </row>
    <row r="44" spans="1:8" ht="15.75" x14ac:dyDescent="0.25">
      <c r="A44" s="13">
        <v>4</v>
      </c>
      <c r="B44" s="12" t="s">
        <v>65</v>
      </c>
      <c r="C44" s="12" t="s">
        <v>64</v>
      </c>
      <c r="D44" s="12" t="s">
        <v>53</v>
      </c>
      <c r="E44" s="12" t="s">
        <v>42</v>
      </c>
      <c r="F44" s="12">
        <v>500</v>
      </c>
      <c r="G44" s="11">
        <v>2492.1424999999999</v>
      </c>
      <c r="H44" s="10">
        <v>5.0533039999999998</v>
      </c>
    </row>
    <row r="45" spans="1:8" ht="15.75" x14ac:dyDescent="0.25">
      <c r="A45" s="13">
        <v>5</v>
      </c>
      <c r="B45" s="12" t="s">
        <v>63</v>
      </c>
      <c r="C45" s="12" t="s">
        <v>62</v>
      </c>
      <c r="D45" s="12" t="s">
        <v>53</v>
      </c>
      <c r="E45" s="12" t="s">
        <v>42</v>
      </c>
      <c r="F45" s="12">
        <v>500</v>
      </c>
      <c r="G45" s="11">
        <v>2491.9575</v>
      </c>
      <c r="H45" s="10">
        <v>5.0529289999999998</v>
      </c>
    </row>
    <row r="46" spans="1:8" ht="15.75" x14ac:dyDescent="0.25">
      <c r="A46" s="13">
        <v>6</v>
      </c>
      <c r="B46" s="12" t="s">
        <v>61</v>
      </c>
      <c r="C46" s="12" t="s">
        <v>60</v>
      </c>
      <c r="D46" s="12" t="s">
        <v>53</v>
      </c>
      <c r="E46" s="12" t="s">
        <v>42</v>
      </c>
      <c r="F46" s="12">
        <v>500</v>
      </c>
      <c r="G46" s="11">
        <v>2488.1824999999999</v>
      </c>
      <c r="H46" s="10">
        <v>5.045274</v>
      </c>
    </row>
    <row r="47" spans="1:8" ht="15.75" x14ac:dyDescent="0.25">
      <c r="A47" s="13">
        <v>7</v>
      </c>
      <c r="B47" s="12" t="s">
        <v>59</v>
      </c>
      <c r="C47" s="12" t="s">
        <v>58</v>
      </c>
      <c r="D47" s="12" t="s">
        <v>53</v>
      </c>
      <c r="E47" s="12" t="s">
        <v>42</v>
      </c>
      <c r="F47" s="12">
        <v>500</v>
      </c>
      <c r="G47" s="11">
        <v>2477.0650000000001</v>
      </c>
      <c r="H47" s="10">
        <v>5.0227320000000004</v>
      </c>
    </row>
    <row r="48" spans="1:8" ht="15.75" x14ac:dyDescent="0.25">
      <c r="A48" s="13">
        <v>8</v>
      </c>
      <c r="B48" s="12" t="s">
        <v>57</v>
      </c>
      <c r="C48" s="12" t="s">
        <v>56</v>
      </c>
      <c r="D48" s="12" t="s">
        <v>53</v>
      </c>
      <c r="E48" s="12" t="s">
        <v>42</v>
      </c>
      <c r="F48" s="12">
        <v>400</v>
      </c>
      <c r="G48" s="11">
        <v>1996.7860000000001</v>
      </c>
      <c r="H48" s="10">
        <v>4.0488720000000002</v>
      </c>
    </row>
    <row r="49" spans="1:8" ht="15.75" x14ac:dyDescent="0.25">
      <c r="A49" s="13">
        <v>9</v>
      </c>
      <c r="B49" s="12" t="s">
        <v>55</v>
      </c>
      <c r="C49" s="12" t="s">
        <v>54</v>
      </c>
      <c r="D49" s="12" t="s">
        <v>53</v>
      </c>
      <c r="E49" s="12" t="s">
        <v>42</v>
      </c>
      <c r="F49" s="12">
        <v>400</v>
      </c>
      <c r="G49" s="11">
        <v>1973.5440000000001</v>
      </c>
      <c r="H49" s="10">
        <v>4.0017449999999997</v>
      </c>
    </row>
    <row r="50" spans="1:8" ht="15.75" x14ac:dyDescent="0.25">
      <c r="A50" s="7"/>
      <c r="B50" s="6"/>
      <c r="C50" s="6" t="s">
        <v>41</v>
      </c>
      <c r="D50" s="6"/>
      <c r="E50" s="6"/>
      <c r="F50" s="6"/>
      <c r="G50" s="9">
        <f>SUM(G41:G49)</f>
        <v>22365.886500000001</v>
      </c>
      <c r="H50" s="8">
        <f>SUM(H41:H49)</f>
        <v>45.351188999999998</v>
      </c>
    </row>
    <row r="51" spans="1:8" ht="15.75" x14ac:dyDescent="0.25">
      <c r="A51" s="7"/>
      <c r="B51" s="6"/>
      <c r="C51" s="6"/>
      <c r="D51" s="6"/>
      <c r="E51" s="6"/>
      <c r="F51" s="6"/>
      <c r="G51" s="9"/>
      <c r="H51" s="14"/>
    </row>
    <row r="52" spans="1:8" ht="15.75" x14ac:dyDescent="0.25">
      <c r="A52" s="7"/>
      <c r="B52" s="6"/>
      <c r="C52" s="6" t="s">
        <v>52</v>
      </c>
      <c r="D52" s="6" t="s">
        <v>49</v>
      </c>
      <c r="E52" s="6" t="s">
        <v>49</v>
      </c>
      <c r="F52" s="6" t="s">
        <v>49</v>
      </c>
      <c r="G52" s="9" t="s">
        <v>49</v>
      </c>
      <c r="H52" s="14" t="s">
        <v>49</v>
      </c>
    </row>
    <row r="53" spans="1:8" ht="16.5" thickBot="1" x14ac:dyDescent="0.3">
      <c r="A53" s="7"/>
      <c r="B53" s="6"/>
      <c r="C53" s="6" t="s">
        <v>41</v>
      </c>
      <c r="D53" s="6"/>
      <c r="E53" s="6"/>
      <c r="F53" s="6"/>
      <c r="G53" s="9">
        <f>SUM(G52:G52)</f>
        <v>0</v>
      </c>
      <c r="H53" s="8">
        <f>SUM(H52:H52)</f>
        <v>0</v>
      </c>
    </row>
    <row r="54" spans="1:8" ht="17.25" thickTop="1" thickBot="1" x14ac:dyDescent="0.3">
      <c r="A54" s="7"/>
      <c r="B54" s="6"/>
      <c r="C54" s="6" t="s">
        <v>40</v>
      </c>
      <c r="D54" s="6"/>
      <c r="E54" s="6"/>
      <c r="F54" s="6"/>
      <c r="G54" s="3">
        <f>SUM(G50,G53)</f>
        <v>22365.886500000001</v>
      </c>
      <c r="H54" s="3">
        <f>SUM(H50,H53)</f>
        <v>45.351188999999998</v>
      </c>
    </row>
    <row r="55" spans="1:8" ht="16.5" thickTop="1" x14ac:dyDescent="0.25">
      <c r="A55" s="7"/>
      <c r="B55" s="6"/>
      <c r="C55" s="6"/>
      <c r="D55" s="6"/>
      <c r="E55" s="6"/>
      <c r="F55" s="6"/>
      <c r="G55" s="9"/>
      <c r="H55" s="14"/>
    </row>
    <row r="56" spans="1:8" ht="15.75" x14ac:dyDescent="0.25">
      <c r="A56" s="7"/>
      <c r="B56" s="6"/>
      <c r="C56" s="6" t="s">
        <v>51</v>
      </c>
      <c r="D56" s="6"/>
      <c r="E56" s="6"/>
      <c r="F56" s="6"/>
      <c r="G56" s="9"/>
      <c r="H56" s="14"/>
    </row>
    <row r="57" spans="1:8" ht="15.75" x14ac:dyDescent="0.25">
      <c r="A57" s="7"/>
      <c r="B57" s="6"/>
      <c r="C57" s="6" t="s">
        <v>50</v>
      </c>
      <c r="D57" s="6" t="s">
        <v>49</v>
      </c>
      <c r="E57" s="6" t="s">
        <v>49</v>
      </c>
      <c r="F57" s="6" t="s">
        <v>49</v>
      </c>
      <c r="G57" s="9" t="s">
        <v>49</v>
      </c>
      <c r="H57" s="14" t="s">
        <v>49</v>
      </c>
    </row>
    <row r="58" spans="1:8" ht="15.75" x14ac:dyDescent="0.25">
      <c r="A58" s="7"/>
      <c r="B58" s="6"/>
      <c r="C58" s="6" t="s">
        <v>41</v>
      </c>
      <c r="D58" s="6"/>
      <c r="E58" s="6"/>
      <c r="F58" s="6"/>
      <c r="G58" s="9">
        <f>SUM(G57:G57)</f>
        <v>0</v>
      </c>
      <c r="H58" s="8">
        <f>SUM(H57:H57)</f>
        <v>0</v>
      </c>
    </row>
    <row r="59" spans="1:8" ht="15.75" x14ac:dyDescent="0.25">
      <c r="A59" s="7"/>
      <c r="B59" s="6"/>
      <c r="C59" s="6"/>
      <c r="D59" s="6"/>
      <c r="E59" s="6"/>
      <c r="F59" s="6"/>
      <c r="G59" s="9"/>
      <c r="H59" s="14"/>
    </row>
    <row r="60" spans="1:8" ht="15.75" x14ac:dyDescent="0.25">
      <c r="A60" s="7"/>
      <c r="B60" s="6"/>
      <c r="C60" s="6" t="s">
        <v>48</v>
      </c>
      <c r="D60" s="6"/>
      <c r="E60" s="6"/>
      <c r="F60" s="6"/>
      <c r="G60" s="9"/>
      <c r="H60" s="14"/>
    </row>
    <row r="61" spans="1:8" ht="15.75" x14ac:dyDescent="0.25">
      <c r="A61" s="13">
        <v>10</v>
      </c>
      <c r="B61" s="12" t="s">
        <v>47</v>
      </c>
      <c r="C61" s="12" t="s">
        <v>46</v>
      </c>
      <c r="D61" s="12" t="s">
        <v>43</v>
      </c>
      <c r="E61" s="12" t="s">
        <v>42</v>
      </c>
      <c r="F61" s="12">
        <v>267307.3</v>
      </c>
      <c r="G61" s="11">
        <v>26730.73</v>
      </c>
      <c r="H61" s="10">
        <v>54.20176</v>
      </c>
    </row>
    <row r="62" spans="1:8" ht="15.75" x14ac:dyDescent="0.25">
      <c r="A62" s="7"/>
      <c r="B62" s="6"/>
      <c r="C62" s="6" t="s">
        <v>41</v>
      </c>
      <c r="D62" s="6"/>
      <c r="E62" s="6"/>
      <c r="F62" s="6"/>
      <c r="G62" s="9">
        <f>SUM(G61:G61)</f>
        <v>26730.73</v>
      </c>
      <c r="H62" s="8">
        <f>SUM(H61:H61)</f>
        <v>54.20176</v>
      </c>
    </row>
    <row r="63" spans="1:8" ht="15.75" x14ac:dyDescent="0.25">
      <c r="A63" s="7"/>
      <c r="B63" s="6"/>
      <c r="C63" s="6"/>
      <c r="D63" s="6"/>
      <c r="E63" s="6"/>
      <c r="F63" s="6"/>
      <c r="G63" s="9"/>
      <c r="H63" s="14"/>
    </row>
    <row r="64" spans="1:8" ht="15.75" x14ac:dyDescent="0.25">
      <c r="A64" s="7"/>
      <c r="B64" s="6"/>
      <c r="C64" s="6" t="s">
        <v>45</v>
      </c>
      <c r="D64" s="6"/>
      <c r="E64" s="6"/>
      <c r="F64" s="6"/>
      <c r="G64" s="9"/>
      <c r="H64" s="14"/>
    </row>
    <row r="65" spans="1:8" ht="15.75" x14ac:dyDescent="0.25">
      <c r="A65" s="13">
        <v>11</v>
      </c>
      <c r="B65" s="12" t="s">
        <v>43</v>
      </c>
      <c r="C65" s="12" t="s">
        <v>44</v>
      </c>
      <c r="D65" s="12" t="s">
        <v>43</v>
      </c>
      <c r="E65" s="12" t="s">
        <v>42</v>
      </c>
      <c r="F65" s="12">
        <v>0</v>
      </c>
      <c r="G65" s="11">
        <v>220.47253000000001</v>
      </c>
      <c r="H65" s="10">
        <v>0.44705099999999998</v>
      </c>
    </row>
    <row r="66" spans="1:8" ht="16.5" thickBot="1" x14ac:dyDescent="0.3">
      <c r="A66" s="7"/>
      <c r="B66" s="6"/>
      <c r="C66" s="6" t="s">
        <v>41</v>
      </c>
      <c r="D66" s="6"/>
      <c r="E66" s="6"/>
      <c r="F66" s="6"/>
      <c r="G66" s="9">
        <f>SUM(G65:G65)</f>
        <v>220.47253000000001</v>
      </c>
      <c r="H66" s="8">
        <f>SUM(H65:H65)</f>
        <v>0.44705099999999998</v>
      </c>
    </row>
    <row r="67" spans="1:8" ht="17.25" thickTop="1" thickBot="1" x14ac:dyDescent="0.3">
      <c r="A67" s="7"/>
      <c r="B67" s="6"/>
      <c r="C67" s="6" t="s">
        <v>40</v>
      </c>
      <c r="D67" s="6"/>
      <c r="E67" s="6"/>
      <c r="F67" s="6"/>
      <c r="G67" s="3">
        <f>SUM(G58,G62,G66)</f>
        <v>26951.202529999999</v>
      </c>
      <c r="H67" s="3">
        <f>SUM(H58,H62,H66)</f>
        <v>54.648811000000002</v>
      </c>
    </row>
    <row r="68" spans="1:8" ht="17.25" thickTop="1" thickBot="1" x14ac:dyDescent="0.3">
      <c r="A68" s="5"/>
      <c r="B68" s="4"/>
      <c r="C68" s="4" t="s">
        <v>39</v>
      </c>
      <c r="D68" s="4"/>
      <c r="E68" s="4"/>
      <c r="F68" s="4"/>
      <c r="G68" s="3">
        <f>SUM(G18,G26,G37,G54,G67)</f>
        <v>49317.089030000003</v>
      </c>
      <c r="H68" s="3">
        <f>SUM(H18,H26,H37,H54,H67)</f>
        <v>100</v>
      </c>
    </row>
    <row r="69" spans="1:8" ht="15.75" thickTop="1" x14ac:dyDescent="0.25">
      <c r="G69" s="2"/>
    </row>
    <row r="71" spans="1:8" x14ac:dyDescent="0.25">
      <c r="C71" t="s">
        <v>38</v>
      </c>
    </row>
    <row r="73" spans="1:8" x14ac:dyDescent="0.25">
      <c r="B73" t="s">
        <v>37</v>
      </c>
      <c r="C73" t="s">
        <v>36</v>
      </c>
    </row>
    <row r="74" spans="1:8" x14ac:dyDescent="0.25">
      <c r="B74" t="s">
        <v>35</v>
      </c>
      <c r="C74" t="s">
        <v>34</v>
      </c>
    </row>
    <row r="75" spans="1:8" x14ac:dyDescent="0.25">
      <c r="B75" t="s">
        <v>33</v>
      </c>
      <c r="C75" t="s">
        <v>32</v>
      </c>
    </row>
    <row r="76" spans="1:8" x14ac:dyDescent="0.25">
      <c r="C76" t="s">
        <v>31</v>
      </c>
    </row>
    <row r="77" spans="1:8" x14ac:dyDescent="0.25">
      <c r="C77" t="s">
        <v>30</v>
      </c>
    </row>
    <row r="78" spans="1:8" x14ac:dyDescent="0.25">
      <c r="C78" t="s">
        <v>29</v>
      </c>
    </row>
    <row r="79" spans="1:8" x14ac:dyDescent="0.25">
      <c r="C79" t="s">
        <v>28</v>
      </c>
    </row>
    <row r="80" spans="1:8" x14ac:dyDescent="0.25">
      <c r="C80" t="s">
        <v>27</v>
      </c>
    </row>
    <row r="81" spans="2:3" x14ac:dyDescent="0.25">
      <c r="C81" t="s">
        <v>26</v>
      </c>
    </row>
    <row r="82" spans="2:3" x14ac:dyDescent="0.25">
      <c r="C82" t="s">
        <v>25</v>
      </c>
    </row>
    <row r="83" spans="2:3" x14ac:dyDescent="0.25">
      <c r="C83" t="s">
        <v>24</v>
      </c>
    </row>
    <row r="84" spans="2:3" x14ac:dyDescent="0.25">
      <c r="B84" t="s">
        <v>23</v>
      </c>
      <c r="C84" t="s">
        <v>22</v>
      </c>
    </row>
    <row r="85" spans="2:3" x14ac:dyDescent="0.25">
      <c r="C85" t="s">
        <v>21</v>
      </c>
    </row>
    <row r="86" spans="2:3" x14ac:dyDescent="0.25">
      <c r="C86" t="s">
        <v>20</v>
      </c>
    </row>
    <row r="87" spans="2:3" x14ac:dyDescent="0.25">
      <c r="C87" t="s">
        <v>19</v>
      </c>
    </row>
    <row r="88" spans="2:3" x14ac:dyDescent="0.25">
      <c r="C88" t="s">
        <v>18</v>
      </c>
    </row>
    <row r="89" spans="2:3" x14ac:dyDescent="0.25">
      <c r="C89" t="s">
        <v>17</v>
      </c>
    </row>
    <row r="90" spans="2:3" x14ac:dyDescent="0.25">
      <c r="C90" t="s">
        <v>16</v>
      </c>
    </row>
    <row r="91" spans="2:3" x14ac:dyDescent="0.25">
      <c r="C91" t="s">
        <v>15</v>
      </c>
    </row>
    <row r="92" spans="2:3" x14ac:dyDescent="0.25">
      <c r="C92" t="s">
        <v>14</v>
      </c>
    </row>
    <row r="93" spans="2:3" x14ac:dyDescent="0.25">
      <c r="B93" t="s">
        <v>13</v>
      </c>
      <c r="C93" t="s">
        <v>12</v>
      </c>
    </row>
    <row r="94" spans="2:3" x14ac:dyDescent="0.25">
      <c r="C94" t="s">
        <v>11</v>
      </c>
    </row>
    <row r="95" spans="2:3" x14ac:dyDescent="0.25">
      <c r="C95" t="s">
        <v>10</v>
      </c>
    </row>
    <row r="96" spans="2:3" x14ac:dyDescent="0.25">
      <c r="C96" t="s">
        <v>9</v>
      </c>
    </row>
    <row r="97" spans="2:3" x14ac:dyDescent="0.25">
      <c r="C97" t="s">
        <v>8</v>
      </c>
    </row>
    <row r="98" spans="2:3" x14ac:dyDescent="0.25">
      <c r="B98" t="s">
        <v>7</v>
      </c>
      <c r="C98" s="1" t="s">
        <v>6</v>
      </c>
    </row>
    <row r="99" spans="2:3" x14ac:dyDescent="0.25">
      <c r="B99" t="s">
        <v>5</v>
      </c>
      <c r="C99" s="1" t="s">
        <v>4</v>
      </c>
    </row>
    <row r="100" spans="2:3" x14ac:dyDescent="0.25">
      <c r="B100" t="s">
        <v>3</v>
      </c>
      <c r="C100" s="1" t="s">
        <v>2</v>
      </c>
    </row>
    <row r="101" spans="2:3" x14ac:dyDescent="0.25">
      <c r="B101" t="s">
        <v>1</v>
      </c>
      <c r="C101" s="1" t="s">
        <v>0</v>
      </c>
    </row>
  </sheetData>
  <sheetProtection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2022-06-24T10:32:46Z</dcterms:created>
  <dcterms:modified xsi:type="dcterms:W3CDTF">2022-06-24T10:33:03Z</dcterms:modified>
</cp:coreProperties>
</file>