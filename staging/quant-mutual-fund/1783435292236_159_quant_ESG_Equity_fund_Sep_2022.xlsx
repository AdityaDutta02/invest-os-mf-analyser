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ESG" sheetId="1" r:id="rId1"/>
  </sheets>
  <externalReferences>
    <externalReference r:id="rId2"/>
  </externalReferences>
  <calcPr calcId="144525"/>
</workbook>
</file>

<file path=xl/calcChain.xml><?xml version="1.0" encoding="utf-8"?>
<calcChain xmlns="http://schemas.openxmlformats.org/spreadsheetml/2006/main">
  <c r="D36" i="1" l="1"/>
  <c r="D35" i="1"/>
  <c r="D34" i="1"/>
  <c r="D33" i="1"/>
  <c r="D32" i="1"/>
  <c r="D31" i="1"/>
  <c r="D27" i="1"/>
  <c r="D26" i="1"/>
  <c r="D25" i="1"/>
  <c r="D24" i="1"/>
  <c r="D22" i="1"/>
  <c r="D21" i="1"/>
  <c r="D20" i="1"/>
  <c r="D18" i="1"/>
  <c r="D17" i="1"/>
  <c r="D16" i="1"/>
  <c r="D15" i="1"/>
  <c r="D14" i="1"/>
  <c r="D13" i="1"/>
  <c r="D12" i="1"/>
  <c r="D11" i="1"/>
  <c r="D44" i="1" s="1"/>
</calcChain>
</file>

<file path=xl/sharedStrings.xml><?xml version="1.0" encoding="utf-8"?>
<sst xmlns="http://schemas.openxmlformats.org/spreadsheetml/2006/main" count="485" uniqueCount="145">
  <si>
    <t>quant Mutual Fund</t>
  </si>
  <si>
    <t>quant ESG Equity Fund</t>
  </si>
  <si>
    <t xml:space="preserve"> </t>
  </si>
  <si>
    <t>MONTHLY PORTFOLIO STATEMENT AS ON 30 Sep 2022</t>
  </si>
  <si>
    <t/>
  </si>
  <si>
    <t>Risk-o-meter of the Scheme</t>
  </si>
  <si>
    <t>Risk-o-meter of the Benchmark</t>
  </si>
  <si>
    <t>SR</t>
  </si>
  <si>
    <t>ISIN</t>
  </si>
  <si>
    <t>NAME OF THE INSTRUMENT</t>
  </si>
  <si>
    <t>ESG 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</si>
  <si>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</si>
  <si>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</si>
  <si>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</si>
  <si>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</si>
  <si>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</si>
  <si>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</si>
  <si>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INE742F01042</t>
  </si>
  <si>
    <t>Adani Ports &amp; Special Economic Zone Ltd</t>
  </si>
  <si>
    <t>Transport Infrastructure</t>
  </si>
  <si>
    <t>INE062A01020</t>
  </si>
  <si>
    <t>State Bank of India</t>
  </si>
  <si>
    <t>Banks</t>
  </si>
  <si>
    <t>INE397D01024</t>
  </si>
  <si>
    <t>Bharti Airtel Limited</t>
  </si>
  <si>
    <t>Telecom - Services</t>
  </si>
  <si>
    <t>INE053A01029</t>
  </si>
  <si>
    <t>Indian Hotels Co Ltd</t>
  </si>
  <si>
    <t>Leisure Services</t>
  </si>
  <si>
    <t>INE619A01035</t>
  </si>
  <si>
    <t>Patanjali Foods Limited</t>
  </si>
  <si>
    <t>Agricultural Food &amp; other Products</t>
  </si>
  <si>
    <t>INE765G01017</t>
  </si>
  <si>
    <t>ICICI Lombard General Insurance Company Ltd.</t>
  </si>
  <si>
    <t>Insurance</t>
  </si>
  <si>
    <t>INE192A01025</t>
  </si>
  <si>
    <t>Tata Consumer Products Ltd</t>
  </si>
  <si>
    <t>INE079A01024</t>
  </si>
  <si>
    <t>Ambuja Cements Ltd</t>
  </si>
  <si>
    <t>Cement &amp; Cement Products</t>
  </si>
  <si>
    <t>INE010V01017</t>
  </si>
  <si>
    <t>L&amp;T Technology Services Limited</t>
  </si>
  <si>
    <t>IT - Services</t>
  </si>
  <si>
    <t>INE061F01013</t>
  </si>
  <si>
    <t>Fortis Healthcare Ltd</t>
  </si>
  <si>
    <t>Healthcare Services</t>
  </si>
  <si>
    <t>INE047A01021</t>
  </si>
  <si>
    <t>Grasim Industries Ltd</t>
  </si>
  <si>
    <t>INE002A01018</t>
  </si>
  <si>
    <t>Reliance Industries Limited</t>
  </si>
  <si>
    <t>Petroleum Products</t>
  </si>
  <si>
    <t>INE044A01036</t>
  </si>
  <si>
    <t>Sun Pharmaceutical Industries Limited</t>
  </si>
  <si>
    <t>Pharmaceuticals &amp; Biotechnology</t>
  </si>
  <si>
    <t>INE881D01027</t>
  </si>
  <si>
    <t>Oracle Financial Services Software Ltd</t>
  </si>
  <si>
    <t>IT - Software</t>
  </si>
  <si>
    <t>INE018A01030</t>
  </si>
  <si>
    <t>Larsen &amp; Toubro Limited</t>
  </si>
  <si>
    <t>Construction</t>
  </si>
  <si>
    <t>INE237A01028</t>
  </si>
  <si>
    <t>Kotak Mahindra Bank Limited</t>
  </si>
  <si>
    <t>INE151A01013</t>
  </si>
  <si>
    <t>Tata Communications Limited</t>
  </si>
  <si>
    <t>INE256A01028</t>
  </si>
  <si>
    <t>Zee Entertainment Ent Ltd</t>
  </si>
  <si>
    <t>Entertainment</t>
  </si>
  <si>
    <t>INE00R701025</t>
  </si>
  <si>
    <t>Dalmia Bharat Limited</t>
  </si>
  <si>
    <t>INE066A01021</t>
  </si>
  <si>
    <t>Eicher Motors Ltd</t>
  </si>
  <si>
    <t>Automobiles</t>
  </si>
  <si>
    <t>INE140A01024</t>
  </si>
  <si>
    <t>Piramal Enterprises Limited</t>
  </si>
  <si>
    <t>Finance</t>
  </si>
  <si>
    <t>INPYEQPIPH01</t>
  </si>
  <si>
    <t>Piramal Pharma Limited</t>
  </si>
  <si>
    <t>N.A.</t>
  </si>
  <si>
    <t>INE424H01027</t>
  </si>
  <si>
    <t>SUN TV Network Limited</t>
  </si>
  <si>
    <t>INE042A01014</t>
  </si>
  <si>
    <t>Escorts Kubota Limited</t>
  </si>
  <si>
    <t>Agricultural, Commercial &amp; Construction Vehicles</t>
  </si>
  <si>
    <t>INE585B01010</t>
  </si>
  <si>
    <t>Maruti Suzuki India Limited</t>
  </si>
  <si>
    <t>INE795G01014</t>
  </si>
  <si>
    <t>HDFC Life Insurance Co Ltd</t>
  </si>
  <si>
    <t>INE323A01026</t>
  </si>
  <si>
    <t>Bosch Limited</t>
  </si>
  <si>
    <t>Auto Components</t>
  </si>
  <si>
    <t>INE545U01014</t>
  </si>
  <si>
    <t>Bandhan Bank Ltd.</t>
  </si>
  <si>
    <t>INE030A01027</t>
  </si>
  <si>
    <t>Hindustan Unilever Limited</t>
  </si>
  <si>
    <t>Diversified FMCG</t>
  </si>
  <si>
    <t>INE160A01022</t>
  </si>
  <si>
    <t>Punjab National Bank</t>
  </si>
  <si>
    <t>INE774D01024</t>
  </si>
  <si>
    <t>Mahindra &amp; Mahindra Financial Ser Ltd</t>
  </si>
  <si>
    <t>INE476A01014</t>
  </si>
  <si>
    <t>Canara Bank</t>
  </si>
  <si>
    <t>INE647A01010</t>
  </si>
  <si>
    <t>SRF Limited</t>
  </si>
  <si>
    <t>Chemicals &amp; Petrochemicals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</si>
  <si>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</si>
  <si>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</si>
  <si>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</si>
  <si>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</si>
  <si>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</si>
  <si>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</si>
  <si>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</si>
  <si>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</si>
  <si>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</si>
  <si>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</si>
  <si>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</si>
  <si>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</si>
  <si>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</si>
  <si>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</si>
  <si>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</si>
  <si>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</si>
  <si>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</si>
  <si>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INCBLO031022</t>
  </si>
  <si>
    <t>TREPS 03-Oct-2022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</si>
  <si>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</si>
  <si>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</si>
  <si>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</si>
  <si>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</si>
  <si>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</si>
  <si>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30 Sep 2022</t>
  </si>
  <si>
    <t>quant ESG Equity Fund - Growth - Direct Plan 22.0783</t>
  </si>
  <si>
    <t>quant ESG Equity Fund - IDCW - Direct Plan 22.0551</t>
  </si>
  <si>
    <t>quant ESG Equity Fund - Regular Plan - Growth 21.4924</t>
  </si>
  <si>
    <t>quant ESG Equity Fund - Regular Plan - IDCW 21.4228</t>
  </si>
  <si>
    <t>NAV as on 30 Aug 2022</t>
  </si>
  <si>
    <t>quant ESG Equity Fund - Growth - Direct Plan 21.9533</t>
  </si>
  <si>
    <t>quant ESG Equity Fund - IDCW - Direct Plan 21.9284</t>
  </si>
  <si>
    <t>quant ESG Equity Fund - Regular Plan - Growth 21.4054</t>
  </si>
  <si>
    <t>quant ESG Equity Fund - Regular Plan - IDCW 21.3368</t>
  </si>
  <si>
    <t>Dividend declared during the period  is NIL</t>
  </si>
  <si>
    <t>Bonus declared during the period is NIL</t>
  </si>
  <si>
    <t>Total outstanding exposure in derivatives instruments as on 30-Sep-2022 is NIL</t>
  </si>
  <si>
    <t>Total Investments in foreign securities/ADRs / GDRs as on  30-Sep-2022 is NIL</t>
  </si>
  <si>
    <t>The Portfolio Turnover Ratio is 0.24 times / The Average Maturity period is 0 Days</t>
  </si>
  <si>
    <t>The funds parked in short term deposit(s) as on 30-Sep-2022  were NIL</t>
  </si>
  <si>
    <r>
      <t xml:space="preserve">Weighted Average ESG Score for the portfolio as on 30-09-2022 is </t>
    </r>
    <r>
      <rPr>
        <b/>
        <sz val="11"/>
        <rFont val="Calibri"/>
        <family val="2"/>
      </rPr>
      <t>54.29</t>
    </r>
    <r>
      <rPr>
        <sz val="11"/>
        <rFont val="Calibri"/>
        <family val="2"/>
      </rPr>
      <t>. (ESG Score of Unrated Securities, TREPS / Reverse Repo Investments and Other Current Assets / (Liabilities) is considered as 0 for calculation of Weighted Average ESG Score.)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</si>
</sst>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66674</xdr:colOff>
      <xdr:row>0</xdr:row>
      <xdr:rowOff>38100</xdr:rowOff>
    </xdr:from>
    <xdr:to>
      <xdr:col>3</xdr:col>
      <xdr:colOff>1771649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199" y="38100"/>
          <a:ext cx="1704975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28575</xdr:rowOff>
    </xdr:from>
    <xdr:to>
      <xdr:col>5</xdr:col>
      <xdr:colOff>1895475</xdr:colOff>
      <xdr:row>4</xdr:row>
      <xdr:rowOff>28575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125075" y="28575"/>
          <a:ext cx="1790700" cy="914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search/Khushboo%20Meshri/Factsheets%20Monthly/Aug%2022/PORTFOLIO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Active"/>
      <sheetName val="qAF"/>
      <sheetName val="qESG"/>
      <sheetName val="qFF"/>
      <sheetName val="qFLEXI"/>
      <sheetName val="qIF"/>
      <sheetName val="qL&amp;MF"/>
      <sheetName val="qLF"/>
      <sheetName val="qMAF"/>
      <sheetName val="qMCF"/>
      <sheetName val="qMLC"/>
      <sheetName val="qMQM"/>
      <sheetName val="qSCF"/>
      <sheetName val="qTP"/>
      <sheetName val="qVF"/>
    </sheetNames>
    <sheetDataSet>
      <sheetData sheetId="0"/>
      <sheetData sheetId="1"/>
      <sheetData sheetId="2">
        <row r="11">
          <cell r="C11" t="str">
            <v>State Bank of India</v>
          </cell>
          <cell r="D11">
            <v>69.91</v>
          </cell>
        </row>
        <row r="12">
          <cell r="C12" t="str">
            <v>Bharti Airtel Limited</v>
          </cell>
          <cell r="D12">
            <v>39.83</v>
          </cell>
        </row>
        <row r="13">
          <cell r="C13" t="str">
            <v>ICICI Lombard General Insurance Company Ltd.</v>
          </cell>
          <cell r="D13">
            <v>74.290000000000006</v>
          </cell>
        </row>
        <row r="14">
          <cell r="C14" t="str">
            <v>Indian Hotels Co Ltd</v>
          </cell>
          <cell r="D14">
            <v>54.79</v>
          </cell>
        </row>
        <row r="15">
          <cell r="C15" t="str">
            <v>Adani Enterprises Limited</v>
          </cell>
          <cell r="D15">
            <v>53.35</v>
          </cell>
        </row>
        <row r="16">
          <cell r="C16" t="str">
            <v>Patanjali Foods Limited</v>
          </cell>
          <cell r="D16">
            <v>53.66</v>
          </cell>
        </row>
        <row r="17">
          <cell r="C17" t="str">
            <v>Tata Consumer Products Ltd</v>
          </cell>
          <cell r="D17">
            <v>61.08</v>
          </cell>
        </row>
        <row r="18">
          <cell r="C18" t="str">
            <v>Adani Ports &amp; Special Economic Zone Ltd</v>
          </cell>
          <cell r="D18">
            <v>51.85</v>
          </cell>
        </row>
        <row r="19">
          <cell r="C19" t="str">
            <v>Siemens Ltd</v>
          </cell>
          <cell r="D19">
            <v>33.35</v>
          </cell>
        </row>
        <row r="20">
          <cell r="C20" t="str">
            <v>Ambuja Cements Ltd</v>
          </cell>
          <cell r="D20">
            <v>41.340176581354775</v>
          </cell>
        </row>
        <row r="21">
          <cell r="C21" t="str">
            <v>Grasim Industries Ltd</v>
          </cell>
          <cell r="D21">
            <v>55.44</v>
          </cell>
        </row>
        <row r="22">
          <cell r="C22" t="str">
            <v>Fortis Healthcare Ltd</v>
          </cell>
          <cell r="D22">
            <v>40.24</v>
          </cell>
        </row>
        <row r="23">
          <cell r="C23" t="str">
            <v>Oracle Financial Services Software Ltd</v>
          </cell>
          <cell r="D23">
            <v>82.22</v>
          </cell>
        </row>
        <row r="24">
          <cell r="C24" t="str">
            <v>Larsen &amp; Toubro Limited</v>
          </cell>
          <cell r="D24">
            <v>48.16</v>
          </cell>
        </row>
        <row r="25">
          <cell r="C25" t="str">
            <v>Tata Communications Limited</v>
          </cell>
          <cell r="D25">
            <v>69.52</v>
          </cell>
        </row>
        <row r="26">
          <cell r="C26" t="str">
            <v>HFCL Limited</v>
          </cell>
          <cell r="D26">
            <v>37.06</v>
          </cell>
        </row>
        <row r="27">
          <cell r="C27" t="str">
            <v>Kotak Mahindra Bank Limited</v>
          </cell>
          <cell r="D27">
            <v>70.66</v>
          </cell>
        </row>
        <row r="28">
          <cell r="C28" t="str">
            <v>Piramal Enterprises Limited</v>
          </cell>
          <cell r="D28">
            <v>77.89</v>
          </cell>
        </row>
        <row r="29">
          <cell r="C29" t="str">
            <v>Piramal Pharma Limited</v>
          </cell>
          <cell r="D29">
            <v>0</v>
          </cell>
        </row>
        <row r="30">
          <cell r="C30" t="str">
            <v>SUN TV Network Limited</v>
          </cell>
          <cell r="D30">
            <v>55.1</v>
          </cell>
        </row>
        <row r="31">
          <cell r="C31" t="str">
            <v>Reliance Industries Limited</v>
          </cell>
          <cell r="D31">
            <v>39</v>
          </cell>
        </row>
        <row r="32">
          <cell r="C32" t="str">
            <v>HDFC Life Insurance Co Ltd</v>
          </cell>
          <cell r="D32">
            <v>83.7</v>
          </cell>
        </row>
        <row r="33">
          <cell r="C33" t="str">
            <v>Ashok Leyland Limited</v>
          </cell>
          <cell r="D33">
            <v>48.98</v>
          </cell>
        </row>
        <row r="34">
          <cell r="C34" t="str">
            <v>Maruti Suzuki India Limited</v>
          </cell>
          <cell r="D34">
            <v>64.3</v>
          </cell>
        </row>
        <row r="35">
          <cell r="C35" t="str">
            <v>Escorts Kubota Limited</v>
          </cell>
          <cell r="D35">
            <v>40.4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114"/>
  <sheetViews>
    <sheetView tabSelected="1" workbookViewId="0">
      <pane ySplit="6" topLeftCell="A7" activePane="bottomLeft" state="frozen"/>
      <selection pane="bottomLeft" activeCell="C5" sqref="C5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>
        <f>+VLOOKUP(C11,[1]qESG!$C$11:$D$35,2,0)</f>
        <v>51.85</v>
      </c>
      <c r="E11" s="8" t="s">
        <v>19</v>
      </c>
      <c r="F11" s="8">
        <v>110600</v>
      </c>
      <c r="G11" s="8">
        <v>907.64</v>
      </c>
      <c r="H11" s="9">
        <v>7.86</v>
      </c>
    </row>
    <row r="12" spans="1:8" ht="15.75" x14ac:dyDescent="0.25">
      <c r="A12" s="7">
        <v>2</v>
      </c>
      <c r="B12" s="8" t="s">
        <v>20</v>
      </c>
      <c r="C12" s="8" t="s">
        <v>21</v>
      </c>
      <c r="D12" s="8">
        <f>+VLOOKUP(C12,[1]qESG!$C$11:$D$35,2,0)</f>
        <v>69.91</v>
      </c>
      <c r="E12" s="8" t="s">
        <v>22</v>
      </c>
      <c r="F12" s="8">
        <v>151600</v>
      </c>
      <c r="G12" s="8">
        <v>804.39</v>
      </c>
      <c r="H12" s="9">
        <v>6.96</v>
      </c>
    </row>
    <row r="13" spans="1:8" ht="15.75" x14ac:dyDescent="0.25">
      <c r="A13" s="7">
        <v>3</v>
      </c>
      <c r="B13" s="8" t="s">
        <v>23</v>
      </c>
      <c r="C13" s="8" t="s">
        <v>24</v>
      </c>
      <c r="D13" s="8">
        <f>+VLOOKUP(C13,[1]qESG!$C$11:$D$35,2,0)</f>
        <v>39.83</v>
      </c>
      <c r="E13" s="8" t="s">
        <v>25</v>
      </c>
      <c r="F13" s="8">
        <v>98500</v>
      </c>
      <c r="G13" s="8">
        <v>787.9</v>
      </c>
      <c r="H13" s="9">
        <v>6.82</v>
      </c>
    </row>
    <row r="14" spans="1:8" ht="15.75" x14ac:dyDescent="0.25">
      <c r="A14" s="7">
        <v>4</v>
      </c>
      <c r="B14" s="8" t="s">
        <v>26</v>
      </c>
      <c r="C14" s="8" t="s">
        <v>27</v>
      </c>
      <c r="D14" s="8">
        <f>+VLOOKUP(C14,[1]qESG!$C$11:$D$35,2,0)</f>
        <v>54.79</v>
      </c>
      <c r="E14" s="8" t="s">
        <v>28</v>
      </c>
      <c r="F14" s="8">
        <v>222762</v>
      </c>
      <c r="G14" s="8">
        <v>738.9</v>
      </c>
      <c r="H14" s="9">
        <v>6.4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>
        <f>+VLOOKUP(C15,[1]qESG!$C$11:$D$35,2,0)</f>
        <v>53.66</v>
      </c>
      <c r="E15" s="8" t="s">
        <v>31</v>
      </c>
      <c r="F15" s="8">
        <v>46930</v>
      </c>
      <c r="G15" s="8">
        <v>645.73</v>
      </c>
      <c r="H15" s="9">
        <v>5.59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>
        <f>+VLOOKUP(C16,[1]qESG!$C$11:$D$35,2,0)</f>
        <v>74.290000000000006</v>
      </c>
      <c r="E16" s="8" t="s">
        <v>34</v>
      </c>
      <c r="F16" s="8">
        <v>49700</v>
      </c>
      <c r="G16" s="8">
        <v>572.12</v>
      </c>
      <c r="H16" s="9">
        <v>4.95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>
        <f>+VLOOKUP(C17,[1]qESG!$C$11:$D$35,2,0)</f>
        <v>61.08</v>
      </c>
      <c r="E17" s="8" t="s">
        <v>31</v>
      </c>
      <c r="F17" s="8">
        <v>69750</v>
      </c>
      <c r="G17" s="8">
        <v>559.99</v>
      </c>
      <c r="H17" s="9">
        <v>4.8499999999999996</v>
      </c>
    </row>
    <row r="18" spans="1:8" ht="15.75" x14ac:dyDescent="0.25">
      <c r="A18" s="7">
        <v>8</v>
      </c>
      <c r="B18" s="8" t="s">
        <v>37</v>
      </c>
      <c r="C18" s="8" t="s">
        <v>38</v>
      </c>
      <c r="D18" s="9">
        <f>+VLOOKUP(C18,[1]qESG!$C$11:$D$35,2,0)</f>
        <v>41.340176581354775</v>
      </c>
      <c r="E18" s="8" t="s">
        <v>39</v>
      </c>
      <c r="F18" s="8">
        <v>105000</v>
      </c>
      <c r="G18" s="8">
        <v>541.38</v>
      </c>
      <c r="H18" s="9">
        <v>4.6900000000000004</v>
      </c>
    </row>
    <row r="19" spans="1:8" ht="15.75" x14ac:dyDescent="0.25">
      <c r="A19" s="7">
        <v>9</v>
      </c>
      <c r="B19" s="8" t="s">
        <v>40</v>
      </c>
      <c r="C19" s="8" t="s">
        <v>41</v>
      </c>
      <c r="D19" s="9">
        <v>41.489166666666662</v>
      </c>
      <c r="E19" s="8" t="s">
        <v>42</v>
      </c>
      <c r="F19" s="8">
        <v>14000</v>
      </c>
      <c r="G19" s="8">
        <v>502.82</v>
      </c>
      <c r="H19" s="9">
        <v>4.3499999999999996</v>
      </c>
    </row>
    <row r="20" spans="1:8" ht="15.75" x14ac:dyDescent="0.25">
      <c r="A20" s="7">
        <v>10</v>
      </c>
      <c r="B20" s="8" t="s">
        <v>43</v>
      </c>
      <c r="C20" s="8" t="s">
        <v>44</v>
      </c>
      <c r="D20" s="8">
        <f>+VLOOKUP(C20,[1]qESG!$C$11:$D$35,2,0)</f>
        <v>40.24</v>
      </c>
      <c r="E20" s="8" t="s">
        <v>45</v>
      </c>
      <c r="F20" s="8">
        <v>177000</v>
      </c>
      <c r="G20" s="8">
        <v>467.63</v>
      </c>
      <c r="H20" s="9">
        <v>4.05</v>
      </c>
    </row>
    <row r="21" spans="1:8" ht="15.75" x14ac:dyDescent="0.25">
      <c r="A21" s="7">
        <v>11</v>
      </c>
      <c r="B21" s="8" t="s">
        <v>46</v>
      </c>
      <c r="C21" s="8" t="s">
        <v>47</v>
      </c>
      <c r="D21" s="8">
        <f>+VLOOKUP(C21,[1]qESG!$C$11:$D$35,2,0)</f>
        <v>55.44</v>
      </c>
      <c r="E21" s="8" t="s">
        <v>39</v>
      </c>
      <c r="F21" s="8">
        <v>27750</v>
      </c>
      <c r="G21" s="8">
        <v>464.77</v>
      </c>
      <c r="H21" s="9">
        <v>4.0199999999999996</v>
      </c>
    </row>
    <row r="22" spans="1:8" ht="15.75" x14ac:dyDescent="0.25">
      <c r="A22" s="7">
        <v>12</v>
      </c>
      <c r="B22" s="8" t="s">
        <v>48</v>
      </c>
      <c r="C22" s="8" t="s">
        <v>49</v>
      </c>
      <c r="D22" s="9">
        <f>+VLOOKUP(C22,[1]qESG!$C$11:$D$35,2,0)</f>
        <v>39</v>
      </c>
      <c r="E22" s="8" t="s">
        <v>50</v>
      </c>
      <c r="F22" s="8">
        <v>18950</v>
      </c>
      <c r="G22" s="8">
        <v>450.58</v>
      </c>
      <c r="H22" s="9">
        <v>3.9</v>
      </c>
    </row>
    <row r="23" spans="1:8" ht="15.75" x14ac:dyDescent="0.25">
      <c r="A23" s="7">
        <v>13</v>
      </c>
      <c r="B23" s="8" t="s">
        <v>51</v>
      </c>
      <c r="C23" s="8" t="s">
        <v>52</v>
      </c>
      <c r="D23" s="9">
        <v>57.699566290635595</v>
      </c>
      <c r="E23" s="8" t="s">
        <v>53</v>
      </c>
      <c r="F23" s="8">
        <v>43000</v>
      </c>
      <c r="G23" s="8">
        <v>407.92</v>
      </c>
      <c r="H23" s="9">
        <v>3.53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>
        <f>+VLOOKUP(C24,[1]qESG!$C$11:$D$35,2,0)</f>
        <v>82.22</v>
      </c>
      <c r="E24" s="8" t="s">
        <v>56</v>
      </c>
      <c r="F24" s="8">
        <v>13650</v>
      </c>
      <c r="G24" s="8">
        <v>407.11</v>
      </c>
      <c r="H24" s="9">
        <v>3.52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>
        <f>+VLOOKUP(C25,[1]qESG!$C$11:$D$35,2,0)</f>
        <v>48.16</v>
      </c>
      <c r="E25" s="8" t="s">
        <v>59</v>
      </c>
      <c r="F25" s="8">
        <v>20450</v>
      </c>
      <c r="G25" s="8">
        <v>377.85</v>
      </c>
      <c r="H25" s="9">
        <v>3.27</v>
      </c>
    </row>
    <row r="26" spans="1:8" ht="15.75" x14ac:dyDescent="0.25">
      <c r="A26" s="7">
        <v>16</v>
      </c>
      <c r="B26" s="8" t="s">
        <v>60</v>
      </c>
      <c r="C26" s="8" t="s">
        <v>61</v>
      </c>
      <c r="D26" s="8">
        <f>+VLOOKUP(C26,[1]qESG!$C$11:$D$35,2,0)</f>
        <v>70.66</v>
      </c>
      <c r="E26" s="8" t="s">
        <v>22</v>
      </c>
      <c r="F26" s="8">
        <v>18150</v>
      </c>
      <c r="G26" s="8">
        <v>330.18</v>
      </c>
      <c r="H26" s="9">
        <v>2.86</v>
      </c>
    </row>
    <row r="27" spans="1:8" ht="15.75" x14ac:dyDescent="0.25">
      <c r="A27" s="7">
        <v>17</v>
      </c>
      <c r="B27" s="8" t="s">
        <v>62</v>
      </c>
      <c r="C27" s="8" t="s">
        <v>63</v>
      </c>
      <c r="D27" s="8">
        <f>+VLOOKUP(C27,[1]qESG!$C$11:$D$35,2,0)</f>
        <v>69.52</v>
      </c>
      <c r="E27" s="8" t="s">
        <v>25</v>
      </c>
      <c r="F27" s="8">
        <v>28530</v>
      </c>
      <c r="G27" s="8">
        <v>328.32</v>
      </c>
      <c r="H27" s="9">
        <v>2.84</v>
      </c>
    </row>
    <row r="28" spans="1:8" ht="15.75" x14ac:dyDescent="0.25">
      <c r="A28" s="7">
        <v>18</v>
      </c>
      <c r="B28" s="8" t="s">
        <v>64</v>
      </c>
      <c r="C28" s="8" t="s">
        <v>65</v>
      </c>
      <c r="D28" s="9">
        <v>53.866047954979777</v>
      </c>
      <c r="E28" s="8" t="s">
        <v>66</v>
      </c>
      <c r="F28" s="8">
        <v>120000</v>
      </c>
      <c r="G28" s="8">
        <v>309.77999999999997</v>
      </c>
      <c r="H28" s="9">
        <v>2.68</v>
      </c>
    </row>
    <row r="29" spans="1:8" ht="15.75" x14ac:dyDescent="0.25">
      <c r="A29" s="7">
        <v>19</v>
      </c>
      <c r="B29" s="8" t="s">
        <v>67</v>
      </c>
      <c r="C29" s="8" t="s">
        <v>68</v>
      </c>
      <c r="D29" s="9">
        <v>38.677983458100584</v>
      </c>
      <c r="E29" s="8" t="s">
        <v>39</v>
      </c>
      <c r="F29" s="8">
        <v>19000</v>
      </c>
      <c r="G29" s="8">
        <v>303.62</v>
      </c>
      <c r="H29" s="9">
        <v>2.63</v>
      </c>
    </row>
    <row r="30" spans="1:8" ht="15.75" x14ac:dyDescent="0.25">
      <c r="A30" s="7">
        <v>20</v>
      </c>
      <c r="B30" s="8" t="s">
        <v>69</v>
      </c>
      <c r="C30" s="8" t="s">
        <v>70</v>
      </c>
      <c r="D30" s="9">
        <v>45.85470183276577</v>
      </c>
      <c r="E30" s="8" t="s">
        <v>71</v>
      </c>
      <c r="F30" s="8">
        <v>8000</v>
      </c>
      <c r="G30" s="8">
        <v>293.73</v>
      </c>
      <c r="H30" s="9">
        <v>2.54</v>
      </c>
    </row>
    <row r="31" spans="1:8" ht="15.75" x14ac:dyDescent="0.25">
      <c r="A31" s="7">
        <v>21</v>
      </c>
      <c r="B31" s="8" t="s">
        <v>72</v>
      </c>
      <c r="C31" s="8" t="s">
        <v>73</v>
      </c>
      <c r="D31" s="8">
        <f>+VLOOKUP(C31,[1]qESG!$C$11:$D$35,2,0)</f>
        <v>77.89</v>
      </c>
      <c r="E31" s="8" t="s">
        <v>74</v>
      </c>
      <c r="F31" s="8">
        <v>25375</v>
      </c>
      <c r="G31" s="8">
        <v>219.3</v>
      </c>
      <c r="H31" s="9">
        <v>1.9</v>
      </c>
    </row>
    <row r="32" spans="1:8" ht="15.75" x14ac:dyDescent="0.25">
      <c r="A32" s="7">
        <v>22</v>
      </c>
      <c r="B32" s="8" t="s">
        <v>75</v>
      </c>
      <c r="C32" s="8" t="s">
        <v>76</v>
      </c>
      <c r="D32" s="8">
        <f>+VLOOKUP(C32,[1]qESG!$C$11:$D$35,2,0)</f>
        <v>0</v>
      </c>
      <c r="E32" s="8" t="s">
        <v>77</v>
      </c>
      <c r="F32" s="8">
        <v>101500</v>
      </c>
      <c r="G32" s="8">
        <v>218.97</v>
      </c>
      <c r="H32" s="9">
        <v>1.9</v>
      </c>
    </row>
    <row r="33" spans="1:8" ht="15.75" x14ac:dyDescent="0.25">
      <c r="A33" s="7">
        <v>23</v>
      </c>
      <c r="B33" s="8" t="s">
        <v>78</v>
      </c>
      <c r="C33" s="8" t="s">
        <v>79</v>
      </c>
      <c r="D33" s="9">
        <f>+VLOOKUP(C33,[1]qESG!$C$11:$D$35,2,0)</f>
        <v>55.1</v>
      </c>
      <c r="E33" s="8" t="s">
        <v>66</v>
      </c>
      <c r="F33" s="8">
        <v>42000</v>
      </c>
      <c r="G33" s="8">
        <v>213.72</v>
      </c>
      <c r="H33" s="9">
        <v>1.85</v>
      </c>
    </row>
    <row r="34" spans="1:8" ht="15.75" x14ac:dyDescent="0.25">
      <c r="A34" s="7">
        <v>24</v>
      </c>
      <c r="B34" s="8" t="s">
        <v>80</v>
      </c>
      <c r="C34" s="8" t="s">
        <v>81</v>
      </c>
      <c r="D34" s="9">
        <f>+VLOOKUP(C34,[1]qESG!$C$11:$D$35,2,0)</f>
        <v>40.4</v>
      </c>
      <c r="E34" s="8" t="s">
        <v>82</v>
      </c>
      <c r="F34" s="8">
        <v>7000</v>
      </c>
      <c r="G34" s="8">
        <v>148.94999999999999</v>
      </c>
      <c r="H34" s="9">
        <v>1.29</v>
      </c>
    </row>
    <row r="35" spans="1:8" ht="15.75" x14ac:dyDescent="0.25">
      <c r="A35" s="7">
        <v>25</v>
      </c>
      <c r="B35" s="8" t="s">
        <v>83</v>
      </c>
      <c r="C35" s="8" t="s">
        <v>84</v>
      </c>
      <c r="D35" s="9">
        <f>+VLOOKUP(C35,[1]qESG!$C$11:$D$35,2,0)</f>
        <v>64.3</v>
      </c>
      <c r="E35" s="8" t="s">
        <v>71</v>
      </c>
      <c r="F35" s="8">
        <v>1600</v>
      </c>
      <c r="G35" s="8">
        <v>141.25</v>
      </c>
      <c r="H35" s="9">
        <v>1.22</v>
      </c>
    </row>
    <row r="36" spans="1:8" ht="15.75" x14ac:dyDescent="0.25">
      <c r="A36" s="7">
        <v>26</v>
      </c>
      <c r="B36" s="8" t="s">
        <v>85</v>
      </c>
      <c r="C36" s="8" t="s">
        <v>86</v>
      </c>
      <c r="D36" s="9">
        <f>+VLOOKUP(C36,[1]qESG!$C$11:$D$35,2,0)</f>
        <v>83.7</v>
      </c>
      <c r="E36" s="8" t="s">
        <v>34</v>
      </c>
      <c r="F36" s="8">
        <v>25000</v>
      </c>
      <c r="G36" s="8">
        <v>132.61000000000001</v>
      </c>
      <c r="H36" s="9">
        <v>1.1499999999999999</v>
      </c>
    </row>
    <row r="37" spans="1:8" ht="15.75" x14ac:dyDescent="0.25">
      <c r="A37" s="7">
        <v>27</v>
      </c>
      <c r="B37" s="8" t="s">
        <v>87</v>
      </c>
      <c r="C37" s="8" t="s">
        <v>88</v>
      </c>
      <c r="D37" s="9">
        <v>43.198389495884605</v>
      </c>
      <c r="E37" s="8" t="s">
        <v>89</v>
      </c>
      <c r="F37" s="8">
        <v>800</v>
      </c>
      <c r="G37" s="8">
        <v>126.52</v>
      </c>
      <c r="H37" s="9">
        <v>1.1000000000000001</v>
      </c>
    </row>
    <row r="38" spans="1:8" ht="15.75" x14ac:dyDescent="0.25">
      <c r="A38" s="7">
        <v>28</v>
      </c>
      <c r="B38" s="8" t="s">
        <v>90</v>
      </c>
      <c r="C38" s="8" t="s">
        <v>91</v>
      </c>
      <c r="D38" s="9">
        <v>62.707160532333333</v>
      </c>
      <c r="E38" s="8" t="s">
        <v>22</v>
      </c>
      <c r="F38" s="8">
        <v>20000</v>
      </c>
      <c r="G38" s="8">
        <v>53.32</v>
      </c>
      <c r="H38" s="9">
        <v>0.46</v>
      </c>
    </row>
    <row r="39" spans="1:8" ht="15.75" x14ac:dyDescent="0.25">
      <c r="A39" s="7">
        <v>29</v>
      </c>
      <c r="B39" s="8" t="s">
        <v>92</v>
      </c>
      <c r="C39" s="8" t="s">
        <v>93</v>
      </c>
      <c r="D39" s="9">
        <v>64.317627349351639</v>
      </c>
      <c r="E39" s="8" t="s">
        <v>94</v>
      </c>
      <c r="F39" s="8">
        <v>1500</v>
      </c>
      <c r="G39" s="8">
        <v>40.450000000000003</v>
      </c>
      <c r="H39" s="9">
        <v>0.35</v>
      </c>
    </row>
    <row r="40" spans="1:8" ht="15.75" x14ac:dyDescent="0.25">
      <c r="A40" s="7">
        <v>30</v>
      </c>
      <c r="B40" s="8" t="s">
        <v>95</v>
      </c>
      <c r="C40" s="8" t="s">
        <v>96</v>
      </c>
      <c r="D40" s="9">
        <v>70.760734327320606</v>
      </c>
      <c r="E40" s="8" t="s">
        <v>22</v>
      </c>
      <c r="F40" s="8">
        <v>80000</v>
      </c>
      <c r="G40" s="8">
        <v>29.24</v>
      </c>
      <c r="H40" s="9">
        <v>0.25</v>
      </c>
    </row>
    <row r="41" spans="1:8" ht="15.75" x14ac:dyDescent="0.25">
      <c r="A41" s="7">
        <v>31</v>
      </c>
      <c r="B41" s="8" t="s">
        <v>97</v>
      </c>
      <c r="C41" s="8" t="s">
        <v>98</v>
      </c>
      <c r="D41" s="9">
        <v>69.883032050236665</v>
      </c>
      <c r="E41" s="8" t="s">
        <v>74</v>
      </c>
      <c r="F41" s="8">
        <v>14000</v>
      </c>
      <c r="G41" s="8">
        <v>25.94</v>
      </c>
      <c r="H41" s="9">
        <v>0.22</v>
      </c>
    </row>
    <row r="42" spans="1:8" ht="15.75" x14ac:dyDescent="0.25">
      <c r="A42" s="7">
        <v>32</v>
      </c>
      <c r="B42" s="8" t="s">
        <v>99</v>
      </c>
      <c r="C42" s="8" t="s">
        <v>100</v>
      </c>
      <c r="D42" s="9">
        <v>78.651821584202324</v>
      </c>
      <c r="E42" s="8" t="s">
        <v>22</v>
      </c>
      <c r="F42" s="8">
        <v>6000</v>
      </c>
      <c r="G42" s="8">
        <v>13.73</v>
      </c>
      <c r="H42" s="9">
        <v>0.12</v>
      </c>
    </row>
    <row r="43" spans="1:8" ht="15.75" x14ac:dyDescent="0.25">
      <c r="A43" s="7">
        <v>33</v>
      </c>
      <c r="B43" s="8" t="s">
        <v>101</v>
      </c>
      <c r="C43" s="8" t="s">
        <v>102</v>
      </c>
      <c r="D43" s="9">
        <v>53.077573826911596</v>
      </c>
      <c r="E43" s="8" t="s">
        <v>103</v>
      </c>
      <c r="F43" s="8">
        <v>500</v>
      </c>
      <c r="G43" s="8">
        <v>12.52</v>
      </c>
      <c r="H43" s="9">
        <v>0.11</v>
      </c>
    </row>
    <row r="44" spans="1:8" ht="15.75" x14ac:dyDescent="0.25">
      <c r="A44" s="4"/>
      <c r="B44" s="5" t="s">
        <v>4</v>
      </c>
      <c r="C44" s="5" t="s">
        <v>104</v>
      </c>
      <c r="D44" s="6">
        <f>+SUMPRODUCT(D11:D43,H11:H43)/100</f>
        <v>54.292636140484412</v>
      </c>
      <c r="E44" s="5" t="s">
        <v>4</v>
      </c>
      <c r="F44" s="5" t="s">
        <v>4</v>
      </c>
      <c r="G44" s="5">
        <v>11578.89</v>
      </c>
      <c r="H44" s="6">
        <v>100.25</v>
      </c>
    </row>
    <row r="45" spans="1:8" ht="15.75" x14ac:dyDescent="0.25">
      <c r="A45" s="4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105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104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106</v>
      </c>
      <c r="D48" s="5" t="s">
        <v>4</v>
      </c>
      <c r="E48" s="5" t="s">
        <v>4</v>
      </c>
      <c r="F48" s="5" t="s">
        <v>4</v>
      </c>
      <c r="G48" s="5">
        <v>11578.89</v>
      </c>
      <c r="H48" s="6">
        <v>100.25</v>
      </c>
    </row>
    <row r="49" spans="1:8" ht="15.75" x14ac:dyDescent="0.25">
      <c r="A49" s="4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107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108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104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109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104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106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110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111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104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112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104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113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104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106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114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115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104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116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104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117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104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106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118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119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104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120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7">
        <v>34</v>
      </c>
      <c r="B85" s="8" t="s">
        <v>121</v>
      </c>
      <c r="C85" s="8" t="s">
        <v>122</v>
      </c>
      <c r="D85" s="8" t="s">
        <v>77</v>
      </c>
      <c r="E85" s="8" t="s">
        <v>77</v>
      </c>
      <c r="F85" s="8">
        <v>948</v>
      </c>
      <c r="G85" s="8">
        <v>94.77</v>
      </c>
      <c r="H85" s="9">
        <v>0.82</v>
      </c>
    </row>
    <row r="86" spans="1:8" ht="15.75" x14ac:dyDescent="0.25">
      <c r="A86" s="4"/>
      <c r="B86" s="5" t="s">
        <v>4</v>
      </c>
      <c r="C86" s="5" t="s">
        <v>104</v>
      </c>
      <c r="D86" s="5" t="s">
        <v>4</v>
      </c>
      <c r="E86" s="5" t="s">
        <v>4</v>
      </c>
      <c r="F86" s="5" t="s">
        <v>4</v>
      </c>
      <c r="G86" s="5">
        <v>94.77</v>
      </c>
      <c r="H86" s="6">
        <v>0.82</v>
      </c>
    </row>
    <row r="87" spans="1:8" ht="15.75" x14ac:dyDescent="0.25">
      <c r="A87" s="4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123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7">
        <v>35</v>
      </c>
      <c r="B89" s="8" t="s">
        <v>4</v>
      </c>
      <c r="C89" s="8" t="s">
        <v>124</v>
      </c>
      <c r="D89" s="8" t="s">
        <v>77</v>
      </c>
      <c r="E89" s="8" t="s">
        <v>77</v>
      </c>
      <c r="F89" s="8" t="s">
        <v>4</v>
      </c>
      <c r="G89" s="8">
        <v>-123.11</v>
      </c>
      <c r="H89" s="9">
        <v>-1.07</v>
      </c>
    </row>
    <row r="90" spans="1:8" ht="15.75" x14ac:dyDescent="0.25">
      <c r="A90" s="4"/>
      <c r="B90" s="5" t="s">
        <v>4</v>
      </c>
      <c r="C90" s="5" t="s">
        <v>104</v>
      </c>
      <c r="D90" s="5" t="s">
        <v>4</v>
      </c>
      <c r="E90" s="5" t="s">
        <v>4</v>
      </c>
      <c r="F90" s="5" t="s">
        <v>4</v>
      </c>
      <c r="G90" s="5">
        <v>-123.11</v>
      </c>
      <c r="H90" s="6">
        <v>-1.07</v>
      </c>
    </row>
    <row r="91" spans="1:8" ht="15.75" x14ac:dyDescent="0.25">
      <c r="A91" s="4"/>
      <c r="B91" s="5" t="s">
        <v>4</v>
      </c>
      <c r="C91" s="5" t="s">
        <v>106</v>
      </c>
      <c r="D91" s="5" t="s">
        <v>4</v>
      </c>
      <c r="E91" s="5" t="s">
        <v>4</v>
      </c>
      <c r="F91" s="5" t="s">
        <v>4</v>
      </c>
      <c r="G91" s="5">
        <v>-28.34</v>
      </c>
      <c r="H91" s="6">
        <v>-0.25</v>
      </c>
    </row>
    <row r="92" spans="1:8" ht="15.75" x14ac:dyDescent="0.25">
      <c r="A92" s="4"/>
      <c r="B92" s="5" t="s">
        <v>4</v>
      </c>
      <c r="C92" s="5" t="s">
        <v>125</v>
      </c>
      <c r="D92" s="5" t="s">
        <v>4</v>
      </c>
      <c r="E92" s="5" t="s">
        <v>4</v>
      </c>
      <c r="F92" s="5" t="s">
        <v>4</v>
      </c>
      <c r="G92" s="5">
        <v>11550.55</v>
      </c>
      <c r="H92" s="5">
        <v>100</v>
      </c>
    </row>
    <row r="95" spans="1:8" ht="15.75" x14ac:dyDescent="0.25">
      <c r="A95" s="1" t="s">
        <v>4</v>
      </c>
      <c r="B95" s="10" t="s">
        <v>126</v>
      </c>
    </row>
    <row r="96" spans="1:8" x14ac:dyDescent="0.25">
      <c r="A96" s="1" t="s">
        <v>4</v>
      </c>
      <c r="B96" t="s">
        <v>4</v>
      </c>
    </row>
    <row r="97" spans="1:2" x14ac:dyDescent="0.25">
      <c r="A97" s="1">
        <v>1</v>
      </c>
      <c r="B97" t="s">
        <v>127</v>
      </c>
    </row>
    <row r="98" spans="1:2" x14ac:dyDescent="0.25">
      <c r="A98" s="1">
        <v>2</v>
      </c>
      <c r="B98" t="s">
        <v>128</v>
      </c>
    </row>
    <row r="99" spans="1:2" x14ac:dyDescent="0.25">
      <c r="A99" s="1" t="s">
        <v>4</v>
      </c>
      <c r="B99" t="s">
        <v>129</v>
      </c>
    </row>
    <row r="100" spans="1:2" x14ac:dyDescent="0.25">
      <c r="A100" s="1" t="s">
        <v>4</v>
      </c>
      <c r="B100" t="s">
        <v>130</v>
      </c>
    </row>
    <row r="101" spans="1:2" x14ac:dyDescent="0.25">
      <c r="A101" s="1" t="s">
        <v>4</v>
      </c>
      <c r="B101" t="s">
        <v>131</v>
      </c>
    </row>
    <row r="102" spans="1:2" x14ac:dyDescent="0.25">
      <c r="A102" s="1" t="s">
        <v>4</v>
      </c>
      <c r="B102" t="s">
        <v>132</v>
      </c>
    </row>
    <row r="103" spans="1:2" x14ac:dyDescent="0.25">
      <c r="A103" s="1">
        <v>3</v>
      </c>
      <c r="B103" t="s">
        <v>133</v>
      </c>
    </row>
    <row r="104" spans="1:2" x14ac:dyDescent="0.25">
      <c r="A104" s="1" t="s">
        <v>4</v>
      </c>
      <c r="B104" t="s">
        <v>134</v>
      </c>
    </row>
    <row r="105" spans="1:2" x14ac:dyDescent="0.25">
      <c r="A105" s="1" t="s">
        <v>4</v>
      </c>
      <c r="B105" t="s">
        <v>135</v>
      </c>
    </row>
    <row r="106" spans="1:2" x14ac:dyDescent="0.25">
      <c r="A106" s="1" t="s">
        <v>4</v>
      </c>
      <c r="B106" t="s">
        <v>136</v>
      </c>
    </row>
    <row r="107" spans="1:2" x14ac:dyDescent="0.25">
      <c r="A107" s="1" t="s">
        <v>4</v>
      </c>
      <c r="B107" t="s">
        <v>137</v>
      </c>
    </row>
    <row r="108" spans="1:2" x14ac:dyDescent="0.25">
      <c r="A108" s="1">
        <v>4</v>
      </c>
      <c r="B108" t="s">
        <v>138</v>
      </c>
    </row>
    <row r="109" spans="1:2" x14ac:dyDescent="0.25">
      <c r="A109" s="1">
        <v>5</v>
      </c>
      <c r="B109" t="s">
        <v>139</v>
      </c>
    </row>
    <row r="110" spans="1:2" x14ac:dyDescent="0.25">
      <c r="A110" s="1">
        <v>6</v>
      </c>
      <c r="B110" t="s">
        <v>140</v>
      </c>
    </row>
    <row r="111" spans="1:2" x14ac:dyDescent="0.25">
      <c r="A111" s="1">
        <v>7</v>
      </c>
      <c r="B111" t="s">
        <v>141</v>
      </c>
    </row>
    <row r="112" spans="1:2" x14ac:dyDescent="0.25">
      <c r="A112" s="1">
        <v>8</v>
      </c>
      <c r="B112" t="s">
        <v>142</v>
      </c>
    </row>
    <row r="113" spans="1:2" x14ac:dyDescent="0.25">
      <c r="A113" s="1">
        <v>9</v>
      </c>
      <c r="B113" t="s">
        <v>143</v>
      </c>
    </row>
    <row r="114" spans="1:2" x14ac:dyDescent="0.25">
      <c r="A114" s="1">
        <v>10</v>
      </c>
      <c r="B114" s="11" t="s">
        <v>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qESG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Sagar Shah</cp:lastModifiedBy>
  <dcterms:created xsi:type="dcterms:W3CDTF">2022-10-04T05:48:29Z</dcterms:created>
  <dcterms:modified xsi:type="dcterms:W3CDTF">2022-10-04T12:10:09Z</dcterms:modified>
</cp:coreProperties>
</file>