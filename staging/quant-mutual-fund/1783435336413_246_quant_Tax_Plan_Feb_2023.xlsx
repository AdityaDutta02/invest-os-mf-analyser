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TP" sheetId="1" r:id="rId1"/>
  </sheets>
  <calcPr calcId="144525"/>
</workbook>
</file>

<file path=xl/calcChain.xml><?xml version="1.0" encoding="utf-8"?>
<calcChain xmlns="http://schemas.openxmlformats.org/spreadsheetml/2006/main">
  <c r="G97" i="1" l="1"/>
  <c r="G53" i="1"/>
</calcChain>
</file>

<file path=xl/sharedStrings.xml><?xml version="1.0" encoding="utf-8"?>
<sst xmlns="http://schemas.openxmlformats.org/spreadsheetml/2006/main" count="601" uniqueCount="201">
  <si>
    <t>quant Mutual Fund</t>
  </si>
  <si>
    <t>quant Tax Plan</t>
  </si>
  <si>
    <t xml:space="preserve"> </t>
  </si>
  <si>
    <t>MONTHLY PORTFOLIO STATEMENT AS ON 28 Feb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</si>
  <si>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</si>
  <si>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</si>
  <si>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</si>
  <si>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</si>
  <si>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</si>
  <si>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</si>
  <si>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</si>
  <si>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</si>
  <si>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</si>
  <si>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</si>
  <si>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</si>
  <si>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</si>
  <si>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</si>
  <si>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</si>
  <si>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</si>
  <si>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</si>
  <si>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</si>
  <si>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</si>
  <si>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</si>
  <si>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</si>
  <si>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INE040A01034</t>
  </si>
  <si>
    <t>HDFC Bank Limited</t>
  </si>
  <si>
    <t>Banks</t>
  </si>
  <si>
    <t>INE062A01020</t>
  </si>
  <si>
    <t>State Bank of India</t>
  </si>
  <si>
    <t>INE018A01030</t>
  </si>
  <si>
    <t>Larsen &amp; Toubro Limited</t>
  </si>
  <si>
    <t>Construction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</si>
  <si>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</si>
  <si>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</si>
  <si>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</si>
  <si>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</si>
  <si>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</si>
  <si>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</si>
  <si>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INE214T01019</t>
  </si>
  <si>
    <t>LTIMindtree Limited</t>
  </si>
  <si>
    <t>IT - Software</t>
  </si>
  <si>
    <t>INE160A01022</t>
  </si>
  <si>
    <t>Punjab National Bank</t>
  </si>
  <si>
    <t>INE619A01035</t>
  </si>
  <si>
    <t>Patanjali Foods Limited</t>
  </si>
  <si>
    <t>Agricultural Food &amp; other Products</t>
  </si>
  <si>
    <t>INE075A01022</t>
  </si>
  <si>
    <t>Wipro Ltd</t>
  </si>
  <si>
    <t>INE053A01029</t>
  </si>
  <si>
    <t>Indian Hotels Co Ltd</t>
  </si>
  <si>
    <t>Leisure Services</t>
  </si>
  <si>
    <t>INE0J1Y01017</t>
  </si>
  <si>
    <t>Life Insurance Corporation Of India</t>
  </si>
  <si>
    <t>Insurance</t>
  </si>
  <si>
    <t>INE821I01022</t>
  </si>
  <si>
    <t>IRB Infrastructure Developers Limited</t>
  </si>
  <si>
    <t>INE038A01020</t>
  </si>
  <si>
    <t>Hindalco Industries Limited</t>
  </si>
  <si>
    <t>Non - Ferrous Metals</t>
  </si>
  <si>
    <t>INE129A01019</t>
  </si>
  <si>
    <t>GAIL (India) Limited</t>
  </si>
  <si>
    <t>Gas</t>
  </si>
  <si>
    <t>INE670K01029</t>
  </si>
  <si>
    <t>Macrotech Developers Limited</t>
  </si>
  <si>
    <t>Realty</t>
  </si>
  <si>
    <t>INE029A01011</t>
  </si>
  <si>
    <t>Bharat Petroleum Corp Ltd</t>
  </si>
  <si>
    <t>INE692A01016</t>
  </si>
  <si>
    <t>Union Bank of India</t>
  </si>
  <si>
    <t>INE220G01021</t>
  </si>
  <si>
    <t>Jindal Stainless Limited</t>
  </si>
  <si>
    <t>Ferrous Metals</t>
  </si>
  <si>
    <t>INE123W01016</t>
  </si>
  <si>
    <t>SBI Life Insurance Company Limited</t>
  </si>
  <si>
    <t>INE473A01011</t>
  </si>
  <si>
    <t>Linde India Ltd.</t>
  </si>
  <si>
    <t>Chemicals &amp; Petrochemicals</t>
  </si>
  <si>
    <t>INE155A01022</t>
  </si>
  <si>
    <t>Tata Motors Limited</t>
  </si>
  <si>
    <t>Automobiles</t>
  </si>
  <si>
    <t>INE192A01025</t>
  </si>
  <si>
    <t>Tata Consumer Products Ltd</t>
  </si>
  <si>
    <t>INE00E101023</t>
  </si>
  <si>
    <t>Bikaji Foods International Limited</t>
  </si>
  <si>
    <t>Food Products</t>
  </si>
  <si>
    <t>INE151A01013</t>
  </si>
  <si>
    <t>Tata Communications Limited</t>
  </si>
  <si>
    <t>Telecom - Services</t>
  </si>
  <si>
    <t>INE628A01036</t>
  </si>
  <si>
    <t>UPL Limited</t>
  </si>
  <si>
    <t>Fertilizers &amp; Agrochemicals</t>
  </si>
  <si>
    <t>INE134E01011</t>
  </si>
  <si>
    <t>Power Finance Corporation Ltd.</t>
  </si>
  <si>
    <t>Finance</t>
  </si>
  <si>
    <t>INE548A01028</t>
  </si>
  <si>
    <t>HFCL Limited</t>
  </si>
  <si>
    <t>INE886H01027</t>
  </si>
  <si>
    <t>TV18 Broadcast Ltd</t>
  </si>
  <si>
    <t>Entertainment</t>
  </si>
  <si>
    <t>INE531E01026</t>
  </si>
  <si>
    <t>Hindustan Copper Limited</t>
  </si>
  <si>
    <t>INE854D01024</t>
  </si>
  <si>
    <t>United Spirits Limited</t>
  </si>
  <si>
    <t>Beverages</t>
  </si>
  <si>
    <t>INE142Q01026</t>
  </si>
  <si>
    <t>Sula Vineyards Limited</t>
  </si>
  <si>
    <t>INE366I01010</t>
  </si>
  <si>
    <t>VRL Logistics Limited</t>
  </si>
  <si>
    <t>Transport Services</t>
  </si>
  <si>
    <t>INE208C01025</t>
  </si>
  <si>
    <t>Aegis Logistics Limited</t>
  </si>
  <si>
    <t>INE042A01014</t>
  </si>
  <si>
    <t>Escorts Kubota Limited</t>
  </si>
  <si>
    <t>Agricultural, Commercial &amp; Construction Vehicles</t>
  </si>
  <si>
    <t>INE749A01030</t>
  </si>
  <si>
    <t>Jindal Steel &amp; Power Ltd</t>
  </si>
  <si>
    <t>INE061F01013</t>
  </si>
  <si>
    <t>Fortis Healthcare Ltd</t>
  </si>
  <si>
    <t>Healthcare Services</t>
  </si>
  <si>
    <t>INE323A01026</t>
  </si>
  <si>
    <t>Bosch Limited</t>
  </si>
  <si>
    <t>Auto Components</t>
  </si>
  <si>
    <t>INE114A01011</t>
  </si>
  <si>
    <t>Steel Authority of India Ltd</t>
  </si>
  <si>
    <t>INE124G01033</t>
  </si>
  <si>
    <t>Delta Corp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</si>
  <si>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</si>
  <si>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</si>
  <si>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</si>
  <si>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</si>
  <si>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</si>
  <si>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</si>
  <si>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</si>
  <si>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</si>
  <si>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</si>
  <si>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</si>
  <si>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</si>
  <si>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</si>
  <si>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</si>
  <si>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</si>
  <si>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</si>
  <si>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</si>
  <si>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</si>
  <si>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INCBLO010323</t>
  </si>
  <si>
    <t>TREPS 01-Mar-2023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</si>
  <si>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</si>
  <si>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</si>
  <si>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</si>
  <si>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</si>
  <si>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</si>
  <si>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28/02/2023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</si>
  <si>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</si>
  <si>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</si>
  <si>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</si>
  <si>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</si>
  <si>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</si>
  <si>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</si>
  <si>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28/02/2023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</si>
  <si>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</si>
  <si>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</si>
  <si>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</si>
  <si>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</si>
  <si>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</si>
  <si>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</si>
  <si>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</si>
  <si>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28/02/2023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</si>
  <si>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</si>
  <si>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</si>
  <si>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</si>
  <si>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</si>
  <si>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</si>
  <si>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</si>
  <si>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</si>
  <si>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</si>
  <si>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</si>
  <si>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</si>
  <si>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</si>
  <si>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</si>
  <si>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</si>
  <si>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</si>
  <si>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</si>
  <si>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28/02/2023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</si>
  <si>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</si>
  <si>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</si>
  <si>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</si>
  <si>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Feb 2023</t>
  </si>
  <si>
    <t>quant Tax Plan - Growth - Direct Plan 242.064</t>
  </si>
  <si>
    <t>quant Tax Plan - Growth 222.13</t>
  </si>
  <si>
    <t>quant Tax Plan - IDCW - Direct Plan 32.2675</t>
  </si>
  <si>
    <t>quant Tax Plan - IDCW 30.8446</t>
  </si>
  <si>
    <t>NAV as on 31 Jan 2023</t>
  </si>
  <si>
    <t>quant Tax Plan - Growth - Direct Plan 254.235</t>
  </si>
  <si>
    <t>quant Tax Plan - Growth 233.497</t>
  </si>
  <si>
    <t>quant Tax Plan - IDCW - Direct Plan 33.8899</t>
  </si>
  <si>
    <t>quant Tax Plan - IDCW 32.4137</t>
  </si>
  <si>
    <t>Dividend declared during the period  is NIL</t>
  </si>
  <si>
    <t>Bonus declared during the period is NIL</t>
  </si>
  <si>
    <t>Total outstanding exposure in derivatives instruments as on 28-Feb-2023 is NIL</t>
  </si>
  <si>
    <t>Total Investments in foreign securities/ADRs / GDRs as on  28-Feb-2023 is NIL</t>
  </si>
  <si>
    <t>The Portfolio Turnover Ratio is 0.91 times / The Average Maturity period is 0 Days</t>
  </si>
  <si>
    <t>The funds parked in short term deposit(s) as on 28-Feb-2023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</si>
</sst>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673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441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tabSelected="1" workbookViewId="0">
      <pane ySplit="6" topLeftCell="A7" activePane="bottomLeft" state="frozen"/>
      <selection pane="bottomLeft" activeCell="E35" sqref="E35"/>
    </sheetView>
  </sheetViews>
  <sheetFormatPr defaultRowHeight="15" x14ac:dyDescent="0.25"/>
  <cols>
    <col min="1" max="1" width="9.140625" style="1" customWidth="1"/>
    <col min="2" max="2" width="16.42578125" customWidth="1"/>
    <col min="3" max="3" width="49.425781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7141134</v>
      </c>
      <c r="G11" s="8">
        <v>26900.65</v>
      </c>
      <c r="H11" s="9">
        <v>9.68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1078600</v>
      </c>
      <c r="G12" s="8">
        <v>25051.02</v>
      </c>
      <c r="H12" s="9">
        <v>9.01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1561050</v>
      </c>
      <c r="G13" s="8">
        <v>24970.560000000001</v>
      </c>
      <c r="H13" s="9">
        <v>8.99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3494000</v>
      </c>
      <c r="G14" s="8">
        <v>18266.63</v>
      </c>
      <c r="H14" s="9">
        <v>6.57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726000</v>
      </c>
      <c r="G15" s="8">
        <v>15312.43</v>
      </c>
      <c r="H15" s="9">
        <v>5.51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204050</v>
      </c>
      <c r="G16" s="8">
        <v>14816.68</v>
      </c>
      <c r="H16" s="9">
        <v>5.33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8489000</v>
      </c>
      <c r="G17" s="8">
        <v>14473.75</v>
      </c>
      <c r="H17" s="9">
        <v>5.21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284788</v>
      </c>
      <c r="G18" s="8">
        <v>13447.83</v>
      </c>
      <c r="H18" s="9">
        <v>4.84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26</v>
      </c>
      <c r="F19" s="8">
        <v>16611000</v>
      </c>
      <c r="G19" s="8">
        <v>8031.42</v>
      </c>
      <c r="H19" s="9">
        <v>2.89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797623</v>
      </c>
      <c r="G20" s="8">
        <v>7368.44</v>
      </c>
      <c r="H20" s="9">
        <v>2.65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40</v>
      </c>
      <c r="F21" s="8">
        <v>1831639</v>
      </c>
      <c r="G21" s="8">
        <v>7089.36</v>
      </c>
      <c r="H21" s="9">
        <v>2.5499999999999998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2173537</v>
      </c>
      <c r="G22" s="8">
        <v>6754.27</v>
      </c>
      <c r="H22" s="9">
        <v>2.4300000000000002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1167000</v>
      </c>
      <c r="G23" s="8">
        <v>6749.93</v>
      </c>
      <c r="H23" s="9">
        <v>2.4300000000000002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31</v>
      </c>
      <c r="F24" s="8">
        <v>22664000</v>
      </c>
      <c r="G24" s="8">
        <v>6640.55</v>
      </c>
      <c r="H24" s="9">
        <v>2.39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1533000</v>
      </c>
      <c r="G25" s="8">
        <v>6119.74</v>
      </c>
      <c r="H25" s="9">
        <v>2.2000000000000002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5002011</v>
      </c>
      <c r="G26" s="8">
        <v>5134.5600000000004</v>
      </c>
      <c r="H26" s="9">
        <v>1.85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624795</v>
      </c>
      <c r="G27" s="8">
        <v>5124.57</v>
      </c>
      <c r="H27" s="9">
        <v>1.84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23</v>
      </c>
      <c r="F28" s="8">
        <v>1455000</v>
      </c>
      <c r="G28" s="8">
        <v>4617.4399999999996</v>
      </c>
      <c r="H28" s="9">
        <v>1.66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26</v>
      </c>
      <c r="F29" s="8">
        <v>6078000</v>
      </c>
      <c r="G29" s="8">
        <v>4087.46</v>
      </c>
      <c r="H29" s="9">
        <v>1.47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1525000</v>
      </c>
      <c r="G30" s="8">
        <v>4071.75</v>
      </c>
      <c r="H30" s="9">
        <v>1.47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53</v>
      </c>
      <c r="F31" s="8">
        <v>340000</v>
      </c>
      <c r="G31" s="8">
        <v>3811.4</v>
      </c>
      <c r="H31" s="9">
        <v>1.37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101021</v>
      </c>
      <c r="G32" s="8">
        <v>3759.8</v>
      </c>
      <c r="H32" s="9">
        <v>1.35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870000</v>
      </c>
      <c r="G33" s="8">
        <v>3660.09</v>
      </c>
      <c r="H33" s="9">
        <v>1.32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45</v>
      </c>
      <c r="F34" s="8">
        <v>485500</v>
      </c>
      <c r="G34" s="8">
        <v>3472.78</v>
      </c>
      <c r="H34" s="9">
        <v>1.25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957986</v>
      </c>
      <c r="G35" s="8">
        <v>3422.88</v>
      </c>
      <c r="H35" s="9">
        <v>1.23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266500</v>
      </c>
      <c r="G36" s="8">
        <v>3220.79</v>
      </c>
      <c r="H36" s="9">
        <v>1.1599999999999999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90</v>
      </c>
      <c r="F37" s="8">
        <v>455000</v>
      </c>
      <c r="G37" s="8">
        <v>3158.61</v>
      </c>
      <c r="H37" s="9">
        <v>1.1399999999999999</v>
      </c>
    </row>
    <row r="38" spans="1:8" ht="15.75" x14ac:dyDescent="0.25">
      <c r="A38" s="7">
        <v>28</v>
      </c>
      <c r="B38" s="8" t="s">
        <v>91</v>
      </c>
      <c r="C38" s="8" t="s">
        <v>92</v>
      </c>
      <c r="D38" s="8" t="s">
        <v>19</v>
      </c>
      <c r="E38" s="8" t="s">
        <v>93</v>
      </c>
      <c r="F38" s="8">
        <v>2000000</v>
      </c>
      <c r="G38" s="8">
        <v>2908</v>
      </c>
      <c r="H38" s="9">
        <v>1.05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87</v>
      </c>
      <c r="F39" s="8">
        <v>4393816</v>
      </c>
      <c r="G39" s="8">
        <v>2805.45</v>
      </c>
      <c r="H39" s="9">
        <v>1.01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98</v>
      </c>
      <c r="F40" s="8">
        <v>7945526</v>
      </c>
      <c r="G40" s="8">
        <v>2534.62</v>
      </c>
      <c r="H40" s="9">
        <v>0.91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58</v>
      </c>
      <c r="F41" s="8">
        <v>1960000</v>
      </c>
      <c r="G41" s="8">
        <v>1906.1</v>
      </c>
      <c r="H41" s="9">
        <v>0.69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103</v>
      </c>
      <c r="F42" s="8">
        <v>248000</v>
      </c>
      <c r="G42" s="8">
        <v>1836.69</v>
      </c>
      <c r="H42" s="9">
        <v>0.66</v>
      </c>
    </row>
    <row r="43" spans="1:8" ht="15.75" x14ac:dyDescent="0.25">
      <c r="A43" s="7">
        <v>33</v>
      </c>
      <c r="B43" s="8" t="s">
        <v>104</v>
      </c>
      <c r="C43" s="8" t="s">
        <v>105</v>
      </c>
      <c r="D43" s="8" t="s">
        <v>19</v>
      </c>
      <c r="E43" s="8" t="s">
        <v>103</v>
      </c>
      <c r="F43" s="8">
        <v>520000</v>
      </c>
      <c r="G43" s="8">
        <v>1827.8</v>
      </c>
      <c r="H43" s="9">
        <v>0.66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108</v>
      </c>
      <c r="F44" s="8">
        <v>325612</v>
      </c>
      <c r="G44" s="8">
        <v>1779.47</v>
      </c>
      <c r="H44" s="9">
        <v>0.64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61</v>
      </c>
      <c r="F45" s="8">
        <v>422500</v>
      </c>
      <c r="G45" s="8">
        <v>1538.11</v>
      </c>
      <c r="H45" s="9">
        <v>0.55000000000000004</v>
      </c>
    </row>
    <row r="46" spans="1:8" ht="15.75" x14ac:dyDescent="0.25">
      <c r="A46" s="7">
        <v>36</v>
      </c>
      <c r="B46" s="8" t="s">
        <v>111</v>
      </c>
      <c r="C46" s="8" t="s">
        <v>112</v>
      </c>
      <c r="D46" s="8" t="s">
        <v>19</v>
      </c>
      <c r="E46" s="8" t="s">
        <v>113</v>
      </c>
      <c r="F46" s="8">
        <v>67000</v>
      </c>
      <c r="G46" s="8">
        <v>1390.48</v>
      </c>
      <c r="H46" s="9">
        <v>0.5</v>
      </c>
    </row>
    <row r="47" spans="1:8" ht="15.75" x14ac:dyDescent="0.25">
      <c r="A47" s="7">
        <v>37</v>
      </c>
      <c r="B47" s="8" t="s">
        <v>114</v>
      </c>
      <c r="C47" s="8" t="s">
        <v>115</v>
      </c>
      <c r="D47" s="8" t="s">
        <v>19</v>
      </c>
      <c r="E47" s="8" t="s">
        <v>71</v>
      </c>
      <c r="F47" s="8">
        <v>230000</v>
      </c>
      <c r="G47" s="8">
        <v>1263.1600000000001</v>
      </c>
      <c r="H47" s="9">
        <v>0.45</v>
      </c>
    </row>
    <row r="48" spans="1:8" ht="15.75" x14ac:dyDescent="0.25">
      <c r="A48" s="7">
        <v>38</v>
      </c>
      <c r="B48" s="8" t="s">
        <v>116</v>
      </c>
      <c r="C48" s="8" t="s">
        <v>117</v>
      </c>
      <c r="D48" s="8" t="s">
        <v>19</v>
      </c>
      <c r="E48" s="8" t="s">
        <v>118</v>
      </c>
      <c r="F48" s="8">
        <v>468915</v>
      </c>
      <c r="G48" s="8">
        <v>1253.18</v>
      </c>
      <c r="H48" s="9">
        <v>0.45</v>
      </c>
    </row>
    <row r="49" spans="1:8" ht="15.75" x14ac:dyDescent="0.25">
      <c r="A49" s="7">
        <v>39</v>
      </c>
      <c r="B49" s="8" t="s">
        <v>119</v>
      </c>
      <c r="C49" s="8" t="s">
        <v>120</v>
      </c>
      <c r="D49" s="8" t="s">
        <v>19</v>
      </c>
      <c r="E49" s="8" t="s">
        <v>121</v>
      </c>
      <c r="F49" s="8">
        <v>6600</v>
      </c>
      <c r="G49" s="8">
        <v>1187.75</v>
      </c>
      <c r="H49" s="9">
        <v>0.43</v>
      </c>
    </row>
    <row r="50" spans="1:8" ht="15.75" x14ac:dyDescent="0.25">
      <c r="A50" s="7">
        <v>40</v>
      </c>
      <c r="B50" s="8" t="s">
        <v>122</v>
      </c>
      <c r="C50" s="8" t="s">
        <v>123</v>
      </c>
      <c r="D50" s="8" t="s">
        <v>19</v>
      </c>
      <c r="E50" s="8" t="s">
        <v>71</v>
      </c>
      <c r="F50" s="8">
        <v>1400000</v>
      </c>
      <c r="G50" s="8">
        <v>1158.5</v>
      </c>
      <c r="H50" s="9">
        <v>0.42</v>
      </c>
    </row>
    <row r="51" spans="1:8" ht="15.75" x14ac:dyDescent="0.25">
      <c r="A51" s="7">
        <v>41</v>
      </c>
      <c r="B51" s="8" t="s">
        <v>124</v>
      </c>
      <c r="C51" s="8" t="s">
        <v>125</v>
      </c>
      <c r="D51" s="8" t="s">
        <v>19</v>
      </c>
      <c r="E51" s="8" t="s">
        <v>50</v>
      </c>
      <c r="F51" s="8">
        <v>350000</v>
      </c>
      <c r="G51" s="8">
        <v>657.3</v>
      </c>
      <c r="H51" s="9">
        <v>0.24</v>
      </c>
    </row>
    <row r="52" spans="1:8" ht="15.75" x14ac:dyDescent="0.25">
      <c r="A52" s="4"/>
      <c r="B52" s="5" t="s">
        <v>4</v>
      </c>
      <c r="C52" s="5" t="s">
        <v>126</v>
      </c>
      <c r="D52" s="5" t="s">
        <v>4</v>
      </c>
      <c r="E52" s="5" t="s">
        <v>4</v>
      </c>
      <c r="F52" s="5" t="s">
        <v>4</v>
      </c>
      <c r="G52" s="5">
        <v>273582</v>
      </c>
      <c r="H52" s="6">
        <v>98.44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>
        <f>+G52/G100</f>
        <v>0.9844412780644497</v>
      </c>
      <c r="H53" s="6" t="s">
        <v>4</v>
      </c>
    </row>
    <row r="54" spans="1:8" ht="15.75" x14ac:dyDescent="0.25">
      <c r="A54" s="4"/>
      <c r="B54" s="5" t="s">
        <v>4</v>
      </c>
      <c r="C54" s="5" t="s">
        <v>127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126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128</v>
      </c>
      <c r="D56" s="5" t="s">
        <v>4</v>
      </c>
      <c r="E56" s="5" t="s">
        <v>4</v>
      </c>
      <c r="F56" s="5" t="s">
        <v>4</v>
      </c>
      <c r="G56" s="5">
        <v>273582</v>
      </c>
      <c r="H56" s="6">
        <v>98.44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129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130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126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131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126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128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132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133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134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126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135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126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128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136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137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138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126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139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126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128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140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141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126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142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7">
        <v>42</v>
      </c>
      <c r="B93" s="8" t="s">
        <v>143</v>
      </c>
      <c r="C93" s="8" t="s">
        <v>144</v>
      </c>
      <c r="D93" s="8" t="s">
        <v>19</v>
      </c>
      <c r="E93" s="8" t="s">
        <v>19</v>
      </c>
      <c r="F93" s="8">
        <v>16921.2</v>
      </c>
      <c r="G93" s="8">
        <v>1692.12</v>
      </c>
      <c r="H93" s="9">
        <v>0.61</v>
      </c>
    </row>
    <row r="94" spans="1:8" ht="15.75" x14ac:dyDescent="0.25">
      <c r="A94" s="4"/>
      <c r="B94" s="5" t="s">
        <v>4</v>
      </c>
      <c r="C94" s="5" t="s">
        <v>126</v>
      </c>
      <c r="D94" s="5" t="s">
        <v>4</v>
      </c>
      <c r="E94" s="5" t="s">
        <v>4</v>
      </c>
      <c r="F94" s="5" t="s">
        <v>4</v>
      </c>
      <c r="G94" s="5">
        <v>1692.12</v>
      </c>
      <c r="H94" s="6">
        <v>0.61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145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7">
        <v>43</v>
      </c>
      <c r="B97" s="8" t="s">
        <v>4</v>
      </c>
      <c r="C97" s="8" t="s">
        <v>146</v>
      </c>
      <c r="D97" s="8" t="s">
        <v>19</v>
      </c>
      <c r="E97" s="8" t="s">
        <v>19</v>
      </c>
      <c r="F97" s="8" t="s">
        <v>4</v>
      </c>
      <c r="G97" s="8">
        <f>1.06+2630.68</f>
        <v>2631.74</v>
      </c>
      <c r="H97" s="9">
        <v>0.95</v>
      </c>
    </row>
    <row r="98" spans="1:8" ht="15.75" x14ac:dyDescent="0.25">
      <c r="A98" s="4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2631.74</v>
      </c>
      <c r="H98" s="6">
        <v>0.95</v>
      </c>
    </row>
    <row r="99" spans="1:8" ht="15.75" x14ac:dyDescent="0.25">
      <c r="A99" s="4"/>
      <c r="B99" s="5" t="s">
        <v>4</v>
      </c>
      <c r="C99" s="5" t="s">
        <v>128</v>
      </c>
      <c r="D99" s="5" t="s">
        <v>4</v>
      </c>
      <c r="E99" s="5" t="s">
        <v>4</v>
      </c>
      <c r="F99" s="5" t="s">
        <v>4</v>
      </c>
      <c r="G99" s="5">
        <v>4323.8599999999997</v>
      </c>
      <c r="H99" s="6">
        <v>1.56</v>
      </c>
    </row>
    <row r="100" spans="1:8" ht="15.75" x14ac:dyDescent="0.25">
      <c r="A100" s="4"/>
      <c r="B100" s="5" t="s">
        <v>4</v>
      </c>
      <c r="C100" s="5" t="s">
        <v>147</v>
      </c>
      <c r="D100" s="5" t="s">
        <v>4</v>
      </c>
      <c r="E100" s="5" t="s">
        <v>4</v>
      </c>
      <c r="F100" s="5" t="s">
        <v>4</v>
      </c>
      <c r="G100" s="5">
        <v>277905.86</v>
      </c>
      <c r="H100" s="5">
        <v>100</v>
      </c>
    </row>
    <row r="102" spans="1:8" x14ac:dyDescent="0.25">
      <c r="B102" s="10" t="s">
        <v>148</v>
      </c>
    </row>
    <row r="103" spans="1:8" x14ac:dyDescent="0.25">
      <c r="B103" s="11" t="s">
        <v>149</v>
      </c>
      <c r="C103" s="11"/>
      <c r="D103" s="11" t="s">
        <v>150</v>
      </c>
      <c r="E103" s="11"/>
      <c r="F103" s="11"/>
    </row>
    <row r="104" spans="1:8" x14ac:dyDescent="0.25">
      <c r="B104" s="11" t="s">
        <v>151</v>
      </c>
      <c r="C104" s="11" t="s">
        <v>152</v>
      </c>
      <c r="D104" s="11" t="s">
        <v>153</v>
      </c>
      <c r="E104" s="11" t="s">
        <v>154</v>
      </c>
      <c r="F104" s="11" t="s">
        <v>155</v>
      </c>
    </row>
    <row r="105" spans="1:8" x14ac:dyDescent="0.25">
      <c r="B105" s="11"/>
      <c r="C105" s="11"/>
      <c r="D105" s="11"/>
      <c r="E105" s="11"/>
      <c r="F105" s="11"/>
    </row>
    <row r="106" spans="1:8" x14ac:dyDescent="0.25">
      <c r="B106" s="11" t="s">
        <v>156</v>
      </c>
      <c r="C106" s="11"/>
      <c r="D106" s="11"/>
      <c r="E106" s="11"/>
      <c r="F106" s="11"/>
    </row>
    <row r="107" spans="1:8" x14ac:dyDescent="0.25">
      <c r="B107" s="12" t="s">
        <v>157</v>
      </c>
      <c r="C107" s="11"/>
      <c r="D107" s="11"/>
      <c r="E107" s="11"/>
      <c r="F107" s="11"/>
    </row>
    <row r="108" spans="1:8" x14ac:dyDescent="0.25">
      <c r="B108" s="11" t="s">
        <v>158</v>
      </c>
      <c r="C108" s="11"/>
      <c r="D108" s="11"/>
      <c r="E108" s="11"/>
      <c r="F108" s="11"/>
    </row>
    <row r="109" spans="1:8" x14ac:dyDescent="0.25">
      <c r="B109" s="11" t="s">
        <v>159</v>
      </c>
      <c r="C109" s="11"/>
      <c r="D109" s="11"/>
      <c r="E109" s="11"/>
      <c r="F109" s="11"/>
    </row>
    <row r="110" spans="1:8" x14ac:dyDescent="0.25">
      <c r="B110" s="11" t="s">
        <v>160</v>
      </c>
      <c r="C110" s="11"/>
      <c r="D110" s="11"/>
      <c r="E110" s="11"/>
      <c r="F110" s="11"/>
    </row>
    <row r="111" spans="1:8" x14ac:dyDescent="0.25">
      <c r="B111" s="11" t="s">
        <v>161</v>
      </c>
      <c r="C111" s="11"/>
      <c r="D111" s="11"/>
      <c r="E111" s="11"/>
      <c r="F111" s="11"/>
    </row>
    <row r="112" spans="1:8" x14ac:dyDescent="0.25">
      <c r="B112" s="11" t="s">
        <v>162</v>
      </c>
      <c r="C112" s="11"/>
      <c r="D112" s="11"/>
      <c r="E112" s="11"/>
      <c r="F112" s="11"/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163</v>
      </c>
      <c r="C114" s="11"/>
      <c r="D114" s="11" t="s">
        <v>150</v>
      </c>
      <c r="E114" s="11"/>
      <c r="F114" s="11"/>
    </row>
    <row r="115" spans="2:6" x14ac:dyDescent="0.25">
      <c r="B115" s="11" t="s">
        <v>151</v>
      </c>
      <c r="C115" s="11" t="s">
        <v>152</v>
      </c>
      <c r="D115" s="11" t="s">
        <v>153</v>
      </c>
      <c r="E115" s="11" t="s">
        <v>154</v>
      </c>
      <c r="F115" s="11" t="s">
        <v>155</v>
      </c>
    </row>
    <row r="116" spans="2:6" x14ac:dyDescent="0.25">
      <c r="B116" s="11"/>
      <c r="C116" s="11"/>
      <c r="D116" s="11"/>
      <c r="E116" s="11"/>
      <c r="F116" s="11"/>
    </row>
    <row r="117" spans="2:6" x14ac:dyDescent="0.25">
      <c r="B117" s="11" t="s">
        <v>164</v>
      </c>
      <c r="C117" s="11"/>
      <c r="D117" s="11"/>
      <c r="E117" s="11"/>
      <c r="F117" s="11"/>
    </row>
    <row r="118" spans="2:6" x14ac:dyDescent="0.25">
      <c r="B118" s="12" t="s">
        <v>165</v>
      </c>
      <c r="C118" s="11"/>
      <c r="D118" s="11"/>
      <c r="E118" s="11"/>
      <c r="F118" s="11"/>
    </row>
    <row r="119" spans="2:6" x14ac:dyDescent="0.25">
      <c r="B119" s="11" t="s">
        <v>166</v>
      </c>
      <c r="C119" s="11"/>
      <c r="D119" s="11"/>
      <c r="E119" s="11"/>
      <c r="F119" s="11"/>
    </row>
    <row r="120" spans="2:6" x14ac:dyDescent="0.25">
      <c r="B120" s="11" t="s">
        <v>167</v>
      </c>
      <c r="C120" s="11"/>
      <c r="D120" s="11"/>
      <c r="E120" s="11"/>
      <c r="F120" s="11"/>
    </row>
    <row r="121" spans="2:6" x14ac:dyDescent="0.25">
      <c r="B121" s="11" t="s">
        <v>168</v>
      </c>
      <c r="C121" s="11"/>
      <c r="D121" s="11"/>
      <c r="E121" s="11"/>
      <c r="F121" s="11"/>
    </row>
    <row r="122" spans="2:6" x14ac:dyDescent="0.25">
      <c r="B122" s="11" t="s">
        <v>161</v>
      </c>
      <c r="C122" s="11"/>
      <c r="D122" s="11"/>
      <c r="E122" s="11"/>
      <c r="F122" s="11"/>
    </row>
    <row r="123" spans="2:6" x14ac:dyDescent="0.25">
      <c r="B123" s="11" t="s">
        <v>162</v>
      </c>
      <c r="C123" s="11"/>
      <c r="D123" s="11"/>
      <c r="E123" s="11"/>
      <c r="F123" s="11"/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169</v>
      </c>
      <c r="C125" s="11"/>
      <c r="D125" s="11" t="s">
        <v>150</v>
      </c>
      <c r="E125" s="11"/>
      <c r="F125" s="11"/>
    </row>
    <row r="126" spans="2:6" x14ac:dyDescent="0.25">
      <c r="B126" s="11" t="s">
        <v>151</v>
      </c>
      <c r="C126" s="11" t="s">
        <v>170</v>
      </c>
      <c r="D126" s="11" t="s">
        <v>171</v>
      </c>
      <c r="E126" s="11" t="s">
        <v>172</v>
      </c>
      <c r="F126" s="11"/>
    </row>
    <row r="127" spans="2:6" x14ac:dyDescent="0.25">
      <c r="B127" s="11"/>
      <c r="C127" s="11"/>
      <c r="D127" s="11"/>
      <c r="E127" s="11"/>
      <c r="F127" s="11"/>
    </row>
    <row r="128" spans="2:6" x14ac:dyDescent="0.25">
      <c r="B128" s="11" t="s">
        <v>173</v>
      </c>
      <c r="C128" s="11"/>
      <c r="D128" s="11"/>
      <c r="E128" s="11"/>
      <c r="F128" s="11"/>
    </row>
    <row r="129" spans="1:6" x14ac:dyDescent="0.25">
      <c r="B129" s="12" t="s">
        <v>174</v>
      </c>
      <c r="C129" s="11"/>
      <c r="D129" s="11"/>
      <c r="E129" s="11"/>
      <c r="F129" s="11"/>
    </row>
    <row r="130" spans="1:6" x14ac:dyDescent="0.25">
      <c r="B130" s="11" t="s">
        <v>175</v>
      </c>
      <c r="C130" s="11"/>
      <c r="D130" s="11"/>
      <c r="E130" s="11"/>
      <c r="F130" s="11"/>
    </row>
    <row r="131" spans="1:6" x14ac:dyDescent="0.25">
      <c r="B131" s="11" t="s">
        <v>176</v>
      </c>
      <c r="C131" s="11"/>
      <c r="D131" s="11"/>
      <c r="E131" s="11"/>
      <c r="F131" s="11"/>
    </row>
    <row r="132" spans="1:6" x14ac:dyDescent="0.25">
      <c r="B132" s="11" t="s">
        <v>177</v>
      </c>
      <c r="C132" s="11"/>
      <c r="D132" s="11"/>
      <c r="E132" s="11"/>
      <c r="F132" s="11"/>
    </row>
    <row r="133" spans="1:6" x14ac:dyDescent="0.25">
      <c r="B133" s="11"/>
      <c r="C133" s="11"/>
      <c r="D133" s="11"/>
      <c r="E133" s="11"/>
      <c r="F133" s="11"/>
    </row>
    <row r="134" spans="1:6" x14ac:dyDescent="0.25">
      <c r="B134" s="11" t="s">
        <v>178</v>
      </c>
      <c r="C134" s="11"/>
      <c r="D134" s="11" t="s">
        <v>150</v>
      </c>
      <c r="E134" s="11"/>
      <c r="F134" s="11"/>
    </row>
    <row r="135" spans="1:6" x14ac:dyDescent="0.25">
      <c r="B135" s="11" t="s">
        <v>151</v>
      </c>
      <c r="C135" s="11" t="s">
        <v>179</v>
      </c>
      <c r="D135" s="11" t="s">
        <v>170</v>
      </c>
      <c r="E135" s="11" t="s">
        <v>171</v>
      </c>
      <c r="F135" s="11" t="s">
        <v>172</v>
      </c>
    </row>
    <row r="136" spans="1:6" x14ac:dyDescent="0.25">
      <c r="B136" s="11"/>
      <c r="C136" s="11"/>
      <c r="D136" s="11"/>
      <c r="E136" s="11"/>
      <c r="F136" s="11"/>
    </row>
    <row r="137" spans="1:6" x14ac:dyDescent="0.25">
      <c r="B137" s="11" t="s">
        <v>180</v>
      </c>
      <c r="C137" s="11"/>
      <c r="D137" s="11"/>
      <c r="E137" s="11"/>
      <c r="F137" s="11"/>
    </row>
    <row r="138" spans="1:6" x14ac:dyDescent="0.25">
      <c r="B138" s="12" t="s">
        <v>181</v>
      </c>
      <c r="C138" s="11"/>
      <c r="D138" s="11"/>
      <c r="E138" s="11"/>
      <c r="F138" s="11"/>
    </row>
    <row r="139" spans="1:6" x14ac:dyDescent="0.25">
      <c r="B139" s="11" t="s">
        <v>175</v>
      </c>
      <c r="C139" s="11"/>
      <c r="D139" s="11"/>
      <c r="E139" s="11"/>
      <c r="F139" s="11"/>
    </row>
    <row r="140" spans="1:6" x14ac:dyDescent="0.25">
      <c r="B140" s="11" t="s">
        <v>182</v>
      </c>
      <c r="C140" s="11"/>
      <c r="D140" s="11"/>
      <c r="E140" s="11"/>
      <c r="F140" s="11"/>
    </row>
    <row r="141" spans="1:6" x14ac:dyDescent="0.25">
      <c r="B141" s="11" t="s">
        <v>177</v>
      </c>
      <c r="C141" s="11"/>
      <c r="D141" s="11"/>
      <c r="E141" s="11"/>
      <c r="F141" s="11"/>
    </row>
    <row r="142" spans="1:6" x14ac:dyDescent="0.25">
      <c r="B142" s="11"/>
      <c r="C142" s="11"/>
      <c r="D142" s="11"/>
      <c r="E142" s="11"/>
      <c r="F142" s="11"/>
    </row>
    <row r="144" spans="1:6" ht="15.75" x14ac:dyDescent="0.25">
      <c r="A144" s="1" t="s">
        <v>4</v>
      </c>
      <c r="B144" s="13" t="s">
        <v>183</v>
      </c>
    </row>
    <row r="145" spans="1:2" x14ac:dyDescent="0.25">
      <c r="A145" s="1" t="s">
        <v>4</v>
      </c>
      <c r="B145" t="s">
        <v>4</v>
      </c>
    </row>
    <row r="146" spans="1:2" x14ac:dyDescent="0.25">
      <c r="A146" s="1">
        <v>1</v>
      </c>
      <c r="B146" t="s">
        <v>184</v>
      </c>
    </row>
    <row r="147" spans="1:2" x14ac:dyDescent="0.25">
      <c r="A147" s="1">
        <v>2</v>
      </c>
      <c r="B147" t="s">
        <v>185</v>
      </c>
    </row>
    <row r="148" spans="1:2" x14ac:dyDescent="0.25">
      <c r="A148" s="1" t="s">
        <v>4</v>
      </c>
      <c r="B148" t="s">
        <v>186</v>
      </c>
    </row>
    <row r="149" spans="1:2" x14ac:dyDescent="0.25">
      <c r="A149" s="1" t="s">
        <v>4</v>
      </c>
      <c r="B149" t="s">
        <v>187</v>
      </c>
    </row>
    <row r="150" spans="1:2" x14ac:dyDescent="0.25">
      <c r="A150" s="1" t="s">
        <v>4</v>
      </c>
      <c r="B150" t="s">
        <v>188</v>
      </c>
    </row>
    <row r="151" spans="1:2" x14ac:dyDescent="0.25">
      <c r="A151" s="1" t="s">
        <v>4</v>
      </c>
      <c r="B151" t="s">
        <v>189</v>
      </c>
    </row>
    <row r="152" spans="1:2" x14ac:dyDescent="0.25">
      <c r="A152" s="1">
        <v>3</v>
      </c>
      <c r="B152" t="s">
        <v>190</v>
      </c>
    </row>
    <row r="153" spans="1:2" x14ac:dyDescent="0.25">
      <c r="A153" s="1" t="s">
        <v>4</v>
      </c>
      <c r="B153" t="s">
        <v>191</v>
      </c>
    </row>
    <row r="154" spans="1:2" x14ac:dyDescent="0.25">
      <c r="A154" s="1" t="s">
        <v>4</v>
      </c>
      <c r="B154" t="s">
        <v>192</v>
      </c>
    </row>
    <row r="155" spans="1:2" x14ac:dyDescent="0.25">
      <c r="A155" s="1" t="s">
        <v>4</v>
      </c>
      <c r="B155" t="s">
        <v>193</v>
      </c>
    </row>
    <row r="156" spans="1:2" x14ac:dyDescent="0.25">
      <c r="A156" s="1" t="s">
        <v>4</v>
      </c>
      <c r="B156" t="s">
        <v>194</v>
      </c>
    </row>
    <row r="157" spans="1:2" x14ac:dyDescent="0.25">
      <c r="A157" s="1">
        <v>4</v>
      </c>
      <c r="B157" t="s">
        <v>195</v>
      </c>
    </row>
    <row r="158" spans="1:2" x14ac:dyDescent="0.25">
      <c r="A158" s="1">
        <v>5</v>
      </c>
      <c r="B158" t="s">
        <v>196</v>
      </c>
    </row>
    <row r="159" spans="1:2" x14ac:dyDescent="0.25">
      <c r="A159" s="1">
        <v>6</v>
      </c>
      <c r="B159" t="s">
        <v>197</v>
      </c>
    </row>
    <row r="160" spans="1:2" x14ac:dyDescent="0.25">
      <c r="A160" s="1">
        <v>7</v>
      </c>
      <c r="B160" t="s">
        <v>198</v>
      </c>
    </row>
    <row r="161" spans="1:2" x14ac:dyDescent="0.25">
      <c r="A161" s="1">
        <v>8</v>
      </c>
      <c r="B161" t="s">
        <v>199</v>
      </c>
    </row>
    <row r="162" spans="1:2" x14ac:dyDescent="0.25">
      <c r="A162" s="1">
        <v>9</v>
      </c>
      <c r="B162" t="s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2023-03-03T05:00:37Z</dcterms:created>
  <dcterms:modified xsi:type="dcterms:W3CDTF">2023-03-03T05:26:42Z</dcterms:modified>
</cp:coreProperties>
</file>