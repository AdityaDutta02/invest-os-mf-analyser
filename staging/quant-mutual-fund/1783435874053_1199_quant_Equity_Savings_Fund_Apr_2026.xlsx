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quity_Savings_Fund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<sst xmlns="http://schemas.openxmlformats.org/spreadsheetml/2006/main" count="165" uniqueCount="165">
  <si>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</si>
  <si>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Equity Savings Fund</t>
  </si>
  <si>
    <t>An open ended scheme investing in equity, arbitrage and debt.</t>
  </si>
  <si>
    <t>MONTHLY PORTFOLIO STATEMENT AS ON 30 Apr 2026</t>
  </si>
  <si>
    <t/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</si>
  <si>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</si>
  <si>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</si>
  <si>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</si>
  <si>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</si>
  <si>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</si>
  <si>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</si>
  <si>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</si>
  <si>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</si>
  <si>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</si>
  <si>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</si>
  <si>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</si>
  <si>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</si>
  <si>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INE364U01010</t>
  </si>
  <si>
    <t>Adani Green Energy Limited</t>
  </si>
  <si>
    <t>Power</t>
  </si>
  <si>
    <t>-</t>
  </si>
  <si>
    <t>INE090A01021</t>
  </si>
  <si>
    <t>ICICI Bank Limited</t>
  </si>
  <si>
    <t>Banks</t>
  </si>
  <si>
    <t>INE397D01024</t>
  </si>
  <si>
    <t>Bharti Airtel Limited</t>
  </si>
  <si>
    <t>Telecom - Services</t>
  </si>
  <si>
    <t>INE092A01019</t>
  </si>
  <si>
    <t>Tata Chemicals Ltd</t>
  </si>
  <si>
    <t>Chemicals &amp; Petrochemicals</t>
  </si>
  <si>
    <t>INE795G01014</t>
  </si>
  <si>
    <t>HDFC Life Insurance Co Ltd</t>
  </si>
  <si>
    <t>Insurance</t>
  </si>
  <si>
    <t>INE417T01026</t>
  </si>
  <si>
    <t>PB Fintech Limited</t>
  </si>
  <si>
    <t>Financial Technology (Fintech)</t>
  </si>
  <si>
    <t>INE296A01032</t>
  </si>
  <si>
    <t>Bajaj Finance Limited</t>
  </si>
  <si>
    <t>Finance</t>
  </si>
  <si>
    <t>INE002A01018</t>
  </si>
  <si>
    <t>Reliance Industries Limited</t>
  </si>
  <si>
    <t>Petroleum Products</t>
  </si>
  <si>
    <t>INE061F01013</t>
  </si>
  <si>
    <t>Fortis Healthcare Ltd</t>
  </si>
  <si>
    <t>Healthcare Services</t>
  </si>
  <si>
    <t>INE040A01034</t>
  </si>
  <si>
    <t>HDFC Bank Limited</t>
  </si>
  <si>
    <t>INE775A01035</t>
  </si>
  <si>
    <t>Samvardhana Motherson International Ltd</t>
  </si>
  <si>
    <t>Auto Components</t>
  </si>
  <si>
    <t>INE020B01018</t>
  </si>
  <si>
    <t>Rural Electrification Corporation Ltd</t>
  </si>
  <si>
    <t>INE758T01015</t>
  </si>
  <si>
    <t>Eternal Limited</t>
  </si>
  <si>
    <t>Retailing</t>
  </si>
  <si>
    <t>INE326A01037</t>
  </si>
  <si>
    <t>Lupin Limited</t>
  </si>
  <si>
    <t>Pharmaceuticals &amp; Biotechnology</t>
  </si>
  <si>
    <t>INE303R01014</t>
  </si>
  <si>
    <t>Kalyan Jewellers India Limited</t>
  </si>
  <si>
    <t>Consumer Durables</t>
  </si>
  <si>
    <t>INE584A01023</t>
  </si>
  <si>
    <t>NMDC Ltd</t>
  </si>
  <si>
    <t>Minerals &amp; Mining</t>
  </si>
  <si>
    <t>INE877F01012</t>
  </si>
  <si>
    <t>PTC India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</si>
  <si>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</si>
  <si>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</si>
  <si>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</si>
  <si>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</si>
  <si>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</si>
  <si>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</si>
  <si>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</si>
  <si>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</si>
  <si>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</si>
  <si>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</si>
  <si>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</si>
  <si>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</si>
  <si>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</si>
  <si>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</si>
  <si>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</si>
  <si>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</si>
  <si>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</si>
  <si>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</si>
  <si>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</si>
  <si>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</si>
  <si>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N.A.</t>
  </si>
  <si>
    <t>(b) Units of Infrastructure Investment Trust</t>
  </si>
  <si>
    <t>INE2Q7823014</t>
  </si>
  <si>
    <t>Citius TransNet Investment Trust (INVIT)</t>
  </si>
  <si>
    <t>Transport Infrastructure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</si>
  <si>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</si>
  <si>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</si>
  <si>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</si>
  <si>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</si>
  <si>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</si>
  <si>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</si>
  <si>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</si>
  <si>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</si>
  <si>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</si>
  <si>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</si>
  <si>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</si>
  <si>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</si>
  <si>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</si>
  <si>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Eternal Limited 26/05/2026</t>
  </si>
  <si>
    <t>Short</t>
  </si>
  <si>
    <t>Refer Note 11</t>
  </si>
  <si>
    <t>Bajaj Finance Limited 26/05/2026</t>
  </si>
  <si>
    <t>Adani Green Energy Limited 26/05/2026</t>
  </si>
  <si>
    <t>Bharti Airtel Limited 26/05/2026</t>
  </si>
  <si>
    <t>HDFC Bank Limited 26/05/2026</t>
  </si>
  <si>
    <t>Kalyan Jewellers India Limited 26/05/2026</t>
  </si>
  <si>
    <t>Lupin Limited 26/05/2026</t>
  </si>
  <si>
    <t>NMDC Ltd 26/05/2026</t>
  </si>
  <si>
    <t>Rural Electrification Corporation Ltd 26/05/2026</t>
  </si>
  <si>
    <t>Fortis Healthcare Ltd 26/05/2026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</si>
  <si>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</si>
  <si>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</si>
  <si>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</si>
  <si>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</si>
  <si>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</si>
  <si>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</si>
  <si>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</si>
  <si>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</si>
  <si>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NIL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</si>
  <si>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</si>
  <si>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</si>
  <si>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</si>
  <si>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</si>
  <si>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</si>
  <si>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</si>
  <si>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</si>
  <si>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</si>
  <si>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</si>
  <si>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</si>
  <si>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</si>
  <si>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</si>
  <si>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</si>
  <si>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</si>
  <si>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</si>
  <si>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</si>
  <si>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</si>
  <si>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</si>
  <si>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</si>
  <si>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</si>
  <si>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</si>
  <si>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</si>
  <si>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</si>
  <si>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</si>
  <si>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Equity Savings Fund(G)-Direct Plan</t>
  </si>
  <si>
    <t>Quant Equity Savings Fund(IDCW)-Direct Plan</t>
  </si>
  <si>
    <t>Quant Equity Savings Fund-Reg(G)</t>
  </si>
  <si>
    <t>Quant Equity Savings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</si>
  <si>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</si>
  <si>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</si>
  <si>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</si>
  <si>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-41.78%</t>
  </si>
  <si>
    <t xml:space="preserve">Total Investments in foreign securities/ADRs / GDRs as on  30-Apr-2026 is NIL</t>
  </si>
  <si>
    <t>The annual Portfolio Turnover Ratio is 9.32 times / The Average Maturity period is 420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</si>
  <si>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</si>
  <si>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</si>
  <si>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</si>
  <si>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444.59 Lakhs</t>
  </si>
  <si>
    <t>Risk-o-meter of the Scheme</t>
  </si>
  <si>
    <t>Risk-o-meter of the Benchmark- NIFTY Equity Savings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</si>
</sst>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32" name="Risk-o-meter of the Benchmark- NIFTY Equity Savings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" activePane="bottomLeft" state="frozen"/>
      <selection pane="bottomLeft" activeCell="D27" sqref="D27"/>
    </sheetView>
  </sheetViews>
  <sheetFormatPr defaultRowHeight="14.5"/>
  <cols>
    <col min="1" max="1" width="9.1796875" customWidth="1"/>
    <col min="2" max="2" width="43.08984375" customWidth="1"/>
    <col min="3" max="3" width="48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4.54296875" customWidth="1"/>
    <col min="9" max="9" width="9.1796875" customWidth="1"/>
    <col min="10" max="10" width="17.453125" customWidth="1"/>
    <col min="11" max="11" width="18" customWidth="1"/>
    <col min="12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/>
      <c r="E8" s="5" t="s">
        <v>8</v>
      </c>
      <c r="F8" s="5" t="s">
        <v>9</v>
      </c>
      <c r="G8" s="5" t="s">
        <v>10</v>
      </c>
      <c r="H8" s="6" t="s">
        <v>11</v>
      </c>
      <c r="I8" s="6" t="s">
        <v>12</v>
      </c>
      <c r="J8" s="5" t="s">
        <v>13</v>
      </c>
      <c r="K8" s="5" t="s">
        <v>14</v>
      </c>
    </row>
    <row r="9" ht="15.5">
      <c r="A9" s="5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8" t="s">
        <v>4</v>
      </c>
      <c r="K9" s="8" t="s">
        <v>4</v>
      </c>
      <c r="L9" s="0" t="s">
        <v>4</v>
      </c>
    </row>
    <row r="10" ht="15.5">
      <c r="A10" s="5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8" t="s">
        <v>4</v>
      </c>
      <c r="K10" s="8" t="s">
        <v>4</v>
      </c>
      <c r="L10" s="0" t="s">
        <v>4</v>
      </c>
    </row>
    <row r="11" ht="15.5">
      <c r="A11" s="8">
        <v>1</v>
      </c>
      <c r="B11" s="8" t="s">
        <v>17</v>
      </c>
      <c r="C11" s="8" t="s">
        <v>18</v>
      </c>
      <c r="D11" s="8" t="s">
        <v>4</v>
      </c>
      <c r="E11" s="8" t="s">
        <v>19</v>
      </c>
      <c r="F11" s="8">
        <v>38400</v>
      </c>
      <c r="G11" s="8">
        <v>471.23</v>
      </c>
      <c r="H11" s="7">
        <v>10.16233</v>
      </c>
      <c r="I11" s="7" t="s">
        <v>20</v>
      </c>
      <c r="J11" s="8">
        <v>-38400</v>
      </c>
      <c r="K11" s="7">
        <v>-10.228994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4</v>
      </c>
      <c r="E12" s="8" t="s">
        <v>23</v>
      </c>
      <c r="F12" s="8">
        <v>30083</v>
      </c>
      <c r="G12" s="8">
        <v>380.07</v>
      </c>
      <c r="H12" s="7">
        <v>8.196462</v>
      </c>
      <c r="I12" s="7" t="s">
        <v>20</v>
      </c>
      <c r="J12" s="8" t="s">
        <v>4</v>
      </c>
      <c r="K12" s="7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4</v>
      </c>
      <c r="E13" s="8" t="s">
        <v>26</v>
      </c>
      <c r="F13" s="8">
        <v>19537</v>
      </c>
      <c r="G13" s="8">
        <v>368.62</v>
      </c>
      <c r="H13" s="7">
        <v>7.949653</v>
      </c>
      <c r="I13" s="7" t="s">
        <v>20</v>
      </c>
      <c r="J13" s="8">
        <v>-10450</v>
      </c>
      <c r="K13" s="7">
        <v>-4.273765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4</v>
      </c>
      <c r="E14" s="8" t="s">
        <v>29</v>
      </c>
      <c r="F14" s="8">
        <v>34572</v>
      </c>
      <c r="G14" s="8">
        <v>279.69</v>
      </c>
      <c r="H14" s="7">
        <v>6.031668</v>
      </c>
      <c r="I14" s="7" t="s">
        <v>20</v>
      </c>
      <c r="J14" s="8" t="s">
        <v>4</v>
      </c>
      <c r="K14" s="7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4</v>
      </c>
      <c r="E15" s="8" t="s">
        <v>32</v>
      </c>
      <c r="F15" s="8">
        <v>46769</v>
      </c>
      <c r="G15" s="8">
        <v>274.49</v>
      </c>
      <c r="H15" s="7">
        <v>5.919522</v>
      </c>
      <c r="I15" s="7" t="s">
        <v>20</v>
      </c>
      <c r="J15" s="8" t="s">
        <v>4</v>
      </c>
      <c r="K15" s="7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4</v>
      </c>
      <c r="E16" s="8" t="s">
        <v>35</v>
      </c>
      <c r="F16" s="8">
        <v>16450</v>
      </c>
      <c r="G16" s="8">
        <v>274.09</v>
      </c>
      <c r="H16" s="7">
        <v>5.910952</v>
      </c>
      <c r="I16" s="7" t="s">
        <v>20</v>
      </c>
      <c r="J16" s="8" t="s">
        <v>4</v>
      </c>
      <c r="K16" s="7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4</v>
      </c>
      <c r="E17" s="8" t="s">
        <v>38</v>
      </c>
      <c r="F17" s="8">
        <v>22500</v>
      </c>
      <c r="G17" s="8">
        <v>210.83</v>
      </c>
      <c r="H17" s="7">
        <v>4.546598</v>
      </c>
      <c r="I17" s="7" t="s">
        <v>20</v>
      </c>
      <c r="J17" s="8">
        <v>-22500</v>
      </c>
      <c r="K17" s="7">
        <v>-4.572558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4</v>
      </c>
      <c r="E18" s="8" t="s">
        <v>41</v>
      </c>
      <c r="F18" s="8">
        <v>14000</v>
      </c>
      <c r="G18" s="8">
        <v>200.31</v>
      </c>
      <c r="H18" s="7">
        <v>4.319877</v>
      </c>
      <c r="I18" s="7" t="s">
        <v>20</v>
      </c>
      <c r="J18" s="8" t="s">
        <v>4</v>
      </c>
      <c r="K18" s="7" t="s">
        <v>4</v>
      </c>
      <c r="L18" s="0" t="s">
        <v>4</v>
      </c>
    </row>
    <row r="19" ht="15.5">
      <c r="A19" s="8">
        <v>9</v>
      </c>
      <c r="B19" s="8" t="s">
        <v>42</v>
      </c>
      <c r="C19" s="8" t="s">
        <v>43</v>
      </c>
      <c r="D19" s="8" t="s">
        <v>4</v>
      </c>
      <c r="E19" s="8" t="s">
        <v>44</v>
      </c>
      <c r="F19" s="8">
        <v>21700</v>
      </c>
      <c r="G19" s="8">
        <v>200.28</v>
      </c>
      <c r="H19" s="7">
        <v>4.31919</v>
      </c>
      <c r="I19" s="7" t="s">
        <v>20</v>
      </c>
      <c r="J19" s="8">
        <v>-21700</v>
      </c>
      <c r="K19" s="7">
        <v>-4.342355</v>
      </c>
      <c r="L19" s="0" t="s">
        <v>4</v>
      </c>
    </row>
    <row r="20" ht="15.5">
      <c r="A20" s="8">
        <v>10</v>
      </c>
      <c r="B20" s="8" t="s">
        <v>45</v>
      </c>
      <c r="C20" s="8" t="s">
        <v>46</v>
      </c>
      <c r="D20" s="8" t="s">
        <v>4</v>
      </c>
      <c r="E20" s="8" t="s">
        <v>23</v>
      </c>
      <c r="F20" s="8">
        <v>24200</v>
      </c>
      <c r="G20" s="8">
        <v>186.75</v>
      </c>
      <c r="H20" s="7">
        <v>4.027433</v>
      </c>
      <c r="I20" s="7" t="s">
        <v>20</v>
      </c>
      <c r="J20" s="8">
        <v>-24200</v>
      </c>
      <c r="K20" s="7">
        <v>-4.050396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4</v>
      </c>
      <c r="E21" s="8" t="s">
        <v>49</v>
      </c>
      <c r="F21" s="8">
        <v>151104</v>
      </c>
      <c r="G21" s="8">
        <v>183.15</v>
      </c>
      <c r="H21" s="7">
        <v>3.949834</v>
      </c>
      <c r="I21" s="7" t="s">
        <v>20</v>
      </c>
      <c r="J21" s="8" t="s">
        <v>4</v>
      </c>
      <c r="K21" s="7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4</v>
      </c>
      <c r="E22" s="8" t="s">
        <v>38</v>
      </c>
      <c r="F22" s="8">
        <v>50400</v>
      </c>
      <c r="G22" s="8">
        <v>178.57</v>
      </c>
      <c r="H22" s="7">
        <v>3.850934</v>
      </c>
      <c r="I22" s="7" t="s">
        <v>20</v>
      </c>
      <c r="J22" s="8">
        <v>-50400</v>
      </c>
      <c r="K22" s="7">
        <v>-3.862347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4</v>
      </c>
      <c r="E23" s="8" t="s">
        <v>54</v>
      </c>
      <c r="F23" s="8">
        <v>65475</v>
      </c>
      <c r="G23" s="8">
        <v>161.74</v>
      </c>
      <c r="H23" s="7">
        <v>3.488106</v>
      </c>
      <c r="I23" s="7" t="s">
        <v>20</v>
      </c>
      <c r="J23" s="8">
        <v>-65475</v>
      </c>
      <c r="K23" s="7">
        <v>-3.508298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4</v>
      </c>
      <c r="E24" s="8" t="s">
        <v>57</v>
      </c>
      <c r="F24" s="8">
        <v>5100</v>
      </c>
      <c r="G24" s="8">
        <v>117.57</v>
      </c>
      <c r="H24" s="7">
        <v>2.535381</v>
      </c>
      <c r="I24" s="7" t="s">
        <v>20</v>
      </c>
      <c r="J24" s="8">
        <v>-5100</v>
      </c>
      <c r="K24" s="7">
        <v>-2.54154</v>
      </c>
      <c r="L24" s="0" t="s">
        <v>4</v>
      </c>
    </row>
    <row r="25" ht="15.5">
      <c r="A25" s="8">
        <v>15</v>
      </c>
      <c r="B25" s="8" t="s">
        <v>58</v>
      </c>
      <c r="C25" s="8" t="s">
        <v>59</v>
      </c>
      <c r="D25" s="8" t="s">
        <v>4</v>
      </c>
      <c r="E25" s="8" t="s">
        <v>60</v>
      </c>
      <c r="F25" s="8">
        <v>27025</v>
      </c>
      <c r="G25" s="8">
        <v>111.55</v>
      </c>
      <c r="H25" s="7">
        <v>2.405566</v>
      </c>
      <c r="I25" s="7" t="s">
        <v>20</v>
      </c>
      <c r="J25" s="8">
        <v>-27025</v>
      </c>
      <c r="K25" s="7">
        <v>-2.419553</v>
      </c>
      <c r="L25" s="0" t="s">
        <v>4</v>
      </c>
    </row>
    <row r="26" ht="15.5">
      <c r="A26" s="8">
        <v>16</v>
      </c>
      <c r="B26" s="8" t="s">
        <v>61</v>
      </c>
      <c r="C26" s="8" t="s">
        <v>62</v>
      </c>
      <c r="D26" s="8" t="s">
        <v>4</v>
      </c>
      <c r="E26" s="8" t="s">
        <v>63</v>
      </c>
      <c r="F26" s="8">
        <v>101250</v>
      </c>
      <c r="G26" s="8">
        <v>91.5</v>
      </c>
      <c r="H26" s="7">
        <v>1.973257</v>
      </c>
      <c r="I26" s="7" t="s">
        <v>20</v>
      </c>
      <c r="J26" s="8">
        <v>-101250</v>
      </c>
      <c r="K26" s="7">
        <v>-1.984612</v>
      </c>
      <c r="L26" s="0" t="s">
        <v>4</v>
      </c>
    </row>
    <row r="27" ht="15.5">
      <c r="A27" s="8">
        <v>17</v>
      </c>
      <c r="B27" s="8" t="s">
        <v>64</v>
      </c>
      <c r="C27" s="8" t="s">
        <v>65</v>
      </c>
      <c r="D27" s="8" t="s">
        <v>4</v>
      </c>
      <c r="E27" s="8" t="s">
        <v>19</v>
      </c>
      <c r="F27" s="8">
        <v>4800</v>
      </c>
      <c r="G27" s="8">
        <v>9.97</v>
      </c>
      <c r="H27" s="7">
        <v>0.215002</v>
      </c>
      <c r="I27" s="7" t="s">
        <v>20</v>
      </c>
      <c r="J27" s="8" t="s">
        <v>4</v>
      </c>
      <c r="K27" s="8" t="s">
        <v>4</v>
      </c>
      <c r="L27" s="0" t="s">
        <v>4</v>
      </c>
    </row>
    <row r="28" ht="15.5">
      <c r="A28" s="5"/>
      <c r="B28" s="5" t="s">
        <v>4</v>
      </c>
      <c r="C28" s="5" t="s">
        <v>66</v>
      </c>
      <c r="D28" s="5" t="s">
        <v>4</v>
      </c>
      <c r="E28" s="5" t="s">
        <v>4</v>
      </c>
      <c r="F28" s="5" t="s">
        <v>4</v>
      </c>
      <c r="G28" s="5">
        <v>3700.39</v>
      </c>
      <c r="H28" s="6">
        <v>79.801765</v>
      </c>
      <c r="I28" s="7"/>
      <c r="J28" s="8" t="s">
        <v>4</v>
      </c>
      <c r="K28" s="8" t="s">
        <v>4</v>
      </c>
      <c r="L28" s="0" t="s">
        <v>4</v>
      </c>
    </row>
    <row r="29" ht="15.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8" t="s">
        <v>4</v>
      </c>
      <c r="K29" s="8" t="s">
        <v>4</v>
      </c>
      <c r="L29" s="0" t="s">
        <v>4</v>
      </c>
    </row>
    <row r="30" ht="15.5">
      <c r="A30" s="5"/>
      <c r="B30" s="5" t="s">
        <v>4</v>
      </c>
      <c r="C30" s="5" t="s">
        <v>67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8" t="s">
        <v>4</v>
      </c>
      <c r="K30" s="8" t="s">
        <v>4</v>
      </c>
      <c r="L30" s="0" t="s">
        <v>4</v>
      </c>
    </row>
    <row r="31" ht="15.5">
      <c r="A31" s="5"/>
      <c r="B31" s="5" t="s">
        <v>4</v>
      </c>
      <c r="C31" s="5" t="s">
        <v>66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8" t="s">
        <v>4</v>
      </c>
      <c r="K31" s="8" t="s">
        <v>4</v>
      </c>
      <c r="L31" s="0" t="s">
        <v>4</v>
      </c>
    </row>
    <row r="32" ht="15.5">
      <c r="A32" s="5"/>
      <c r="B32" s="5" t="s">
        <v>4</v>
      </c>
      <c r="C32" s="5" t="s">
        <v>68</v>
      </c>
      <c r="D32" s="5" t="s">
        <v>4</v>
      </c>
      <c r="E32" s="5" t="s">
        <v>4</v>
      </c>
      <c r="F32" s="5" t="s">
        <v>4</v>
      </c>
      <c r="G32" s="5">
        <v>3700.39</v>
      </c>
      <c r="H32" s="6">
        <v>79.801765</v>
      </c>
      <c r="I32" s="7"/>
      <c r="J32" s="8" t="s">
        <v>4</v>
      </c>
      <c r="K32" s="8" t="s">
        <v>4</v>
      </c>
      <c r="L32" s="0" t="s">
        <v>4</v>
      </c>
    </row>
    <row r="33" ht="15.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8" t="s">
        <v>4</v>
      </c>
      <c r="K33" s="8" t="s">
        <v>4</v>
      </c>
      <c r="L33" s="0" t="s">
        <v>4</v>
      </c>
    </row>
    <row r="34" ht="15.5">
      <c r="A34" s="5"/>
      <c r="B34" s="5" t="s">
        <v>4</v>
      </c>
      <c r="C34" s="5" t="s">
        <v>69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8" t="s">
        <v>4</v>
      </c>
      <c r="K34" s="8" t="s">
        <v>4</v>
      </c>
      <c r="L34" s="0" t="s">
        <v>4</v>
      </c>
    </row>
    <row r="35" ht="15.5">
      <c r="A35" s="5"/>
      <c r="B35" s="5" t="s">
        <v>4</v>
      </c>
      <c r="C35" s="5" t="s">
        <v>70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8" t="s">
        <v>4</v>
      </c>
      <c r="K35" s="8" t="s">
        <v>4</v>
      </c>
      <c r="L35" s="0" t="s">
        <v>4</v>
      </c>
    </row>
    <row r="36" ht="15.5">
      <c r="A36" s="5"/>
      <c r="B36" s="5" t="s">
        <v>4</v>
      </c>
      <c r="C36" s="5" t="s">
        <v>66</v>
      </c>
      <c r="D36" s="5" t="s">
        <v>4</v>
      </c>
      <c r="E36" s="5" t="s">
        <v>4</v>
      </c>
      <c r="F36" s="5" t="s">
        <v>4</v>
      </c>
      <c r="G36" s="5"/>
      <c r="H36" s="6"/>
      <c r="I36" s="7"/>
      <c r="J36" s="8" t="s">
        <v>4</v>
      </c>
      <c r="K36" s="8" t="s">
        <v>4</v>
      </c>
      <c r="L36" s="0" t="s">
        <v>4</v>
      </c>
    </row>
    <row r="37" ht="15.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8" t="s">
        <v>4</v>
      </c>
      <c r="K37" s="8" t="s">
        <v>4</v>
      </c>
      <c r="L37" s="0" t="s">
        <v>4</v>
      </c>
    </row>
    <row r="38" ht="15.5">
      <c r="A38" s="5"/>
      <c r="B38" s="5" t="s">
        <v>4</v>
      </c>
      <c r="C38" s="5" t="s">
        <v>71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8" t="s">
        <v>4</v>
      </c>
      <c r="K38" s="8" t="s">
        <v>4</v>
      </c>
      <c r="L38" s="0" t="s">
        <v>4</v>
      </c>
    </row>
    <row r="39" ht="15.5">
      <c r="A39" s="5"/>
      <c r="B39" s="5" t="s">
        <v>4</v>
      </c>
      <c r="C39" s="5" t="s">
        <v>66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8" t="s">
        <v>4</v>
      </c>
      <c r="K39" s="8" t="s">
        <v>4</v>
      </c>
      <c r="L39" s="0" t="s">
        <v>4</v>
      </c>
    </row>
    <row r="40" ht="15.5">
      <c r="A40" s="5"/>
      <c r="B40" s="5" t="s">
        <v>4</v>
      </c>
      <c r="C40" s="5" t="s">
        <v>68</v>
      </c>
      <c r="D40" s="5" t="s">
        <v>4</v>
      </c>
      <c r="E40" s="5" t="s">
        <v>4</v>
      </c>
      <c r="F40" s="5" t="s">
        <v>4</v>
      </c>
      <c r="G40" s="5">
        <v>-1937.54</v>
      </c>
      <c r="H40" s="6">
        <v>-41.784418</v>
      </c>
      <c r="I40" s="7"/>
      <c r="J40" s="8" t="s">
        <v>4</v>
      </c>
      <c r="K40" s="8" t="s">
        <v>4</v>
      </c>
      <c r="L40" s="0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8" t="s">
        <v>4</v>
      </c>
      <c r="K41" s="8" t="s">
        <v>4</v>
      </c>
      <c r="L41" s="0" t="s">
        <v>4</v>
      </c>
    </row>
    <row r="42" ht="15.5">
      <c r="A42" s="5"/>
      <c r="B42" s="5" t="s">
        <v>4</v>
      </c>
      <c r="C42" s="5" t="s">
        <v>72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8" t="s">
        <v>4</v>
      </c>
      <c r="K42" s="8" t="s">
        <v>4</v>
      </c>
      <c r="L42" s="0" t="s">
        <v>4</v>
      </c>
    </row>
    <row r="43" ht="15.5">
      <c r="A43" s="5"/>
      <c r="B43" s="5" t="s">
        <v>4</v>
      </c>
      <c r="C43" s="5" t="s">
        <v>73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8" t="s">
        <v>4</v>
      </c>
      <c r="K43" s="8" t="s">
        <v>4</v>
      </c>
      <c r="L43" s="0" t="s">
        <v>4</v>
      </c>
    </row>
    <row r="44" ht="15.5">
      <c r="A44" s="5"/>
      <c r="B44" s="5" t="s">
        <v>4</v>
      </c>
      <c r="C44" s="5" t="s">
        <v>66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8" t="s">
        <v>4</v>
      </c>
      <c r="K44" s="8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8" t="s">
        <v>4</v>
      </c>
      <c r="K45" s="8" t="s">
        <v>4</v>
      </c>
      <c r="L45" s="0" t="s">
        <v>4</v>
      </c>
    </row>
    <row r="46" ht="15.5">
      <c r="A46" s="5"/>
      <c r="B46" s="5" t="s">
        <v>4</v>
      </c>
      <c r="C46" s="5" t="s">
        <v>74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8" t="s">
        <v>4</v>
      </c>
      <c r="K46" s="8" t="s">
        <v>4</v>
      </c>
      <c r="L46" s="0" t="s">
        <v>4</v>
      </c>
    </row>
    <row r="47" ht="15.5">
      <c r="A47" s="5"/>
      <c r="B47" s="5" t="s">
        <v>4</v>
      </c>
      <c r="C47" s="5" t="s">
        <v>66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8" t="s">
        <v>4</v>
      </c>
      <c r="K47" s="8" t="s">
        <v>4</v>
      </c>
      <c r="L47" s="0" t="s">
        <v>4</v>
      </c>
    </row>
    <row r="48" ht="15.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8" t="s">
        <v>4</v>
      </c>
      <c r="K48" s="8" t="s">
        <v>4</v>
      </c>
      <c r="L48" s="0" t="s">
        <v>4</v>
      </c>
    </row>
    <row r="49" ht="15.5">
      <c r="A49" s="5"/>
      <c r="B49" s="5" t="s">
        <v>4</v>
      </c>
      <c r="C49" s="5" t="s">
        <v>75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8" t="s">
        <v>4</v>
      </c>
      <c r="K49" s="8" t="s">
        <v>4</v>
      </c>
      <c r="L49" s="0" t="s">
        <v>4</v>
      </c>
    </row>
    <row r="50" ht="15.5">
      <c r="A50" s="5"/>
      <c r="B50" s="5" t="s">
        <v>4</v>
      </c>
      <c r="C50" s="5" t="s">
        <v>66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8" t="s">
        <v>4</v>
      </c>
      <c r="K50" s="8" t="s">
        <v>4</v>
      </c>
      <c r="L50" s="0" t="s">
        <v>4</v>
      </c>
    </row>
    <row r="51" ht="15.5">
      <c r="A51" s="5"/>
      <c r="B51" s="5" t="s">
        <v>4</v>
      </c>
      <c r="C51" s="5" t="s">
        <v>68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8" t="s">
        <v>4</v>
      </c>
      <c r="K51" s="8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8" t="s">
        <v>4</v>
      </c>
      <c r="K52" s="8" t="s">
        <v>4</v>
      </c>
      <c r="L52" s="0" t="s">
        <v>4</v>
      </c>
    </row>
    <row r="53" ht="15.5">
      <c r="A53" s="5"/>
      <c r="B53" s="5" t="s">
        <v>4</v>
      </c>
      <c r="C53" s="5" t="s">
        <v>76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8" t="s">
        <v>4</v>
      </c>
      <c r="K53" s="8" t="s">
        <v>4</v>
      </c>
      <c r="L53" s="0" t="s">
        <v>4</v>
      </c>
    </row>
    <row r="54" ht="15.5">
      <c r="A54" s="5"/>
      <c r="B54" s="5" t="s">
        <v>4</v>
      </c>
      <c r="C54" s="5" t="s">
        <v>77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8" t="s">
        <v>4</v>
      </c>
      <c r="K54" s="8" t="s">
        <v>4</v>
      </c>
      <c r="L54" s="0" t="s">
        <v>4</v>
      </c>
    </row>
    <row r="55" ht="15.5">
      <c r="A55" s="5"/>
      <c r="B55" s="5" t="s">
        <v>4</v>
      </c>
      <c r="C55" s="5" t="s">
        <v>66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8" t="s">
        <v>4</v>
      </c>
      <c r="K55" s="8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8" t="s">
        <v>4</v>
      </c>
      <c r="K56" s="8" t="s">
        <v>4</v>
      </c>
      <c r="L56" s="0" t="s">
        <v>4</v>
      </c>
    </row>
    <row r="57" ht="15.5">
      <c r="A57" s="5"/>
      <c r="B57" s="5" t="s">
        <v>4</v>
      </c>
      <c r="C57" s="5" t="s">
        <v>78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8" t="s">
        <v>4</v>
      </c>
      <c r="K57" s="8" t="s">
        <v>4</v>
      </c>
      <c r="L57" s="0" t="s">
        <v>4</v>
      </c>
    </row>
    <row r="58" ht="15.5">
      <c r="A58" s="5"/>
      <c r="B58" s="5" t="s">
        <v>4</v>
      </c>
      <c r="C58" s="5" t="s">
        <v>66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8" t="s">
        <v>4</v>
      </c>
      <c r="K58" s="8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8" t="s">
        <v>4</v>
      </c>
      <c r="K59" s="8" t="s">
        <v>4</v>
      </c>
      <c r="L59" s="0" t="s">
        <v>4</v>
      </c>
    </row>
    <row r="60" ht="15.5">
      <c r="A60" s="5"/>
      <c r="B60" s="5" t="s">
        <v>4</v>
      </c>
      <c r="C60" s="5" t="s">
        <v>79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8" t="s">
        <v>4</v>
      </c>
      <c r="K60" s="8" t="s">
        <v>4</v>
      </c>
      <c r="L60" s="0" t="s">
        <v>4</v>
      </c>
    </row>
    <row r="61" ht="15.5">
      <c r="A61" s="5"/>
      <c r="B61" s="5" t="s">
        <v>4</v>
      </c>
      <c r="C61" s="5" t="s">
        <v>66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8" t="s">
        <v>4</v>
      </c>
      <c r="K61" s="8" t="s">
        <v>4</v>
      </c>
      <c r="L61" s="0" t="s">
        <v>4</v>
      </c>
    </row>
    <row r="62" ht="15.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8" t="s">
        <v>4</v>
      </c>
      <c r="K62" s="8" t="s">
        <v>4</v>
      </c>
      <c r="L62" s="0" t="s">
        <v>4</v>
      </c>
    </row>
    <row r="63" ht="15.5">
      <c r="A63" s="5"/>
      <c r="B63" s="5" t="s">
        <v>4</v>
      </c>
      <c r="C63" s="5" t="s">
        <v>80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8" t="s">
        <v>4</v>
      </c>
      <c r="K63" s="8" t="s">
        <v>4</v>
      </c>
      <c r="L63" s="0" t="s">
        <v>4</v>
      </c>
    </row>
    <row r="64" ht="15.5">
      <c r="A64" s="5"/>
      <c r="B64" s="5" t="s">
        <v>4</v>
      </c>
      <c r="C64" s="5" t="s">
        <v>66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8" t="s">
        <v>4</v>
      </c>
      <c r="K64" s="8" t="s">
        <v>4</v>
      </c>
      <c r="L64" s="0" t="s">
        <v>4</v>
      </c>
    </row>
    <row r="65" ht="15.5">
      <c r="A65" s="5"/>
      <c r="B65" s="5" t="s">
        <v>4</v>
      </c>
      <c r="C65" s="5" t="s">
        <v>68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8" t="s">
        <v>4</v>
      </c>
      <c r="K65" s="8" t="s">
        <v>4</v>
      </c>
      <c r="L65" s="0" t="s">
        <v>4</v>
      </c>
    </row>
    <row r="66" ht="15.5">
      <c r="A66" s="5"/>
      <c r="B66" s="5" t="s">
        <v>4</v>
      </c>
      <c r="C66" s="5" t="s">
        <v>81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8" t="s">
        <v>4</v>
      </c>
      <c r="K66" s="8" t="s">
        <v>4</v>
      </c>
      <c r="L66" s="0" t="s">
        <v>4</v>
      </c>
    </row>
    <row r="67" ht="15.5">
      <c r="A67" s="5"/>
      <c r="B67" s="5" t="s">
        <v>4</v>
      </c>
      <c r="C67" s="5" t="s">
        <v>68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8" t="s">
        <v>4</v>
      </c>
      <c r="K67" s="8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8" t="s">
        <v>4</v>
      </c>
      <c r="K68" s="8" t="s">
        <v>4</v>
      </c>
      <c r="L68" s="0" t="s">
        <v>4</v>
      </c>
    </row>
    <row r="69" ht="15.5">
      <c r="A69" s="5"/>
      <c r="B69" s="5" t="s">
        <v>4</v>
      </c>
      <c r="C69" s="5" t="s">
        <v>82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8" t="s">
        <v>4</v>
      </c>
      <c r="K69" s="8" t="s">
        <v>4</v>
      </c>
      <c r="L69" s="0" t="s">
        <v>4</v>
      </c>
    </row>
    <row r="70" ht="15.5">
      <c r="A70" s="5"/>
      <c r="B70" s="5" t="s">
        <v>4</v>
      </c>
      <c r="C70" s="5" t="s">
        <v>83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8" t="s">
        <v>4</v>
      </c>
      <c r="K70" s="8" t="s">
        <v>4</v>
      </c>
      <c r="L70" s="0" t="s">
        <v>4</v>
      </c>
    </row>
    <row r="71" ht="15.5">
      <c r="A71" s="8">
        <v>18</v>
      </c>
      <c r="B71" s="8" t="s">
        <v>84</v>
      </c>
      <c r="C71" s="8" t="s">
        <v>85</v>
      </c>
      <c r="D71" s="8" t="s">
        <v>4</v>
      </c>
      <c r="E71" s="8" t="s">
        <v>86</v>
      </c>
      <c r="F71" s="8">
        <v>1055199.37</v>
      </c>
      <c r="G71" s="8">
        <v>469.44</v>
      </c>
      <c r="H71" s="7">
        <v>10.123737</v>
      </c>
      <c r="I71" s="7" t="s">
        <v>20</v>
      </c>
      <c r="J71" s="8" t="s">
        <v>4</v>
      </c>
      <c r="K71" s="8" t="s">
        <v>4</v>
      </c>
      <c r="L71" s="0" t="s">
        <v>4</v>
      </c>
    </row>
    <row r="72" ht="15.5">
      <c r="A72" s="5"/>
      <c r="B72" s="5" t="s">
        <v>4</v>
      </c>
      <c r="C72" s="5" t="s">
        <v>66</v>
      </c>
      <c r="D72" s="5" t="s">
        <v>4</v>
      </c>
      <c r="E72" s="5" t="s">
        <v>4</v>
      </c>
      <c r="F72" s="5" t="s">
        <v>4</v>
      </c>
      <c r="G72" s="5">
        <v>469.44</v>
      </c>
      <c r="H72" s="6">
        <v>10.123737</v>
      </c>
      <c r="I72" s="7"/>
      <c r="J72" s="8" t="s">
        <v>4</v>
      </c>
      <c r="K72" s="8" t="s">
        <v>4</v>
      </c>
      <c r="L72" s="0" t="s">
        <v>4</v>
      </c>
    </row>
    <row r="73" ht="15.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8" t="s">
        <v>4</v>
      </c>
      <c r="K73" s="8" t="s">
        <v>4</v>
      </c>
      <c r="L73" s="0" t="s">
        <v>4</v>
      </c>
    </row>
    <row r="74" ht="15.5">
      <c r="A74" s="5"/>
      <c r="B74" s="5" t="s">
        <v>4</v>
      </c>
      <c r="C74" s="5" t="s">
        <v>87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8" t="s">
        <v>4</v>
      </c>
      <c r="K74" s="8" t="s">
        <v>4</v>
      </c>
      <c r="L74" s="0" t="s">
        <v>4</v>
      </c>
    </row>
    <row r="75" ht="15.5">
      <c r="A75" s="8">
        <v>19</v>
      </c>
      <c r="B75" s="8" t="s">
        <v>88</v>
      </c>
      <c r="C75" s="8" t="s">
        <v>89</v>
      </c>
      <c r="D75" s="8" t="s">
        <v>4</v>
      </c>
      <c r="E75" s="8" t="s">
        <v>90</v>
      </c>
      <c r="F75" s="8">
        <v>400000</v>
      </c>
      <c r="G75" s="8">
        <v>420.16</v>
      </c>
      <c r="H75" s="7">
        <v>9.061063</v>
      </c>
      <c r="I75" s="7" t="s">
        <v>20</v>
      </c>
      <c r="J75" s="8" t="s">
        <v>4</v>
      </c>
      <c r="K75" s="8" t="s">
        <v>4</v>
      </c>
      <c r="L75" s="0" t="s">
        <v>4</v>
      </c>
    </row>
    <row r="76" ht="15.5">
      <c r="A76" s="5"/>
      <c r="B76" s="5" t="s">
        <v>4</v>
      </c>
      <c r="C76" s="5" t="s">
        <v>66</v>
      </c>
      <c r="D76" s="5" t="s">
        <v>4</v>
      </c>
      <c r="E76" s="5" t="s">
        <v>4</v>
      </c>
      <c r="F76" s="5" t="s">
        <v>4</v>
      </c>
      <c r="G76" s="5">
        <v>420.16</v>
      </c>
      <c r="H76" s="6">
        <v>9.061063</v>
      </c>
      <c r="I76" s="7"/>
      <c r="J76" s="8" t="s">
        <v>4</v>
      </c>
      <c r="K76" s="8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8" t="s">
        <v>4</v>
      </c>
      <c r="K77" s="8" t="s">
        <v>4</v>
      </c>
      <c r="L77" s="0" t="s">
        <v>4</v>
      </c>
    </row>
    <row r="78" ht="15.5">
      <c r="A78" s="5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8" t="s">
        <v>4</v>
      </c>
      <c r="K78" s="8" t="s">
        <v>4</v>
      </c>
      <c r="L78" s="0" t="s">
        <v>4</v>
      </c>
    </row>
    <row r="79" ht="15.5">
      <c r="A79" s="8">
        <v>20</v>
      </c>
      <c r="B79" s="8" t="s">
        <v>92</v>
      </c>
      <c r="C79" s="8" t="s">
        <v>93</v>
      </c>
      <c r="D79" s="8" t="s">
        <v>4</v>
      </c>
      <c r="E79" s="8" t="s">
        <v>86</v>
      </c>
      <c r="F79" s="8">
        <v>1880.6</v>
      </c>
      <c r="G79" s="8">
        <v>187.98</v>
      </c>
      <c r="H79" s="7">
        <v>4.053902</v>
      </c>
      <c r="I79" s="7">
        <v>5.811</v>
      </c>
      <c r="J79" s="8" t="s">
        <v>4</v>
      </c>
      <c r="K79" s="8" t="s">
        <v>4</v>
      </c>
      <c r="L79" s="0" t="s">
        <v>4</v>
      </c>
    </row>
    <row r="80" ht="15.5">
      <c r="A80" s="5"/>
      <c r="B80" s="5" t="s">
        <v>4</v>
      </c>
      <c r="C80" s="5" t="s">
        <v>66</v>
      </c>
      <c r="D80" s="5" t="s">
        <v>4</v>
      </c>
      <c r="E80" s="5" t="s">
        <v>4</v>
      </c>
      <c r="F80" s="5" t="s">
        <v>4</v>
      </c>
      <c r="G80" s="5">
        <v>187.98</v>
      </c>
      <c r="H80" s="6">
        <v>4.053902</v>
      </c>
      <c r="I80" s="7"/>
      <c r="J80" s="8" t="s">
        <v>4</v>
      </c>
      <c r="K80" s="8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8" t="s">
        <v>4</v>
      </c>
      <c r="K81" s="8" t="s">
        <v>4</v>
      </c>
      <c r="L81" s="0" t="s">
        <v>4</v>
      </c>
    </row>
    <row r="82" ht="15.5">
      <c r="A82" s="5"/>
      <c r="B82" s="5" t="s">
        <v>4</v>
      </c>
      <c r="C82" s="5" t="s">
        <v>94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8" t="s">
        <v>4</v>
      </c>
      <c r="K82" s="8" t="s">
        <v>4</v>
      </c>
      <c r="L82" s="0" t="s">
        <v>4</v>
      </c>
    </row>
    <row r="83" ht="15.5">
      <c r="A83" s="8">
        <v>21</v>
      </c>
      <c r="B83" s="8" t="s">
        <v>4</v>
      </c>
      <c r="C83" s="8" t="s">
        <v>95</v>
      </c>
      <c r="D83" s="8" t="s">
        <v>4</v>
      </c>
      <c r="E83" s="8" t="s">
        <v>86</v>
      </c>
      <c r="F83" s="8" t="s">
        <v>4</v>
      </c>
      <c r="G83" s="8">
        <v>-140.99</v>
      </c>
      <c r="H83" s="7">
        <v>-3.0404683857</v>
      </c>
      <c r="I83" s="7"/>
      <c r="J83" s="8" t="s">
        <v>4</v>
      </c>
      <c r="K83" s="8" t="s">
        <v>4</v>
      </c>
      <c r="L83" s="0" t="s">
        <v>4</v>
      </c>
    </row>
    <row r="84" ht="15.5">
      <c r="A84" s="5"/>
      <c r="B84" s="5" t="s">
        <v>4</v>
      </c>
      <c r="C84" s="5" t="s">
        <v>66</v>
      </c>
      <c r="D84" s="5" t="s">
        <v>4</v>
      </c>
      <c r="E84" s="5" t="s">
        <v>4</v>
      </c>
      <c r="F84" s="5" t="s">
        <v>4</v>
      </c>
      <c r="G84" s="5">
        <v>-140.99</v>
      </c>
      <c r="H84" s="6">
        <v>-3.0404683857</v>
      </c>
      <c r="I84" s="7"/>
      <c r="J84" s="8" t="s">
        <v>4</v>
      </c>
      <c r="K84" s="8" t="s">
        <v>4</v>
      </c>
      <c r="L84" s="0" t="s">
        <v>4</v>
      </c>
    </row>
    <row r="85" ht="15.5">
      <c r="A85" s="5"/>
      <c r="B85" s="5" t="s">
        <v>4</v>
      </c>
      <c r="C85" s="5" t="s">
        <v>68</v>
      </c>
      <c r="D85" s="5" t="s">
        <v>4</v>
      </c>
      <c r="E85" s="5" t="s">
        <v>4</v>
      </c>
      <c r="F85" s="5" t="s">
        <v>4</v>
      </c>
      <c r="G85" s="5">
        <v>936.59</v>
      </c>
      <c r="H85" s="6">
        <v>20.1982336143</v>
      </c>
      <c r="I85" s="7"/>
      <c r="J85" s="8" t="s">
        <v>4</v>
      </c>
      <c r="K85" s="8" t="s">
        <v>4</v>
      </c>
      <c r="L85" s="0" t="s">
        <v>4</v>
      </c>
    </row>
    <row r="86" ht="15.5">
      <c r="A86" s="5"/>
      <c r="B86" s="5" t="s">
        <v>4</v>
      </c>
      <c r="C86" s="5" t="s">
        <v>96</v>
      </c>
      <c r="D86" s="5" t="s">
        <v>4</v>
      </c>
      <c r="E86" s="5" t="s">
        <v>4</v>
      </c>
      <c r="F86" s="5" t="s">
        <v>4</v>
      </c>
      <c r="G86" s="6">
        <f>463698368/(10^5)</f>
        <v>4636.98368</v>
      </c>
      <c r="H86" s="5">
        <v>100</v>
      </c>
      <c r="I86" s="8"/>
      <c r="J86" s="8" t="s">
        <v>4</v>
      </c>
      <c r="K86" s="8" t="s">
        <v>4</v>
      </c>
      <c r="L86" s="0" t="s">
        <v>4</v>
      </c>
    </row>
    <row r="88">
      <c r="B88" s="9" t="s">
        <v>97</v>
      </c>
      <c r="C88" s="9"/>
      <c r="D88" s="9"/>
      <c r="E88" s="9"/>
      <c r="F88" s="9"/>
    </row>
    <row r="89">
      <c r="B89" s="9" t="s">
        <v>98</v>
      </c>
      <c r="C89" s="9"/>
      <c r="D89" s="9"/>
      <c r="E89" s="9"/>
      <c r="F89" s="9"/>
    </row>
    <row r="90">
      <c r="B90" s="10" t="s">
        <v>99</v>
      </c>
      <c r="C90" s="10" t="s">
        <v>100</v>
      </c>
      <c r="D90" s="10" t="s">
        <v>101</v>
      </c>
      <c r="E90" s="10" t="s">
        <v>102</v>
      </c>
      <c r="F90" s="10" t="s">
        <v>103</v>
      </c>
    </row>
    <row r="91">
      <c r="B91" s="10" t="s">
        <v>104</v>
      </c>
      <c r="C91" s="10" t="s">
        <v>105</v>
      </c>
      <c r="D91" s="10">
        <v>263.5715</v>
      </c>
      <c r="E91" s="10">
        <v>248.46</v>
      </c>
      <c r="F91" s="11" t="s">
        <v>106</v>
      </c>
    </row>
    <row r="92">
      <c r="B92" s="10" t="s">
        <v>107</v>
      </c>
      <c r="C92" s="10" t="s">
        <v>105</v>
      </c>
      <c r="D92" s="10">
        <v>946.9</v>
      </c>
      <c r="E92" s="10">
        <v>942.35</v>
      </c>
      <c r="F92" s="12"/>
    </row>
    <row r="93">
      <c r="B93" s="10" t="s">
        <v>108</v>
      </c>
      <c r="C93" s="10" t="s">
        <v>105</v>
      </c>
      <c r="D93" s="10">
        <v>1180.5266</v>
      </c>
      <c r="E93" s="10">
        <v>1235.2</v>
      </c>
      <c r="F93" s="12"/>
    </row>
    <row r="94">
      <c r="B94" s="10" t="s">
        <v>109</v>
      </c>
      <c r="C94" s="10" t="s">
        <v>105</v>
      </c>
      <c r="D94" s="10">
        <v>1849.3727</v>
      </c>
      <c r="E94" s="10">
        <v>1896.4</v>
      </c>
      <c r="F94" s="12"/>
    </row>
    <row r="95">
      <c r="B95" s="10" t="s">
        <v>110</v>
      </c>
      <c r="C95" s="10" t="s">
        <v>105</v>
      </c>
      <c r="D95" s="10">
        <v>807.3227</v>
      </c>
      <c r="E95" s="10">
        <v>776.1</v>
      </c>
      <c r="F95" s="12"/>
    </row>
    <row r="96">
      <c r="B96" s="10" t="s">
        <v>111</v>
      </c>
      <c r="C96" s="10" t="s">
        <v>105</v>
      </c>
      <c r="D96" s="10">
        <v>415.737</v>
      </c>
      <c r="E96" s="10">
        <v>415.15</v>
      </c>
      <c r="F96" s="12"/>
    </row>
    <row r="97">
      <c r="B97" s="10" t="s">
        <v>112</v>
      </c>
      <c r="C97" s="10" t="s">
        <v>105</v>
      </c>
      <c r="D97" s="10">
        <v>2323.5917</v>
      </c>
      <c r="E97" s="10">
        <v>2310.8</v>
      </c>
      <c r="F97" s="12"/>
    </row>
    <row r="98">
      <c r="B98" s="10" t="s">
        <v>113</v>
      </c>
      <c r="C98" s="10" t="s">
        <v>105</v>
      </c>
      <c r="D98" s="10">
        <v>89.1993</v>
      </c>
      <c r="E98" s="10">
        <v>90.89</v>
      </c>
      <c r="F98" s="12"/>
    </row>
    <row r="99">
      <c r="B99" s="10" t="s">
        <v>114</v>
      </c>
      <c r="C99" s="10" t="s">
        <v>105</v>
      </c>
      <c r="D99" s="10">
        <v>386.7</v>
      </c>
      <c r="E99" s="10">
        <v>355.35</v>
      </c>
      <c r="F99" s="12"/>
    </row>
    <row r="100">
      <c r="B100" s="10" t="s">
        <v>115</v>
      </c>
      <c r="C100" s="10" t="s">
        <v>105</v>
      </c>
      <c r="D100" s="10">
        <v>934.7036</v>
      </c>
      <c r="E100" s="10">
        <v>927.9</v>
      </c>
      <c r="F100" s="13"/>
    </row>
    <row r="101">
      <c r="B101" s="10" t="s">
        <v>116</v>
      </c>
      <c r="C101" s="10"/>
      <c r="D101" s="10">
        <v>41.78</v>
      </c>
      <c r="E101" s="10"/>
      <c r="F101" s="10"/>
    </row>
    <row r="103">
      <c r="B103" s="9" t="s">
        <v>117</v>
      </c>
      <c r="C103" s="9"/>
      <c r="D103" s="9"/>
      <c r="E103" s="9"/>
      <c r="F103" s="9"/>
    </row>
    <row r="104">
      <c r="B104" s="10" t="s">
        <v>118</v>
      </c>
      <c r="C104" s="10"/>
      <c r="D104" s="10">
        <v>377</v>
      </c>
      <c r="E104" s="10"/>
      <c r="F104" s="10"/>
    </row>
    <row r="105">
      <c r="B105" s="10" t="s">
        <v>119</v>
      </c>
      <c r="C105" s="10"/>
      <c r="D105" s="10">
        <v>329</v>
      </c>
      <c r="E105" s="10"/>
      <c r="F105" s="10"/>
    </row>
    <row r="106">
      <c r="B106" s="10" t="s">
        <v>120</v>
      </c>
      <c r="C106" s="10"/>
      <c r="D106" s="10">
        <v>251607430.86</v>
      </c>
      <c r="E106" s="10"/>
      <c r="F106" s="10"/>
    </row>
    <row r="107">
      <c r="B107" s="10" t="s">
        <v>121</v>
      </c>
      <c r="C107" s="10"/>
      <c r="D107" s="10">
        <v>213771107.2</v>
      </c>
      <c r="E107" s="10"/>
      <c r="F107" s="10"/>
    </row>
    <row r="108">
      <c r="B108" s="10" t="s">
        <v>122</v>
      </c>
      <c r="C108" s="10"/>
      <c r="D108" s="10">
        <v>164503132.8</v>
      </c>
      <c r="E108" s="10"/>
      <c r="F108" s="10"/>
    </row>
    <row r="110">
      <c r="B110" s="9" t="s">
        <v>123</v>
      </c>
      <c r="C110" s="9"/>
      <c r="D110" s="9"/>
      <c r="E110" s="9"/>
      <c r="F110" s="9"/>
    </row>
    <row r="111">
      <c r="B111" s="10" t="s">
        <v>99</v>
      </c>
      <c r="C111" s="10" t="s">
        <v>100</v>
      </c>
      <c r="D111" s="10" t="s">
        <v>101</v>
      </c>
      <c r="E111" s="10" t="s">
        <v>102</v>
      </c>
      <c r="F111" s="10" t="s">
        <v>103</v>
      </c>
    </row>
    <row r="112">
      <c r="B112" s="10" t="s">
        <v>124</v>
      </c>
      <c r="C112" s="10" t="s">
        <v>124</v>
      </c>
      <c r="D112" s="10" t="s">
        <v>20</v>
      </c>
      <c r="E112" s="10" t="s">
        <v>20</v>
      </c>
      <c r="F112" s="10"/>
    </row>
    <row r="113">
      <c r="B113" s="10" t="s">
        <v>125</v>
      </c>
      <c r="C113" s="10"/>
      <c r="D113" s="10"/>
      <c r="E113" s="10"/>
      <c r="F113" s="10"/>
    </row>
    <row r="115">
      <c r="B115" s="9" t="s">
        <v>126</v>
      </c>
      <c r="C115" s="9"/>
      <c r="D115" s="9"/>
      <c r="E115" s="9"/>
      <c r="F115" s="9"/>
    </row>
    <row r="116">
      <c r="B116" s="10" t="s">
        <v>127</v>
      </c>
      <c r="C116" s="10"/>
      <c r="D116" s="10">
        <v>47</v>
      </c>
      <c r="E116" s="10"/>
      <c r="F116" s="10"/>
    </row>
    <row r="117">
      <c r="B117" s="10" t="s">
        <v>128</v>
      </c>
      <c r="C117" s="10"/>
      <c r="D117" s="10">
        <v>48</v>
      </c>
      <c r="E117" s="10"/>
      <c r="F117" s="10"/>
    </row>
    <row r="118">
      <c r="B118" s="10" t="s">
        <v>129</v>
      </c>
      <c r="C118" s="10"/>
      <c r="D118" s="10">
        <v>26781825.52</v>
      </c>
      <c r="E118" s="10"/>
      <c r="F118" s="10"/>
    </row>
    <row r="119">
      <c r="B119" s="10" t="s">
        <v>121</v>
      </c>
      <c r="C119" s="10"/>
      <c r="D119" s="10">
        <v>34511729.76</v>
      </c>
      <c r="E119" s="10"/>
      <c r="F119" s="10"/>
    </row>
    <row r="120">
      <c r="B120" s="10" t="s">
        <v>122</v>
      </c>
      <c r="C120" s="10"/>
      <c r="D120" s="10">
        <v>-25819215.77</v>
      </c>
      <c r="E120" s="10"/>
      <c r="F120" s="10"/>
    </row>
    <row r="122">
      <c r="B122" s="9" t="s">
        <v>130</v>
      </c>
      <c r="C122" s="9"/>
      <c r="D122" s="9"/>
      <c r="E122" s="9"/>
      <c r="F122" s="9"/>
    </row>
    <row r="123">
      <c r="B123" s="10" t="s">
        <v>99</v>
      </c>
      <c r="C123" s="10" t="s">
        <v>131</v>
      </c>
      <c r="D123" s="10" t="s">
        <v>132</v>
      </c>
      <c r="E123" s="10" t="s">
        <v>133</v>
      </c>
      <c r="F123" s="10"/>
    </row>
    <row r="124">
      <c r="B124" s="10" t="s">
        <v>124</v>
      </c>
      <c r="C124" s="10" t="s">
        <v>124</v>
      </c>
      <c r="D124" s="10" t="s">
        <v>20</v>
      </c>
      <c r="E124" s="10" t="s">
        <v>20</v>
      </c>
      <c r="F124" s="10" t="s">
        <v>20</v>
      </c>
    </row>
    <row r="125">
      <c r="B125" s="10" t="s">
        <v>134</v>
      </c>
      <c r="C125" s="10"/>
      <c r="D125" s="10" t="s">
        <v>124</v>
      </c>
      <c r="E125" s="10"/>
      <c r="F125" s="10"/>
    </row>
    <row r="127">
      <c r="B127" s="9" t="s">
        <v>135</v>
      </c>
      <c r="C127" s="9"/>
      <c r="D127" s="9"/>
      <c r="E127" s="9"/>
      <c r="F127" s="9"/>
    </row>
    <row r="128">
      <c r="B128" s="10" t="s">
        <v>136</v>
      </c>
      <c r="C128" s="10"/>
      <c r="D128" s="10" t="s">
        <v>124</v>
      </c>
      <c r="E128" s="10"/>
      <c r="F128" s="10"/>
    </row>
    <row r="129">
      <c r="B129" s="10" t="s">
        <v>137</v>
      </c>
      <c r="C129" s="10"/>
      <c r="D129" s="10" t="s">
        <v>124</v>
      </c>
      <c r="E129" s="10"/>
      <c r="F129" s="10"/>
    </row>
    <row r="130">
      <c r="B130" s="10" t="s">
        <v>138</v>
      </c>
      <c r="C130" s="10"/>
      <c r="D130" s="10" t="s">
        <v>124</v>
      </c>
      <c r="E130" s="10"/>
      <c r="F130" s="10"/>
    </row>
    <row r="132">
      <c r="B132" s="9" t="s">
        <v>139</v>
      </c>
      <c r="C132" s="9"/>
      <c r="D132" s="9"/>
      <c r="E132" s="9"/>
      <c r="F132" s="9"/>
    </row>
    <row r="133">
      <c r="B133" s="10" t="s">
        <v>99</v>
      </c>
      <c r="C133" s="10" t="s">
        <v>140</v>
      </c>
      <c r="D133" s="10" t="s">
        <v>131</v>
      </c>
      <c r="E133" s="10" t="s">
        <v>132</v>
      </c>
      <c r="F133" s="10" t="s">
        <v>133</v>
      </c>
    </row>
    <row r="134">
      <c r="B134" s="10" t="s">
        <v>124</v>
      </c>
      <c r="C134" s="10" t="s">
        <v>124</v>
      </c>
      <c r="D134" s="10" t="s">
        <v>20</v>
      </c>
      <c r="E134" s="10" t="s">
        <v>20</v>
      </c>
      <c r="F134" s="10" t="s">
        <v>20</v>
      </c>
    </row>
    <row r="135">
      <c r="B135" s="10" t="s">
        <v>141</v>
      </c>
      <c r="C135" s="10"/>
      <c r="D135" s="10" t="s">
        <v>124</v>
      </c>
      <c r="E135" s="10"/>
      <c r="F135" s="10"/>
    </row>
    <row r="137">
      <c r="B137" s="9" t="s">
        <v>142</v>
      </c>
      <c r="C137" s="9"/>
      <c r="D137" s="9"/>
      <c r="E137" s="9"/>
      <c r="F137" s="9"/>
    </row>
    <row r="138">
      <c r="B138" s="10" t="s">
        <v>136</v>
      </c>
      <c r="C138" s="10"/>
      <c r="D138" s="10" t="s">
        <v>124</v>
      </c>
      <c r="E138" s="10"/>
      <c r="F138" s="10"/>
    </row>
    <row r="139">
      <c r="B139" s="10" t="s">
        <v>143</v>
      </c>
      <c r="C139" s="10"/>
      <c r="D139" s="10" t="s">
        <v>124</v>
      </c>
      <c r="E139" s="10"/>
      <c r="F139" s="10"/>
    </row>
    <row r="140">
      <c r="B140" s="10" t="s">
        <v>138</v>
      </c>
      <c r="C140" s="10"/>
      <c r="D140" s="10" t="s">
        <v>124</v>
      </c>
      <c r="E140" s="10"/>
      <c r="F140" s="10"/>
    </row>
    <row r="142">
      <c r="C142" s="4" t="s">
        <v>144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145</v>
      </c>
      <c r="D144" s="4"/>
      <c r="E144" s="4"/>
    </row>
    <row r="145">
      <c r="C145" s="14" t="s">
        <v>146</v>
      </c>
      <c r="D145" s="14" t="s">
        <v>147</v>
      </c>
      <c r="E145" s="14" t="s">
        <v>148</v>
      </c>
    </row>
    <row r="146">
      <c r="C146" s="0" t="s">
        <v>149</v>
      </c>
      <c r="D146" s="0">
        <v>10.3813</v>
      </c>
      <c r="E146" s="0">
        <v>9.8352</v>
      </c>
    </row>
    <row r="147">
      <c r="C147" s="0" t="s">
        <v>150</v>
      </c>
      <c r="D147" s="0">
        <v>10.3627</v>
      </c>
      <c r="E147" s="0">
        <v>9.8202</v>
      </c>
    </row>
    <row r="148">
      <c r="C148" s="0" t="s">
        <v>151</v>
      </c>
      <c r="D148" s="0">
        <v>10.245</v>
      </c>
      <c r="E148" s="0">
        <v>9.7198</v>
      </c>
    </row>
    <row r="149">
      <c r="C149" s="0" t="s">
        <v>152</v>
      </c>
      <c r="D149" s="0">
        <v>10.2446</v>
      </c>
      <c r="E149" s="0">
        <v>9.7195</v>
      </c>
    </row>
    <row r="150">
      <c r="C150" s="4"/>
      <c r="D150" s="4"/>
      <c r="E150" s="4"/>
    </row>
    <row r="151">
      <c r="B151" s="0">
        <v>2</v>
      </c>
      <c r="C151" s="4" t="s">
        <v>153</v>
      </c>
      <c r="D151" s="4"/>
      <c r="E151" s="4"/>
    </row>
    <row r="152">
      <c r="B152" s="0">
        <v>3</v>
      </c>
      <c r="C152" s="4" t="s">
        <v>154</v>
      </c>
      <c r="D152" s="4"/>
      <c r="E152" s="4"/>
    </row>
    <row r="153">
      <c r="B153" s="0">
        <v>4</v>
      </c>
      <c r="C153" s="4" t="s">
        <v>155</v>
      </c>
      <c r="D153" s="4"/>
      <c r="E153" s="4"/>
    </row>
    <row r="154">
      <c r="B154" s="0">
        <v>5</v>
      </c>
      <c r="C154" s="4" t="s">
        <v>156</v>
      </c>
      <c r="D154" s="4"/>
      <c r="E154" s="4"/>
    </row>
    <row r="155">
      <c r="B155" s="0">
        <v>6</v>
      </c>
      <c r="C155" s="4" t="s">
        <v>157</v>
      </c>
      <c r="D155" s="4"/>
      <c r="E155" s="4"/>
    </row>
    <row r="156">
      <c r="B156" s="0">
        <v>7</v>
      </c>
      <c r="C156" s="4" t="s">
        <v>158</v>
      </c>
      <c r="D156" s="4"/>
      <c r="E156" s="4"/>
    </row>
    <row r="157">
      <c r="B157" s="0">
        <v>8</v>
      </c>
      <c r="C157" s="4" t="s">
        <v>159</v>
      </c>
      <c r="D157" s="4"/>
      <c r="E157" s="4"/>
    </row>
    <row r="158">
      <c r="B158" s="0">
        <v>9</v>
      </c>
      <c r="C158" s="4" t="s">
        <v>160</v>
      </c>
      <c r="D158" s="4"/>
      <c r="E158" s="4"/>
    </row>
    <row r="159">
      <c r="B159" s="0">
        <v>10</v>
      </c>
      <c r="C159" s="4" t="s">
        <v>161</v>
      </c>
      <c r="D159" s="4"/>
      <c r="E159" s="4"/>
    </row>
    <row r="160">
      <c r="B160" s="0">
        <v>11</v>
      </c>
      <c r="C160" s="4" t="s">
        <v>162</v>
      </c>
      <c r="D160" s="4"/>
      <c r="E160" s="4"/>
    </row>
    <row r="162">
      <c r="B162" s="15" t="s">
        <v>163</v>
      </c>
    </row>
    <row r="177">
      <c r="B177" s="15" t="s">
        <v>164</v>
      </c>
    </row>
  </sheetData>
  <mergeCells>
    <mergeCell ref="B88:F88"/>
    <mergeCell ref="B89:F89"/>
    <mergeCell ref="B101:C101"/>
    <mergeCell ref="D101:F101"/>
    <mergeCell ref="B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10:F110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C144:E144"/>
    <mergeCell ref="B137:F137"/>
    <mergeCell ref="B138:C138"/>
    <mergeCell ref="D138:F138"/>
    <mergeCell ref="B139:C139"/>
    <mergeCell ref="D139:F139"/>
    <mergeCell ref="C160:E160"/>
    <mergeCell ref="F91:F100"/>
    <mergeCell ref="C155:E155"/>
    <mergeCell ref="C156:E156"/>
    <mergeCell ref="C157:E157"/>
    <mergeCell ref="C158:E158"/>
    <mergeCell ref="C159:E159"/>
    <mergeCell ref="C150:E150"/>
    <mergeCell ref="C151:E151"/>
    <mergeCell ref="C152:E152"/>
    <mergeCell ref="C153:E153"/>
    <mergeCell ref="C154:E154"/>
    <mergeCell ref="B140:C140"/>
    <mergeCell ref="D140:F140"/>
    <mergeCell ref="C142:E142"/>
    <mergeCell ref="C143:E143"/>
  </mergeCells>
  <pageMargins left="0.7" right="0.7" top="0.75" bottom="0.75" header="0.3" footer="0.3"/>
  <pageSetup orientation="portrait"/>
  <headerFooter/>
  <drawing r:id="rId1"/>
</worksheet>
</file>